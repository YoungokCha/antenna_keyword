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0" documentId="8_{2A549C5A-1AB0-3049-A7B6-23B5EBC84DFB}" xr6:coauthVersionLast="47" xr6:coauthVersionMax="47" xr10:uidLastSave="{DC90825E-CB23-9B42-880A-7F372CD367BC}"/>
  <bookViews>
    <workbookView xWindow="7420" yWindow="2480" windowWidth="24100" windowHeight="22000" xr2:uid="{0F3C11A2-1025-5441-9D90-FFA1A72BA4D0}"/>
  </bookViews>
  <sheets>
    <sheet name="1992"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 l="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1004" i="1"/>
  <c r="AN1005" i="1"/>
  <c r="AN1006" i="1"/>
  <c r="AN1007" i="1"/>
  <c r="AN1008" i="1"/>
  <c r="AN1009" i="1"/>
  <c r="AN1010" i="1"/>
  <c r="AN1011" i="1"/>
  <c r="AN1012" i="1"/>
  <c r="AN1013" i="1"/>
  <c r="AN1014" i="1"/>
  <c r="AN1015" i="1"/>
  <c r="AN1016" i="1"/>
  <c r="AN1017" i="1"/>
  <c r="AN1018" i="1"/>
  <c r="AN1019" i="1"/>
  <c r="AN1020" i="1"/>
  <c r="AN1021" i="1"/>
  <c r="AN1022" i="1"/>
  <c r="AN1023" i="1"/>
  <c r="AN1024" i="1"/>
  <c r="AN1025" i="1"/>
  <c r="AN1026" i="1"/>
  <c r="AN1027" i="1"/>
  <c r="AN1028" i="1"/>
  <c r="AN1029" i="1"/>
  <c r="AN1030" i="1"/>
  <c r="AN1031" i="1"/>
  <c r="AN1032" i="1"/>
  <c r="AN1033" i="1"/>
  <c r="AN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2" i="1"/>
  <c r="S2" i="1" l="1"/>
  <c r="U2" i="1"/>
  <c r="AM2" i="1" s="1"/>
  <c r="AV2" i="1" s="1"/>
  <c r="S3" i="1"/>
  <c r="U3" i="1"/>
  <c r="AM3" i="1"/>
  <c r="S4" i="1"/>
  <c r="U4" i="1"/>
  <c r="AM4" i="1"/>
  <c r="S5" i="1"/>
  <c r="U5" i="1"/>
  <c r="AM5" i="1" s="1"/>
  <c r="S6" i="1"/>
  <c r="U6" i="1"/>
  <c r="AM6" i="1" s="1"/>
  <c r="S7" i="1"/>
  <c r="U7" i="1"/>
  <c r="AM7" i="1" s="1"/>
  <c r="S8" i="1"/>
  <c r="U8" i="1"/>
  <c r="AM8" i="1" s="1"/>
  <c r="S9" i="1"/>
  <c r="U9" i="1"/>
  <c r="AM9" i="1"/>
  <c r="S10" i="1"/>
  <c r="U10" i="1"/>
  <c r="AM10" i="1" s="1"/>
  <c r="S11" i="1"/>
  <c r="U11" i="1"/>
  <c r="AM11" i="1"/>
  <c r="S12" i="1"/>
  <c r="U12" i="1"/>
  <c r="AM12" i="1" s="1"/>
  <c r="AU12" i="1" s="1"/>
  <c r="S13" i="1"/>
  <c r="U13" i="1"/>
  <c r="AM13" i="1" s="1"/>
  <c r="AU13" i="1" s="1"/>
  <c r="S14" i="1"/>
  <c r="U14" i="1"/>
  <c r="AM14" i="1" s="1"/>
  <c r="S15" i="1"/>
  <c r="U15" i="1"/>
  <c r="AM15" i="1" s="1"/>
  <c r="S16" i="1"/>
  <c r="U16" i="1"/>
  <c r="AM16" i="1" s="1"/>
  <c r="S17" i="1"/>
  <c r="U17" i="1"/>
  <c r="AM17" i="1" s="1"/>
  <c r="S18" i="1"/>
  <c r="U18" i="1"/>
  <c r="AM18" i="1"/>
  <c r="AU18" i="1" s="1"/>
  <c r="S19" i="1"/>
  <c r="U19" i="1"/>
  <c r="AM19" i="1" s="1"/>
  <c r="S20" i="1"/>
  <c r="U20" i="1"/>
  <c r="AM20" i="1" s="1"/>
  <c r="S21" i="1"/>
  <c r="U21" i="1"/>
  <c r="AM21" i="1" s="1"/>
  <c r="S22" i="1"/>
  <c r="U22" i="1"/>
  <c r="AM22" i="1"/>
  <c r="AV22" i="1" s="1"/>
  <c r="S23" i="1"/>
  <c r="U23" i="1"/>
  <c r="AM23" i="1"/>
  <c r="S24" i="1"/>
  <c r="U24" i="1"/>
  <c r="AM24" i="1"/>
  <c r="S25" i="1"/>
  <c r="U25" i="1"/>
  <c r="AM25" i="1" s="1"/>
  <c r="AU25" i="1"/>
  <c r="S26" i="1"/>
  <c r="U26" i="1"/>
  <c r="AM26" i="1"/>
  <c r="S27" i="1"/>
  <c r="U27" i="1"/>
  <c r="AM27" i="1" s="1"/>
  <c r="AV27" i="1" s="1"/>
  <c r="S28" i="1"/>
  <c r="U28" i="1"/>
  <c r="AM28" i="1" s="1"/>
  <c r="S29" i="1"/>
  <c r="U29" i="1"/>
  <c r="AM29" i="1" s="1"/>
  <c r="S30" i="1"/>
  <c r="U30" i="1"/>
  <c r="AM30" i="1" s="1"/>
  <c r="S31" i="1"/>
  <c r="U31" i="1"/>
  <c r="AM31" i="1" s="1"/>
  <c r="S32" i="1"/>
  <c r="U32" i="1"/>
  <c r="AM32" i="1"/>
  <c r="S33" i="1"/>
  <c r="U33" i="1"/>
  <c r="AM33" i="1" s="1"/>
  <c r="S34" i="1"/>
  <c r="U34" i="1"/>
  <c r="AM34" i="1" s="1"/>
  <c r="S35" i="1"/>
  <c r="U35" i="1"/>
  <c r="AM35" i="1" s="1"/>
  <c r="S36" i="1"/>
  <c r="U36" i="1"/>
  <c r="AM36" i="1" s="1"/>
  <c r="S37" i="1"/>
  <c r="U37" i="1"/>
  <c r="AM37" i="1" s="1"/>
  <c r="AU37" i="1" s="1"/>
  <c r="S38" i="1"/>
  <c r="U38" i="1"/>
  <c r="AM38" i="1"/>
  <c r="AU38" i="1"/>
  <c r="S39" i="1"/>
  <c r="U39" i="1"/>
  <c r="AM39" i="1" s="1"/>
  <c r="S40" i="1"/>
  <c r="U40" i="1"/>
  <c r="AM40" i="1" s="1"/>
  <c r="S41" i="1"/>
  <c r="U41" i="1"/>
  <c r="AM41" i="1" s="1"/>
  <c r="S42" i="1"/>
  <c r="U42" i="1"/>
  <c r="AM42" i="1" s="1"/>
  <c r="S43" i="1"/>
  <c r="U43" i="1"/>
  <c r="AM43" i="1" s="1"/>
  <c r="AU43" i="1" s="1"/>
  <c r="S44" i="1"/>
  <c r="U44" i="1"/>
  <c r="AM44" i="1" s="1"/>
  <c r="S45" i="1"/>
  <c r="U45" i="1"/>
  <c r="AM45" i="1" s="1"/>
  <c r="AU45" i="1"/>
  <c r="S46" i="1"/>
  <c r="U46" i="1"/>
  <c r="AM46" i="1" s="1"/>
  <c r="S47" i="1"/>
  <c r="U47" i="1"/>
  <c r="AM47" i="1" s="1"/>
  <c r="AV47" i="1" s="1"/>
  <c r="S48" i="1"/>
  <c r="U48" i="1"/>
  <c r="AM48" i="1" s="1"/>
  <c r="S49" i="1"/>
  <c r="U49" i="1"/>
  <c r="AM49" i="1"/>
  <c r="S50" i="1"/>
  <c r="U50" i="1"/>
  <c r="AM50" i="1" s="1"/>
  <c r="AU50" i="1"/>
  <c r="S51" i="1"/>
  <c r="U51" i="1"/>
  <c r="AM51" i="1"/>
  <c r="S52" i="1"/>
  <c r="U52" i="1"/>
  <c r="AM52" i="1" s="1"/>
  <c r="AU52" i="1" s="1"/>
  <c r="S53" i="1"/>
  <c r="U53" i="1"/>
  <c r="AM53" i="1"/>
  <c r="S54" i="1"/>
  <c r="U54" i="1"/>
  <c r="AM54" i="1"/>
  <c r="S55" i="1"/>
  <c r="U55" i="1"/>
  <c r="AM55" i="1" s="1"/>
  <c r="S56" i="1"/>
  <c r="U56" i="1"/>
  <c r="AM56" i="1" s="1"/>
  <c r="S57" i="1"/>
  <c r="U57" i="1"/>
  <c r="AM57" i="1" s="1"/>
  <c r="AU57" i="1" s="1"/>
  <c r="S58" i="1"/>
  <c r="U58" i="1"/>
  <c r="AM58" i="1" s="1"/>
  <c r="S59" i="1"/>
  <c r="U59" i="1"/>
  <c r="AM59" i="1" s="1"/>
  <c r="S60" i="1"/>
  <c r="U60" i="1"/>
  <c r="AM60" i="1" s="1"/>
  <c r="S61" i="1"/>
  <c r="U61" i="1"/>
  <c r="AM61" i="1"/>
  <c r="S62" i="1"/>
  <c r="U62" i="1"/>
  <c r="AM62" i="1"/>
  <c r="S63" i="1"/>
  <c r="U63" i="1"/>
  <c r="AM63" i="1" s="1"/>
  <c r="S64" i="1"/>
  <c r="U64" i="1"/>
  <c r="AM64" i="1" s="1"/>
  <c r="S65" i="1"/>
  <c r="U65" i="1"/>
  <c r="AM65" i="1" s="1"/>
  <c r="S66" i="1"/>
  <c r="U66" i="1"/>
  <c r="AM66" i="1"/>
  <c r="S67" i="1"/>
  <c r="U67" i="1"/>
  <c r="AM67" i="1" s="1"/>
  <c r="S68" i="1"/>
  <c r="U68" i="1"/>
  <c r="AM68" i="1" s="1"/>
  <c r="AU68" i="1" s="1"/>
  <c r="S69" i="1"/>
  <c r="U69" i="1"/>
  <c r="AM69" i="1" s="1"/>
  <c r="S70" i="1"/>
  <c r="U70" i="1"/>
  <c r="AM70" i="1" s="1"/>
  <c r="S71" i="1"/>
  <c r="U71" i="1"/>
  <c r="AM71" i="1" s="1"/>
  <c r="AV71" i="1" s="1"/>
  <c r="S72" i="1"/>
  <c r="U72" i="1"/>
  <c r="AM72" i="1"/>
  <c r="AU72" i="1" s="1"/>
  <c r="S73" i="1"/>
  <c r="U73" i="1"/>
  <c r="AM73" i="1" s="1"/>
  <c r="S74" i="1"/>
  <c r="U74" i="1"/>
  <c r="AM74" i="1"/>
  <c r="S75" i="1"/>
  <c r="U75" i="1"/>
  <c r="AM75" i="1" s="1"/>
  <c r="S76" i="1"/>
  <c r="U76" i="1"/>
  <c r="AM76" i="1"/>
  <c r="AV76" i="1" s="1"/>
  <c r="S77" i="1"/>
  <c r="U77" i="1"/>
  <c r="AM77" i="1" s="1"/>
  <c r="S78" i="1"/>
  <c r="U78" i="1"/>
  <c r="AV78" i="1"/>
  <c r="AM78" i="1"/>
  <c r="S79" i="1"/>
  <c r="U79" i="1"/>
  <c r="AM79" i="1" s="1"/>
  <c r="S80" i="1"/>
  <c r="U80" i="1"/>
  <c r="AM80" i="1" s="1"/>
  <c r="S81" i="1"/>
  <c r="U81" i="1"/>
  <c r="AM81" i="1"/>
  <c r="AV81" i="1" s="1"/>
  <c r="S82" i="1"/>
  <c r="U82" i="1"/>
  <c r="AM82" i="1"/>
  <c r="AV82" i="1" s="1"/>
  <c r="S83" i="1"/>
  <c r="U83" i="1"/>
  <c r="AM83" i="1" s="1"/>
  <c r="AU83" i="1" s="1"/>
  <c r="S84" i="1"/>
  <c r="U84" i="1"/>
  <c r="AM84" i="1" s="1"/>
  <c r="S85" i="1"/>
  <c r="U85" i="1"/>
  <c r="AM85" i="1" s="1"/>
  <c r="S86" i="1"/>
  <c r="U86" i="1"/>
  <c r="AM86" i="1" s="1"/>
  <c r="S87" i="1"/>
  <c r="U87" i="1"/>
  <c r="AM87" i="1" s="1"/>
  <c r="S88" i="1"/>
  <c r="U88" i="1"/>
  <c r="AM88" i="1" s="1"/>
  <c r="S89" i="1"/>
  <c r="U89" i="1"/>
  <c r="AM89" i="1" s="1"/>
  <c r="AV89" i="1"/>
  <c r="S90" i="1"/>
  <c r="U90" i="1"/>
  <c r="AM90" i="1" s="1"/>
  <c r="S91" i="1"/>
  <c r="U91" i="1"/>
  <c r="AM91" i="1"/>
  <c r="S92" i="1"/>
  <c r="U92" i="1"/>
  <c r="AM92" i="1"/>
  <c r="AV92" i="1" s="1"/>
  <c r="S93" i="1"/>
  <c r="U93" i="1"/>
  <c r="AM93" i="1" s="1"/>
  <c r="S94" i="1"/>
  <c r="U94" i="1"/>
  <c r="AM94" i="1" s="1"/>
  <c r="S95" i="1"/>
  <c r="U95" i="1"/>
  <c r="AM95" i="1" s="1"/>
  <c r="S96" i="1"/>
  <c r="U96" i="1"/>
  <c r="AM96" i="1" s="1"/>
  <c r="S97" i="1"/>
  <c r="U97" i="1"/>
  <c r="AM97" i="1" s="1"/>
  <c r="S98" i="1"/>
  <c r="U98" i="1"/>
  <c r="AM98" i="1" s="1"/>
  <c r="AU98" i="1" s="1"/>
  <c r="S99" i="1"/>
  <c r="U99" i="1"/>
  <c r="AM99" i="1" s="1"/>
  <c r="S100" i="1"/>
  <c r="U100" i="1"/>
  <c r="AM100" i="1" s="1"/>
  <c r="S101" i="1"/>
  <c r="U101" i="1"/>
  <c r="AM101" i="1"/>
  <c r="S102" i="1"/>
  <c r="U102" i="1"/>
  <c r="AM102" i="1"/>
  <c r="AU102" i="1" s="1"/>
  <c r="S103" i="1"/>
  <c r="U103" i="1"/>
  <c r="AM103" i="1" s="1"/>
  <c r="S104" i="1"/>
  <c r="U104" i="1"/>
  <c r="AM104" i="1" s="1"/>
  <c r="S105" i="1"/>
  <c r="U105" i="1"/>
  <c r="AM105" i="1" s="1"/>
  <c r="S106" i="1"/>
  <c r="U106" i="1"/>
  <c r="AM106" i="1" s="1"/>
  <c r="S107" i="1"/>
  <c r="U107" i="1"/>
  <c r="AM107" i="1" s="1"/>
  <c r="S108" i="1"/>
  <c r="U108" i="1"/>
  <c r="AM108" i="1" s="1"/>
  <c r="S109" i="1"/>
  <c r="U109" i="1"/>
  <c r="AM109" i="1"/>
  <c r="S110" i="1"/>
  <c r="U110" i="1"/>
  <c r="AM110" i="1" s="1"/>
  <c r="S111" i="1"/>
  <c r="U111" i="1"/>
  <c r="AM111" i="1" s="1"/>
  <c r="S112" i="1"/>
  <c r="U112" i="1"/>
  <c r="AM112" i="1"/>
  <c r="S113" i="1"/>
  <c r="U113" i="1"/>
  <c r="AM113" i="1"/>
  <c r="AU113" i="1" s="1"/>
  <c r="S114" i="1"/>
  <c r="U114" i="1"/>
  <c r="AM114" i="1" s="1"/>
  <c r="S115" i="1"/>
  <c r="U115" i="1"/>
  <c r="AM115" i="1" s="1"/>
  <c r="S116" i="1"/>
  <c r="U116" i="1"/>
  <c r="AM116" i="1"/>
  <c r="S117" i="1"/>
  <c r="U117" i="1"/>
  <c r="AM117" i="1" s="1"/>
  <c r="S118" i="1"/>
  <c r="U118" i="1"/>
  <c r="AM118" i="1" s="1"/>
  <c r="S119" i="1"/>
  <c r="U119" i="1"/>
  <c r="AM119" i="1" s="1"/>
  <c r="S120" i="1"/>
  <c r="U120" i="1"/>
  <c r="AM120" i="1" s="1"/>
  <c r="S121" i="1"/>
  <c r="U121" i="1"/>
  <c r="AM121" i="1"/>
  <c r="AU121" i="1"/>
  <c r="S122" i="1"/>
  <c r="U122" i="1"/>
  <c r="AM122" i="1" s="1"/>
  <c r="AU122" i="1"/>
  <c r="S123" i="1"/>
  <c r="U123" i="1"/>
  <c r="AM123" i="1" s="1"/>
  <c r="S124" i="1"/>
  <c r="U124" i="1"/>
  <c r="AM124" i="1" s="1"/>
  <c r="AW124" i="1" s="1"/>
  <c r="S125" i="1"/>
  <c r="U125" i="1"/>
  <c r="AM125" i="1" s="1"/>
  <c r="S126" i="1"/>
  <c r="U126" i="1"/>
  <c r="AM126" i="1" s="1"/>
  <c r="S127" i="1"/>
  <c r="U127" i="1"/>
  <c r="AM127" i="1" s="1"/>
  <c r="S128" i="1"/>
  <c r="U128" i="1"/>
  <c r="AM128" i="1" s="1"/>
  <c r="S129" i="1"/>
  <c r="U129" i="1"/>
  <c r="AM129" i="1" s="1"/>
  <c r="AW129" i="1" s="1"/>
  <c r="S130" i="1"/>
  <c r="U130" i="1"/>
  <c r="AM130" i="1" s="1"/>
  <c r="S131" i="1"/>
  <c r="U131" i="1"/>
  <c r="AM131" i="1" s="1"/>
  <c r="S132" i="1"/>
  <c r="U132" i="1"/>
  <c r="AM132" i="1"/>
  <c r="S133" i="1"/>
  <c r="U133" i="1"/>
  <c r="AM133" i="1"/>
  <c r="AU133" i="1"/>
  <c r="S134" i="1"/>
  <c r="U134" i="1"/>
  <c r="AM134" i="1" s="1"/>
  <c r="S135" i="1"/>
  <c r="U135" i="1"/>
  <c r="AM135" i="1" s="1"/>
  <c r="S136" i="1"/>
  <c r="U136" i="1"/>
  <c r="AM136" i="1" s="1"/>
  <c r="S137" i="1"/>
  <c r="U137" i="1"/>
  <c r="AM137" i="1" s="1"/>
  <c r="S138" i="1"/>
  <c r="U138" i="1"/>
  <c r="AM138" i="1"/>
  <c r="AU138" i="1"/>
  <c r="S139" i="1"/>
  <c r="U139" i="1"/>
  <c r="AM139" i="1" s="1"/>
  <c r="AW139" i="1" s="1"/>
  <c r="S140" i="1"/>
  <c r="U140" i="1"/>
  <c r="AM140" i="1" s="1"/>
  <c r="S141" i="1"/>
  <c r="U141" i="1"/>
  <c r="AM141" i="1" s="1"/>
  <c r="S142" i="1"/>
  <c r="U142" i="1"/>
  <c r="AM142" i="1" s="1"/>
  <c r="S143" i="1"/>
  <c r="U143" i="1"/>
  <c r="AM143" i="1" s="1"/>
  <c r="S144" i="1"/>
  <c r="U144" i="1"/>
  <c r="AM144" i="1" s="1"/>
  <c r="S145" i="1"/>
  <c r="U145" i="1"/>
  <c r="AM145" i="1" s="1"/>
  <c r="S146" i="1"/>
  <c r="U146" i="1"/>
  <c r="AM146" i="1" s="1"/>
  <c r="S147" i="1"/>
  <c r="U147" i="1"/>
  <c r="AM147" i="1" s="1"/>
  <c r="S148" i="1"/>
  <c r="U148" i="1"/>
  <c r="AM148" i="1"/>
  <c r="AU148" i="1" s="1"/>
  <c r="S149" i="1"/>
  <c r="U149" i="1"/>
  <c r="AM149" i="1" s="1"/>
  <c r="S150" i="1"/>
  <c r="U150" i="1"/>
  <c r="AM150" i="1" s="1"/>
  <c r="S151" i="1"/>
  <c r="U151" i="1"/>
  <c r="AM151" i="1" s="1"/>
  <c r="S152" i="1"/>
  <c r="U152" i="1"/>
  <c r="AM152" i="1" s="1"/>
  <c r="S153" i="1"/>
  <c r="U153" i="1"/>
  <c r="AM153" i="1"/>
  <c r="S154" i="1"/>
  <c r="U154" i="1"/>
  <c r="AM154" i="1" s="1"/>
  <c r="AU154" i="1"/>
  <c r="S155" i="1"/>
  <c r="U155" i="1"/>
  <c r="AM155" i="1" s="1"/>
  <c r="AV155" i="1"/>
  <c r="AW155" i="1"/>
  <c r="S156" i="1"/>
  <c r="U156" i="1"/>
  <c r="AM156" i="1" s="1"/>
  <c r="AW156" i="1" s="1"/>
  <c r="S157" i="1"/>
  <c r="U157" i="1"/>
  <c r="AM157" i="1" s="1"/>
  <c r="AU157" i="1" s="1"/>
  <c r="S158" i="1"/>
  <c r="U158" i="1"/>
  <c r="AM158" i="1" s="1"/>
  <c r="S159" i="1"/>
  <c r="U159" i="1"/>
  <c r="AM159" i="1" s="1"/>
  <c r="AV159" i="1" s="1"/>
  <c r="S160" i="1"/>
  <c r="U160" i="1"/>
  <c r="AM160" i="1" s="1"/>
  <c r="S161" i="1"/>
  <c r="U161" i="1"/>
  <c r="AM161" i="1"/>
  <c r="S162" i="1"/>
  <c r="U162" i="1"/>
  <c r="AM162" i="1" s="1"/>
  <c r="S163" i="1"/>
  <c r="U163" i="1"/>
  <c r="AM163" i="1" s="1"/>
  <c r="S164" i="1"/>
  <c r="U164" i="1"/>
  <c r="AM164" i="1" s="1"/>
  <c r="S165" i="1"/>
  <c r="U165" i="1"/>
  <c r="AM165" i="1" s="1"/>
  <c r="S166" i="1"/>
  <c r="U166" i="1"/>
  <c r="AM166" i="1" s="1"/>
  <c r="S167" i="1"/>
  <c r="U167" i="1"/>
  <c r="AM167" i="1"/>
  <c r="AW167" i="1" s="1"/>
  <c r="S168" i="1"/>
  <c r="U168" i="1"/>
  <c r="AM168" i="1" s="1"/>
  <c r="S169" i="1"/>
  <c r="U169" i="1"/>
  <c r="AM169" i="1" s="1"/>
  <c r="S170" i="1"/>
  <c r="U170" i="1"/>
  <c r="AM170" i="1" s="1"/>
  <c r="S171" i="1"/>
  <c r="U171" i="1"/>
  <c r="AM171" i="1" s="1"/>
  <c r="S172" i="1"/>
  <c r="U172" i="1"/>
  <c r="AM172" i="1"/>
  <c r="AV172" i="1" s="1"/>
  <c r="S173" i="1"/>
  <c r="U173" i="1"/>
  <c r="AM173" i="1" s="1"/>
  <c r="S174" i="1"/>
  <c r="U174" i="1"/>
  <c r="AM174" i="1" s="1"/>
  <c r="S175" i="1"/>
  <c r="U175" i="1"/>
  <c r="AM175" i="1" s="1"/>
  <c r="S176" i="1"/>
  <c r="U176" i="1"/>
  <c r="AM176" i="1" s="1"/>
  <c r="S177" i="1"/>
  <c r="U177" i="1"/>
  <c r="AM177" i="1" s="1"/>
  <c r="AV177" i="1" s="1"/>
  <c r="S178" i="1"/>
  <c r="U178" i="1"/>
  <c r="AM178" i="1" s="1"/>
  <c r="AV178" i="1" s="1"/>
  <c r="S179" i="1"/>
  <c r="U179" i="1"/>
  <c r="AM179" i="1" s="1"/>
  <c r="S180" i="1"/>
  <c r="U180" i="1"/>
  <c r="AM180" i="1" s="1"/>
  <c r="S181" i="1"/>
  <c r="U181" i="1"/>
  <c r="AM181" i="1" s="1"/>
  <c r="S182" i="1"/>
  <c r="U182" i="1"/>
  <c r="AM182" i="1" s="1"/>
  <c r="S183" i="1"/>
  <c r="U183" i="1"/>
  <c r="AM183" i="1" s="1"/>
  <c r="AU183" i="1"/>
  <c r="S184" i="1"/>
  <c r="U184" i="1"/>
  <c r="AM184" i="1" s="1"/>
  <c r="S185" i="1"/>
  <c r="U185" i="1"/>
  <c r="AM185" i="1"/>
  <c r="S186" i="1"/>
  <c r="U186" i="1"/>
  <c r="AM186" i="1" s="1"/>
  <c r="S187" i="1"/>
  <c r="U187" i="1"/>
  <c r="AM187" i="1" s="1"/>
  <c r="AV187" i="1" s="1"/>
  <c r="S188" i="1"/>
  <c r="U188" i="1"/>
  <c r="AM188" i="1" s="1"/>
  <c r="S189" i="1"/>
  <c r="U189" i="1"/>
  <c r="AM189" i="1" s="1"/>
  <c r="S190" i="1"/>
  <c r="U190" i="1"/>
  <c r="AM190" i="1" s="1"/>
  <c r="S191" i="1"/>
  <c r="U191" i="1"/>
  <c r="AM191" i="1" s="1"/>
  <c r="S192" i="1"/>
  <c r="U192" i="1"/>
  <c r="AM192" i="1"/>
  <c r="S193" i="1"/>
  <c r="U193" i="1"/>
  <c r="AM193" i="1" s="1"/>
  <c r="AU193" i="1"/>
  <c r="S194" i="1"/>
  <c r="U194" i="1"/>
  <c r="AM194" i="1" s="1"/>
  <c r="S195" i="1"/>
  <c r="U195" i="1"/>
  <c r="AM195" i="1" s="1"/>
  <c r="S196" i="1"/>
  <c r="U196" i="1"/>
  <c r="AM196" i="1" s="1"/>
  <c r="S197" i="1"/>
  <c r="U197" i="1"/>
  <c r="AM197" i="1"/>
  <c r="AV197" i="1" s="1"/>
  <c r="S198" i="1"/>
  <c r="U198" i="1"/>
  <c r="AM198" i="1" s="1"/>
  <c r="AU198" i="1"/>
  <c r="S199" i="1"/>
  <c r="U199" i="1"/>
  <c r="AM199" i="1"/>
  <c r="S200" i="1"/>
  <c r="U200" i="1"/>
  <c r="AM200" i="1" s="1"/>
  <c r="S201" i="1"/>
  <c r="U201" i="1"/>
  <c r="AM201" i="1" s="1"/>
  <c r="S202" i="1"/>
  <c r="U202" i="1"/>
  <c r="AM202" i="1"/>
  <c r="AV202" i="1" s="1"/>
  <c r="S203" i="1"/>
  <c r="U203" i="1"/>
  <c r="AM203" i="1" s="1"/>
  <c r="S204" i="1"/>
  <c r="U204" i="1"/>
  <c r="AM204" i="1" s="1"/>
  <c r="S205" i="1"/>
  <c r="U205" i="1"/>
  <c r="AM205" i="1" s="1"/>
  <c r="S206" i="1"/>
  <c r="U206" i="1"/>
  <c r="AM206" i="1" s="1"/>
  <c r="S207" i="1"/>
  <c r="U207" i="1"/>
  <c r="AM207" i="1" s="1"/>
  <c r="AV207" i="1" s="1"/>
  <c r="S208" i="1"/>
  <c r="U208" i="1"/>
  <c r="AM208" i="1" s="1"/>
  <c r="S209" i="1"/>
  <c r="U209" i="1"/>
  <c r="AU209" i="1"/>
  <c r="AM209" i="1"/>
  <c r="S210" i="1"/>
  <c r="U210" i="1"/>
  <c r="AM210" i="1" s="1"/>
  <c r="S211" i="1"/>
  <c r="U211" i="1"/>
  <c r="AM211" i="1" s="1"/>
  <c r="S212" i="1"/>
  <c r="U212" i="1"/>
  <c r="AM212" i="1" s="1"/>
  <c r="S213" i="1"/>
  <c r="U213" i="1"/>
  <c r="AM213" i="1" s="1"/>
  <c r="S214" i="1"/>
  <c r="U214" i="1"/>
  <c r="AM214" i="1" s="1"/>
  <c r="S215" i="1"/>
  <c r="U215" i="1"/>
  <c r="AM215" i="1" s="1"/>
  <c r="S216" i="1"/>
  <c r="U216" i="1"/>
  <c r="AM216" i="1" s="1"/>
  <c r="AV216" i="1" s="1"/>
  <c r="S217" i="1"/>
  <c r="U217" i="1"/>
  <c r="AM217" i="1" s="1"/>
  <c r="AW217" i="1" s="1"/>
  <c r="S218" i="1"/>
  <c r="U218" i="1"/>
  <c r="AM218" i="1" s="1"/>
  <c r="S219" i="1"/>
  <c r="U219" i="1"/>
  <c r="AM219" i="1" s="1"/>
  <c r="S220" i="1"/>
  <c r="U220" i="1"/>
  <c r="AM220" i="1" s="1"/>
  <c r="S221" i="1"/>
  <c r="U221" i="1"/>
  <c r="AM221" i="1" s="1"/>
  <c r="S222" i="1"/>
  <c r="U222" i="1"/>
  <c r="AM222" i="1"/>
  <c r="S223" i="1"/>
  <c r="U223" i="1"/>
  <c r="AM223" i="1" s="1"/>
  <c r="S224" i="1"/>
  <c r="U224" i="1"/>
  <c r="AM224" i="1" s="1"/>
  <c r="S225" i="1"/>
  <c r="U225" i="1"/>
  <c r="AM225" i="1" s="1"/>
  <c r="S226" i="1"/>
  <c r="U226" i="1"/>
  <c r="AM226" i="1" s="1"/>
  <c r="S227" i="1"/>
  <c r="U227" i="1"/>
  <c r="AM227" i="1"/>
  <c r="AW227" i="1" s="1"/>
  <c r="S228" i="1"/>
  <c r="U228" i="1"/>
  <c r="AM228" i="1" s="1"/>
  <c r="S229" i="1"/>
  <c r="U229" i="1"/>
  <c r="AM229" i="1" s="1"/>
  <c r="S230" i="1"/>
  <c r="U230" i="1"/>
  <c r="AM230" i="1" s="1"/>
  <c r="S231" i="1"/>
  <c r="U231" i="1"/>
  <c r="AM231" i="1" s="1"/>
  <c r="S232" i="1"/>
  <c r="U232" i="1"/>
  <c r="AM232" i="1" s="1"/>
  <c r="AW232" i="1" s="1"/>
  <c r="S233" i="1"/>
  <c r="U233" i="1"/>
  <c r="AM233" i="1" s="1"/>
  <c r="S234" i="1"/>
  <c r="U234" i="1"/>
  <c r="AM234" i="1" s="1"/>
  <c r="S235" i="1"/>
  <c r="U235" i="1"/>
  <c r="AM235" i="1" s="1"/>
  <c r="S236" i="1"/>
  <c r="U236" i="1"/>
  <c r="AM236" i="1" s="1"/>
  <c r="S237" i="1"/>
  <c r="U237" i="1"/>
  <c r="AM237" i="1" s="1"/>
  <c r="AW237" i="1" s="1"/>
  <c r="S238" i="1"/>
  <c r="U238" i="1"/>
  <c r="AM238" i="1" s="1"/>
  <c r="S239" i="1"/>
  <c r="U239" i="1"/>
  <c r="AM239" i="1" s="1"/>
  <c r="S240" i="1"/>
  <c r="U240" i="1"/>
  <c r="AM240" i="1" s="1"/>
  <c r="S241" i="1"/>
  <c r="U241" i="1"/>
  <c r="AM241" i="1" s="1"/>
  <c r="S242" i="1"/>
  <c r="U242" i="1"/>
  <c r="AM242" i="1" s="1"/>
  <c r="AW242" i="1" s="1"/>
  <c r="S243" i="1"/>
  <c r="U243" i="1"/>
  <c r="AM243" i="1" s="1"/>
  <c r="S244" i="1"/>
  <c r="U244" i="1"/>
  <c r="AM244" i="1" s="1"/>
  <c r="S245" i="1"/>
  <c r="U245" i="1"/>
  <c r="AM245" i="1" s="1"/>
  <c r="S246" i="1"/>
  <c r="U246" i="1"/>
  <c r="AM246" i="1" s="1"/>
  <c r="S247" i="1"/>
  <c r="U247" i="1"/>
  <c r="AM247" i="1"/>
  <c r="S248" i="1"/>
  <c r="U248" i="1"/>
  <c r="AM248" i="1" s="1"/>
  <c r="S249" i="1"/>
  <c r="U249" i="1"/>
  <c r="AM249" i="1" s="1"/>
  <c r="S250" i="1"/>
  <c r="U250" i="1"/>
  <c r="AM250" i="1" s="1"/>
  <c r="S251" i="1"/>
  <c r="U251" i="1"/>
  <c r="AM251" i="1" s="1"/>
  <c r="S252" i="1"/>
  <c r="U252" i="1"/>
  <c r="AM252" i="1"/>
  <c r="AW252" i="1" s="1"/>
  <c r="S253" i="1"/>
  <c r="U253" i="1"/>
  <c r="AM253" i="1" s="1"/>
  <c r="S254" i="1"/>
  <c r="U254" i="1"/>
  <c r="AM254" i="1" s="1"/>
  <c r="S255" i="1"/>
  <c r="U255" i="1"/>
  <c r="AM255" i="1" s="1"/>
  <c r="S256" i="1"/>
  <c r="U256" i="1"/>
  <c r="AM256" i="1" s="1"/>
  <c r="S257" i="1"/>
  <c r="U257" i="1"/>
  <c r="AM257" i="1" s="1"/>
  <c r="AW257" i="1" s="1"/>
  <c r="S258" i="1"/>
  <c r="U258" i="1"/>
  <c r="AM258" i="1" s="1"/>
  <c r="S259" i="1"/>
  <c r="U259" i="1"/>
  <c r="AM259" i="1" s="1"/>
  <c r="S260" i="1"/>
  <c r="U260" i="1"/>
  <c r="AM260" i="1" s="1"/>
  <c r="S261" i="1"/>
  <c r="U261" i="1"/>
  <c r="AM261" i="1" s="1"/>
  <c r="S262" i="1"/>
  <c r="U262" i="1"/>
  <c r="AM262" i="1" s="1"/>
  <c r="S263" i="1"/>
  <c r="U263" i="1"/>
  <c r="AM263" i="1" s="1"/>
  <c r="AV263" i="1" s="1"/>
  <c r="S264" i="1"/>
  <c r="U264" i="1"/>
  <c r="AM264" i="1" s="1"/>
  <c r="S265" i="1"/>
  <c r="U265" i="1"/>
  <c r="AM265" i="1" s="1"/>
  <c r="S266" i="1"/>
  <c r="U266" i="1"/>
  <c r="AM266" i="1" s="1"/>
  <c r="S267" i="1"/>
  <c r="U267" i="1"/>
  <c r="AM267" i="1" s="1"/>
  <c r="S268" i="1"/>
  <c r="U268" i="1"/>
  <c r="AM268" i="1" s="1"/>
  <c r="S269" i="1"/>
  <c r="U269" i="1"/>
  <c r="AM269" i="1" s="1"/>
  <c r="S270" i="1"/>
  <c r="U270" i="1"/>
  <c r="AM270" i="1" s="1"/>
  <c r="S271" i="1"/>
  <c r="U271" i="1"/>
  <c r="AM271" i="1" s="1"/>
  <c r="S272" i="1"/>
  <c r="U272" i="1"/>
  <c r="AM272" i="1"/>
  <c r="S273" i="1"/>
  <c r="U273" i="1"/>
  <c r="AM273" i="1" s="1"/>
  <c r="S274" i="1"/>
  <c r="U274" i="1"/>
  <c r="AM274" i="1" s="1"/>
  <c r="S275" i="1"/>
  <c r="U275" i="1"/>
  <c r="AM275" i="1" s="1"/>
  <c r="S276" i="1"/>
  <c r="U276" i="1"/>
  <c r="AM276" i="1" s="1"/>
  <c r="AW276" i="1" s="1"/>
  <c r="S277" i="1"/>
  <c r="U277" i="1"/>
  <c r="AM277" i="1" s="1"/>
  <c r="AV277" i="1" s="1"/>
  <c r="S278" i="1"/>
  <c r="U278" i="1"/>
  <c r="AM278" i="1" s="1"/>
  <c r="S279" i="1"/>
  <c r="U279" i="1"/>
  <c r="AM279" i="1" s="1"/>
  <c r="S280" i="1"/>
  <c r="U280" i="1"/>
  <c r="AM280" i="1" s="1"/>
  <c r="S281" i="1"/>
  <c r="U281" i="1"/>
  <c r="AM281" i="1" s="1"/>
  <c r="S282" i="1"/>
  <c r="U282" i="1"/>
  <c r="AM282" i="1" s="1"/>
  <c r="S283" i="1"/>
  <c r="U283" i="1"/>
  <c r="AM283" i="1" s="1"/>
  <c r="S284" i="1"/>
  <c r="U284" i="1"/>
  <c r="AM284" i="1" s="1"/>
  <c r="S285" i="1"/>
  <c r="U285" i="1"/>
  <c r="AM285" i="1" s="1"/>
  <c r="S286" i="1"/>
  <c r="U286" i="1"/>
  <c r="AM286" i="1" s="1"/>
  <c r="S287" i="1"/>
  <c r="U287" i="1"/>
  <c r="AM287" i="1"/>
  <c r="S288" i="1"/>
  <c r="U288" i="1"/>
  <c r="AM288" i="1" s="1"/>
  <c r="S289" i="1"/>
  <c r="U289" i="1"/>
  <c r="AM289" i="1" s="1"/>
  <c r="S290" i="1"/>
  <c r="U290" i="1"/>
  <c r="AM290" i="1" s="1"/>
  <c r="S291" i="1"/>
  <c r="U291" i="1"/>
  <c r="AM291" i="1" s="1"/>
  <c r="AW291" i="1" s="1"/>
  <c r="S292" i="1"/>
  <c r="U292" i="1"/>
  <c r="AM292" i="1" s="1"/>
  <c r="AV292" i="1"/>
  <c r="S293" i="1"/>
  <c r="U293" i="1"/>
  <c r="AM293" i="1" s="1"/>
  <c r="S294" i="1"/>
  <c r="U294" i="1"/>
  <c r="AM294" i="1" s="1"/>
  <c r="S295" i="1"/>
  <c r="U295" i="1"/>
  <c r="AM295" i="1" s="1"/>
  <c r="S296" i="1"/>
  <c r="U296" i="1"/>
  <c r="AM296" i="1" s="1"/>
  <c r="AU296" i="1"/>
  <c r="S297" i="1"/>
  <c r="U297" i="1"/>
  <c r="AM297" i="1"/>
  <c r="S298" i="1"/>
  <c r="U298" i="1"/>
  <c r="AM298" i="1" s="1"/>
  <c r="AU298" i="1"/>
  <c r="S299" i="1"/>
  <c r="U299" i="1"/>
  <c r="AM299" i="1"/>
  <c r="S300" i="1"/>
  <c r="U300" i="1"/>
  <c r="AM300" i="1" s="1"/>
  <c r="S301" i="1"/>
  <c r="U301" i="1"/>
  <c r="AM301" i="1" s="1"/>
  <c r="AW301" i="1" s="1"/>
  <c r="S302" i="1"/>
  <c r="U302" i="1"/>
  <c r="AM302" i="1" s="1"/>
  <c r="S303" i="1"/>
  <c r="U303" i="1"/>
  <c r="AM303" i="1" s="1"/>
  <c r="S304" i="1"/>
  <c r="U304" i="1"/>
  <c r="AM304" i="1"/>
  <c r="S305" i="1"/>
  <c r="U305" i="1"/>
  <c r="AM305" i="1"/>
  <c r="S306" i="1"/>
  <c r="U306" i="1"/>
  <c r="AM306" i="1" s="1"/>
  <c r="S307" i="1"/>
  <c r="U307" i="1"/>
  <c r="AM307" i="1"/>
  <c r="AU307" i="1" s="1"/>
  <c r="S308" i="1"/>
  <c r="U308" i="1"/>
  <c r="AM308" i="1" s="1"/>
  <c r="S309" i="1"/>
  <c r="U309" i="1"/>
  <c r="AM309" i="1" s="1"/>
  <c r="S310" i="1"/>
  <c r="U310" i="1"/>
  <c r="AM310" i="1" s="1"/>
  <c r="S311" i="1"/>
  <c r="U311" i="1"/>
  <c r="AM311" i="1" s="1"/>
  <c r="AV311" i="1"/>
  <c r="S312" i="1"/>
  <c r="U312" i="1"/>
  <c r="AM312" i="1" s="1"/>
  <c r="S313" i="1"/>
  <c r="U313" i="1"/>
  <c r="AM313" i="1" s="1"/>
  <c r="S314" i="1"/>
  <c r="U314" i="1"/>
  <c r="AM314" i="1"/>
  <c r="AW314" i="1" s="1"/>
  <c r="S315" i="1"/>
  <c r="U315" i="1"/>
  <c r="AM315" i="1" s="1"/>
  <c r="S316" i="1"/>
  <c r="U316" i="1"/>
  <c r="AM316" i="1" s="1"/>
  <c r="AU316" i="1"/>
  <c r="AV316" i="1"/>
  <c r="S317" i="1"/>
  <c r="U317" i="1"/>
  <c r="AM317" i="1" s="1"/>
  <c r="S318" i="1"/>
  <c r="U318" i="1"/>
  <c r="AM318" i="1" s="1"/>
  <c r="S319" i="1"/>
  <c r="U319" i="1"/>
  <c r="AM319" i="1" s="1"/>
  <c r="S320" i="1"/>
  <c r="U320" i="1"/>
  <c r="AM320" i="1" s="1"/>
  <c r="S321" i="1"/>
  <c r="U321" i="1"/>
  <c r="AM321" i="1" s="1"/>
  <c r="S322" i="1"/>
  <c r="U322" i="1"/>
  <c r="AM322" i="1" s="1"/>
  <c r="S323" i="1"/>
  <c r="U323" i="1"/>
  <c r="AM323" i="1" s="1"/>
  <c r="S324" i="1"/>
  <c r="U324" i="1"/>
  <c r="AM324" i="1" s="1"/>
  <c r="AV324" i="1" s="1"/>
  <c r="S325" i="1"/>
  <c r="U325" i="1"/>
  <c r="AM325" i="1"/>
  <c r="S326" i="1"/>
  <c r="U326" i="1"/>
  <c r="AM326" i="1"/>
  <c r="S327" i="1"/>
  <c r="U327" i="1"/>
  <c r="AM327" i="1"/>
  <c r="S328" i="1"/>
  <c r="U328" i="1"/>
  <c r="AM328" i="1"/>
  <c r="S329" i="1"/>
  <c r="U329" i="1"/>
  <c r="AM329" i="1" s="1"/>
  <c r="AV329" i="1" s="1"/>
  <c r="S330" i="1"/>
  <c r="U330" i="1"/>
  <c r="AM330" i="1" s="1"/>
  <c r="S331" i="1"/>
  <c r="U331" i="1"/>
  <c r="AM331" i="1"/>
  <c r="AV331" i="1" s="1"/>
  <c r="S332" i="1"/>
  <c r="U332" i="1"/>
  <c r="AM332" i="1"/>
  <c r="S333" i="1"/>
  <c r="U333" i="1"/>
  <c r="AM333" i="1"/>
  <c r="AV333" i="1" s="1"/>
  <c r="S334" i="1"/>
  <c r="U334" i="1"/>
  <c r="AM334" i="1" s="1"/>
  <c r="AV334" i="1" s="1"/>
  <c r="S335" i="1"/>
  <c r="U335" i="1"/>
  <c r="AM335" i="1" s="1"/>
  <c r="S336" i="1"/>
  <c r="U336" i="1"/>
  <c r="AM336" i="1" s="1"/>
  <c r="S337" i="1"/>
  <c r="U337" i="1"/>
  <c r="AM337" i="1" s="1"/>
  <c r="S338" i="1"/>
  <c r="U338" i="1"/>
  <c r="AM338" i="1" s="1"/>
  <c r="S339" i="1"/>
  <c r="U339" i="1"/>
  <c r="AM339" i="1" s="1"/>
  <c r="S340" i="1"/>
  <c r="U340" i="1"/>
  <c r="AM340" i="1" s="1"/>
  <c r="S341" i="1"/>
  <c r="U341" i="1"/>
  <c r="AM341" i="1"/>
  <c r="AV341" i="1" s="1"/>
  <c r="S342" i="1"/>
  <c r="U342" i="1"/>
  <c r="AM342" i="1"/>
  <c r="S343" i="1"/>
  <c r="U343" i="1"/>
  <c r="AM343" i="1" s="1"/>
  <c r="S344" i="1"/>
  <c r="U344" i="1"/>
  <c r="AM344" i="1" s="1"/>
  <c r="S345" i="1"/>
  <c r="U345" i="1"/>
  <c r="AM345" i="1" s="1"/>
  <c r="S346" i="1"/>
  <c r="U346" i="1"/>
  <c r="AM346" i="1" s="1"/>
  <c r="AV346" i="1" s="1"/>
  <c r="S347" i="1"/>
  <c r="U347" i="1"/>
  <c r="AM347" i="1" s="1"/>
  <c r="S348" i="1"/>
  <c r="U348" i="1"/>
  <c r="AM348" i="1" s="1"/>
  <c r="AV348" i="1"/>
  <c r="S349" i="1"/>
  <c r="U349" i="1"/>
  <c r="AM349" i="1" s="1"/>
  <c r="AW349" i="1" s="1"/>
  <c r="S350" i="1"/>
  <c r="U350" i="1"/>
  <c r="AM350" i="1" s="1"/>
  <c r="S351" i="1"/>
  <c r="U351" i="1"/>
  <c r="AM351" i="1"/>
  <c r="AV351" i="1" s="1"/>
  <c r="S352" i="1"/>
  <c r="U352" i="1"/>
  <c r="AM352" i="1" s="1"/>
  <c r="S353" i="1"/>
  <c r="U353" i="1"/>
  <c r="AM353" i="1"/>
  <c r="S354" i="1"/>
  <c r="U354" i="1"/>
  <c r="AM354" i="1" s="1"/>
  <c r="S355" i="1"/>
  <c r="U355" i="1"/>
  <c r="AM355" i="1" s="1"/>
  <c r="S356" i="1"/>
  <c r="U356" i="1"/>
  <c r="AM356" i="1" s="1"/>
  <c r="S357" i="1"/>
  <c r="U357" i="1"/>
  <c r="AM357" i="1" s="1"/>
  <c r="S358" i="1"/>
  <c r="U358" i="1"/>
  <c r="AM358" i="1" s="1"/>
  <c r="AV358" i="1"/>
  <c r="S359" i="1"/>
  <c r="U359" i="1"/>
  <c r="AM359" i="1"/>
  <c r="AW359" i="1" s="1"/>
  <c r="S360" i="1"/>
  <c r="U360" i="1"/>
  <c r="AM360" i="1" s="1"/>
  <c r="S361" i="1"/>
  <c r="U361" i="1"/>
  <c r="AM361" i="1"/>
  <c r="AV361" i="1" s="1"/>
  <c r="S362" i="1"/>
  <c r="U362" i="1"/>
  <c r="AM362" i="1"/>
  <c r="S363" i="1"/>
  <c r="U363" i="1"/>
  <c r="AM363" i="1"/>
  <c r="S364" i="1"/>
  <c r="U364" i="1"/>
  <c r="AM364" i="1" s="1"/>
  <c r="S365" i="1"/>
  <c r="U365" i="1"/>
  <c r="AM365" i="1" s="1"/>
  <c r="S366" i="1"/>
  <c r="U366" i="1"/>
  <c r="AM366" i="1" s="1"/>
  <c r="AV366" i="1" s="1"/>
  <c r="S367" i="1"/>
  <c r="U367" i="1"/>
  <c r="AM367" i="1" s="1"/>
  <c r="S368" i="1"/>
  <c r="U368" i="1"/>
  <c r="AM368" i="1" s="1"/>
  <c r="S369" i="1"/>
  <c r="U369" i="1"/>
  <c r="AM369" i="1" s="1"/>
  <c r="AW369" i="1" s="1"/>
  <c r="S370" i="1"/>
  <c r="U370" i="1"/>
  <c r="AM370" i="1" s="1"/>
  <c r="S371" i="1"/>
  <c r="U371" i="1"/>
  <c r="AM371" i="1"/>
  <c r="AV371" i="1" s="1"/>
  <c r="S372" i="1"/>
  <c r="U372" i="1"/>
  <c r="AM372" i="1"/>
  <c r="S373" i="1"/>
  <c r="U373" i="1"/>
  <c r="AM373" i="1"/>
  <c r="S374" i="1"/>
  <c r="U374" i="1"/>
  <c r="AM374" i="1" s="1"/>
  <c r="S375" i="1"/>
  <c r="U375" i="1"/>
  <c r="AM375" i="1"/>
  <c r="S376" i="1"/>
  <c r="U376" i="1"/>
  <c r="AM376" i="1"/>
  <c r="AV376" i="1" s="1"/>
  <c r="S377" i="1"/>
  <c r="U377" i="1"/>
  <c r="AM377" i="1"/>
  <c r="S378" i="1"/>
  <c r="U378" i="1"/>
  <c r="AM378" i="1"/>
  <c r="S379" i="1"/>
  <c r="U379" i="1"/>
  <c r="AM379" i="1"/>
  <c r="AV379" i="1" s="1"/>
  <c r="S380" i="1"/>
  <c r="U380" i="1"/>
  <c r="AM380" i="1" s="1"/>
  <c r="S381" i="1"/>
  <c r="U381" i="1"/>
  <c r="AM381" i="1"/>
  <c r="AV381" i="1" s="1"/>
  <c r="S382" i="1"/>
  <c r="U382" i="1"/>
  <c r="AM382" i="1"/>
  <c r="S383" i="1"/>
  <c r="U383" i="1"/>
  <c r="AM383" i="1"/>
  <c r="S384" i="1"/>
  <c r="U384" i="1"/>
  <c r="AM384" i="1" s="1"/>
  <c r="S385" i="1"/>
  <c r="U385" i="1"/>
  <c r="AM385" i="1" s="1"/>
  <c r="S386" i="1"/>
  <c r="U386" i="1"/>
  <c r="AM386" i="1" s="1"/>
  <c r="AV386" i="1" s="1"/>
  <c r="S387" i="1"/>
  <c r="U387" i="1"/>
  <c r="AM387" i="1" s="1"/>
  <c r="S388" i="1"/>
  <c r="U388" i="1"/>
  <c r="AM388" i="1" s="1"/>
  <c r="S389" i="1"/>
  <c r="U389" i="1"/>
  <c r="AM389" i="1" s="1"/>
  <c r="AU389" i="1"/>
  <c r="S390" i="1"/>
  <c r="U390" i="1"/>
  <c r="AM390" i="1" s="1"/>
  <c r="S391" i="1"/>
  <c r="U391" i="1"/>
  <c r="AM391" i="1" s="1"/>
  <c r="AV391" i="1" s="1"/>
  <c r="S392" i="1"/>
  <c r="U392" i="1"/>
  <c r="AM392" i="1" s="1"/>
  <c r="S393" i="1"/>
  <c r="U393" i="1"/>
  <c r="AM393" i="1"/>
  <c r="AV393" i="1" s="1"/>
  <c r="S394" i="1"/>
  <c r="U394" i="1"/>
  <c r="AM394" i="1" s="1"/>
  <c r="S395" i="1"/>
  <c r="U395" i="1"/>
  <c r="AM395" i="1" s="1"/>
  <c r="S396" i="1"/>
  <c r="U396" i="1"/>
  <c r="AM396" i="1" s="1"/>
  <c r="AV396" i="1" s="1"/>
  <c r="S397" i="1"/>
  <c r="U397" i="1"/>
  <c r="AM397" i="1"/>
  <c r="S398" i="1"/>
  <c r="U398" i="1"/>
  <c r="AW398" i="1"/>
  <c r="AM398" i="1"/>
  <c r="S399" i="1"/>
  <c r="U399" i="1"/>
  <c r="AM399" i="1" s="1"/>
  <c r="AV399" i="1" s="1"/>
  <c r="S400" i="1"/>
  <c r="U400" i="1"/>
  <c r="AM400" i="1" s="1"/>
  <c r="S401" i="1"/>
  <c r="U401" i="1"/>
  <c r="AM401" i="1" s="1"/>
  <c r="AV401" i="1" s="1"/>
  <c r="S402" i="1"/>
  <c r="U402" i="1"/>
  <c r="AM402" i="1"/>
  <c r="S403" i="1"/>
  <c r="U403" i="1"/>
  <c r="AM403" i="1"/>
  <c r="S404" i="1"/>
  <c r="U404" i="1"/>
  <c r="AM404" i="1" s="1"/>
  <c r="S405" i="1"/>
  <c r="U405" i="1"/>
  <c r="AM405" i="1" s="1"/>
  <c r="S406" i="1"/>
  <c r="U406" i="1"/>
  <c r="AM406" i="1" s="1"/>
  <c r="AV406" i="1" s="1"/>
  <c r="S407" i="1"/>
  <c r="U407" i="1"/>
  <c r="AM407" i="1" s="1"/>
  <c r="S408" i="1"/>
  <c r="U408" i="1"/>
  <c r="AM408" i="1" s="1"/>
  <c r="S409" i="1"/>
  <c r="U409" i="1"/>
  <c r="AM409" i="1" s="1"/>
  <c r="S410" i="1"/>
  <c r="U410" i="1"/>
  <c r="AM410" i="1" s="1"/>
  <c r="S411" i="1"/>
  <c r="U411" i="1"/>
  <c r="AM411" i="1" s="1"/>
  <c r="S412" i="1"/>
  <c r="U412" i="1"/>
  <c r="AM412" i="1" s="1"/>
  <c r="S413" i="1"/>
  <c r="U413" i="1"/>
  <c r="AM413" i="1" s="1"/>
  <c r="S414" i="1"/>
  <c r="U414" i="1"/>
  <c r="AM414" i="1"/>
  <c r="S415" i="1"/>
  <c r="U415" i="1"/>
  <c r="AM415" i="1" s="1"/>
  <c r="S416" i="1"/>
  <c r="U416" i="1"/>
  <c r="AM416" i="1" s="1"/>
  <c r="AV416" i="1" s="1"/>
  <c r="S417" i="1"/>
  <c r="U417" i="1"/>
  <c r="AM417" i="1" s="1"/>
  <c r="S418" i="1"/>
  <c r="U418" i="1"/>
  <c r="AM418" i="1" s="1"/>
  <c r="S419" i="1"/>
  <c r="U419" i="1"/>
  <c r="AM419" i="1" s="1"/>
  <c r="AV419" i="1" s="1"/>
  <c r="S420" i="1"/>
  <c r="U420" i="1"/>
  <c r="AM420" i="1" s="1"/>
  <c r="S421" i="1"/>
  <c r="U421" i="1"/>
  <c r="AM421" i="1"/>
  <c r="AV421" i="1" s="1"/>
  <c r="S422" i="1"/>
  <c r="U422" i="1"/>
  <c r="AM422" i="1"/>
  <c r="S423" i="1"/>
  <c r="U423" i="1"/>
  <c r="AM423" i="1" s="1"/>
  <c r="AW423" i="1" s="1"/>
  <c r="S424" i="1"/>
  <c r="U424" i="1"/>
  <c r="AM424" i="1" s="1"/>
  <c r="S425" i="1"/>
  <c r="U425" i="1"/>
  <c r="AM425" i="1" s="1"/>
  <c r="S426" i="1"/>
  <c r="U426" i="1"/>
  <c r="AM426" i="1" s="1"/>
  <c r="AV426" i="1" s="1"/>
  <c r="S427" i="1"/>
  <c r="U427" i="1"/>
  <c r="AM427" i="1" s="1"/>
  <c r="S428" i="1"/>
  <c r="U428" i="1"/>
  <c r="AM428" i="1" s="1"/>
  <c r="S429" i="1"/>
  <c r="U429" i="1"/>
  <c r="AM429" i="1"/>
  <c r="AV429" i="1" s="1"/>
  <c r="S430" i="1"/>
  <c r="U430" i="1"/>
  <c r="AM430" i="1" s="1"/>
  <c r="S431" i="1"/>
  <c r="U431" i="1"/>
  <c r="AM431" i="1" s="1"/>
  <c r="AU431" i="1"/>
  <c r="S432" i="1"/>
  <c r="U432" i="1"/>
  <c r="AM432" i="1" s="1"/>
  <c r="S433" i="1"/>
  <c r="U433" i="1"/>
  <c r="AM433" i="1" s="1"/>
  <c r="AU433" i="1"/>
  <c r="S434" i="1"/>
  <c r="U434" i="1"/>
  <c r="AM434" i="1"/>
  <c r="AV434" i="1" s="1"/>
  <c r="S435" i="1"/>
  <c r="U435" i="1"/>
  <c r="AM435" i="1" s="1"/>
  <c r="S436" i="1"/>
  <c r="U436" i="1"/>
  <c r="AM436" i="1" s="1"/>
  <c r="AV436" i="1" s="1"/>
  <c r="S437" i="1"/>
  <c r="U437" i="1"/>
  <c r="AM437" i="1"/>
  <c r="S438" i="1"/>
  <c r="U438" i="1"/>
  <c r="AM438" i="1" s="1"/>
  <c r="AU438" i="1"/>
  <c r="S439" i="1"/>
  <c r="U439" i="1"/>
  <c r="AM439" i="1"/>
  <c r="AV439" i="1" s="1"/>
  <c r="S440" i="1"/>
  <c r="U440" i="1"/>
  <c r="AM440" i="1" s="1"/>
  <c r="AU440" i="1"/>
  <c r="S441" i="1"/>
  <c r="U441" i="1"/>
  <c r="AM441" i="1" s="1"/>
  <c r="S442" i="1"/>
  <c r="U442" i="1"/>
  <c r="AM442" i="1"/>
  <c r="S443" i="1"/>
  <c r="U443" i="1"/>
  <c r="AM443" i="1" s="1"/>
  <c r="S444" i="1"/>
  <c r="U444" i="1"/>
  <c r="AM444" i="1" s="1"/>
  <c r="AV444" i="1" s="1"/>
  <c r="S445" i="1"/>
  <c r="U445" i="1"/>
  <c r="AM445" i="1" s="1"/>
  <c r="AU445" i="1"/>
  <c r="S446" i="1"/>
  <c r="U446" i="1"/>
  <c r="AM446" i="1" s="1"/>
  <c r="AV446" i="1" s="1"/>
  <c r="S447" i="1"/>
  <c r="U447" i="1"/>
  <c r="AM447" i="1" s="1"/>
  <c r="S448" i="1"/>
  <c r="U448" i="1"/>
  <c r="AM448" i="1" s="1"/>
  <c r="S449" i="1"/>
  <c r="U449" i="1"/>
  <c r="AM449" i="1"/>
  <c r="AV449" i="1" s="1"/>
  <c r="S450" i="1"/>
  <c r="U450" i="1"/>
  <c r="AM450" i="1" s="1"/>
  <c r="S451" i="1"/>
  <c r="U451" i="1"/>
  <c r="AM451" i="1"/>
  <c r="AV451" i="1" s="1"/>
  <c r="S452" i="1"/>
  <c r="U452" i="1"/>
  <c r="AM452" i="1" s="1"/>
  <c r="S453" i="1"/>
  <c r="U453" i="1"/>
  <c r="AM453" i="1"/>
  <c r="AW453" i="1" s="1"/>
  <c r="S454" i="1"/>
  <c r="U454" i="1"/>
  <c r="AM454" i="1" s="1"/>
  <c r="AV454" i="1" s="1"/>
  <c r="S455" i="1"/>
  <c r="U455" i="1"/>
  <c r="AM455" i="1" s="1"/>
  <c r="S456" i="1"/>
  <c r="U456" i="1"/>
  <c r="AM456" i="1" s="1"/>
  <c r="AV456" i="1" s="1"/>
  <c r="S457" i="1"/>
  <c r="U457" i="1"/>
  <c r="AM457" i="1" s="1"/>
  <c r="S458" i="1"/>
  <c r="U458" i="1"/>
  <c r="AM458" i="1" s="1"/>
  <c r="S459" i="1"/>
  <c r="U459" i="1"/>
  <c r="AM459" i="1"/>
  <c r="AV459" i="1" s="1"/>
  <c r="S460" i="1"/>
  <c r="U460" i="1"/>
  <c r="AM460" i="1" s="1"/>
  <c r="S461" i="1"/>
  <c r="U461" i="1"/>
  <c r="AM461" i="1" s="1"/>
  <c r="AV461" i="1" s="1"/>
  <c r="S462" i="1"/>
  <c r="U462" i="1"/>
  <c r="AM462" i="1"/>
  <c r="S463" i="1"/>
  <c r="U463" i="1"/>
  <c r="AM463" i="1" s="1"/>
  <c r="AW463" i="1" s="1"/>
  <c r="AV463" i="1"/>
  <c r="S464" i="1"/>
  <c r="U464" i="1"/>
  <c r="AM464" i="1"/>
  <c r="AV464" i="1" s="1"/>
  <c r="S465" i="1"/>
  <c r="U465" i="1"/>
  <c r="AM465" i="1" s="1"/>
  <c r="S466" i="1"/>
  <c r="U466" i="1"/>
  <c r="AM466" i="1" s="1"/>
  <c r="AU466" i="1"/>
  <c r="S467" i="1"/>
  <c r="U467" i="1"/>
  <c r="AM467" i="1" s="1"/>
  <c r="S468" i="1"/>
  <c r="U468" i="1"/>
  <c r="AM468" i="1" s="1"/>
  <c r="S469" i="1"/>
  <c r="U469" i="1"/>
  <c r="AM469" i="1" s="1"/>
  <c r="S470" i="1"/>
  <c r="U470" i="1"/>
  <c r="AM470" i="1" s="1"/>
  <c r="S471" i="1"/>
  <c r="U471" i="1"/>
  <c r="AM471" i="1" s="1"/>
  <c r="AV471" i="1"/>
  <c r="S472" i="1"/>
  <c r="U472" i="1"/>
  <c r="AM472" i="1" s="1"/>
  <c r="S473" i="1"/>
  <c r="U473" i="1"/>
  <c r="AM473" i="1" s="1"/>
  <c r="S474" i="1"/>
  <c r="U474" i="1"/>
  <c r="AM474" i="1" s="1"/>
  <c r="S475" i="1"/>
  <c r="U475" i="1"/>
  <c r="AM475" i="1" s="1"/>
  <c r="S476" i="1"/>
  <c r="U476" i="1"/>
  <c r="AV476" i="1"/>
  <c r="AM476" i="1"/>
  <c r="S477" i="1"/>
  <c r="U477" i="1"/>
  <c r="AM477" i="1" s="1"/>
  <c r="S478" i="1"/>
  <c r="U478" i="1"/>
  <c r="AM478" i="1" s="1"/>
  <c r="S479" i="1"/>
  <c r="U479" i="1"/>
  <c r="AM479" i="1"/>
  <c r="S480" i="1"/>
  <c r="U480" i="1"/>
  <c r="AM480" i="1" s="1"/>
  <c r="S481" i="1"/>
  <c r="U481" i="1"/>
  <c r="AM481" i="1"/>
  <c r="AV481" i="1" s="1"/>
  <c r="S482" i="1"/>
  <c r="U482" i="1"/>
  <c r="AM482" i="1" s="1"/>
  <c r="S483" i="1"/>
  <c r="U483" i="1"/>
  <c r="AM483" i="1" s="1"/>
  <c r="S484" i="1"/>
  <c r="U484" i="1"/>
  <c r="AM484" i="1"/>
  <c r="S485" i="1"/>
  <c r="U485" i="1"/>
  <c r="AM485" i="1" s="1"/>
  <c r="S486" i="1"/>
  <c r="U486" i="1"/>
  <c r="AM486" i="1"/>
  <c r="AV486" i="1" s="1"/>
  <c r="S487" i="1"/>
  <c r="U487" i="1"/>
  <c r="AM487" i="1" s="1"/>
  <c r="S488" i="1"/>
  <c r="U488" i="1"/>
  <c r="AM488" i="1" s="1"/>
  <c r="S489" i="1"/>
  <c r="U489" i="1"/>
  <c r="AM489" i="1" s="1"/>
  <c r="AU489" i="1"/>
  <c r="S490" i="1"/>
  <c r="U490" i="1"/>
  <c r="AM490" i="1" s="1"/>
  <c r="S491" i="1"/>
  <c r="U491" i="1"/>
  <c r="AM491" i="1" s="1"/>
  <c r="AV491" i="1"/>
  <c r="S492" i="1"/>
  <c r="U492" i="1"/>
  <c r="AM492" i="1"/>
  <c r="S493" i="1"/>
  <c r="U493" i="1"/>
  <c r="AM493" i="1" s="1"/>
  <c r="S494" i="1"/>
  <c r="U494" i="1"/>
  <c r="AM494" i="1" s="1"/>
  <c r="S495" i="1"/>
  <c r="U495" i="1"/>
  <c r="AM495" i="1" s="1"/>
  <c r="S496" i="1"/>
  <c r="U496" i="1"/>
  <c r="AM496" i="1" s="1"/>
  <c r="AV496" i="1"/>
  <c r="S497" i="1"/>
  <c r="U497" i="1"/>
  <c r="AM497" i="1"/>
  <c r="S498" i="1"/>
  <c r="U498" i="1"/>
  <c r="AM498" i="1" s="1"/>
  <c r="S499" i="1"/>
  <c r="U499" i="1"/>
  <c r="AM499" i="1"/>
  <c r="S500" i="1"/>
  <c r="U500" i="1"/>
  <c r="AM500" i="1" s="1"/>
  <c r="S501" i="1"/>
  <c r="U501" i="1"/>
  <c r="AM501" i="1" s="1"/>
  <c r="AV501" i="1" s="1"/>
  <c r="S502" i="1"/>
  <c r="U502" i="1"/>
  <c r="AM502" i="1" s="1"/>
  <c r="AU502" i="1"/>
  <c r="S503" i="1"/>
  <c r="U503" i="1"/>
  <c r="AM503" i="1" s="1"/>
  <c r="S504" i="1"/>
  <c r="U504" i="1"/>
  <c r="AM504" i="1" s="1"/>
  <c r="S505" i="1"/>
  <c r="U505" i="1"/>
  <c r="AM505" i="1" s="1"/>
  <c r="S506" i="1"/>
  <c r="U506" i="1"/>
  <c r="AM506" i="1" s="1"/>
  <c r="AV506" i="1" s="1"/>
  <c r="S507" i="1"/>
  <c r="U507" i="1"/>
  <c r="AM507" i="1" s="1"/>
  <c r="S508" i="1"/>
  <c r="U508" i="1"/>
  <c r="AM508" i="1" s="1"/>
  <c r="S509" i="1"/>
  <c r="U509" i="1"/>
  <c r="AM509" i="1" s="1"/>
  <c r="S510" i="1"/>
  <c r="U510" i="1"/>
  <c r="AM510" i="1" s="1"/>
  <c r="S511" i="1"/>
  <c r="U511" i="1"/>
  <c r="AM511" i="1"/>
  <c r="AV511" i="1" s="1"/>
  <c r="S512" i="1"/>
  <c r="U512" i="1"/>
  <c r="AM512" i="1" s="1"/>
  <c r="S513" i="1"/>
  <c r="U513" i="1"/>
  <c r="AM513" i="1" s="1"/>
  <c r="S514" i="1"/>
  <c r="U514" i="1"/>
  <c r="AM514" i="1" s="1"/>
  <c r="S515" i="1"/>
  <c r="U515" i="1"/>
  <c r="AM515" i="1" s="1"/>
  <c r="S516" i="1"/>
  <c r="U516" i="1"/>
  <c r="AM516" i="1"/>
  <c r="AV516" i="1" s="1"/>
  <c r="S517" i="1"/>
  <c r="U517" i="1"/>
  <c r="AM517" i="1"/>
  <c r="S518" i="1"/>
  <c r="U518" i="1"/>
  <c r="AM518" i="1" s="1"/>
  <c r="S519" i="1"/>
  <c r="U519" i="1"/>
  <c r="AM519" i="1" s="1"/>
  <c r="S520" i="1"/>
  <c r="U520" i="1"/>
  <c r="AM520" i="1" s="1"/>
  <c r="S521" i="1"/>
  <c r="U521" i="1"/>
  <c r="AM521" i="1"/>
  <c r="S522" i="1"/>
  <c r="U522" i="1"/>
  <c r="AM522" i="1" s="1"/>
  <c r="S523" i="1"/>
  <c r="U523" i="1"/>
  <c r="AM523" i="1" s="1"/>
  <c r="AU523" i="1"/>
  <c r="S524" i="1"/>
  <c r="U524" i="1"/>
  <c r="AM524" i="1"/>
  <c r="S525" i="1"/>
  <c r="U525" i="1"/>
  <c r="AM525" i="1" s="1"/>
  <c r="S526" i="1"/>
  <c r="U526" i="1"/>
  <c r="AM526" i="1" s="1"/>
  <c r="S527" i="1"/>
  <c r="U527" i="1"/>
  <c r="AM527" i="1"/>
  <c r="S528" i="1"/>
  <c r="U528" i="1"/>
  <c r="AM528" i="1" s="1"/>
  <c r="AW528" i="1" s="1"/>
  <c r="S529" i="1"/>
  <c r="U529" i="1"/>
  <c r="AM529" i="1" s="1"/>
  <c r="S530" i="1"/>
  <c r="U530" i="1"/>
  <c r="AM530" i="1" s="1"/>
  <c r="S531" i="1"/>
  <c r="U531" i="1"/>
  <c r="AM531" i="1" s="1"/>
  <c r="S532" i="1"/>
  <c r="U532" i="1"/>
  <c r="AM532" i="1"/>
  <c r="S533" i="1"/>
  <c r="U533" i="1"/>
  <c r="AM533" i="1" s="1"/>
  <c r="S534" i="1"/>
  <c r="U534" i="1"/>
  <c r="AM534" i="1" s="1"/>
  <c r="S535" i="1"/>
  <c r="U535" i="1"/>
  <c r="AM535" i="1" s="1"/>
  <c r="S536" i="1"/>
  <c r="U536" i="1"/>
  <c r="AM536" i="1" s="1"/>
  <c r="S537" i="1"/>
  <c r="U537" i="1"/>
  <c r="AM537" i="1" s="1"/>
  <c r="S538" i="1"/>
  <c r="U538" i="1"/>
  <c r="AM538" i="1"/>
  <c r="AW538" i="1" s="1"/>
  <c r="S539" i="1"/>
  <c r="U539" i="1"/>
  <c r="AM539" i="1" s="1"/>
  <c r="S540" i="1"/>
  <c r="U540" i="1"/>
  <c r="AM540" i="1" s="1"/>
  <c r="S541" i="1"/>
  <c r="U541" i="1"/>
  <c r="AM541" i="1" s="1"/>
  <c r="S542" i="1"/>
  <c r="U542" i="1"/>
  <c r="AM542" i="1"/>
  <c r="S543" i="1"/>
  <c r="U543" i="1"/>
  <c r="AM543" i="1" s="1"/>
  <c r="S544" i="1"/>
  <c r="U544" i="1"/>
  <c r="AM544" i="1" s="1"/>
  <c r="S545" i="1"/>
  <c r="U545" i="1"/>
  <c r="AM545" i="1" s="1"/>
  <c r="S546" i="1"/>
  <c r="U546" i="1"/>
  <c r="AM546" i="1" s="1"/>
  <c r="AV546" i="1" s="1"/>
  <c r="S547" i="1"/>
  <c r="U547" i="1"/>
  <c r="AM547" i="1"/>
  <c r="S548" i="1"/>
  <c r="U548" i="1"/>
  <c r="AM548" i="1" s="1"/>
  <c r="S549" i="1"/>
  <c r="U549" i="1"/>
  <c r="AM549" i="1" s="1"/>
  <c r="S550" i="1"/>
  <c r="U550" i="1"/>
  <c r="AM550" i="1" s="1"/>
  <c r="S551" i="1"/>
  <c r="U551" i="1"/>
  <c r="AV551" i="1"/>
  <c r="AM551" i="1"/>
  <c r="S552" i="1"/>
  <c r="U552" i="1"/>
  <c r="AM552" i="1"/>
  <c r="S553" i="1"/>
  <c r="U553" i="1"/>
  <c r="AM553" i="1"/>
  <c r="AW553" i="1" s="1"/>
  <c r="S554" i="1"/>
  <c r="U554" i="1"/>
  <c r="AM554" i="1" s="1"/>
  <c r="S555" i="1"/>
  <c r="U555" i="1"/>
  <c r="AM555" i="1" s="1"/>
  <c r="S556" i="1"/>
  <c r="U556" i="1"/>
  <c r="AM556" i="1" s="1"/>
  <c r="AV556" i="1"/>
  <c r="S557" i="1"/>
  <c r="U557" i="1"/>
  <c r="AM557" i="1"/>
  <c r="S558" i="1"/>
  <c r="U558" i="1"/>
  <c r="AM558" i="1" s="1"/>
  <c r="AV558" i="1" s="1"/>
  <c r="S559" i="1"/>
  <c r="U559" i="1"/>
  <c r="AM559" i="1" s="1"/>
  <c r="S560" i="1"/>
  <c r="U560" i="1"/>
  <c r="AM560" i="1" s="1"/>
  <c r="S561" i="1"/>
  <c r="U561" i="1"/>
  <c r="AV561" i="1"/>
  <c r="AM561" i="1"/>
  <c r="S562" i="1"/>
  <c r="U562" i="1"/>
  <c r="AM562" i="1" s="1"/>
  <c r="S563" i="1"/>
  <c r="U563" i="1"/>
  <c r="AM563" i="1"/>
  <c r="S564" i="1"/>
  <c r="U564" i="1"/>
  <c r="AM564" i="1" s="1"/>
  <c r="S565" i="1"/>
  <c r="U565" i="1"/>
  <c r="AM565" i="1" s="1"/>
  <c r="S566" i="1"/>
  <c r="U566" i="1"/>
  <c r="AM566" i="1" s="1"/>
  <c r="S567" i="1"/>
  <c r="U567" i="1"/>
  <c r="AM567" i="1"/>
  <c r="S568" i="1"/>
  <c r="U568" i="1"/>
  <c r="AM568" i="1" s="1"/>
  <c r="S569" i="1"/>
  <c r="U569" i="1"/>
  <c r="AM569" i="1" s="1"/>
  <c r="S570" i="1"/>
  <c r="U570" i="1"/>
  <c r="AM570" i="1" s="1"/>
  <c r="S571" i="1"/>
  <c r="U571" i="1"/>
  <c r="AM571" i="1" s="1"/>
  <c r="AV571" i="1"/>
  <c r="S572" i="1"/>
  <c r="U572" i="1"/>
  <c r="AM572" i="1" s="1"/>
  <c r="S573" i="1"/>
  <c r="U573" i="1"/>
  <c r="AM573" i="1" s="1"/>
  <c r="S574" i="1"/>
  <c r="U574" i="1"/>
  <c r="AM574" i="1"/>
  <c r="S575" i="1"/>
  <c r="U575" i="1"/>
  <c r="AM575" i="1" s="1"/>
  <c r="S576" i="1"/>
  <c r="U576" i="1"/>
  <c r="AM576" i="1" s="1"/>
  <c r="AV576" i="1"/>
  <c r="S577" i="1"/>
  <c r="U577" i="1"/>
  <c r="AM577" i="1" s="1"/>
  <c r="S578" i="1"/>
  <c r="U578" i="1"/>
  <c r="AM578" i="1" s="1"/>
  <c r="AV578" i="1" s="1"/>
  <c r="S579" i="1"/>
  <c r="U579" i="1"/>
  <c r="AM579" i="1" s="1"/>
  <c r="S580" i="1"/>
  <c r="U580" i="1"/>
  <c r="AM580" i="1" s="1"/>
  <c r="S581" i="1"/>
  <c r="U581" i="1"/>
  <c r="AM581" i="1" s="1"/>
  <c r="AV581" i="1"/>
  <c r="S582" i="1"/>
  <c r="U582" i="1"/>
  <c r="AM582" i="1" s="1"/>
  <c r="S583" i="1"/>
  <c r="U583" i="1"/>
  <c r="AM583" i="1" s="1"/>
  <c r="AV583" i="1" s="1"/>
  <c r="S584" i="1"/>
  <c r="U584" i="1"/>
  <c r="AM584" i="1" s="1"/>
  <c r="AV584" i="1" s="1"/>
  <c r="S585" i="1"/>
  <c r="U585" i="1"/>
  <c r="AM585" i="1" s="1"/>
  <c r="S586" i="1"/>
  <c r="U586" i="1"/>
  <c r="AM586" i="1"/>
  <c r="S587" i="1"/>
  <c r="U587" i="1"/>
  <c r="AM587" i="1" s="1"/>
  <c r="S588" i="1"/>
  <c r="U588" i="1"/>
  <c r="AM588" i="1" s="1"/>
  <c r="AV588" i="1" s="1"/>
  <c r="S589" i="1"/>
  <c r="U589" i="1"/>
  <c r="AM589" i="1" s="1"/>
  <c r="S590" i="1"/>
  <c r="U590" i="1"/>
  <c r="AM590" i="1" s="1"/>
  <c r="S591" i="1"/>
  <c r="U591" i="1"/>
  <c r="AM591" i="1"/>
  <c r="S592" i="1"/>
  <c r="U592" i="1"/>
  <c r="AM592" i="1" s="1"/>
  <c r="S593" i="1"/>
  <c r="U593" i="1"/>
  <c r="AM593" i="1" s="1"/>
  <c r="S594" i="1"/>
  <c r="U594" i="1"/>
  <c r="AM594" i="1"/>
  <c r="S595" i="1"/>
  <c r="U595" i="1"/>
  <c r="AM595" i="1" s="1"/>
  <c r="S596" i="1"/>
  <c r="U596" i="1"/>
  <c r="AM596" i="1" s="1"/>
  <c r="S597" i="1"/>
  <c r="U597" i="1"/>
  <c r="AM597" i="1"/>
  <c r="S598" i="1"/>
  <c r="U598" i="1"/>
  <c r="AM598" i="1" s="1"/>
  <c r="AV598" i="1" s="1"/>
  <c r="S599" i="1"/>
  <c r="U599" i="1"/>
  <c r="AM599" i="1" s="1"/>
  <c r="S600" i="1"/>
  <c r="U600" i="1"/>
  <c r="AM600" i="1" s="1"/>
  <c r="S601" i="1"/>
  <c r="U601" i="1"/>
  <c r="AM601" i="1" s="1"/>
  <c r="S602" i="1"/>
  <c r="U602" i="1"/>
  <c r="AM602" i="1" s="1"/>
  <c r="S603" i="1"/>
  <c r="U603" i="1"/>
  <c r="AM603" i="1" s="1"/>
  <c r="S604" i="1"/>
  <c r="U604" i="1"/>
  <c r="AM604" i="1" s="1"/>
  <c r="S605" i="1"/>
  <c r="U605" i="1"/>
  <c r="AM605" i="1" s="1"/>
  <c r="S606" i="1"/>
  <c r="U606" i="1"/>
  <c r="AM606" i="1"/>
  <c r="AV606" i="1" s="1"/>
  <c r="S607" i="1"/>
  <c r="U607" i="1"/>
  <c r="AM607" i="1" s="1"/>
  <c r="S608" i="1"/>
  <c r="U608" i="1"/>
  <c r="AM608" i="1" s="1"/>
  <c r="S609" i="1"/>
  <c r="U609" i="1"/>
  <c r="AM609" i="1" s="1"/>
  <c r="S610" i="1"/>
  <c r="U610" i="1"/>
  <c r="AM610" i="1" s="1"/>
  <c r="S611" i="1"/>
  <c r="U611" i="1"/>
  <c r="AM611" i="1"/>
  <c r="S612" i="1"/>
  <c r="U612" i="1"/>
  <c r="AM612" i="1" s="1"/>
  <c r="S613" i="1"/>
  <c r="U613" i="1"/>
  <c r="AM613" i="1"/>
  <c r="AV613" i="1" s="1"/>
  <c r="S614" i="1"/>
  <c r="U614" i="1"/>
  <c r="AM614" i="1" s="1"/>
  <c r="S615" i="1"/>
  <c r="U615" i="1"/>
  <c r="AM615" i="1" s="1"/>
  <c r="S616" i="1"/>
  <c r="U616" i="1"/>
  <c r="AM616" i="1"/>
  <c r="S617" i="1"/>
  <c r="U617" i="1"/>
  <c r="AM617" i="1" s="1"/>
  <c r="S618" i="1"/>
  <c r="U618" i="1"/>
  <c r="AM618" i="1" s="1"/>
  <c r="S619" i="1"/>
  <c r="U619" i="1"/>
  <c r="AM619" i="1" s="1"/>
  <c r="S620" i="1"/>
  <c r="U620" i="1"/>
  <c r="AM620" i="1" s="1"/>
  <c r="S621" i="1"/>
  <c r="U621" i="1"/>
  <c r="AM621" i="1" s="1"/>
  <c r="S622" i="1"/>
  <c r="U622" i="1"/>
  <c r="AM622" i="1" s="1"/>
  <c r="S623" i="1"/>
  <c r="U623" i="1"/>
  <c r="AM623" i="1"/>
  <c r="S624" i="1"/>
  <c r="U624" i="1"/>
  <c r="AM624" i="1" s="1"/>
  <c r="S625" i="1"/>
  <c r="U625" i="1"/>
  <c r="AM625" i="1" s="1"/>
  <c r="AU625" i="1" s="1"/>
  <c r="S626" i="1"/>
  <c r="U626" i="1"/>
  <c r="AM626" i="1"/>
  <c r="S627" i="1"/>
  <c r="U627" i="1"/>
  <c r="AM627" i="1" s="1"/>
  <c r="S628" i="1"/>
  <c r="U628" i="1"/>
  <c r="AM628" i="1" s="1"/>
  <c r="AV628" i="1" s="1"/>
  <c r="S629" i="1"/>
  <c r="U629" i="1"/>
  <c r="AM629" i="1" s="1"/>
  <c r="S630" i="1"/>
  <c r="U630" i="1"/>
  <c r="AM630" i="1" s="1"/>
  <c r="S631" i="1"/>
  <c r="U631" i="1"/>
  <c r="AM631" i="1"/>
  <c r="S632" i="1"/>
  <c r="U632" i="1"/>
  <c r="AM632" i="1" s="1"/>
  <c r="S633" i="1"/>
  <c r="U633" i="1"/>
  <c r="AM633" i="1" s="1"/>
  <c r="AV633" i="1" s="1"/>
  <c r="S634" i="1"/>
  <c r="U634" i="1"/>
  <c r="AM634" i="1" s="1"/>
  <c r="S635" i="1"/>
  <c r="U635" i="1"/>
  <c r="AM635" i="1" s="1"/>
  <c r="S636" i="1"/>
  <c r="U636" i="1"/>
  <c r="AM636" i="1" s="1"/>
  <c r="S637" i="1"/>
  <c r="U637" i="1"/>
  <c r="AM637" i="1" s="1"/>
  <c r="S638" i="1"/>
  <c r="U638" i="1"/>
  <c r="AM638" i="1" s="1"/>
  <c r="S639" i="1"/>
  <c r="U639" i="1"/>
  <c r="AM639" i="1"/>
  <c r="S640" i="1"/>
  <c r="U640" i="1"/>
  <c r="AM640" i="1" s="1"/>
  <c r="S641" i="1"/>
  <c r="U641" i="1"/>
  <c r="AM641" i="1"/>
  <c r="S642" i="1"/>
  <c r="U642" i="1"/>
  <c r="AM642" i="1" s="1"/>
  <c r="S643" i="1"/>
  <c r="U643" i="1"/>
  <c r="AM643" i="1" s="1"/>
  <c r="AV643" i="1" s="1"/>
  <c r="S644" i="1"/>
  <c r="U644" i="1"/>
  <c r="AM644" i="1"/>
  <c r="S645" i="1"/>
  <c r="U645" i="1"/>
  <c r="AM645" i="1"/>
  <c r="AU645" i="1" s="1"/>
  <c r="S646" i="1"/>
  <c r="U646" i="1"/>
  <c r="AM646" i="1" s="1"/>
  <c r="S647" i="1"/>
  <c r="U647" i="1"/>
  <c r="AM647" i="1" s="1"/>
  <c r="S648" i="1"/>
  <c r="U648" i="1"/>
  <c r="AM648" i="1" s="1"/>
  <c r="AV648" i="1" s="1"/>
  <c r="S649" i="1"/>
  <c r="U649" i="1"/>
  <c r="AM649" i="1"/>
  <c r="S650" i="1"/>
  <c r="U650" i="1"/>
  <c r="AM650" i="1"/>
  <c r="AU650" i="1" s="1"/>
  <c r="S651" i="1"/>
  <c r="U651" i="1"/>
  <c r="AM651" i="1" s="1"/>
  <c r="S652" i="1"/>
  <c r="U652" i="1"/>
  <c r="AM652" i="1" s="1"/>
  <c r="S653" i="1"/>
  <c r="U653" i="1"/>
  <c r="AM653" i="1"/>
  <c r="S654" i="1"/>
  <c r="U654" i="1"/>
  <c r="AM654" i="1"/>
  <c r="S655" i="1"/>
  <c r="U655" i="1"/>
  <c r="AM655" i="1" s="1"/>
  <c r="AU655" i="1" s="1"/>
  <c r="S656" i="1"/>
  <c r="U656" i="1"/>
  <c r="AM656" i="1"/>
  <c r="AV656" i="1" s="1"/>
  <c r="S657" i="1"/>
  <c r="U657" i="1"/>
  <c r="AM657" i="1" s="1"/>
  <c r="S658" i="1"/>
  <c r="U658" i="1"/>
  <c r="AM658" i="1" s="1"/>
  <c r="AV658" i="1" s="1"/>
  <c r="S659" i="1"/>
  <c r="U659" i="1"/>
  <c r="AM659" i="1"/>
  <c r="S660" i="1"/>
  <c r="U660" i="1"/>
  <c r="AM660" i="1" s="1"/>
  <c r="S661" i="1"/>
  <c r="U661" i="1"/>
  <c r="AM661" i="1"/>
  <c r="AV661" i="1" s="1"/>
  <c r="S662" i="1"/>
  <c r="U662" i="1"/>
  <c r="AM662" i="1" s="1"/>
  <c r="AU662" i="1"/>
  <c r="S663" i="1"/>
  <c r="U663" i="1"/>
  <c r="AM663" i="1" s="1"/>
  <c r="AV663" i="1" s="1"/>
  <c r="S664" i="1"/>
  <c r="U664" i="1"/>
  <c r="AM664" i="1" s="1"/>
  <c r="S665" i="1"/>
  <c r="U665" i="1"/>
  <c r="AM665" i="1" s="1"/>
  <c r="S666" i="1"/>
  <c r="U666" i="1"/>
  <c r="AM666" i="1"/>
  <c r="AV666" i="1" s="1"/>
  <c r="S667" i="1"/>
  <c r="U667" i="1"/>
  <c r="AM667" i="1" s="1"/>
  <c r="AU667" i="1"/>
  <c r="S668" i="1"/>
  <c r="U668" i="1"/>
  <c r="AM668" i="1" s="1"/>
  <c r="S669" i="1"/>
  <c r="U669" i="1"/>
  <c r="AM669" i="1" s="1"/>
  <c r="S670" i="1"/>
  <c r="U670" i="1"/>
  <c r="AM670" i="1" s="1"/>
  <c r="S671" i="1"/>
  <c r="U671" i="1"/>
  <c r="AM671" i="1"/>
  <c r="S672" i="1"/>
  <c r="U672" i="1"/>
  <c r="AM672" i="1" s="1"/>
  <c r="S673" i="1"/>
  <c r="U673" i="1"/>
  <c r="AM673" i="1" s="1"/>
  <c r="S674" i="1"/>
  <c r="U674" i="1"/>
  <c r="AM674" i="1"/>
  <c r="S675" i="1"/>
  <c r="U675" i="1"/>
  <c r="AM675" i="1"/>
  <c r="S676" i="1"/>
  <c r="U676" i="1"/>
  <c r="AM676" i="1"/>
  <c r="S677" i="1"/>
  <c r="U677" i="1"/>
  <c r="AM677" i="1" s="1"/>
  <c r="S678" i="1"/>
  <c r="U678" i="1"/>
  <c r="AM678" i="1" s="1"/>
  <c r="AV678" i="1" s="1"/>
  <c r="S679" i="1"/>
  <c r="U679" i="1"/>
  <c r="AM679" i="1" s="1"/>
  <c r="S680" i="1"/>
  <c r="U680" i="1"/>
  <c r="AM680" i="1" s="1"/>
  <c r="S681" i="1"/>
  <c r="U681" i="1"/>
  <c r="AM681" i="1"/>
  <c r="S682" i="1"/>
  <c r="U682" i="1"/>
  <c r="AM682" i="1" s="1"/>
  <c r="S683" i="1"/>
  <c r="U683" i="1"/>
  <c r="AM683" i="1" s="1"/>
  <c r="AV683" i="1" s="1"/>
  <c r="S684" i="1"/>
  <c r="U684" i="1"/>
  <c r="AM684" i="1" s="1"/>
  <c r="S685" i="1"/>
  <c r="U685" i="1"/>
  <c r="AM685" i="1" s="1"/>
  <c r="S686" i="1"/>
  <c r="U686" i="1"/>
  <c r="AM686" i="1"/>
  <c r="S687" i="1"/>
  <c r="U687" i="1"/>
  <c r="AM687" i="1" s="1"/>
  <c r="S688" i="1"/>
  <c r="U688" i="1"/>
  <c r="AM688" i="1" s="1"/>
  <c r="AV688" i="1" s="1"/>
  <c r="S689" i="1"/>
  <c r="U689" i="1"/>
  <c r="AM689" i="1" s="1"/>
  <c r="S690" i="1"/>
  <c r="U690" i="1"/>
  <c r="AM690" i="1" s="1"/>
  <c r="S691" i="1"/>
  <c r="U691" i="1"/>
  <c r="AM691" i="1"/>
  <c r="S692" i="1"/>
  <c r="U692" i="1"/>
  <c r="AM692" i="1" s="1"/>
  <c r="S693" i="1"/>
  <c r="U693" i="1"/>
  <c r="AM693" i="1" s="1"/>
  <c r="AV693" i="1" s="1"/>
  <c r="S694" i="1"/>
  <c r="U694" i="1"/>
  <c r="AM694" i="1" s="1"/>
  <c r="S695" i="1"/>
  <c r="U695" i="1"/>
  <c r="AM695" i="1" s="1"/>
  <c r="S696" i="1"/>
  <c r="U696" i="1"/>
  <c r="AM696" i="1"/>
  <c r="S697" i="1"/>
  <c r="U697" i="1"/>
  <c r="AM697" i="1" s="1"/>
  <c r="S698" i="1"/>
  <c r="U698" i="1"/>
  <c r="AM698" i="1" s="1"/>
  <c r="AV698" i="1" s="1"/>
  <c r="S699" i="1"/>
  <c r="U699" i="1"/>
  <c r="AM699" i="1" s="1"/>
  <c r="S700" i="1"/>
  <c r="U700" i="1"/>
  <c r="AM700" i="1" s="1"/>
  <c r="AW700" i="1" s="1"/>
  <c r="S701" i="1"/>
  <c r="U701" i="1"/>
  <c r="AM701" i="1" s="1"/>
  <c r="S702" i="1"/>
  <c r="U702" i="1"/>
  <c r="AM702" i="1" s="1"/>
  <c r="S703" i="1"/>
  <c r="U703" i="1"/>
  <c r="AM703" i="1" s="1"/>
  <c r="AV703" i="1" s="1"/>
  <c r="S704" i="1"/>
  <c r="U704" i="1"/>
  <c r="AM704" i="1" s="1"/>
  <c r="S705" i="1"/>
  <c r="U705" i="1"/>
  <c r="AM705" i="1" s="1"/>
  <c r="S706" i="1"/>
  <c r="U706" i="1"/>
  <c r="AM706" i="1"/>
  <c r="S707" i="1"/>
  <c r="U707" i="1"/>
  <c r="AM707" i="1" s="1"/>
  <c r="AU707" i="1"/>
  <c r="S708" i="1"/>
  <c r="U708" i="1"/>
  <c r="AM708" i="1"/>
  <c r="AV708" i="1" s="1"/>
  <c r="S709" i="1"/>
  <c r="U709" i="1"/>
  <c r="AM709" i="1"/>
  <c r="S710" i="1"/>
  <c r="U710" i="1"/>
  <c r="AM710" i="1"/>
  <c r="AU710" i="1" s="1"/>
  <c r="S711" i="1"/>
  <c r="U711" i="1"/>
  <c r="AM711" i="1"/>
  <c r="S712" i="1"/>
  <c r="U712" i="1"/>
  <c r="AM712" i="1" s="1"/>
  <c r="AU712" i="1"/>
  <c r="S713" i="1"/>
  <c r="U713" i="1"/>
  <c r="AM713" i="1" s="1"/>
  <c r="S714" i="1"/>
  <c r="U714" i="1"/>
  <c r="AU714" i="1"/>
  <c r="AM714" i="1"/>
  <c r="S715" i="1"/>
  <c r="U715" i="1"/>
  <c r="AM715" i="1" s="1"/>
  <c r="S716" i="1"/>
  <c r="U716" i="1"/>
  <c r="AM716" i="1" s="1"/>
  <c r="S717" i="1"/>
  <c r="U717" i="1"/>
  <c r="AM717" i="1" s="1"/>
  <c r="S718" i="1"/>
  <c r="U718" i="1"/>
  <c r="AM718" i="1" s="1"/>
  <c r="AV718" i="1" s="1"/>
  <c r="S719" i="1"/>
  <c r="U719" i="1"/>
  <c r="AM719" i="1" s="1"/>
  <c r="AU719" i="1" s="1"/>
  <c r="AV719" i="1"/>
  <c r="S720" i="1"/>
  <c r="U720" i="1"/>
  <c r="AM720" i="1" s="1"/>
  <c r="S721" i="1"/>
  <c r="U721" i="1"/>
  <c r="AM721" i="1" s="1"/>
  <c r="S722" i="1"/>
  <c r="U722" i="1"/>
  <c r="AM722" i="1" s="1"/>
  <c r="S723" i="1"/>
  <c r="U723" i="1"/>
  <c r="AM723" i="1" s="1"/>
  <c r="S724" i="1"/>
  <c r="U724" i="1"/>
  <c r="AM724" i="1" s="1"/>
  <c r="S725" i="1"/>
  <c r="U725" i="1"/>
  <c r="AM725" i="1" s="1"/>
  <c r="AU725" i="1"/>
  <c r="S726" i="1"/>
  <c r="U726" i="1"/>
  <c r="AM726" i="1" s="1"/>
  <c r="S727" i="1"/>
  <c r="U727" i="1"/>
  <c r="AM727" i="1" s="1"/>
  <c r="AU727" i="1"/>
  <c r="S728" i="1"/>
  <c r="U728" i="1"/>
  <c r="AM728" i="1" s="1"/>
  <c r="S729" i="1"/>
  <c r="U729" i="1"/>
  <c r="AM729" i="1"/>
  <c r="AV729" i="1" s="1"/>
  <c r="S730" i="1"/>
  <c r="U730" i="1"/>
  <c r="AM730" i="1" s="1"/>
  <c r="S731" i="1"/>
  <c r="U731" i="1"/>
  <c r="AM731" i="1" s="1"/>
  <c r="S732" i="1"/>
  <c r="U732" i="1"/>
  <c r="AM732" i="1" s="1"/>
  <c r="S733" i="1"/>
  <c r="U733" i="1"/>
  <c r="AM733" i="1" s="1"/>
  <c r="S734" i="1"/>
  <c r="U734" i="1"/>
  <c r="AM734" i="1" s="1"/>
  <c r="S735" i="1"/>
  <c r="U735" i="1"/>
  <c r="AM735" i="1" s="1"/>
  <c r="AV735" i="1" s="1"/>
  <c r="S736" i="1"/>
  <c r="U736" i="1"/>
  <c r="AM736" i="1" s="1"/>
  <c r="S737" i="1"/>
  <c r="U737" i="1"/>
  <c r="AM737" i="1" s="1"/>
  <c r="S738" i="1"/>
  <c r="U738" i="1"/>
  <c r="AM738" i="1" s="1"/>
  <c r="AV738" i="1" s="1"/>
  <c r="S739" i="1"/>
  <c r="U739" i="1"/>
  <c r="AM739" i="1" s="1"/>
  <c r="AU739" i="1" s="1"/>
  <c r="AV739" i="1"/>
  <c r="S740" i="1"/>
  <c r="U740" i="1"/>
  <c r="AM740" i="1" s="1"/>
  <c r="AV740" i="1" s="1"/>
  <c r="S741" i="1"/>
  <c r="U741" i="1"/>
  <c r="AM741" i="1" s="1"/>
  <c r="S742" i="1"/>
  <c r="U742" i="1"/>
  <c r="AM742" i="1" s="1"/>
  <c r="S743" i="1"/>
  <c r="U743" i="1"/>
  <c r="AM743" i="1" s="1"/>
  <c r="S744" i="1"/>
  <c r="U744" i="1"/>
  <c r="AM744" i="1" s="1"/>
  <c r="S745" i="1"/>
  <c r="U745" i="1"/>
  <c r="AM745" i="1" s="1"/>
  <c r="AU745" i="1"/>
  <c r="S746" i="1"/>
  <c r="U746" i="1"/>
  <c r="AM746" i="1" s="1"/>
  <c r="AU746" i="1"/>
  <c r="S747" i="1"/>
  <c r="U747" i="1"/>
  <c r="AM747" i="1" s="1"/>
  <c r="S748" i="1"/>
  <c r="U748" i="1"/>
  <c r="AM748" i="1" s="1"/>
  <c r="S749" i="1"/>
  <c r="U749" i="1"/>
  <c r="AM749" i="1"/>
  <c r="S750" i="1"/>
  <c r="U750" i="1"/>
  <c r="AM750" i="1" s="1"/>
  <c r="S751" i="1"/>
  <c r="U751" i="1"/>
  <c r="AM751" i="1" s="1"/>
  <c r="S752" i="1"/>
  <c r="U752" i="1"/>
  <c r="AM752" i="1" s="1"/>
  <c r="S753" i="1"/>
  <c r="U753" i="1"/>
  <c r="AM753" i="1" s="1"/>
  <c r="S754" i="1"/>
  <c r="U754" i="1"/>
  <c r="AM754" i="1"/>
  <c r="AV754" i="1" s="1"/>
  <c r="S755" i="1"/>
  <c r="U755" i="1"/>
  <c r="AM755" i="1" s="1"/>
  <c r="S756" i="1"/>
  <c r="U756" i="1"/>
  <c r="AM756" i="1" s="1"/>
  <c r="S757" i="1"/>
  <c r="U757" i="1"/>
  <c r="AM757" i="1" s="1"/>
  <c r="S758" i="1"/>
  <c r="U758" i="1"/>
  <c r="AM758" i="1" s="1"/>
  <c r="S759" i="1"/>
  <c r="U759" i="1"/>
  <c r="AM759" i="1"/>
  <c r="S760" i="1"/>
  <c r="U760" i="1"/>
  <c r="AM760" i="1" s="1"/>
  <c r="S761" i="1"/>
  <c r="U761" i="1"/>
  <c r="AM761" i="1" s="1"/>
  <c r="S762" i="1"/>
  <c r="U762" i="1"/>
  <c r="AM762" i="1" s="1"/>
  <c r="S763" i="1"/>
  <c r="U763" i="1"/>
  <c r="AM763" i="1" s="1"/>
  <c r="AV763" i="1" s="1"/>
  <c r="S764" i="1"/>
  <c r="U764" i="1"/>
  <c r="AM764" i="1" s="1"/>
  <c r="AU764" i="1" s="1"/>
  <c r="S765" i="1"/>
  <c r="U765" i="1"/>
  <c r="AM765" i="1" s="1"/>
  <c r="S766" i="1"/>
  <c r="U766" i="1"/>
  <c r="AM766" i="1" s="1"/>
  <c r="S767" i="1"/>
  <c r="U767" i="1"/>
  <c r="AM767" i="1" s="1"/>
  <c r="S768" i="1"/>
  <c r="U768" i="1"/>
  <c r="AM768" i="1" s="1"/>
  <c r="AV768" i="1" s="1"/>
  <c r="S769" i="1"/>
  <c r="U769" i="1"/>
  <c r="AM769" i="1"/>
  <c r="S770" i="1"/>
  <c r="U770" i="1"/>
  <c r="AM770" i="1" s="1"/>
  <c r="S771" i="1"/>
  <c r="U771" i="1"/>
  <c r="AM771" i="1" s="1"/>
  <c r="S772" i="1"/>
  <c r="U772" i="1"/>
  <c r="AM772" i="1" s="1"/>
  <c r="S773" i="1"/>
  <c r="U773" i="1"/>
  <c r="AM773" i="1" s="1"/>
  <c r="AV773" i="1" s="1"/>
  <c r="S774" i="1"/>
  <c r="U774" i="1"/>
  <c r="AM774" i="1" s="1"/>
  <c r="S775" i="1"/>
  <c r="U775" i="1"/>
  <c r="AM775" i="1" s="1"/>
  <c r="AU775" i="1"/>
  <c r="S776" i="1"/>
  <c r="U776" i="1"/>
  <c r="AM776" i="1" s="1"/>
  <c r="S777" i="1"/>
  <c r="U777" i="1"/>
  <c r="AM777" i="1" s="1"/>
  <c r="S778" i="1"/>
  <c r="U778" i="1"/>
  <c r="AM778" i="1" s="1"/>
  <c r="AV778" i="1"/>
  <c r="S779" i="1"/>
  <c r="U779" i="1"/>
  <c r="AM779" i="1" s="1"/>
  <c r="AU779" i="1" s="1"/>
  <c r="S780" i="1"/>
  <c r="U780" i="1"/>
  <c r="AM780" i="1" s="1"/>
  <c r="AV780" i="1" s="1"/>
  <c r="S781" i="1"/>
  <c r="U781" i="1"/>
  <c r="AM781" i="1" s="1"/>
  <c r="S782" i="1"/>
  <c r="U782" i="1"/>
  <c r="AM782" i="1" s="1"/>
  <c r="AU782" i="1"/>
  <c r="S783" i="1"/>
  <c r="U783" i="1"/>
  <c r="AM783" i="1" s="1"/>
  <c r="S784" i="1"/>
  <c r="U784" i="1"/>
  <c r="AM784" i="1"/>
  <c r="S785" i="1"/>
  <c r="U785" i="1"/>
  <c r="AM785" i="1" s="1"/>
  <c r="S786" i="1"/>
  <c r="U786" i="1"/>
  <c r="AM786" i="1" s="1"/>
  <c r="S787" i="1"/>
  <c r="U787" i="1"/>
  <c r="AM787" i="1" s="1"/>
  <c r="S788" i="1"/>
  <c r="U788" i="1"/>
  <c r="AM788" i="1" s="1"/>
  <c r="AV788" i="1" s="1"/>
  <c r="S789" i="1"/>
  <c r="U789" i="1"/>
  <c r="AM789" i="1"/>
  <c r="S790" i="1"/>
  <c r="U790" i="1"/>
  <c r="AM790" i="1" s="1"/>
  <c r="AV790" i="1" s="1"/>
  <c r="S791" i="1"/>
  <c r="U791" i="1"/>
  <c r="AM791" i="1" s="1"/>
  <c r="S792" i="1"/>
  <c r="U792" i="1"/>
  <c r="AM792" i="1" s="1"/>
  <c r="S793" i="1"/>
  <c r="U793" i="1"/>
  <c r="AM793" i="1" s="1"/>
  <c r="AU793" i="1"/>
  <c r="S794" i="1"/>
  <c r="U794" i="1"/>
  <c r="AM794" i="1"/>
  <c r="AU794" i="1" s="1"/>
  <c r="S795" i="1"/>
  <c r="U795" i="1"/>
  <c r="AM795" i="1" s="1"/>
  <c r="S796" i="1"/>
  <c r="U796" i="1"/>
  <c r="AM796" i="1" s="1"/>
  <c r="S797" i="1"/>
  <c r="U797" i="1"/>
  <c r="AM797" i="1" s="1"/>
  <c r="S798" i="1"/>
  <c r="U798" i="1"/>
  <c r="AM798" i="1" s="1"/>
  <c r="S799" i="1"/>
  <c r="U799" i="1"/>
  <c r="AM799" i="1" s="1"/>
  <c r="AU799" i="1"/>
  <c r="S800" i="1"/>
  <c r="U800" i="1"/>
  <c r="AM800" i="1" s="1"/>
  <c r="S801" i="1"/>
  <c r="U801" i="1"/>
  <c r="AM801" i="1" s="1"/>
  <c r="S802" i="1"/>
  <c r="U802" i="1"/>
  <c r="AM802" i="1" s="1"/>
  <c r="S803" i="1"/>
  <c r="U803" i="1"/>
  <c r="AM803" i="1" s="1"/>
  <c r="S804" i="1"/>
  <c r="U804" i="1"/>
  <c r="AM804" i="1"/>
  <c r="S805" i="1"/>
  <c r="U805" i="1"/>
  <c r="AM805" i="1" s="1"/>
  <c r="AU805" i="1"/>
  <c r="S806" i="1"/>
  <c r="U806" i="1"/>
  <c r="AM806" i="1" s="1"/>
  <c r="AU806" i="1"/>
  <c r="S807" i="1"/>
  <c r="U807" i="1"/>
  <c r="AM807" i="1" s="1"/>
  <c r="S808" i="1"/>
  <c r="U808" i="1"/>
  <c r="AM808" i="1" s="1"/>
  <c r="AU808" i="1"/>
  <c r="S809" i="1"/>
  <c r="U809" i="1"/>
  <c r="AM809" i="1" s="1"/>
  <c r="S810" i="1"/>
  <c r="U810" i="1"/>
  <c r="AM810" i="1" s="1"/>
  <c r="AV810" i="1" s="1"/>
  <c r="S811" i="1"/>
  <c r="U811" i="1"/>
  <c r="AM811" i="1" s="1"/>
  <c r="S812" i="1"/>
  <c r="U812" i="1"/>
  <c r="AM812" i="1" s="1"/>
  <c r="S813" i="1"/>
  <c r="U813" i="1"/>
  <c r="AM813" i="1" s="1"/>
  <c r="S814" i="1"/>
  <c r="U814" i="1"/>
  <c r="AM814" i="1" s="1"/>
  <c r="S815" i="1"/>
  <c r="U815" i="1"/>
  <c r="AM815" i="1" s="1"/>
  <c r="AV815" i="1" s="1"/>
  <c r="S816" i="1"/>
  <c r="U816" i="1"/>
  <c r="AM816" i="1" s="1"/>
  <c r="S817" i="1"/>
  <c r="U817" i="1"/>
  <c r="AM817" i="1" s="1"/>
  <c r="S818" i="1"/>
  <c r="U818" i="1"/>
  <c r="AM818" i="1" s="1"/>
  <c r="S819" i="1"/>
  <c r="U819" i="1"/>
  <c r="AM819" i="1" s="1"/>
  <c r="S820" i="1"/>
  <c r="U820" i="1"/>
  <c r="AM820" i="1" s="1"/>
  <c r="AV820" i="1" s="1"/>
  <c r="S821" i="1"/>
  <c r="U821" i="1"/>
  <c r="AM821" i="1" s="1"/>
  <c r="S822" i="1"/>
  <c r="U822" i="1"/>
  <c r="AM822" i="1" s="1"/>
  <c r="S823" i="1"/>
  <c r="U823" i="1"/>
  <c r="AM823" i="1" s="1"/>
  <c r="AU823" i="1"/>
  <c r="AV823" i="1"/>
  <c r="S824" i="1"/>
  <c r="U824" i="1"/>
  <c r="AM824" i="1" s="1"/>
  <c r="S825" i="1"/>
  <c r="U825" i="1"/>
  <c r="AM825" i="1" s="1"/>
  <c r="S826" i="1"/>
  <c r="U826" i="1"/>
  <c r="AM826" i="1" s="1"/>
  <c r="S827" i="1"/>
  <c r="U827" i="1"/>
  <c r="AM827" i="1" s="1"/>
  <c r="S828" i="1"/>
  <c r="U828" i="1"/>
  <c r="AM828" i="1" s="1"/>
  <c r="S829" i="1"/>
  <c r="U829" i="1"/>
  <c r="AM829" i="1" s="1"/>
  <c r="S830" i="1"/>
  <c r="U830" i="1"/>
  <c r="AM830" i="1" s="1"/>
  <c r="AU830" i="1"/>
  <c r="S831" i="1"/>
  <c r="U831" i="1"/>
  <c r="AM831" i="1" s="1"/>
  <c r="S832" i="1"/>
  <c r="U832" i="1"/>
  <c r="AM832" i="1" s="1"/>
  <c r="S833" i="1"/>
  <c r="U833" i="1"/>
  <c r="AM833" i="1" s="1"/>
  <c r="AV833" i="1" s="1"/>
  <c r="S834" i="1"/>
  <c r="U834" i="1"/>
  <c r="AM834" i="1" s="1"/>
  <c r="S835" i="1"/>
  <c r="U835" i="1"/>
  <c r="AM835" i="1" s="1"/>
  <c r="S836" i="1"/>
  <c r="U836" i="1"/>
  <c r="AM836" i="1"/>
  <c r="S837" i="1"/>
  <c r="U837" i="1"/>
  <c r="AM837" i="1" s="1"/>
  <c r="S838" i="1"/>
  <c r="U838" i="1"/>
  <c r="AM838" i="1" s="1"/>
  <c r="S839" i="1"/>
  <c r="U839" i="1"/>
  <c r="AM839" i="1"/>
  <c r="S840" i="1"/>
  <c r="U840" i="1"/>
  <c r="AM840" i="1" s="1"/>
  <c r="AV840" i="1"/>
  <c r="S841" i="1"/>
  <c r="U841" i="1"/>
  <c r="AM841" i="1" s="1"/>
  <c r="AV841" i="1"/>
  <c r="S842" i="1"/>
  <c r="U842" i="1"/>
  <c r="AM842" i="1" s="1"/>
  <c r="S843" i="1"/>
  <c r="U843" i="1"/>
  <c r="AM843" i="1" s="1"/>
  <c r="S844" i="1"/>
  <c r="U844" i="1"/>
  <c r="AM844" i="1"/>
  <c r="S845" i="1"/>
  <c r="U845" i="1"/>
  <c r="AM845" i="1" s="1"/>
  <c r="S846" i="1"/>
  <c r="U846" i="1"/>
  <c r="AM846" i="1" s="1"/>
  <c r="S847" i="1"/>
  <c r="U847" i="1"/>
  <c r="AM847" i="1"/>
  <c r="S848" i="1"/>
  <c r="U848" i="1"/>
  <c r="AM848" i="1" s="1"/>
  <c r="S849" i="1"/>
  <c r="U849" i="1"/>
  <c r="AM849" i="1" s="1"/>
  <c r="S850" i="1"/>
  <c r="U850" i="1"/>
  <c r="AM850" i="1" s="1"/>
  <c r="S851" i="1"/>
  <c r="U851" i="1"/>
  <c r="AM851" i="1" s="1"/>
  <c r="S852" i="1"/>
  <c r="U852" i="1"/>
  <c r="AM852" i="1" s="1"/>
  <c r="AU852" i="1" s="1"/>
  <c r="AV852" i="1"/>
  <c r="S853" i="1"/>
  <c r="U853" i="1"/>
  <c r="AM853" i="1" s="1"/>
  <c r="S854" i="1"/>
  <c r="U854" i="1"/>
  <c r="AM854" i="1" s="1"/>
  <c r="S855" i="1"/>
  <c r="U855" i="1"/>
  <c r="AM855" i="1" s="1"/>
  <c r="S856" i="1"/>
  <c r="U856" i="1"/>
  <c r="AM856" i="1" s="1"/>
  <c r="S857" i="1"/>
  <c r="U857" i="1"/>
  <c r="AM857" i="1" s="1"/>
  <c r="S858" i="1"/>
  <c r="U858" i="1"/>
  <c r="AM858" i="1" s="1"/>
  <c r="AU858" i="1" s="1"/>
  <c r="S859" i="1"/>
  <c r="U859" i="1"/>
  <c r="AM859" i="1" s="1"/>
  <c r="S860" i="1"/>
  <c r="U860" i="1"/>
  <c r="AM860" i="1" s="1"/>
  <c r="S861" i="1"/>
  <c r="U861" i="1"/>
  <c r="AM861" i="1" s="1"/>
  <c r="S862" i="1"/>
  <c r="U862" i="1"/>
  <c r="AM862" i="1" s="1"/>
  <c r="S863" i="1"/>
  <c r="U863" i="1"/>
  <c r="AM863" i="1" s="1"/>
  <c r="S864" i="1"/>
  <c r="U864" i="1"/>
  <c r="AM864" i="1" s="1"/>
  <c r="S865" i="1"/>
  <c r="U865" i="1"/>
  <c r="AM865" i="1" s="1"/>
  <c r="S866" i="1"/>
  <c r="U866" i="1"/>
  <c r="AM866" i="1" s="1"/>
  <c r="S867" i="1"/>
  <c r="U867" i="1"/>
  <c r="AM867" i="1"/>
  <c r="S868" i="1"/>
  <c r="U868" i="1"/>
  <c r="AM868" i="1" s="1"/>
  <c r="S869" i="1"/>
  <c r="U869" i="1"/>
  <c r="AM869" i="1"/>
  <c r="AV869" i="1" s="1"/>
  <c r="S870" i="1"/>
  <c r="U870" i="1"/>
  <c r="AM870" i="1" s="1"/>
  <c r="S871" i="1"/>
  <c r="U871" i="1"/>
  <c r="AM871" i="1" s="1"/>
  <c r="S872" i="1"/>
  <c r="U872" i="1"/>
  <c r="AM872" i="1"/>
  <c r="S873" i="1"/>
  <c r="U873" i="1"/>
  <c r="AM873" i="1" s="1"/>
  <c r="S874" i="1"/>
  <c r="U874" i="1"/>
  <c r="AM874" i="1" s="1"/>
  <c r="AV874" i="1" s="1"/>
  <c r="S875" i="1"/>
  <c r="U875" i="1"/>
  <c r="AM875" i="1" s="1"/>
  <c r="S876" i="1"/>
  <c r="U876" i="1"/>
  <c r="AM876" i="1" s="1"/>
  <c r="S877" i="1"/>
  <c r="U877" i="1"/>
  <c r="AM877" i="1"/>
  <c r="AV877" i="1"/>
  <c r="S878" i="1"/>
  <c r="U878" i="1"/>
  <c r="AM878" i="1" s="1"/>
  <c r="S879" i="1"/>
  <c r="U879" i="1"/>
  <c r="AM879" i="1" s="1"/>
  <c r="AV879" i="1" s="1"/>
  <c r="S880" i="1"/>
  <c r="U880" i="1"/>
  <c r="AM880" i="1" s="1"/>
  <c r="AU880" i="1"/>
  <c r="S881" i="1"/>
  <c r="U881" i="1"/>
  <c r="AM881" i="1" s="1"/>
  <c r="S882" i="1"/>
  <c r="U882" i="1"/>
  <c r="AM882" i="1" s="1"/>
  <c r="S883" i="1"/>
  <c r="U883" i="1"/>
  <c r="AM883" i="1" s="1"/>
  <c r="S884" i="1"/>
  <c r="U884" i="1"/>
  <c r="AM884" i="1" s="1"/>
  <c r="S885" i="1"/>
  <c r="U885" i="1"/>
  <c r="AM885" i="1" s="1"/>
  <c r="S886" i="1"/>
  <c r="U886" i="1"/>
  <c r="AM886" i="1" s="1"/>
  <c r="S887" i="1"/>
  <c r="U887" i="1"/>
  <c r="AM887" i="1" s="1"/>
  <c r="S888" i="1"/>
  <c r="U888" i="1"/>
  <c r="AM888" i="1" s="1"/>
  <c r="S889" i="1"/>
  <c r="U889" i="1"/>
  <c r="AM889" i="1" s="1"/>
  <c r="S890" i="1"/>
  <c r="U890" i="1"/>
  <c r="AM890" i="1" s="1"/>
  <c r="S891" i="1"/>
  <c r="U891" i="1"/>
  <c r="AM891" i="1" s="1"/>
  <c r="S892" i="1"/>
  <c r="U892" i="1"/>
  <c r="AV892" i="1"/>
  <c r="AM892" i="1"/>
  <c r="S893" i="1"/>
  <c r="U893" i="1"/>
  <c r="AM893" i="1" s="1"/>
  <c r="S894" i="1"/>
  <c r="U894" i="1"/>
  <c r="AM894" i="1" s="1"/>
  <c r="S895" i="1"/>
  <c r="U895" i="1"/>
  <c r="AM895" i="1" s="1"/>
  <c r="S896" i="1"/>
  <c r="U896" i="1"/>
  <c r="AM896" i="1" s="1"/>
  <c r="S897" i="1"/>
  <c r="U897" i="1"/>
  <c r="AM897" i="1" s="1"/>
  <c r="AV897" i="1" s="1"/>
  <c r="S898" i="1"/>
  <c r="U898" i="1"/>
  <c r="AM898" i="1" s="1"/>
  <c r="S899" i="1"/>
  <c r="U899" i="1"/>
  <c r="AM899" i="1" s="1"/>
  <c r="AU899" i="1"/>
  <c r="S900" i="1"/>
  <c r="U900" i="1"/>
  <c r="AM900" i="1" s="1"/>
  <c r="S901" i="1"/>
  <c r="U901" i="1"/>
  <c r="AM901" i="1" s="1"/>
  <c r="S902" i="1"/>
  <c r="U902" i="1"/>
  <c r="AM902" i="1" s="1"/>
  <c r="AV902" i="1" s="1"/>
  <c r="S903" i="1"/>
  <c r="U903" i="1"/>
  <c r="AM903" i="1" s="1"/>
  <c r="AV903" i="1"/>
  <c r="S904" i="1"/>
  <c r="U904" i="1"/>
  <c r="AM904" i="1" s="1"/>
  <c r="S905" i="1"/>
  <c r="U905" i="1"/>
  <c r="AM905" i="1" s="1"/>
  <c r="S906" i="1"/>
  <c r="U906" i="1"/>
  <c r="AM906" i="1" s="1"/>
  <c r="S907" i="1"/>
  <c r="U907" i="1"/>
  <c r="AM907" i="1" s="1"/>
  <c r="AV907" i="1"/>
  <c r="S908" i="1"/>
  <c r="U908" i="1"/>
  <c r="AM908" i="1" s="1"/>
  <c r="S909" i="1"/>
  <c r="U909" i="1"/>
  <c r="AM909" i="1"/>
  <c r="AV909" i="1" s="1"/>
  <c r="S910" i="1"/>
  <c r="U910" i="1"/>
  <c r="AM910" i="1" s="1"/>
  <c r="AU910" i="1"/>
  <c r="S911" i="1"/>
  <c r="U911" i="1"/>
  <c r="AM911" i="1" s="1"/>
  <c r="S912" i="1"/>
  <c r="U912" i="1"/>
  <c r="AM912" i="1" s="1"/>
  <c r="AV912" i="1"/>
  <c r="S913" i="1"/>
  <c r="U913" i="1"/>
  <c r="AM913" i="1" s="1"/>
  <c r="S914" i="1"/>
  <c r="U914" i="1"/>
  <c r="AM914" i="1" s="1"/>
  <c r="S915" i="1"/>
  <c r="U915" i="1"/>
  <c r="AM915" i="1" s="1"/>
  <c r="S916" i="1"/>
  <c r="U916" i="1"/>
  <c r="AM916" i="1" s="1"/>
  <c r="S917" i="1"/>
  <c r="U917" i="1"/>
  <c r="AM917" i="1" s="1"/>
  <c r="S918" i="1"/>
  <c r="U918" i="1"/>
  <c r="AM918" i="1" s="1"/>
  <c r="S919" i="1"/>
  <c r="U919" i="1"/>
  <c r="AM919" i="1"/>
  <c r="S920" i="1"/>
  <c r="U920" i="1"/>
  <c r="AM920" i="1" s="1"/>
  <c r="S921" i="1"/>
  <c r="U921" i="1"/>
  <c r="AM921" i="1" s="1"/>
  <c r="S922" i="1"/>
  <c r="U922" i="1"/>
  <c r="AM922" i="1" s="1"/>
  <c r="AU922" i="1"/>
  <c r="S923" i="1"/>
  <c r="U923" i="1"/>
  <c r="AM923" i="1" s="1"/>
  <c r="S924" i="1"/>
  <c r="U924" i="1"/>
  <c r="AM924" i="1" s="1"/>
  <c r="S925" i="1"/>
  <c r="U925" i="1"/>
  <c r="AM925" i="1"/>
  <c r="S926" i="1"/>
  <c r="U926" i="1"/>
  <c r="AM926" i="1" s="1"/>
  <c r="S927" i="1"/>
  <c r="U927" i="1"/>
  <c r="AM927" i="1" s="1"/>
  <c r="S928" i="1"/>
  <c r="U928" i="1"/>
  <c r="AM928" i="1" s="1"/>
  <c r="S929" i="1"/>
  <c r="U929" i="1"/>
  <c r="AM929" i="1" s="1"/>
  <c r="S930" i="1"/>
  <c r="U930" i="1"/>
  <c r="AM930" i="1" s="1"/>
  <c r="S931" i="1"/>
  <c r="U931" i="1"/>
  <c r="AM931" i="1" s="1"/>
  <c r="S932" i="1"/>
  <c r="U932" i="1"/>
  <c r="AM932" i="1"/>
  <c r="S933" i="1"/>
  <c r="U933" i="1"/>
  <c r="AM933" i="1" s="1"/>
  <c r="S934" i="1"/>
  <c r="U934" i="1"/>
  <c r="AM934" i="1" s="1"/>
  <c r="S935" i="1"/>
  <c r="U935" i="1"/>
  <c r="AM935" i="1" s="1"/>
  <c r="S936" i="1"/>
  <c r="U936" i="1"/>
  <c r="AM936" i="1" s="1"/>
  <c r="S937" i="1"/>
  <c r="U937" i="1"/>
  <c r="AM937" i="1" s="1"/>
  <c r="S938" i="1"/>
  <c r="U938" i="1"/>
  <c r="AM938" i="1" s="1"/>
  <c r="S939" i="1"/>
  <c r="U939" i="1"/>
  <c r="AM939" i="1" s="1"/>
  <c r="AU939" i="1"/>
  <c r="S940" i="1"/>
  <c r="U940" i="1"/>
  <c r="AM940" i="1" s="1"/>
  <c r="S941" i="1"/>
  <c r="U941" i="1"/>
  <c r="AM941" i="1" s="1"/>
  <c r="S942" i="1"/>
  <c r="U942" i="1"/>
  <c r="AM942" i="1"/>
  <c r="AV942" i="1"/>
  <c r="S943" i="1"/>
  <c r="U943" i="1"/>
  <c r="AM943" i="1" s="1"/>
  <c r="S944" i="1"/>
  <c r="U944" i="1"/>
  <c r="AM944" i="1" s="1"/>
  <c r="S945" i="1"/>
  <c r="U945" i="1"/>
  <c r="AM945" i="1" s="1"/>
  <c r="S946" i="1"/>
  <c r="U946" i="1"/>
  <c r="AM946" i="1" s="1"/>
  <c r="S947" i="1"/>
  <c r="U947" i="1"/>
  <c r="AM947" i="1" s="1"/>
  <c r="AV947" i="1"/>
  <c r="S948" i="1"/>
  <c r="U948" i="1"/>
  <c r="AM948" i="1" s="1"/>
  <c r="S949" i="1"/>
  <c r="U949" i="1"/>
  <c r="AM949" i="1" s="1"/>
  <c r="S950" i="1"/>
  <c r="U950" i="1"/>
  <c r="AM950" i="1" s="1"/>
  <c r="S951" i="1"/>
  <c r="U951" i="1"/>
  <c r="AM951" i="1" s="1"/>
  <c r="S952" i="1"/>
  <c r="U952" i="1"/>
  <c r="AM952" i="1"/>
  <c r="S953" i="1"/>
  <c r="U953" i="1"/>
  <c r="AM953" i="1" s="1"/>
  <c r="S954" i="1"/>
  <c r="U954" i="1"/>
  <c r="AM954" i="1" s="1"/>
  <c r="AU954" i="1"/>
  <c r="S955" i="1"/>
  <c r="U955" i="1"/>
  <c r="AM955" i="1" s="1"/>
  <c r="S956" i="1"/>
  <c r="U956" i="1"/>
  <c r="AM956" i="1" s="1"/>
  <c r="S957" i="1"/>
  <c r="U957" i="1"/>
  <c r="AV957" i="1"/>
  <c r="AM957" i="1"/>
  <c r="S958" i="1"/>
  <c r="U958" i="1"/>
  <c r="AM958" i="1" s="1"/>
  <c r="S959" i="1"/>
  <c r="U959" i="1"/>
  <c r="AM959" i="1" s="1"/>
  <c r="AU959" i="1"/>
  <c r="S960" i="1"/>
  <c r="U960" i="1"/>
  <c r="AM960" i="1" s="1"/>
  <c r="S961" i="1"/>
  <c r="U961" i="1"/>
  <c r="AM961" i="1" s="1"/>
  <c r="S962" i="1"/>
  <c r="U962" i="1"/>
  <c r="AM962" i="1"/>
  <c r="AV962" i="1" s="1"/>
  <c r="S963" i="1"/>
  <c r="U963" i="1"/>
  <c r="AM963" i="1" s="1"/>
  <c r="S964" i="1"/>
  <c r="U964" i="1"/>
  <c r="AM964" i="1"/>
  <c r="S965" i="1"/>
  <c r="U965" i="1"/>
  <c r="AM965" i="1" s="1"/>
  <c r="S966" i="1"/>
  <c r="U966" i="1"/>
  <c r="AM966" i="1" s="1"/>
  <c r="S967" i="1"/>
  <c r="U967" i="1"/>
  <c r="AM967" i="1" s="1"/>
  <c r="AU967" i="1"/>
  <c r="AV967" i="1"/>
  <c r="S968" i="1"/>
  <c r="U968" i="1"/>
  <c r="AM968" i="1" s="1"/>
  <c r="S969" i="1"/>
  <c r="U969" i="1"/>
  <c r="AM969" i="1" s="1"/>
  <c r="S970" i="1"/>
  <c r="U970" i="1"/>
  <c r="AM970" i="1" s="1"/>
  <c r="S971" i="1"/>
  <c r="U971" i="1"/>
  <c r="AM971" i="1" s="1"/>
  <c r="S972" i="1"/>
  <c r="U972" i="1"/>
  <c r="AM972" i="1" s="1"/>
  <c r="S973" i="1"/>
  <c r="U973" i="1"/>
  <c r="AM973" i="1" s="1"/>
  <c r="S974" i="1"/>
  <c r="U974" i="1"/>
  <c r="AM974" i="1" s="1"/>
  <c r="S975" i="1"/>
  <c r="U975" i="1"/>
  <c r="AM975" i="1" s="1"/>
  <c r="AV975" i="1"/>
  <c r="S976" i="1"/>
  <c r="U976" i="1"/>
  <c r="AM976" i="1" s="1"/>
  <c r="S977" i="1"/>
  <c r="U977" i="1"/>
  <c r="AM977" i="1" s="1"/>
  <c r="S978" i="1"/>
  <c r="U978" i="1"/>
  <c r="AM978" i="1" s="1"/>
  <c r="S979" i="1"/>
  <c r="U979" i="1"/>
  <c r="AM979" i="1" s="1"/>
  <c r="AU979" i="1"/>
  <c r="S980" i="1"/>
  <c r="U980" i="1"/>
  <c r="AM980" i="1" s="1"/>
  <c r="AW980" i="1"/>
  <c r="S981" i="1"/>
  <c r="U981" i="1"/>
  <c r="AM981" i="1" s="1"/>
  <c r="S982" i="1"/>
  <c r="U982" i="1"/>
  <c r="AM982" i="1" s="1"/>
  <c r="S983" i="1"/>
  <c r="U983" i="1"/>
  <c r="AM983" i="1" s="1"/>
  <c r="S984" i="1"/>
  <c r="U984" i="1"/>
  <c r="AM984" i="1" s="1"/>
  <c r="S985" i="1"/>
  <c r="U985" i="1"/>
  <c r="AM985" i="1" s="1"/>
  <c r="S986" i="1"/>
  <c r="U986" i="1"/>
  <c r="AM986" i="1" s="1"/>
  <c r="S987" i="1"/>
  <c r="U987" i="1"/>
  <c r="AM987" i="1"/>
  <c r="AV987" i="1" s="1"/>
  <c r="S988" i="1"/>
  <c r="U988" i="1"/>
  <c r="AM988" i="1" s="1"/>
  <c r="S989" i="1"/>
  <c r="U989" i="1"/>
  <c r="AM989" i="1" s="1"/>
  <c r="S990" i="1"/>
  <c r="U990" i="1"/>
  <c r="AM990" i="1" s="1"/>
  <c r="S991" i="1"/>
  <c r="U991" i="1"/>
  <c r="AM991" i="1" s="1"/>
  <c r="S992" i="1"/>
  <c r="U992" i="1"/>
  <c r="AM992" i="1" s="1"/>
  <c r="S993" i="1"/>
  <c r="U993" i="1"/>
  <c r="AM993" i="1" s="1"/>
  <c r="S994" i="1"/>
  <c r="U994" i="1"/>
  <c r="AM994" i="1" s="1"/>
  <c r="S995" i="1"/>
  <c r="U995" i="1"/>
  <c r="AM995" i="1" s="1"/>
  <c r="AW995" i="1"/>
  <c r="S996" i="1"/>
  <c r="U996" i="1"/>
  <c r="AM996" i="1" s="1"/>
  <c r="S997" i="1"/>
  <c r="U997" i="1"/>
  <c r="AM997" i="1" s="1"/>
  <c r="S998" i="1"/>
  <c r="U998" i="1"/>
  <c r="AM998" i="1" s="1"/>
  <c r="S999" i="1"/>
  <c r="U999" i="1"/>
  <c r="AM999" i="1" s="1"/>
  <c r="S1000" i="1"/>
  <c r="U1000" i="1"/>
  <c r="AM1000" i="1" s="1"/>
  <c r="AU1000" i="1"/>
  <c r="S1001" i="1"/>
  <c r="U1001" i="1"/>
  <c r="AM1001" i="1" s="1"/>
  <c r="S1002" i="1"/>
  <c r="U1002" i="1"/>
  <c r="AM1002" i="1" s="1"/>
  <c r="S1003" i="1"/>
  <c r="U1003" i="1"/>
  <c r="AM1003" i="1" s="1"/>
  <c r="S1004" i="1"/>
  <c r="U1004" i="1"/>
  <c r="AM1004" i="1" s="1"/>
  <c r="AV1004" i="1"/>
  <c r="S1005" i="1"/>
  <c r="U1005" i="1"/>
  <c r="AM1005" i="1" s="1"/>
  <c r="AU1005" i="1"/>
  <c r="S1006" i="1"/>
  <c r="U1006" i="1"/>
  <c r="AM1006" i="1" s="1"/>
  <c r="AV1006" i="1" s="1"/>
  <c r="S1007" i="1"/>
  <c r="U1007" i="1"/>
  <c r="AM1007" i="1" s="1"/>
  <c r="S1008" i="1"/>
  <c r="U1008" i="1"/>
  <c r="AM1008" i="1" s="1"/>
  <c r="S1009" i="1"/>
  <c r="U1009" i="1"/>
  <c r="AM1009" i="1" s="1"/>
  <c r="S1010" i="1"/>
  <c r="U1010" i="1"/>
  <c r="AM1010" i="1" s="1"/>
  <c r="AW1010" i="1"/>
  <c r="S1011" i="1"/>
  <c r="U1011" i="1"/>
  <c r="AM1011" i="1" s="1"/>
  <c r="S1012" i="1"/>
  <c r="U1012" i="1"/>
  <c r="AM1012" i="1" s="1"/>
  <c r="AV1012" i="1"/>
  <c r="S1013" i="1"/>
  <c r="U1013" i="1"/>
  <c r="AM1013" i="1" s="1"/>
  <c r="S1014" i="1"/>
  <c r="U1014" i="1"/>
  <c r="AM1014" i="1" s="1"/>
  <c r="S1015" i="1"/>
  <c r="U1015" i="1"/>
  <c r="AM1015" i="1" s="1"/>
  <c r="S1016" i="1"/>
  <c r="U1016" i="1"/>
  <c r="AM1016" i="1" s="1"/>
  <c r="AV1016" i="1" s="1"/>
  <c r="S1017" i="1"/>
  <c r="U1017" i="1"/>
  <c r="AM1017" i="1" s="1"/>
  <c r="S1018" i="1"/>
  <c r="U1018" i="1"/>
  <c r="AM1018" i="1"/>
  <c r="AU1018" i="1" s="1"/>
  <c r="S1019" i="1"/>
  <c r="U1019" i="1"/>
  <c r="AM1019" i="1" s="1"/>
  <c r="AV1019" i="1"/>
  <c r="S1020" i="1"/>
  <c r="U1020" i="1"/>
  <c r="AM1020" i="1" s="1"/>
  <c r="AU1020" i="1"/>
  <c r="S1021" i="1"/>
  <c r="U1021" i="1"/>
  <c r="AM1021" i="1" s="1"/>
  <c r="S1022" i="1"/>
  <c r="U1022" i="1"/>
  <c r="AM1022" i="1"/>
  <c r="S1023" i="1"/>
  <c r="U1023" i="1"/>
  <c r="AM1023" i="1" s="1"/>
  <c r="AU1023" i="1" s="1"/>
  <c r="S1024" i="1"/>
  <c r="U1024" i="1"/>
  <c r="AM1024" i="1"/>
  <c r="S1025" i="1"/>
  <c r="U1025" i="1"/>
  <c r="AM1025" i="1" s="1"/>
  <c r="AU1025" i="1"/>
  <c r="AW1025" i="1"/>
  <c r="S1026" i="1"/>
  <c r="U1026" i="1"/>
  <c r="AM1026" i="1"/>
  <c r="S1027" i="1"/>
  <c r="U1027" i="1"/>
  <c r="AM1027" i="1" s="1"/>
  <c r="AV1027" i="1" s="1"/>
  <c r="S1028" i="1"/>
  <c r="U1028" i="1"/>
  <c r="AM1028" i="1" s="1"/>
  <c r="S1029" i="1"/>
  <c r="U1029" i="1"/>
  <c r="AM1029" i="1" s="1"/>
  <c r="S1030" i="1"/>
  <c r="U1030" i="1"/>
  <c r="AM1030" i="1" s="1"/>
  <c r="AU1030" i="1"/>
  <c r="S1031" i="1"/>
  <c r="U1031" i="1"/>
  <c r="AM1031" i="1"/>
  <c r="S1032" i="1"/>
  <c r="U1032" i="1"/>
  <c r="AM1032" i="1" s="1"/>
  <c r="S1033" i="1"/>
  <c r="U1033" i="1"/>
  <c r="AM1033" i="1" s="1"/>
  <c r="AU847" i="1" l="1"/>
  <c r="AV847" i="1"/>
  <c r="AU829" i="1"/>
  <c r="AV829" i="1"/>
  <c r="AV764" i="1"/>
  <c r="AU804" i="1"/>
  <c r="AW468" i="1"/>
  <c r="AV468" i="1"/>
  <c r="AV700" i="1"/>
  <c r="AU744" i="1"/>
  <c r="AV528" i="1"/>
  <c r="AU759" i="1"/>
  <c r="AU724" i="1"/>
  <c r="AV724" i="1"/>
  <c r="AV589" i="1"/>
  <c r="AV653" i="1"/>
  <c r="AU749" i="1"/>
  <c r="AU729" i="1"/>
  <c r="AV625" i="1"/>
  <c r="AV594" i="1"/>
  <c r="AU754" i="1"/>
  <c r="AU93" i="1"/>
  <c r="AV93" i="1"/>
  <c r="AU63" i="1"/>
  <c r="AV63" i="1"/>
  <c r="AV779" i="1"/>
  <c r="AU734" i="1"/>
  <c r="AV734" i="1"/>
  <c r="AU62" i="1"/>
  <c r="AV62" i="1"/>
  <c r="AU771" i="1"/>
  <c r="AU652" i="1"/>
  <c r="AV566" i="1"/>
  <c r="AW324" i="1"/>
  <c r="AU7" i="1"/>
  <c r="AV880" i="1"/>
  <c r="AV541" i="1"/>
  <c r="AU131" i="1"/>
  <c r="AU108" i="1"/>
  <c r="AV86" i="1"/>
  <c r="AV1030" i="1"/>
  <c r="AV1025" i="1"/>
  <c r="AU1015" i="1"/>
  <c r="AV995" i="1"/>
  <c r="AU786" i="1"/>
  <c r="AU755" i="1"/>
  <c r="AV750" i="1"/>
  <c r="AV668" i="1"/>
  <c r="AV312" i="1"/>
  <c r="AU176" i="1"/>
  <c r="AV12" i="1"/>
  <c r="AU995" i="1"/>
  <c r="AU770" i="1"/>
  <c r="AU765" i="1"/>
  <c r="AV744" i="1"/>
  <c r="AV466" i="1"/>
  <c r="AU394" i="1"/>
  <c r="AW63" i="1"/>
  <c r="AV749" i="1"/>
  <c r="AV294" i="1"/>
  <c r="AW281" i="1"/>
  <c r="AV268" i="1"/>
  <c r="AV212" i="1"/>
  <c r="AV188" i="1"/>
  <c r="AV182" i="1"/>
  <c r="AV91" i="1"/>
  <c r="AW68" i="1"/>
  <c r="AV927" i="1"/>
  <c r="AV673" i="1"/>
  <c r="AV593" i="1"/>
  <c r="AV404" i="1"/>
  <c r="AW388" i="1"/>
  <c r="AU377" i="1"/>
  <c r="AV339" i="1"/>
  <c r="AU118" i="1"/>
  <c r="AV1007" i="1"/>
  <c r="AV982" i="1"/>
  <c r="AU945" i="1"/>
  <c r="AU914" i="1"/>
  <c r="AV873" i="1"/>
  <c r="AU791" i="1"/>
  <c r="AV785" i="1"/>
  <c r="AV775" i="1"/>
  <c r="AV713" i="1"/>
  <c r="AU702" i="1"/>
  <c r="AU539" i="1"/>
  <c r="AU461" i="1"/>
  <c r="AW393" i="1"/>
  <c r="AW316" i="1"/>
  <c r="AW123" i="1"/>
  <c r="AV84" i="1"/>
  <c r="AU5" i="1"/>
  <c r="AU920" i="1"/>
  <c r="AV878" i="1"/>
  <c r="AW655" i="1"/>
  <c r="AU533" i="1"/>
  <c r="AW78" i="1"/>
  <c r="AV769" i="1"/>
  <c r="AV338" i="1"/>
  <c r="AU327" i="1"/>
  <c r="AW151" i="1"/>
  <c r="AV913" i="1"/>
  <c r="AV884" i="1"/>
  <c r="AV848" i="1"/>
  <c r="AV843" i="1"/>
  <c r="AV837" i="1"/>
  <c r="AV831" i="1"/>
  <c r="AU813" i="1"/>
  <c r="AV733" i="1"/>
  <c r="AV728" i="1"/>
  <c r="AU617" i="1"/>
  <c r="AW286" i="1"/>
  <c r="AW162" i="1"/>
  <c r="AU78" i="1"/>
  <c r="AV919" i="1"/>
  <c r="AV563" i="1"/>
  <c r="AU558" i="1"/>
  <c r="AV553" i="1"/>
  <c r="AU469" i="1"/>
  <c r="AV409" i="1"/>
  <c r="AV309" i="1"/>
  <c r="AW247" i="1"/>
  <c r="AW222" i="1"/>
  <c r="AV192" i="1"/>
  <c r="AV94" i="1"/>
  <c r="AV842" i="1"/>
  <c r="AV836" i="1"/>
  <c r="AV758" i="1"/>
  <c r="AV748" i="1"/>
  <c r="AV596" i="1"/>
  <c r="AU580" i="1"/>
  <c r="AV414" i="1"/>
  <c r="AU380" i="1"/>
  <c r="AV173" i="1"/>
  <c r="AV121" i="1"/>
  <c r="AU99" i="1"/>
  <c r="AV72" i="1"/>
  <c r="AU937" i="1"/>
  <c r="AV859" i="1"/>
  <c r="AV795" i="1"/>
  <c r="AV753" i="1"/>
  <c r="AV638" i="1"/>
  <c r="AW38" i="1"/>
  <c r="AW905" i="1"/>
  <c r="AV888" i="1"/>
  <c r="AU757" i="1"/>
  <c r="AU747" i="1"/>
  <c r="AU726" i="1"/>
  <c r="AV568" i="1"/>
  <c r="AW543" i="1"/>
  <c r="AW348" i="1"/>
  <c r="AV336" i="1"/>
  <c r="AV858" i="1"/>
  <c r="AU835" i="1"/>
  <c r="AU811" i="1"/>
  <c r="AU705" i="1"/>
  <c r="AU531" i="1"/>
  <c r="AU520" i="1"/>
  <c r="AU478" i="1"/>
  <c r="AV353" i="1"/>
  <c r="AV296" i="1"/>
  <c r="AW271" i="1"/>
  <c r="AV252" i="1"/>
  <c r="AV227" i="1"/>
  <c r="AV138" i="1"/>
  <c r="AV77" i="1"/>
  <c r="AV924" i="1"/>
  <c r="AV799" i="1"/>
  <c r="AW625" i="1"/>
  <c r="AV384" i="1"/>
  <c r="AV258" i="1"/>
  <c r="AV109" i="1"/>
  <c r="AV98" i="1"/>
  <c r="AV37" i="1"/>
  <c r="AU985" i="1"/>
  <c r="AV804" i="1"/>
  <c r="AV710" i="1"/>
  <c r="AW594" i="1"/>
  <c r="AW584" i="1"/>
  <c r="AU498" i="1"/>
  <c r="AV424" i="1"/>
  <c r="AV413" i="1"/>
  <c r="AV1022" i="1"/>
  <c r="AV904" i="1"/>
  <c r="AV864" i="1"/>
  <c r="AV714" i="1"/>
  <c r="AU657" i="1"/>
  <c r="AU573" i="1"/>
  <c r="AV536" i="1"/>
  <c r="AV441" i="1"/>
  <c r="AV374" i="1"/>
  <c r="AV276" i="1"/>
  <c r="AW990" i="1"/>
  <c r="AV857" i="1"/>
  <c r="AV730" i="1"/>
  <c r="AU418" i="1"/>
  <c r="AU400" i="1"/>
  <c r="AU30" i="1"/>
  <c r="AV586" i="1"/>
  <c r="AU789" i="1"/>
  <c r="AV789" i="1"/>
  <c r="AW618" i="1"/>
  <c r="AV618" i="1"/>
  <c r="AV1017" i="1"/>
  <c r="AW623" i="1"/>
  <c r="AV623" i="1"/>
  <c r="AU784" i="1"/>
  <c r="AV784" i="1"/>
  <c r="AU814" i="1"/>
  <c r="AV814" i="1"/>
  <c r="AU620" i="1"/>
  <c r="AW620" i="1"/>
  <c r="AV620" i="1"/>
  <c r="AV604" i="1"/>
  <c r="AW604" i="1"/>
  <c r="AV645" i="1"/>
  <c r="AV709" i="1"/>
  <c r="AU709" i="1"/>
  <c r="AV952" i="1"/>
  <c r="AU809" i="1"/>
  <c r="AV809" i="1"/>
  <c r="AU1013" i="1"/>
  <c r="AU897" i="1"/>
  <c r="AW834" i="1"/>
  <c r="AU773" i="1"/>
  <c r="AW749" i="1"/>
  <c r="AW729" i="1"/>
  <c r="AW714" i="1"/>
  <c r="AU537" i="1"/>
  <c r="AU468" i="1"/>
  <c r="AU365" i="1"/>
  <c r="AW354" i="1"/>
  <c r="AV354" i="1"/>
  <c r="AV349" i="1"/>
  <c r="AV83" i="1"/>
  <c r="AU33" i="1"/>
  <c r="AW33" i="1"/>
  <c r="AU519" i="1"/>
  <c r="AU416" i="1"/>
  <c r="AU867" i="1"/>
  <c r="AU538" i="1"/>
  <c r="AV217" i="1"/>
  <c r="AU556" i="1"/>
  <c r="AW839" i="1"/>
  <c r="AU376" i="1"/>
  <c r="AV977" i="1"/>
  <c r="AU925" i="1"/>
  <c r="AW754" i="1"/>
  <c r="AU648" i="1"/>
  <c r="AU593" i="1"/>
  <c r="AV570" i="1"/>
  <c r="AU551" i="1"/>
  <c r="AU517" i="1"/>
  <c r="AV431" i="1"/>
  <c r="AV272" i="1"/>
  <c r="AV247" i="1"/>
  <c r="AV222" i="1"/>
  <c r="AU128" i="1"/>
  <c r="AV128" i="1"/>
  <c r="AW128" i="1"/>
  <c r="AV99" i="1"/>
  <c r="AU23" i="1"/>
  <c r="AW23" i="1"/>
  <c r="AV793" i="1"/>
  <c r="AU887" i="1"/>
  <c r="AU464" i="1"/>
  <c r="AV914" i="1"/>
  <c r="AU877" i="1"/>
  <c r="AU123" i="1"/>
  <c r="AV123" i="1"/>
  <c r="AW739" i="1"/>
  <c r="AU676" i="1"/>
  <c r="AU437" i="1"/>
  <c r="AV1032" i="1"/>
  <c r="AV1001" i="1"/>
  <c r="AU942" i="1"/>
  <c r="AU902" i="1"/>
  <c r="AU849" i="1"/>
  <c r="AU768" i="1"/>
  <c r="AU700" i="1"/>
  <c r="AU546" i="1"/>
  <c r="AV359" i="1"/>
  <c r="AV997" i="1"/>
  <c r="AU872" i="1"/>
  <c r="AW344" i="1"/>
  <c r="AV344" i="1"/>
  <c r="AW764" i="1"/>
  <c r="AW724" i="1"/>
  <c r="AW1000" i="1"/>
  <c r="AU854" i="1"/>
  <c r="AV828" i="1"/>
  <c r="AU790" i="1"/>
  <c r="AU758" i="1"/>
  <c r="AU748" i="1"/>
  <c r="AV743" i="1"/>
  <c r="AU728" i="1"/>
  <c r="AV723" i="1"/>
  <c r="AU713" i="1"/>
  <c r="AW709" i="1"/>
  <c r="AW704" i="1"/>
  <c r="AV695" i="1"/>
  <c r="AV575" i="1"/>
  <c r="AV560" i="1"/>
  <c r="AV531" i="1"/>
  <c r="AU477" i="1"/>
  <c r="AU452" i="1"/>
  <c r="AU32" i="1"/>
  <c r="AU3" i="1"/>
  <c r="AW3" i="1"/>
  <c r="AU323" i="1"/>
  <c r="AV323" i="1"/>
  <c r="AW443" i="1"/>
  <c r="AV443" i="1"/>
  <c r="AV1014" i="1"/>
  <c r="AU28" i="1"/>
  <c r="AW28" i="1"/>
  <c r="AV808" i="1"/>
  <c r="AU398" i="1"/>
  <c r="AV398" i="1"/>
  <c r="AV1002" i="1"/>
  <c r="AV937" i="1"/>
  <c r="AW734" i="1"/>
  <c r="AU22" i="1"/>
  <c r="AV1000" i="1"/>
  <c r="AU947" i="1"/>
  <c r="AU907" i="1"/>
  <c r="AW880" i="1"/>
  <c r="AU859" i="1"/>
  <c r="AV838" i="1"/>
  <c r="AU795" i="1"/>
  <c r="AU776" i="1"/>
  <c r="AU762" i="1"/>
  <c r="AU753" i="1"/>
  <c r="AU737" i="1"/>
  <c r="AU733" i="1"/>
  <c r="AU718" i="1"/>
  <c r="AV655" i="1"/>
  <c r="AU651" i="1"/>
  <c r="AU647" i="1"/>
  <c r="AV601" i="1"/>
  <c r="AU550" i="1"/>
  <c r="AU541" i="1"/>
  <c r="AU446" i="1"/>
  <c r="AW364" i="1"/>
  <c r="AV364" i="1"/>
  <c r="AU1003" i="1"/>
  <c r="AV1024" i="1"/>
  <c r="AU454" i="1"/>
  <c r="AU701" i="1"/>
  <c r="AU504" i="1"/>
  <c r="AU653" i="1"/>
  <c r="AU129" i="1"/>
  <c r="AU459" i="1"/>
  <c r="AU924" i="1"/>
  <c r="AU912" i="1"/>
  <c r="AU884" i="1"/>
  <c r="AU780" i="1"/>
  <c r="AU767" i="1"/>
  <c r="AU742" i="1"/>
  <c r="AU643" i="1"/>
  <c r="AU638" i="1"/>
  <c r="AU633" i="1"/>
  <c r="AU628" i="1"/>
  <c r="AU588" i="1"/>
  <c r="AV579" i="1"/>
  <c r="AU536" i="1"/>
  <c r="AU88" i="1"/>
  <c r="AV88" i="1"/>
  <c r="AU543" i="1"/>
  <c r="AV543" i="1"/>
  <c r="AU932" i="1"/>
  <c r="AV803" i="1"/>
  <c r="AU706" i="1"/>
  <c r="AU509" i="1"/>
  <c r="AV813" i="1"/>
  <c r="AW759" i="1"/>
  <c r="AV267" i="1"/>
  <c r="AW634" i="1"/>
  <c r="AV565" i="1"/>
  <c r="AU848" i="1"/>
  <c r="AV821" i="1"/>
  <c r="AV805" i="1"/>
  <c r="AW699" i="1"/>
  <c r="AW694" i="1"/>
  <c r="AW689" i="1"/>
  <c r="AW679" i="1"/>
  <c r="AW609" i="1"/>
  <c r="AU554" i="1"/>
  <c r="AU521" i="1"/>
  <c r="AV521" i="1"/>
  <c r="AU369" i="1"/>
  <c r="AV369" i="1"/>
  <c r="AV363" i="1"/>
  <c r="AW363" i="1"/>
  <c r="AU143" i="1"/>
  <c r="AV143" i="1"/>
  <c r="AW143" i="1"/>
  <c r="AV103" i="1"/>
  <c r="AW43" i="1"/>
  <c r="AU862" i="1"/>
  <c r="AU603" i="1"/>
  <c r="AU484" i="1"/>
  <c r="AV835" i="1"/>
  <c r="AU783" i="1"/>
  <c r="AU17" i="1"/>
  <c r="AV17" i="1"/>
  <c r="AW719" i="1"/>
  <c r="AU696" i="1"/>
  <c r="AU528" i="1"/>
  <c r="AU874" i="1"/>
  <c r="AU853" i="1"/>
  <c r="AV794" i="1"/>
  <c r="AU761" i="1"/>
  <c r="AU752" i="1"/>
  <c r="AU736" i="1"/>
  <c r="AU732" i="1"/>
  <c r="AU717" i="1"/>
  <c r="AW650" i="1"/>
  <c r="AU600" i="1"/>
  <c r="AU526" i="1"/>
  <c r="AV526" i="1"/>
  <c r="AU516" i="1"/>
  <c r="AV423" i="1"/>
  <c r="AW307" i="1"/>
  <c r="AV126" i="1"/>
  <c r="AW126" i="1"/>
  <c r="AU8" i="1"/>
  <c r="AW8" i="1"/>
  <c r="AU524" i="1"/>
  <c r="AV287" i="1"/>
  <c r="AV972" i="1"/>
  <c r="AV242" i="1"/>
  <c r="AV996" i="1"/>
  <c r="AU778" i="1"/>
  <c r="AU67" i="1"/>
  <c r="AV67" i="1"/>
  <c r="AU691" i="1"/>
  <c r="AW644" i="1"/>
  <c r="AV889" i="1"/>
  <c r="AU820" i="1"/>
  <c r="AV650" i="1"/>
  <c r="AU511" i="1"/>
  <c r="AU506" i="1"/>
  <c r="AU501" i="1"/>
  <c r="AU486" i="1"/>
  <c r="AU481" i="1"/>
  <c r="AU471" i="1"/>
  <c r="AU429" i="1"/>
  <c r="AV87" i="1"/>
  <c r="AU87" i="1"/>
  <c r="AU48" i="1"/>
  <c r="AW48" i="1"/>
  <c r="AW744" i="1"/>
  <c r="AU681" i="1"/>
  <c r="AW639" i="1"/>
  <c r="AU561" i="1"/>
  <c r="AU952" i="1"/>
  <c r="AU863" i="1"/>
  <c r="AU708" i="1"/>
  <c r="AU703" i="1"/>
  <c r="AU623" i="1"/>
  <c r="AU563" i="1"/>
  <c r="AU496" i="1"/>
  <c r="AU491" i="1"/>
  <c r="AU476" i="1"/>
  <c r="AV368" i="1"/>
  <c r="AW368" i="1"/>
  <c r="AV257" i="1"/>
  <c r="AV232" i="1"/>
  <c r="AU159" i="1"/>
  <c r="AU882" i="1"/>
  <c r="AW774" i="1"/>
  <c r="AU1028" i="1"/>
  <c r="AV798" i="1"/>
  <c r="AU892" i="1"/>
  <c r="AU589" i="1"/>
  <c r="AU73" i="1"/>
  <c r="AV73" i="1"/>
  <c r="AW73" i="1"/>
  <c r="AU962" i="1"/>
  <c r="AV826" i="1"/>
  <c r="AW789" i="1"/>
  <c r="AW784" i="1"/>
  <c r="AV774" i="1"/>
  <c r="AV770" i="1"/>
  <c r="AV383" i="1"/>
  <c r="AW383" i="1"/>
  <c r="AU306" i="1"/>
  <c r="AV306" i="1"/>
  <c r="AU153" i="1"/>
  <c r="AW153" i="1"/>
  <c r="AU53" i="1"/>
  <c r="AV53" i="1"/>
  <c r="AW53" i="1"/>
  <c r="AU42" i="1"/>
  <c r="AV42" i="1"/>
  <c r="AV755" i="1"/>
  <c r="AV818" i="1"/>
  <c r="AU611" i="1"/>
  <c r="AU987" i="1"/>
  <c r="AV894" i="1"/>
  <c r="AV882" i="1"/>
  <c r="AV862" i="1"/>
  <c r="AW847" i="1"/>
  <c r="AW794" i="1"/>
  <c r="AU774" i="1"/>
  <c r="AV760" i="1"/>
  <c r="AU756" i="1"/>
  <c r="AU740" i="1"/>
  <c r="AU735" i="1"/>
  <c r="AW654" i="1"/>
  <c r="AW645" i="1"/>
  <c r="AU578" i="1"/>
  <c r="AV573" i="1"/>
  <c r="AU553" i="1"/>
  <c r="AU510" i="1"/>
  <c r="AU485" i="1"/>
  <c r="AV411" i="1"/>
  <c r="AV394" i="1"/>
  <c r="AV389" i="1"/>
  <c r="AU378" i="1"/>
  <c r="AV378" i="1"/>
  <c r="AW378" i="1"/>
  <c r="AV1009" i="1"/>
  <c r="AV824" i="1"/>
  <c r="AW629" i="1"/>
  <c r="AU453" i="1"/>
  <c r="AV453" i="1"/>
  <c r="AV992" i="1"/>
  <c r="AV932" i="1"/>
  <c r="AV922" i="1"/>
  <c r="AV899" i="1"/>
  <c r="AV867" i="1"/>
  <c r="AW852" i="1"/>
  <c r="AW804" i="1"/>
  <c r="AW799" i="1"/>
  <c r="AW779" i="1"/>
  <c r="AV765" i="1"/>
  <c r="AU698" i="1"/>
  <c r="AU693" i="1"/>
  <c r="AU688" i="1"/>
  <c r="AU683" i="1"/>
  <c r="AU678" i="1"/>
  <c r="AU626" i="1"/>
  <c r="AU613" i="1"/>
  <c r="AV603" i="1"/>
  <c r="AU599" i="1"/>
  <c r="AU557" i="1"/>
  <c r="AU444" i="1"/>
  <c r="AV428" i="1"/>
  <c r="AW428" i="1"/>
  <c r="AU58" i="1"/>
  <c r="AW58" i="1"/>
  <c r="AW18" i="1"/>
  <c r="AU328" i="1"/>
  <c r="AV328" i="1"/>
  <c r="AW328" i="1"/>
  <c r="AU514" i="1"/>
  <c r="AW769" i="1"/>
  <c r="AU621" i="1"/>
  <c r="AV57" i="1"/>
  <c r="AU393" i="1"/>
  <c r="AW829" i="1"/>
  <c r="AU686" i="1"/>
  <c r="AV343" i="1"/>
  <c r="AW343" i="1"/>
  <c r="AU957" i="1"/>
  <c r="AV917" i="1"/>
  <c r="AV1029" i="1"/>
  <c r="AU927" i="1"/>
  <c r="AV887" i="1"/>
  <c r="AV872" i="1"/>
  <c r="AU857" i="1"/>
  <c r="AV830" i="1"/>
  <c r="AV825" i="1"/>
  <c r="AU819" i="1"/>
  <c r="AW814" i="1"/>
  <c r="AW809" i="1"/>
  <c r="AV783" i="1"/>
  <c r="AU769" i="1"/>
  <c r="AV759" i="1"/>
  <c r="AU750" i="1"/>
  <c r="AV745" i="1"/>
  <c r="AU730" i="1"/>
  <c r="AV725" i="1"/>
  <c r="AU673" i="1"/>
  <c r="AU668" i="1"/>
  <c r="AU663" i="1"/>
  <c r="AU658" i="1"/>
  <c r="AU618" i="1"/>
  <c r="AU590" i="1"/>
  <c r="AV538" i="1"/>
  <c r="AU460" i="1"/>
  <c r="AV388" i="1"/>
  <c r="AW323" i="1"/>
  <c r="AV281" i="1"/>
  <c r="AV262" i="1"/>
  <c r="AV237" i="1"/>
  <c r="AV58" i="1"/>
  <c r="AU47" i="1"/>
  <c r="AU413" i="1"/>
  <c r="AU358" i="1"/>
  <c r="AU346" i="1"/>
  <c r="AU260" i="1"/>
  <c r="AU255" i="1"/>
  <c r="AU250" i="1"/>
  <c r="AU245" i="1"/>
  <c r="AU240" i="1"/>
  <c r="AU235" i="1"/>
  <c r="AU230" i="1"/>
  <c r="AU225" i="1"/>
  <c r="AU220" i="1"/>
  <c r="AU216" i="1"/>
  <c r="AU195" i="1"/>
  <c r="AU174" i="1"/>
  <c r="AU169" i="1"/>
  <c r="AU164" i="1"/>
  <c r="AU86" i="1"/>
  <c r="AV68" i="1"/>
  <c r="AU64" i="1"/>
  <c r="AU39" i="1"/>
  <c r="AU35" i="1"/>
  <c r="AU14" i="1"/>
  <c r="AU10" i="1"/>
  <c r="AU319" i="1"/>
  <c r="AW77" i="1"/>
  <c r="AW52" i="1"/>
  <c r="AW27" i="1"/>
  <c r="AW2" i="1"/>
  <c r="AU403" i="1"/>
  <c r="AU373" i="1"/>
  <c r="AW353" i="1"/>
  <c r="AU314" i="1"/>
  <c r="AV299" i="1"/>
  <c r="AW94" i="1"/>
  <c r="AU430" i="1"/>
  <c r="AU338" i="1"/>
  <c r="AU334" i="1"/>
  <c r="AU330" i="1"/>
  <c r="AU173" i="1"/>
  <c r="AU168" i="1"/>
  <c r="AW13" i="1"/>
  <c r="AV289" i="1"/>
  <c r="AV284" i="1"/>
  <c r="AV274" i="1"/>
  <c r="AU178" i="1"/>
  <c r="AU59" i="1"/>
  <c r="AU34" i="1"/>
  <c r="AU9" i="1"/>
  <c r="AU349" i="1"/>
  <c r="AU345" i="1"/>
  <c r="AU326" i="1"/>
  <c r="AV318" i="1"/>
  <c r="AU304" i="1"/>
  <c r="AU139" i="1"/>
  <c r="AW72" i="1"/>
  <c r="AW47" i="1"/>
  <c r="AW22" i="1"/>
  <c r="AU353" i="1"/>
  <c r="AW333" i="1"/>
  <c r="AW329" i="1"/>
  <c r="AU293" i="1"/>
  <c r="AV183" i="1"/>
  <c r="AU406" i="1"/>
  <c r="AU384" i="1"/>
  <c r="AU364" i="1"/>
  <c r="AU360" i="1"/>
  <c r="AV356" i="1"/>
  <c r="AU337" i="1"/>
  <c r="AU322" i="1"/>
  <c r="AU308" i="1"/>
  <c r="AU288" i="1"/>
  <c r="AU278" i="1"/>
  <c r="AU112" i="1"/>
  <c r="AU368" i="1"/>
  <c r="AV248" i="1"/>
  <c r="AV243" i="1"/>
  <c r="AV238" i="1"/>
  <c r="AV233" i="1"/>
  <c r="AV228" i="1"/>
  <c r="AV223" i="1"/>
  <c r="AV218" i="1"/>
  <c r="AV193" i="1"/>
  <c r="AU172" i="1"/>
  <c r="AU167" i="1"/>
  <c r="AW138" i="1"/>
  <c r="AV129" i="1"/>
  <c r="AU54" i="1"/>
  <c r="AU29" i="1"/>
  <c r="AU4" i="1"/>
  <c r="AU449" i="1"/>
  <c r="AU434" i="1"/>
  <c r="AU317" i="1"/>
  <c r="AU203" i="1"/>
  <c r="AU177" i="1"/>
  <c r="AU162" i="1"/>
  <c r="AU126" i="1"/>
  <c r="AW67" i="1"/>
  <c r="AW42" i="1"/>
  <c r="AW17" i="1"/>
  <c r="AU467" i="1"/>
  <c r="AU463" i="1"/>
  <c r="AU439" i="1"/>
  <c r="AU405" i="1"/>
  <c r="AU401" i="1"/>
  <c r="AU379" i="1"/>
  <c r="AU375" i="1"/>
  <c r="AU371" i="1"/>
  <c r="AU352" i="1"/>
  <c r="AU333" i="1"/>
  <c r="AU329" i="1"/>
  <c r="AU325" i="1"/>
  <c r="AU297" i="1"/>
  <c r="AU182" i="1"/>
  <c r="AV133" i="1"/>
  <c r="AU92" i="1"/>
  <c r="AU424" i="1"/>
  <c r="AU410" i="1"/>
  <c r="AU388" i="1"/>
  <c r="AU344" i="1"/>
  <c r="AU340" i="1"/>
  <c r="AU312" i="1"/>
  <c r="AU213" i="1"/>
  <c r="AU187" i="1"/>
  <c r="AU448" i="1"/>
  <c r="AU348" i="1"/>
  <c r="AV282" i="1"/>
  <c r="AU192" i="1"/>
  <c r="AU166" i="1"/>
  <c r="AV101" i="1"/>
  <c r="AU74" i="1"/>
  <c r="AU49" i="1"/>
  <c r="AU24" i="1"/>
  <c r="AU20" i="1"/>
  <c r="AU414" i="1"/>
  <c r="AU359" i="1"/>
  <c r="AU355" i="1"/>
  <c r="AU272" i="1"/>
  <c r="AU267" i="1"/>
  <c r="AU262" i="1"/>
  <c r="AU257" i="1"/>
  <c r="AU252" i="1"/>
  <c r="AU247" i="1"/>
  <c r="AU242" i="1"/>
  <c r="AU237" i="1"/>
  <c r="AU232" i="1"/>
  <c r="AU227" i="1"/>
  <c r="AU222" i="1"/>
  <c r="AU217" i="1"/>
  <c r="AU197" i="1"/>
  <c r="AW62" i="1"/>
  <c r="AW37" i="1"/>
  <c r="AV32" i="1"/>
  <c r="AW12" i="1"/>
  <c r="AV7" i="1"/>
  <c r="AU499" i="1"/>
  <c r="AU443" i="1"/>
  <c r="AU419" i="1"/>
  <c r="AU383" i="1"/>
  <c r="AU363" i="1"/>
  <c r="AW311" i="1"/>
  <c r="AU202" i="1"/>
  <c r="AV96" i="1"/>
  <c r="AU540" i="1"/>
  <c r="AU508" i="1"/>
  <c r="AU494" i="1"/>
  <c r="AU470" i="1"/>
  <c r="AU457" i="1"/>
  <c r="AU428" i="1"/>
  <c r="AU404" i="1"/>
  <c r="AU387" i="1"/>
  <c r="AU374" i="1"/>
  <c r="AU370" i="1"/>
  <c r="AU320" i="1"/>
  <c r="AW296" i="1"/>
  <c r="AU207" i="1"/>
  <c r="AU146" i="1"/>
  <c r="AW413" i="1"/>
  <c r="AU409" i="1"/>
  <c r="AW358" i="1"/>
  <c r="AU339" i="1"/>
  <c r="AU335" i="1"/>
  <c r="AU324" i="1"/>
  <c r="AU311" i="1"/>
  <c r="AU291" i="1"/>
  <c r="AU281" i="1"/>
  <c r="AU271" i="1"/>
  <c r="AU266" i="1"/>
  <c r="AU261" i="1"/>
  <c r="AU256" i="1"/>
  <c r="AU251" i="1"/>
  <c r="AU246" i="1"/>
  <c r="AU241" i="1"/>
  <c r="AU236" i="1"/>
  <c r="AU231" i="1"/>
  <c r="AU226" i="1"/>
  <c r="AU221" i="1"/>
  <c r="AW216" i="1"/>
  <c r="AU212" i="1"/>
  <c r="AU196" i="1"/>
  <c r="AU175" i="1"/>
  <c r="AU170" i="1"/>
  <c r="AU165" i="1"/>
  <c r="AU160" i="1"/>
  <c r="AU151" i="1"/>
  <c r="AV132" i="1"/>
  <c r="AU15" i="1"/>
  <c r="AU124" i="1"/>
  <c r="AW57" i="1"/>
  <c r="AW32" i="1"/>
  <c r="AW7" i="1"/>
  <c r="AU562" i="1"/>
  <c r="AU479" i="1"/>
  <c r="AU423" i="1"/>
  <c r="AW403" i="1"/>
  <c r="AU399" i="1"/>
  <c r="AW373" i="1"/>
  <c r="AU343" i="1"/>
  <c r="AU331" i="1"/>
  <c r="AW319" i="1"/>
  <c r="AU315" i="1"/>
  <c r="AW306" i="1"/>
  <c r="AW137" i="1"/>
  <c r="AW109" i="1"/>
  <c r="AU91" i="1"/>
  <c r="AW82" i="1"/>
  <c r="AU77" i="1"/>
  <c r="AV52" i="1"/>
  <c r="AU27" i="1"/>
  <c r="AU2" i="1"/>
  <c r="AU507" i="1"/>
  <c r="AU474" i="1"/>
  <c r="AU456" i="1"/>
  <c r="AU427" i="1"/>
  <c r="AV403" i="1"/>
  <c r="AU386" i="1"/>
  <c r="AV373" i="1"/>
  <c r="AU354" i="1"/>
  <c r="AU350" i="1"/>
  <c r="AW338" i="1"/>
  <c r="AW334" i="1"/>
  <c r="AU190" i="1"/>
  <c r="AU155" i="1"/>
  <c r="AV150" i="1"/>
  <c r="AU1031" i="1"/>
  <c r="AW1031" i="1"/>
  <c r="AV1031" i="1"/>
  <c r="AU1026" i="1"/>
  <c r="AW1026" i="1"/>
  <c r="AV1026" i="1"/>
  <c r="AU1011" i="1"/>
  <c r="AW1011" i="1"/>
  <c r="AV1011" i="1"/>
  <c r="AU1021" i="1"/>
  <c r="AW1021" i="1"/>
  <c r="AV1021" i="1"/>
  <c r="AU1033" i="1"/>
  <c r="AW1033" i="1"/>
  <c r="AU1008" i="1"/>
  <c r="AV1028" i="1"/>
  <c r="AV1010" i="1"/>
  <c r="AU992" i="1"/>
  <c r="AU976" i="1"/>
  <c r="AV976" i="1"/>
  <c r="AW976" i="1"/>
  <c r="AV958" i="1"/>
  <c r="AU891" i="1"/>
  <c r="AV891" i="1"/>
  <c r="AW891" i="1"/>
  <c r="AW885" i="1"/>
  <c r="AU865" i="1"/>
  <c r="AV865" i="1"/>
  <c r="AW865" i="1"/>
  <c r="AU1010" i="1"/>
  <c r="AU1002" i="1"/>
  <c r="AU997" i="1"/>
  <c r="AU935" i="1"/>
  <c r="AU885" i="1"/>
  <c r="AV885" i="1"/>
  <c r="AW875" i="1"/>
  <c r="AU870" i="1"/>
  <c r="AV870" i="1"/>
  <c r="AW870" i="1"/>
  <c r="AU1006" i="1"/>
  <c r="AW1006" i="1"/>
  <c r="AU981" i="1"/>
  <c r="AV981" i="1"/>
  <c r="AW981" i="1"/>
  <c r="AU969" i="1"/>
  <c r="AV963" i="1"/>
  <c r="AU929" i="1"/>
  <c r="AV918" i="1"/>
  <c r="AU896" i="1"/>
  <c r="AV896" i="1"/>
  <c r="AW896" i="1"/>
  <c r="AW890" i="1"/>
  <c r="AU875" i="1"/>
  <c r="AV875" i="1"/>
  <c r="AU1024" i="1"/>
  <c r="AW1024" i="1"/>
  <c r="AU975" i="1"/>
  <c r="AW975" i="1"/>
  <c r="AU890" i="1"/>
  <c r="AV890" i="1"/>
  <c r="AU864" i="1"/>
  <c r="AU1017" i="1"/>
  <c r="AW1017" i="1"/>
  <c r="AW1005" i="1"/>
  <c r="AU991" i="1"/>
  <c r="AV991" i="1"/>
  <c r="AW991" i="1"/>
  <c r="AU986" i="1"/>
  <c r="AV986" i="1"/>
  <c r="AW986" i="1"/>
  <c r="AV980" i="1"/>
  <c r="AU941" i="1"/>
  <c r="AV941" i="1"/>
  <c r="AW941" i="1"/>
  <c r="AU934" i="1"/>
  <c r="AU901" i="1"/>
  <c r="AV901" i="1"/>
  <c r="AW901" i="1"/>
  <c r="AW895" i="1"/>
  <c r="AU869" i="1"/>
  <c r="AV853" i="1"/>
  <c r="AW1020" i="1"/>
  <c r="AV1013" i="1"/>
  <c r="AW1013" i="1"/>
  <c r="AV1005" i="1"/>
  <c r="AU980" i="1"/>
  <c r="AV968" i="1"/>
  <c r="AV928" i="1"/>
  <c r="AU917" i="1"/>
  <c r="AU895" i="1"/>
  <c r="AV895" i="1"/>
  <c r="AU889" i="1"/>
  <c r="AW1030" i="1"/>
  <c r="AU1027" i="1"/>
  <c r="AW1027" i="1"/>
  <c r="AW1023" i="1"/>
  <c r="AV1020" i="1"/>
  <c r="AU1001" i="1"/>
  <c r="AW1001" i="1"/>
  <c r="AU996" i="1"/>
  <c r="AW996" i="1"/>
  <c r="AV990" i="1"/>
  <c r="AV985" i="1"/>
  <c r="AU974" i="1"/>
  <c r="AU946" i="1"/>
  <c r="AV946" i="1"/>
  <c r="AW946" i="1"/>
  <c r="AU940" i="1"/>
  <c r="AV923" i="1"/>
  <c r="AU906" i="1"/>
  <c r="AV906" i="1"/>
  <c r="AW906" i="1"/>
  <c r="AW900" i="1"/>
  <c r="AV883" i="1"/>
  <c r="AU879" i="1"/>
  <c r="AV863" i="1"/>
  <c r="AU1009" i="1"/>
  <c r="AW1009" i="1"/>
  <c r="AU990" i="1"/>
  <c r="AV933" i="1"/>
  <c r="AU911" i="1"/>
  <c r="AV911" i="1"/>
  <c r="AW911" i="1"/>
  <c r="AU900" i="1"/>
  <c r="AV900" i="1"/>
  <c r="AU894" i="1"/>
  <c r="AV868" i="1"/>
  <c r="AU1016" i="1"/>
  <c r="AW1016" i="1"/>
  <c r="AW985" i="1"/>
  <c r="AU951" i="1"/>
  <c r="AV951" i="1"/>
  <c r="AW951" i="1"/>
  <c r="AV973" i="1"/>
  <c r="AW973" i="1"/>
  <c r="AU973" i="1"/>
  <c r="AU916" i="1"/>
  <c r="AV916" i="1"/>
  <c r="AW916" i="1"/>
  <c r="AU905" i="1"/>
  <c r="AV905" i="1"/>
  <c r="AV1023" i="1"/>
  <c r="AU956" i="1"/>
  <c r="AV956" i="1"/>
  <c r="AW956" i="1"/>
  <c r="AU950" i="1"/>
  <c r="AV893" i="1"/>
  <c r="AV1033" i="1"/>
  <c r="AU1012" i="1"/>
  <c r="AW1012" i="1"/>
  <c r="AU1004" i="1"/>
  <c r="AW1004" i="1"/>
  <c r="AU989" i="1"/>
  <c r="AU984" i="1"/>
  <c r="AU944" i="1"/>
  <c r="AU915" i="1"/>
  <c r="AU904" i="1"/>
  <c r="AU1019" i="1"/>
  <c r="AW1019" i="1"/>
  <c r="AW1015" i="1"/>
  <c r="AV978" i="1"/>
  <c r="AW978" i="1"/>
  <c r="AU978" i="1"/>
  <c r="AU961" i="1"/>
  <c r="AV961" i="1"/>
  <c r="AW961" i="1"/>
  <c r="AU955" i="1"/>
  <c r="AV938" i="1"/>
  <c r="AV898" i="1"/>
  <c r="AU1029" i="1"/>
  <c r="AW1029" i="1"/>
  <c r="AV1015" i="1"/>
  <c r="AV1008" i="1"/>
  <c r="AW1008" i="1"/>
  <c r="AU994" i="1"/>
  <c r="AU972" i="1"/>
  <c r="AU966" i="1"/>
  <c r="AV966" i="1"/>
  <c r="AW966" i="1"/>
  <c r="AU949" i="1"/>
  <c r="AU921" i="1"/>
  <c r="AV921" i="1"/>
  <c r="AW921" i="1"/>
  <c r="AU909" i="1"/>
  <c r="AU846" i="1"/>
  <c r="AV846" i="1"/>
  <c r="AW846" i="1"/>
  <c r="AU824" i="1"/>
  <c r="AU999" i="1"/>
  <c r="AV999" i="1"/>
  <c r="AW999" i="1"/>
  <c r="AV988" i="1"/>
  <c r="AW988" i="1"/>
  <c r="AU988" i="1"/>
  <c r="AV983" i="1"/>
  <c r="AW983" i="1"/>
  <c r="AU983" i="1"/>
  <c r="AU960" i="1"/>
  <c r="AV943" i="1"/>
  <c r="AU851" i="1"/>
  <c r="AV851" i="1"/>
  <c r="AW851" i="1"/>
  <c r="AU965" i="1"/>
  <c r="AV965" i="1"/>
  <c r="AW965" i="1"/>
  <c r="AU926" i="1"/>
  <c r="AV926" i="1"/>
  <c r="AW926" i="1"/>
  <c r="AU856" i="1"/>
  <c r="AV856" i="1"/>
  <c r="AW856" i="1"/>
  <c r="AW1028" i="1"/>
  <c r="AU1022" i="1"/>
  <c r="AW1022" i="1"/>
  <c r="AV993" i="1"/>
  <c r="AW993" i="1"/>
  <c r="AU993" i="1"/>
  <c r="AU977" i="1"/>
  <c r="AV948" i="1"/>
  <c r="AV908" i="1"/>
  <c r="AU881" i="1"/>
  <c r="AV881" i="1"/>
  <c r="AW881" i="1"/>
  <c r="AU861" i="1"/>
  <c r="AV861" i="1"/>
  <c r="AW861" i="1"/>
  <c r="AU845" i="1"/>
  <c r="AV845" i="1"/>
  <c r="AW845" i="1"/>
  <c r="AU1032" i="1"/>
  <c r="AW1032" i="1"/>
  <c r="AU1007" i="1"/>
  <c r="AW1007" i="1"/>
  <c r="AV1003" i="1"/>
  <c r="AW1003" i="1"/>
  <c r="AV998" i="1"/>
  <c r="AW998" i="1"/>
  <c r="AU998" i="1"/>
  <c r="AU971" i="1"/>
  <c r="AV971" i="1"/>
  <c r="AW971" i="1"/>
  <c r="AU931" i="1"/>
  <c r="AV931" i="1"/>
  <c r="AW931" i="1"/>
  <c r="AU866" i="1"/>
  <c r="AV866" i="1"/>
  <c r="AW866" i="1"/>
  <c r="AU850" i="1"/>
  <c r="AV850" i="1"/>
  <c r="AW850" i="1"/>
  <c r="AV1018" i="1"/>
  <c r="AW1018" i="1"/>
  <c r="AU982" i="1"/>
  <c r="AV953" i="1"/>
  <c r="AU886" i="1"/>
  <c r="AV886" i="1"/>
  <c r="AW886" i="1"/>
  <c r="AU871" i="1"/>
  <c r="AV871" i="1"/>
  <c r="AW871" i="1"/>
  <c r="AU855" i="1"/>
  <c r="AV855" i="1"/>
  <c r="AW855" i="1"/>
  <c r="AU1014" i="1"/>
  <c r="AW1014" i="1"/>
  <c r="AU970" i="1"/>
  <c r="AV970" i="1"/>
  <c r="AW970" i="1"/>
  <c r="AU964" i="1"/>
  <c r="AU936" i="1"/>
  <c r="AV936" i="1"/>
  <c r="AW936" i="1"/>
  <c r="AU930" i="1"/>
  <c r="AU919" i="1"/>
  <c r="AU876" i="1"/>
  <c r="AV876" i="1"/>
  <c r="AW876" i="1"/>
  <c r="AU860" i="1"/>
  <c r="AV860" i="1"/>
  <c r="AW860" i="1"/>
  <c r="AU844" i="1"/>
  <c r="AU968" i="1"/>
  <c r="AU963" i="1"/>
  <c r="AU958" i="1"/>
  <c r="AU953" i="1"/>
  <c r="AU948" i="1"/>
  <c r="AU943" i="1"/>
  <c r="AU938" i="1"/>
  <c r="AU933" i="1"/>
  <c r="AU928" i="1"/>
  <c r="AU923" i="1"/>
  <c r="AU918" i="1"/>
  <c r="AU913" i="1"/>
  <c r="AU908" i="1"/>
  <c r="AU903" i="1"/>
  <c r="AU898" i="1"/>
  <c r="AU893" i="1"/>
  <c r="AU888" i="1"/>
  <c r="AU883" i="1"/>
  <c r="AU878" i="1"/>
  <c r="AU873" i="1"/>
  <c r="AU868" i="1"/>
  <c r="AV834" i="1"/>
  <c r="AU816" i="1"/>
  <c r="AW816" i="1"/>
  <c r="AU781" i="1"/>
  <c r="AU743" i="1"/>
  <c r="AU723" i="1"/>
  <c r="AU704" i="1"/>
  <c r="AV704" i="1"/>
  <c r="AU695" i="1"/>
  <c r="AU690" i="1"/>
  <c r="AU685" i="1"/>
  <c r="AU680" i="1"/>
  <c r="AV675" i="1"/>
  <c r="AW675" i="1"/>
  <c r="AU624" i="1"/>
  <c r="AV624" i="1"/>
  <c r="AU834" i="1"/>
  <c r="AU785" i="1"/>
  <c r="AU772" i="1"/>
  <c r="AV690" i="1"/>
  <c r="AW690" i="1"/>
  <c r="AV685" i="1"/>
  <c r="AW685" i="1"/>
  <c r="AV680" i="1"/>
  <c r="AW680" i="1"/>
  <c r="AU675" i="1"/>
  <c r="AU670" i="1"/>
  <c r="AU665" i="1"/>
  <c r="AV651" i="1"/>
  <c r="AW651" i="1"/>
  <c r="AW624" i="1"/>
  <c r="AU610" i="1"/>
  <c r="AV610" i="1"/>
  <c r="AW610" i="1"/>
  <c r="AW960" i="1"/>
  <c r="AW955" i="1"/>
  <c r="AW950" i="1"/>
  <c r="AW945" i="1"/>
  <c r="AW940" i="1"/>
  <c r="AW935" i="1"/>
  <c r="AW930" i="1"/>
  <c r="AW925" i="1"/>
  <c r="AW920" i="1"/>
  <c r="AW915" i="1"/>
  <c r="AW910" i="1"/>
  <c r="AU825" i="1"/>
  <c r="AU800" i="1"/>
  <c r="AV800" i="1"/>
  <c r="AV670" i="1"/>
  <c r="AW670" i="1"/>
  <c r="AV665" i="1"/>
  <c r="AW665" i="1"/>
  <c r="AU660" i="1"/>
  <c r="AV660" i="1"/>
  <c r="AW660" i="1"/>
  <c r="AU615" i="1"/>
  <c r="AV615" i="1"/>
  <c r="AW615" i="1"/>
  <c r="AV960" i="1"/>
  <c r="AV955" i="1"/>
  <c r="AV950" i="1"/>
  <c r="AV945" i="1"/>
  <c r="AV940" i="1"/>
  <c r="AV935" i="1"/>
  <c r="AV930" i="1"/>
  <c r="AV925" i="1"/>
  <c r="AV920" i="1"/>
  <c r="AV915" i="1"/>
  <c r="AV910" i="1"/>
  <c r="AU842" i="1"/>
  <c r="AW842" i="1"/>
  <c r="AW800" i="1"/>
  <c r="AU722" i="1"/>
  <c r="AU699" i="1"/>
  <c r="AV699" i="1"/>
  <c r="AU694" i="1"/>
  <c r="AV694" i="1"/>
  <c r="AU689" i="1"/>
  <c r="AV689" i="1"/>
  <c r="AU684" i="1"/>
  <c r="AV684" i="1"/>
  <c r="AU679" i="1"/>
  <c r="AV679" i="1"/>
  <c r="AU609" i="1"/>
  <c r="AV609" i="1"/>
  <c r="AU838" i="1"/>
  <c r="AW838" i="1"/>
  <c r="AU815" i="1"/>
  <c r="AU810" i="1"/>
  <c r="AW684" i="1"/>
  <c r="AU674" i="1"/>
  <c r="AV674" i="1"/>
  <c r="AU669" i="1"/>
  <c r="AV669" i="1"/>
  <c r="AU664" i="1"/>
  <c r="AV664" i="1"/>
  <c r="AU659" i="1"/>
  <c r="AV659" i="1"/>
  <c r="AU619" i="1"/>
  <c r="AV619" i="1"/>
  <c r="AU614" i="1"/>
  <c r="AV614" i="1"/>
  <c r="AV819" i="1"/>
  <c r="AW674" i="1"/>
  <c r="AW669" i="1"/>
  <c r="AW664" i="1"/>
  <c r="AW659" i="1"/>
  <c r="AV646" i="1"/>
  <c r="AW646" i="1"/>
  <c r="AW619" i="1"/>
  <c r="AW614" i="1"/>
  <c r="AW1002" i="1"/>
  <c r="AW997" i="1"/>
  <c r="AW992" i="1"/>
  <c r="AW987" i="1"/>
  <c r="AW982" i="1"/>
  <c r="AW977" i="1"/>
  <c r="AW972" i="1"/>
  <c r="AW967" i="1"/>
  <c r="AW962" i="1"/>
  <c r="AW957" i="1"/>
  <c r="AW952" i="1"/>
  <c r="AW947" i="1"/>
  <c r="AW942" i="1"/>
  <c r="AW937" i="1"/>
  <c r="AW932" i="1"/>
  <c r="AW927" i="1"/>
  <c r="AW922" i="1"/>
  <c r="AW917" i="1"/>
  <c r="AW912" i="1"/>
  <c r="AW907" i="1"/>
  <c r="AW902" i="1"/>
  <c r="AW897" i="1"/>
  <c r="AW892" i="1"/>
  <c r="AW887" i="1"/>
  <c r="AW882" i="1"/>
  <c r="AW877" i="1"/>
  <c r="AW872" i="1"/>
  <c r="AW867" i="1"/>
  <c r="AW862" i="1"/>
  <c r="AW857" i="1"/>
  <c r="AU766" i="1"/>
  <c r="AU741" i="1"/>
  <c r="AU721" i="1"/>
  <c r="AU646" i="1"/>
  <c r="AU642" i="1"/>
  <c r="AU637" i="1"/>
  <c r="AU632" i="1"/>
  <c r="AU627" i="1"/>
  <c r="AU841" i="1"/>
  <c r="AW841" i="1"/>
  <c r="AV608" i="1"/>
  <c r="AW608" i="1"/>
  <c r="AU837" i="1"/>
  <c r="AW837" i="1"/>
  <c r="AW824" i="1"/>
  <c r="AU760" i="1"/>
  <c r="AU751" i="1"/>
  <c r="AU731" i="1"/>
  <c r="AU716" i="1"/>
  <c r="AU711" i="1"/>
  <c r="AU654" i="1"/>
  <c r="AV654" i="1"/>
  <c r="AU833" i="1"/>
  <c r="AW833" i="1"/>
  <c r="AW819" i="1"/>
  <c r="AU720" i="1"/>
  <c r="AV641" i="1"/>
  <c r="AW641" i="1"/>
  <c r="AV636" i="1"/>
  <c r="AW636" i="1"/>
  <c r="AV631" i="1"/>
  <c r="AW631" i="1"/>
  <c r="AV626" i="1"/>
  <c r="AW626" i="1"/>
  <c r="AW994" i="1"/>
  <c r="AW989" i="1"/>
  <c r="AW984" i="1"/>
  <c r="AW979" i="1"/>
  <c r="AW974" i="1"/>
  <c r="AW969" i="1"/>
  <c r="AW964" i="1"/>
  <c r="AW959" i="1"/>
  <c r="AW954" i="1"/>
  <c r="AW949" i="1"/>
  <c r="AW944" i="1"/>
  <c r="AW939" i="1"/>
  <c r="AW934" i="1"/>
  <c r="AW929" i="1"/>
  <c r="AW924" i="1"/>
  <c r="AW919" i="1"/>
  <c r="AW914" i="1"/>
  <c r="AW909" i="1"/>
  <c r="AW904" i="1"/>
  <c r="AW899" i="1"/>
  <c r="AW894" i="1"/>
  <c r="AW889" i="1"/>
  <c r="AW884" i="1"/>
  <c r="AW879" i="1"/>
  <c r="AW874" i="1"/>
  <c r="AW869" i="1"/>
  <c r="AW864" i="1"/>
  <c r="AW859" i="1"/>
  <c r="AW854" i="1"/>
  <c r="AW849" i="1"/>
  <c r="AV844" i="1"/>
  <c r="AV720" i="1"/>
  <c r="AW720" i="1"/>
  <c r="AU641" i="1"/>
  <c r="AU636" i="1"/>
  <c r="AU631" i="1"/>
  <c r="AU622" i="1"/>
  <c r="AV994" i="1"/>
  <c r="AV989" i="1"/>
  <c r="AV984" i="1"/>
  <c r="AV979" i="1"/>
  <c r="AV974" i="1"/>
  <c r="AV969" i="1"/>
  <c r="AV964" i="1"/>
  <c r="AV959" i="1"/>
  <c r="AV954" i="1"/>
  <c r="AV949" i="1"/>
  <c r="AV944" i="1"/>
  <c r="AV939" i="1"/>
  <c r="AV934" i="1"/>
  <c r="AV929" i="1"/>
  <c r="AV854" i="1"/>
  <c r="AV849" i="1"/>
  <c r="AU840" i="1"/>
  <c r="AW840" i="1"/>
  <c r="AU788" i="1"/>
  <c r="AU607" i="1"/>
  <c r="AV607" i="1"/>
  <c r="AU832" i="1"/>
  <c r="AV832" i="1"/>
  <c r="AW832" i="1"/>
  <c r="AU828" i="1"/>
  <c r="AW828" i="1"/>
  <c r="AU715" i="1"/>
  <c r="AV715" i="1"/>
  <c r="AW715" i="1"/>
  <c r="AU649" i="1"/>
  <c r="AV649" i="1"/>
  <c r="AU836" i="1"/>
  <c r="AW836" i="1"/>
  <c r="AU818" i="1"/>
  <c r="AU803" i="1"/>
  <c r="AU798" i="1"/>
  <c r="AU697" i="1"/>
  <c r="AU692" i="1"/>
  <c r="AU687" i="1"/>
  <c r="AU682" i="1"/>
  <c r="AU677" i="1"/>
  <c r="AW649" i="1"/>
  <c r="AV621" i="1"/>
  <c r="AW621" i="1"/>
  <c r="AU612" i="1"/>
  <c r="AW844" i="1"/>
  <c r="AV839" i="1"/>
  <c r="AU787" i="1"/>
  <c r="AV787" i="1"/>
  <c r="AW787" i="1"/>
  <c r="AU672" i="1"/>
  <c r="AU640" i="1"/>
  <c r="AV640" i="1"/>
  <c r="AW640" i="1"/>
  <c r="AU635" i="1"/>
  <c r="AV635" i="1"/>
  <c r="AW635" i="1"/>
  <c r="AU630" i="1"/>
  <c r="AV630" i="1"/>
  <c r="AW630" i="1"/>
  <c r="AU839" i="1"/>
  <c r="AU827" i="1"/>
  <c r="AV827" i="1"/>
  <c r="AW827" i="1"/>
  <c r="AU822" i="1"/>
  <c r="AV822" i="1"/>
  <c r="AW822" i="1"/>
  <c r="AU792" i="1"/>
  <c r="AV792" i="1"/>
  <c r="AW792" i="1"/>
  <c r="AU831" i="1"/>
  <c r="AW831" i="1"/>
  <c r="AU817" i="1"/>
  <c r="AV817" i="1"/>
  <c r="AW817" i="1"/>
  <c r="AU802" i="1"/>
  <c r="AV802" i="1"/>
  <c r="AW802" i="1"/>
  <c r="AU797" i="1"/>
  <c r="AV797" i="1"/>
  <c r="AW797" i="1"/>
  <c r="AU644" i="1"/>
  <c r="AV644" i="1"/>
  <c r="AU639" i="1"/>
  <c r="AV639" i="1"/>
  <c r="AU634" i="1"/>
  <c r="AV634" i="1"/>
  <c r="AU629" i="1"/>
  <c r="AV629" i="1"/>
  <c r="AV611" i="1"/>
  <c r="AW611" i="1"/>
  <c r="AU812" i="1"/>
  <c r="AV812" i="1"/>
  <c r="AW812" i="1"/>
  <c r="AU807" i="1"/>
  <c r="AV807" i="1"/>
  <c r="AW807" i="1"/>
  <c r="AV616" i="1"/>
  <c r="AW616" i="1"/>
  <c r="AW968" i="1"/>
  <c r="AW963" i="1"/>
  <c r="AW958" i="1"/>
  <c r="AW953" i="1"/>
  <c r="AW948" i="1"/>
  <c r="AW943" i="1"/>
  <c r="AW938" i="1"/>
  <c r="AW933" i="1"/>
  <c r="AW928" i="1"/>
  <c r="AW923" i="1"/>
  <c r="AW918" i="1"/>
  <c r="AW913" i="1"/>
  <c r="AW908" i="1"/>
  <c r="AW903" i="1"/>
  <c r="AW898" i="1"/>
  <c r="AW893" i="1"/>
  <c r="AW888" i="1"/>
  <c r="AW883" i="1"/>
  <c r="AW878" i="1"/>
  <c r="AW873" i="1"/>
  <c r="AW868" i="1"/>
  <c r="AW863" i="1"/>
  <c r="AW858" i="1"/>
  <c r="AW853" i="1"/>
  <c r="AW848" i="1"/>
  <c r="AV705" i="1"/>
  <c r="AW705" i="1"/>
  <c r="AU671" i="1"/>
  <c r="AU666" i="1"/>
  <c r="AU661" i="1"/>
  <c r="AU656" i="1"/>
  <c r="AU616" i="1"/>
  <c r="AU843" i="1"/>
  <c r="AW843" i="1"/>
  <c r="AU826" i="1"/>
  <c r="AW826" i="1"/>
  <c r="AU821" i="1"/>
  <c r="AW821" i="1"/>
  <c r="AV816" i="1"/>
  <c r="AU801" i="1"/>
  <c r="AU796" i="1"/>
  <c r="AU777" i="1"/>
  <c r="AU763" i="1"/>
  <c r="AU738" i="1"/>
  <c r="AU591" i="1"/>
  <c r="AW591" i="1"/>
  <c r="AU587" i="1"/>
  <c r="AV587" i="1"/>
  <c r="AW587" i="1"/>
  <c r="AU583" i="1"/>
  <c r="AU570" i="1"/>
  <c r="AU530" i="1"/>
  <c r="AV488" i="1"/>
  <c r="AW488" i="1"/>
  <c r="AU483" i="1"/>
  <c r="AV408" i="1"/>
  <c r="AW408" i="1"/>
  <c r="AU552" i="1"/>
  <c r="AU497" i="1"/>
  <c r="AV483" i="1"/>
  <c r="AW483" i="1"/>
  <c r="AU451" i="1"/>
  <c r="AU436" i="1"/>
  <c r="AU417" i="1"/>
  <c r="AU565" i="1"/>
  <c r="AU547" i="1"/>
  <c r="AU492" i="1"/>
  <c r="AV478" i="1"/>
  <c r="AW478" i="1"/>
  <c r="AU473" i="1"/>
  <c r="AU455" i="1"/>
  <c r="AU441" i="1"/>
  <c r="AU422" i="1"/>
  <c r="AU385" i="1"/>
  <c r="AU381" i="1"/>
  <c r="AU361" i="1"/>
  <c r="AU342" i="1"/>
  <c r="AW811" i="1"/>
  <c r="AW806" i="1"/>
  <c r="AW801" i="1"/>
  <c r="AW796" i="1"/>
  <c r="AW791" i="1"/>
  <c r="AW786" i="1"/>
  <c r="AW781" i="1"/>
  <c r="AW776" i="1"/>
  <c r="AW771" i="1"/>
  <c r="AW766" i="1"/>
  <c r="AW761" i="1"/>
  <c r="AW756" i="1"/>
  <c r="AW751" i="1"/>
  <c r="AW746" i="1"/>
  <c r="AW741" i="1"/>
  <c r="AW736" i="1"/>
  <c r="AW731" i="1"/>
  <c r="AW726" i="1"/>
  <c r="AW721" i="1"/>
  <c r="AW716" i="1"/>
  <c r="AW711" i="1"/>
  <c r="AW706" i="1"/>
  <c r="AW701" i="1"/>
  <c r="AW696" i="1"/>
  <c r="AW691" i="1"/>
  <c r="AW686" i="1"/>
  <c r="AW681" i="1"/>
  <c r="AW676" i="1"/>
  <c r="AW671" i="1"/>
  <c r="AW666" i="1"/>
  <c r="AW661" i="1"/>
  <c r="AW656" i="1"/>
  <c r="AU574" i="1"/>
  <c r="AV574" i="1"/>
  <c r="AW574" i="1"/>
  <c r="AU487" i="1"/>
  <c r="AV473" i="1"/>
  <c r="AW473" i="1"/>
  <c r="AU426" i="1"/>
  <c r="AU407" i="1"/>
  <c r="AV811" i="1"/>
  <c r="AV806" i="1"/>
  <c r="AV801" i="1"/>
  <c r="AV796" i="1"/>
  <c r="AV791" i="1"/>
  <c r="AV786" i="1"/>
  <c r="AV781" i="1"/>
  <c r="AV776" i="1"/>
  <c r="AV771" i="1"/>
  <c r="AV766" i="1"/>
  <c r="AV761" i="1"/>
  <c r="AV756" i="1"/>
  <c r="AV751" i="1"/>
  <c r="AV746" i="1"/>
  <c r="AV741" i="1"/>
  <c r="AV736" i="1"/>
  <c r="AV731" i="1"/>
  <c r="AV726" i="1"/>
  <c r="AV721" i="1"/>
  <c r="AV716" i="1"/>
  <c r="AV711" i="1"/>
  <c r="AV706" i="1"/>
  <c r="AV701" i="1"/>
  <c r="AV696" i="1"/>
  <c r="AV691" i="1"/>
  <c r="AV686" i="1"/>
  <c r="AV681" i="1"/>
  <c r="AV676" i="1"/>
  <c r="AV671" i="1"/>
  <c r="AU606" i="1"/>
  <c r="AW606" i="1"/>
  <c r="AU602" i="1"/>
  <c r="AV602" i="1"/>
  <c r="AW602" i="1"/>
  <c r="AU582" i="1"/>
  <c r="AV582" i="1"/>
  <c r="AW582" i="1"/>
  <c r="AU534" i="1"/>
  <c r="AU525" i="1"/>
  <c r="AU482" i="1"/>
  <c r="AU450" i="1"/>
  <c r="AU435" i="1"/>
  <c r="AU412" i="1"/>
  <c r="AU357" i="1"/>
  <c r="AV326" i="1"/>
  <c r="AW326" i="1"/>
  <c r="AU569" i="1"/>
  <c r="AV569" i="1"/>
  <c r="AW569" i="1"/>
  <c r="AU529" i="1"/>
  <c r="AU598" i="1"/>
  <c r="AU594" i="1"/>
  <c r="AW589" i="1"/>
  <c r="AU586" i="1"/>
  <c r="AW586" i="1"/>
  <c r="AU560" i="1"/>
  <c r="AU555" i="1"/>
  <c r="AU542" i="1"/>
  <c r="AU515" i="1"/>
  <c r="AU472" i="1"/>
  <c r="AU425" i="1"/>
  <c r="AU421" i="1"/>
  <c r="AU402" i="1"/>
  <c r="AU372" i="1"/>
  <c r="AU341" i="1"/>
  <c r="AW823" i="1"/>
  <c r="AW818" i="1"/>
  <c r="AW813" i="1"/>
  <c r="AW808" i="1"/>
  <c r="AW803" i="1"/>
  <c r="AW798" i="1"/>
  <c r="AW793" i="1"/>
  <c r="AW788" i="1"/>
  <c r="AW783" i="1"/>
  <c r="AW778" i="1"/>
  <c r="AW773" i="1"/>
  <c r="AW768" i="1"/>
  <c r="AW763" i="1"/>
  <c r="AW758" i="1"/>
  <c r="AW753" i="1"/>
  <c r="AW748" i="1"/>
  <c r="AW743" i="1"/>
  <c r="AW738" i="1"/>
  <c r="AW733" i="1"/>
  <c r="AW728" i="1"/>
  <c r="AW723" i="1"/>
  <c r="AW718" i="1"/>
  <c r="AW713" i="1"/>
  <c r="AW708" i="1"/>
  <c r="AW703" i="1"/>
  <c r="AW698" i="1"/>
  <c r="AW693" i="1"/>
  <c r="AW688" i="1"/>
  <c r="AW683" i="1"/>
  <c r="AW678" i="1"/>
  <c r="AW673" i="1"/>
  <c r="AW668" i="1"/>
  <c r="AW663" i="1"/>
  <c r="AW658" i="1"/>
  <c r="AW653" i="1"/>
  <c r="AW648" i="1"/>
  <c r="AW643" i="1"/>
  <c r="AW638" i="1"/>
  <c r="AW633" i="1"/>
  <c r="AW628" i="1"/>
  <c r="AW613" i="1"/>
  <c r="AU605" i="1"/>
  <c r="AV605" i="1"/>
  <c r="AW605" i="1"/>
  <c r="AU564" i="1"/>
  <c r="AV564" i="1"/>
  <c r="AW564" i="1"/>
  <c r="AV533" i="1"/>
  <c r="AW533" i="1"/>
  <c r="AU505" i="1"/>
  <c r="AU415" i="1"/>
  <c r="AU411" i="1"/>
  <c r="AU356" i="1"/>
  <c r="AU585" i="1"/>
  <c r="AU577" i="1"/>
  <c r="AU568" i="1"/>
  <c r="AU500" i="1"/>
  <c r="AU420" i="1"/>
  <c r="AU397" i="1"/>
  <c r="AU601" i="1"/>
  <c r="AW601" i="1"/>
  <c r="AU597" i="1"/>
  <c r="AV597" i="1"/>
  <c r="AW597" i="1"/>
  <c r="AU581" i="1"/>
  <c r="AW581" i="1"/>
  <c r="AU559" i="1"/>
  <c r="AU495" i="1"/>
  <c r="AV321" i="1"/>
  <c r="AW321" i="1"/>
  <c r="AW835" i="1"/>
  <c r="AW830" i="1"/>
  <c r="AW825" i="1"/>
  <c r="AW820" i="1"/>
  <c r="AW815" i="1"/>
  <c r="AW810" i="1"/>
  <c r="AW805" i="1"/>
  <c r="AW795" i="1"/>
  <c r="AW790" i="1"/>
  <c r="AW785" i="1"/>
  <c r="AW780" i="1"/>
  <c r="AW775" i="1"/>
  <c r="AW770" i="1"/>
  <c r="AW765" i="1"/>
  <c r="AW760" i="1"/>
  <c r="AW755" i="1"/>
  <c r="AW750" i="1"/>
  <c r="AW745" i="1"/>
  <c r="AW740" i="1"/>
  <c r="AW735" i="1"/>
  <c r="AW730" i="1"/>
  <c r="AW725" i="1"/>
  <c r="AW710" i="1"/>
  <c r="AW695" i="1"/>
  <c r="AU608" i="1"/>
  <c r="AU572" i="1"/>
  <c r="AU545" i="1"/>
  <c r="AU532" i="1"/>
  <c r="AU490" i="1"/>
  <c r="AU458" i="1"/>
  <c r="AU336" i="1"/>
  <c r="AU321" i="1"/>
  <c r="AU302" i="1"/>
  <c r="AV302" i="1"/>
  <c r="AW302" i="1"/>
  <c r="AV458" i="1"/>
  <c r="AW458" i="1"/>
  <c r="AU392" i="1"/>
  <c r="AU367" i="1"/>
  <c r="AU567" i="1"/>
  <c r="AV523" i="1"/>
  <c r="AW523" i="1"/>
  <c r="AU518" i="1"/>
  <c r="AU480" i="1"/>
  <c r="AV448" i="1"/>
  <c r="AW448" i="1"/>
  <c r="AV433" i="1"/>
  <c r="AW433" i="1"/>
  <c r="AU396" i="1"/>
  <c r="AU604" i="1"/>
  <c r="AU592" i="1"/>
  <c r="AV592" i="1"/>
  <c r="AW592" i="1"/>
  <c r="AV518" i="1"/>
  <c r="AW518" i="1"/>
  <c r="AU513" i="1"/>
  <c r="AU475" i="1"/>
  <c r="AU462" i="1"/>
  <c r="AV438" i="1"/>
  <c r="AW438" i="1"/>
  <c r="AU351" i="1"/>
  <c r="AU332" i="1"/>
  <c r="AW782" i="1"/>
  <c r="AW777" i="1"/>
  <c r="AW772" i="1"/>
  <c r="AW767" i="1"/>
  <c r="AW762" i="1"/>
  <c r="AW757" i="1"/>
  <c r="AW752" i="1"/>
  <c r="AW747" i="1"/>
  <c r="AW742" i="1"/>
  <c r="AW737" i="1"/>
  <c r="AW732" i="1"/>
  <c r="AW727" i="1"/>
  <c r="AW722" i="1"/>
  <c r="AW717" i="1"/>
  <c r="AW712" i="1"/>
  <c r="AW707" i="1"/>
  <c r="AW702" i="1"/>
  <c r="AW697" i="1"/>
  <c r="AW692" i="1"/>
  <c r="AW687" i="1"/>
  <c r="AW682" i="1"/>
  <c r="AW677" i="1"/>
  <c r="AW672" i="1"/>
  <c r="AW667" i="1"/>
  <c r="AW662" i="1"/>
  <c r="AW657" i="1"/>
  <c r="AW652" i="1"/>
  <c r="AW647" i="1"/>
  <c r="AW642" i="1"/>
  <c r="AW637" i="1"/>
  <c r="AW632" i="1"/>
  <c r="AW627" i="1"/>
  <c r="AW622" i="1"/>
  <c r="AW617" i="1"/>
  <c r="AW612" i="1"/>
  <c r="AU576" i="1"/>
  <c r="AW576" i="1"/>
  <c r="AU549" i="1"/>
  <c r="AU527" i="1"/>
  <c r="AV513" i="1"/>
  <c r="AW513" i="1"/>
  <c r="AV782" i="1"/>
  <c r="AV777" i="1"/>
  <c r="AV772" i="1"/>
  <c r="AV767" i="1"/>
  <c r="AV762" i="1"/>
  <c r="AV757" i="1"/>
  <c r="AV752" i="1"/>
  <c r="AV747" i="1"/>
  <c r="AV742" i="1"/>
  <c r="AV737" i="1"/>
  <c r="AV732" i="1"/>
  <c r="AV727" i="1"/>
  <c r="AV722" i="1"/>
  <c r="AV717" i="1"/>
  <c r="AV712" i="1"/>
  <c r="AV707" i="1"/>
  <c r="AV702" i="1"/>
  <c r="AV697" i="1"/>
  <c r="AV692" i="1"/>
  <c r="AV687" i="1"/>
  <c r="AV682" i="1"/>
  <c r="AV677" i="1"/>
  <c r="AV672" i="1"/>
  <c r="AV667" i="1"/>
  <c r="AV662" i="1"/>
  <c r="AV657" i="1"/>
  <c r="AV652" i="1"/>
  <c r="AV647" i="1"/>
  <c r="AV642" i="1"/>
  <c r="AV637" i="1"/>
  <c r="AV632" i="1"/>
  <c r="AV627" i="1"/>
  <c r="AV622" i="1"/>
  <c r="AV617" i="1"/>
  <c r="AV612" i="1"/>
  <c r="AW599" i="1"/>
  <c r="AU596" i="1"/>
  <c r="AW596" i="1"/>
  <c r="AU584" i="1"/>
  <c r="AU544" i="1"/>
  <c r="AU522" i="1"/>
  <c r="AV508" i="1"/>
  <c r="AW508" i="1"/>
  <c r="AU503" i="1"/>
  <c r="AU447" i="1"/>
  <c r="AU432" i="1"/>
  <c r="AU395" i="1"/>
  <c r="AU391" i="1"/>
  <c r="AU366" i="1"/>
  <c r="AU347" i="1"/>
  <c r="AV599" i="1"/>
  <c r="AV591" i="1"/>
  <c r="AU571" i="1"/>
  <c r="AW571" i="1"/>
  <c r="AV503" i="1"/>
  <c r="AW503" i="1"/>
  <c r="AW607" i="1"/>
  <c r="AU575" i="1"/>
  <c r="AU548" i="1"/>
  <c r="AU512" i="1"/>
  <c r="AV498" i="1"/>
  <c r="AW498" i="1"/>
  <c r="AU493" i="1"/>
  <c r="AU442" i="1"/>
  <c r="AV418" i="1"/>
  <c r="AW418" i="1"/>
  <c r="AU382" i="1"/>
  <c r="AU362" i="1"/>
  <c r="AU595" i="1"/>
  <c r="AU579" i="1"/>
  <c r="AW579" i="1"/>
  <c r="AU566" i="1"/>
  <c r="AW566" i="1"/>
  <c r="AV548" i="1"/>
  <c r="AW548" i="1"/>
  <c r="AU535" i="1"/>
  <c r="AV493" i="1"/>
  <c r="AW493" i="1"/>
  <c r="AU488" i="1"/>
  <c r="AU465" i="1"/>
  <c r="AU408" i="1"/>
  <c r="AU390" i="1"/>
  <c r="AW559" i="1"/>
  <c r="AW554" i="1"/>
  <c r="AW549" i="1"/>
  <c r="AW544" i="1"/>
  <c r="AW539" i="1"/>
  <c r="AW534" i="1"/>
  <c r="AW529" i="1"/>
  <c r="AW524" i="1"/>
  <c r="AW519" i="1"/>
  <c r="AW514" i="1"/>
  <c r="AW509" i="1"/>
  <c r="AW504" i="1"/>
  <c r="AW499" i="1"/>
  <c r="AW494" i="1"/>
  <c r="AW489" i="1"/>
  <c r="AW484" i="1"/>
  <c r="AW479" i="1"/>
  <c r="AW474" i="1"/>
  <c r="AW469" i="1"/>
  <c r="AW464" i="1"/>
  <c r="AW459" i="1"/>
  <c r="AW454" i="1"/>
  <c r="AW449" i="1"/>
  <c r="AW444" i="1"/>
  <c r="AW439" i="1"/>
  <c r="AW434" i="1"/>
  <c r="AW429" i="1"/>
  <c r="AW424" i="1"/>
  <c r="AW419" i="1"/>
  <c r="AW414" i="1"/>
  <c r="AW409" i="1"/>
  <c r="AW404" i="1"/>
  <c r="AW399" i="1"/>
  <c r="AW394" i="1"/>
  <c r="AW389" i="1"/>
  <c r="AW384" i="1"/>
  <c r="AW379" i="1"/>
  <c r="AW374" i="1"/>
  <c r="AW339" i="1"/>
  <c r="AU270" i="1"/>
  <c r="AV270" i="1"/>
  <c r="AW270" i="1"/>
  <c r="AU265" i="1"/>
  <c r="AV265" i="1"/>
  <c r="AW265" i="1"/>
  <c r="AV211" i="1"/>
  <c r="AW211" i="1"/>
  <c r="AV559" i="1"/>
  <c r="AV554" i="1"/>
  <c r="AV549" i="1"/>
  <c r="AV544" i="1"/>
  <c r="AV539" i="1"/>
  <c r="AV534" i="1"/>
  <c r="AV529" i="1"/>
  <c r="AV524" i="1"/>
  <c r="AV519" i="1"/>
  <c r="AV514" i="1"/>
  <c r="AV509" i="1"/>
  <c r="AV504" i="1"/>
  <c r="AV499" i="1"/>
  <c r="AV494" i="1"/>
  <c r="AV489" i="1"/>
  <c r="AV484" i="1"/>
  <c r="AV479" i="1"/>
  <c r="AV474" i="1"/>
  <c r="AV469" i="1"/>
  <c r="AV319" i="1"/>
  <c r="AU305" i="1"/>
  <c r="AV305" i="1"/>
  <c r="AW305" i="1"/>
  <c r="AV301" i="1"/>
  <c r="AU279" i="1"/>
  <c r="AW279" i="1"/>
  <c r="AU200" i="1"/>
  <c r="AU179" i="1"/>
  <c r="AV131" i="1"/>
  <c r="AW312" i="1"/>
  <c r="AU309" i="1"/>
  <c r="AU301" i="1"/>
  <c r="AU283" i="1"/>
  <c r="AU205" i="1"/>
  <c r="AU184" i="1"/>
  <c r="AU144" i="1"/>
  <c r="AV144" i="1"/>
  <c r="AW144" i="1"/>
  <c r="AU136" i="1"/>
  <c r="AV136" i="1"/>
  <c r="AW136" i="1"/>
  <c r="AU127" i="1"/>
  <c r="AV127" i="1"/>
  <c r="AU292" i="1"/>
  <c r="AW292" i="1"/>
  <c r="AU274" i="1"/>
  <c r="AW274" i="1"/>
  <c r="AU210" i="1"/>
  <c r="AU189" i="1"/>
  <c r="AU163" i="1"/>
  <c r="AV163" i="1"/>
  <c r="AW163" i="1"/>
  <c r="AU149" i="1"/>
  <c r="AV149" i="1"/>
  <c r="AW149" i="1"/>
  <c r="AW561" i="1"/>
  <c r="AW556" i="1"/>
  <c r="AW551" i="1"/>
  <c r="AW546" i="1"/>
  <c r="AW541" i="1"/>
  <c r="AW536" i="1"/>
  <c r="AW531" i="1"/>
  <c r="AW526" i="1"/>
  <c r="AW521" i="1"/>
  <c r="AW516" i="1"/>
  <c r="AW511" i="1"/>
  <c r="AW506" i="1"/>
  <c r="AW501" i="1"/>
  <c r="AW496" i="1"/>
  <c r="AW491" i="1"/>
  <c r="AW486" i="1"/>
  <c r="AW481" i="1"/>
  <c r="AW476" i="1"/>
  <c r="AW471" i="1"/>
  <c r="AW466" i="1"/>
  <c r="AW461" i="1"/>
  <c r="AW456" i="1"/>
  <c r="AW451" i="1"/>
  <c r="AW446" i="1"/>
  <c r="AW441" i="1"/>
  <c r="AW436" i="1"/>
  <c r="AW431" i="1"/>
  <c r="AW426" i="1"/>
  <c r="AW421" i="1"/>
  <c r="AW416" i="1"/>
  <c r="AW411" i="1"/>
  <c r="AW406" i="1"/>
  <c r="AW401" i="1"/>
  <c r="AW396" i="1"/>
  <c r="AW391" i="1"/>
  <c r="AW386" i="1"/>
  <c r="AW381" i="1"/>
  <c r="AW376" i="1"/>
  <c r="AW371" i="1"/>
  <c r="AW366" i="1"/>
  <c r="AW361" i="1"/>
  <c r="AW356" i="1"/>
  <c r="AW351" i="1"/>
  <c r="AW346" i="1"/>
  <c r="AW341" i="1"/>
  <c r="AW336" i="1"/>
  <c r="AW331" i="1"/>
  <c r="AW304" i="1"/>
  <c r="AU269" i="1"/>
  <c r="AV269" i="1"/>
  <c r="AW269" i="1"/>
  <c r="AU264" i="1"/>
  <c r="AU259" i="1"/>
  <c r="AU254" i="1"/>
  <c r="AU249" i="1"/>
  <c r="AU244" i="1"/>
  <c r="AU239" i="1"/>
  <c r="AU234" i="1"/>
  <c r="AU229" i="1"/>
  <c r="AU224" i="1"/>
  <c r="AU219" i="1"/>
  <c r="AU215" i="1"/>
  <c r="AU194" i="1"/>
  <c r="AV168" i="1"/>
  <c r="AW168" i="1"/>
  <c r="AV304" i="1"/>
  <c r="AU199" i="1"/>
  <c r="AV158" i="1"/>
  <c r="AW158" i="1"/>
  <c r="AU300" i="1"/>
  <c r="AV300" i="1"/>
  <c r="AW300" i="1"/>
  <c r="AV291" i="1"/>
  <c r="AU287" i="1"/>
  <c r="AW287" i="1"/>
  <c r="AU273" i="1"/>
  <c r="AU204" i="1"/>
  <c r="AU188" i="1"/>
  <c r="AU158" i="1"/>
  <c r="AU107" i="1"/>
  <c r="AU268" i="1"/>
  <c r="AU263" i="1"/>
  <c r="AU258" i="1"/>
  <c r="AU248" i="1"/>
  <c r="AU243" i="1"/>
  <c r="AU238" i="1"/>
  <c r="AU233" i="1"/>
  <c r="AU228" i="1"/>
  <c r="AU223" i="1"/>
  <c r="AU218" i="1"/>
  <c r="AU134" i="1"/>
  <c r="AW603" i="1"/>
  <c r="AW598" i="1"/>
  <c r="AW593" i="1"/>
  <c r="AW588" i="1"/>
  <c r="AW583" i="1"/>
  <c r="AW578" i="1"/>
  <c r="AW573" i="1"/>
  <c r="AW568" i="1"/>
  <c r="AW563" i="1"/>
  <c r="AW558" i="1"/>
  <c r="AU282" i="1"/>
  <c r="AW282" i="1"/>
  <c r="AU253" i="1"/>
  <c r="AV253" i="1"/>
  <c r="AW253" i="1"/>
  <c r="AU214" i="1"/>
  <c r="AU117" i="1"/>
  <c r="AV117" i="1"/>
  <c r="AV307" i="1"/>
  <c r="AU295" i="1"/>
  <c r="AV295" i="1"/>
  <c r="AW295" i="1"/>
  <c r="AV286" i="1"/>
  <c r="AU106" i="1"/>
  <c r="AV106" i="1"/>
  <c r="AW106" i="1"/>
  <c r="AU97" i="1"/>
  <c r="AV315" i="1"/>
  <c r="AW315" i="1"/>
  <c r="AU303" i="1"/>
  <c r="AU286" i="1"/>
  <c r="AU277" i="1"/>
  <c r="AW277" i="1"/>
  <c r="AU208" i="1"/>
  <c r="AU111" i="1"/>
  <c r="AV111" i="1"/>
  <c r="AW111" i="1"/>
  <c r="AU318" i="1"/>
  <c r="AU299" i="1"/>
  <c r="AW299" i="1"/>
  <c r="AV171" i="1"/>
  <c r="AW171" i="1"/>
  <c r="AV166" i="1"/>
  <c r="AW166" i="1"/>
  <c r="AU147" i="1"/>
  <c r="AV147" i="1"/>
  <c r="AU116" i="1"/>
  <c r="AW600" i="1"/>
  <c r="AW595" i="1"/>
  <c r="AW590" i="1"/>
  <c r="AW585" i="1"/>
  <c r="AW580" i="1"/>
  <c r="AW575" i="1"/>
  <c r="AW570" i="1"/>
  <c r="AW565" i="1"/>
  <c r="AW560" i="1"/>
  <c r="AW555" i="1"/>
  <c r="AW550" i="1"/>
  <c r="AW545" i="1"/>
  <c r="AW540" i="1"/>
  <c r="AW535" i="1"/>
  <c r="AW530" i="1"/>
  <c r="AW525" i="1"/>
  <c r="AW520" i="1"/>
  <c r="AW515" i="1"/>
  <c r="AW510" i="1"/>
  <c r="AW505" i="1"/>
  <c r="AW500" i="1"/>
  <c r="AW495" i="1"/>
  <c r="AW490" i="1"/>
  <c r="AW485" i="1"/>
  <c r="AW480" i="1"/>
  <c r="AW475" i="1"/>
  <c r="AW470" i="1"/>
  <c r="AW465" i="1"/>
  <c r="AW460" i="1"/>
  <c r="AW455" i="1"/>
  <c r="AW450" i="1"/>
  <c r="AW445" i="1"/>
  <c r="AW440" i="1"/>
  <c r="AW435" i="1"/>
  <c r="AW430" i="1"/>
  <c r="AW425" i="1"/>
  <c r="AW420" i="1"/>
  <c r="AW415" i="1"/>
  <c r="AW410" i="1"/>
  <c r="AW405" i="1"/>
  <c r="AW400" i="1"/>
  <c r="AW395" i="1"/>
  <c r="AW390" i="1"/>
  <c r="AW385" i="1"/>
  <c r="AW380" i="1"/>
  <c r="AW375" i="1"/>
  <c r="AW370" i="1"/>
  <c r="AW365" i="1"/>
  <c r="AW360" i="1"/>
  <c r="AW355" i="1"/>
  <c r="AW350" i="1"/>
  <c r="AW345" i="1"/>
  <c r="AW340" i="1"/>
  <c r="AW335" i="1"/>
  <c r="AW330" i="1"/>
  <c r="AW325" i="1"/>
  <c r="AW320" i="1"/>
  <c r="AU290" i="1"/>
  <c r="AV290" i="1"/>
  <c r="AW290" i="1"/>
  <c r="AV213" i="1"/>
  <c r="AW213" i="1"/>
  <c r="AU171" i="1"/>
  <c r="AV161" i="1"/>
  <c r="AW161" i="1"/>
  <c r="AU152" i="1"/>
  <c r="AV152" i="1"/>
  <c r="AU142" i="1"/>
  <c r="AV142" i="1"/>
  <c r="AV600" i="1"/>
  <c r="AV595" i="1"/>
  <c r="AV590" i="1"/>
  <c r="AV585" i="1"/>
  <c r="AV580" i="1"/>
  <c r="AV555" i="1"/>
  <c r="AV550" i="1"/>
  <c r="AV545" i="1"/>
  <c r="AV540" i="1"/>
  <c r="AV535" i="1"/>
  <c r="AV530" i="1"/>
  <c r="AV525" i="1"/>
  <c r="AV520" i="1"/>
  <c r="AV515" i="1"/>
  <c r="AV510" i="1"/>
  <c r="AV505" i="1"/>
  <c r="AV500" i="1"/>
  <c r="AV495" i="1"/>
  <c r="AV490" i="1"/>
  <c r="AV485" i="1"/>
  <c r="AV480" i="1"/>
  <c r="AV475" i="1"/>
  <c r="AV470" i="1"/>
  <c r="AV465" i="1"/>
  <c r="AV460" i="1"/>
  <c r="AV455" i="1"/>
  <c r="AV450" i="1"/>
  <c r="AV445" i="1"/>
  <c r="AV440" i="1"/>
  <c r="AV435" i="1"/>
  <c r="AV430" i="1"/>
  <c r="AV425" i="1"/>
  <c r="AV420" i="1"/>
  <c r="AV415" i="1"/>
  <c r="AV410" i="1"/>
  <c r="AV405" i="1"/>
  <c r="AV400" i="1"/>
  <c r="AV395" i="1"/>
  <c r="AV390" i="1"/>
  <c r="AV385" i="1"/>
  <c r="AV380" i="1"/>
  <c r="AV375" i="1"/>
  <c r="AV370" i="1"/>
  <c r="AV365" i="1"/>
  <c r="AV360" i="1"/>
  <c r="AV355" i="1"/>
  <c r="AV350" i="1"/>
  <c r="AV345" i="1"/>
  <c r="AV340" i="1"/>
  <c r="AV335" i="1"/>
  <c r="AV330" i="1"/>
  <c r="AV325" i="1"/>
  <c r="AV320" i="1"/>
  <c r="AU181" i="1"/>
  <c r="AV176" i="1"/>
  <c r="AW176" i="1"/>
  <c r="AU161" i="1"/>
  <c r="AW317" i="1"/>
  <c r="AV314" i="1"/>
  <c r="AU294" i="1"/>
  <c r="AW294" i="1"/>
  <c r="AU285" i="1"/>
  <c r="AV285" i="1"/>
  <c r="AW285" i="1"/>
  <c r="AU276" i="1"/>
  <c r="AU186" i="1"/>
  <c r="AV181" i="1"/>
  <c r="AW181" i="1"/>
  <c r="AU156" i="1"/>
  <c r="AV317" i="1"/>
  <c r="AV271" i="1"/>
  <c r="AU191" i="1"/>
  <c r="AV186" i="1"/>
  <c r="AW186" i="1"/>
  <c r="AW577" i="1"/>
  <c r="AW572" i="1"/>
  <c r="AW567" i="1"/>
  <c r="AW562" i="1"/>
  <c r="AW557" i="1"/>
  <c r="AW552" i="1"/>
  <c r="AW547" i="1"/>
  <c r="AW542" i="1"/>
  <c r="AW537" i="1"/>
  <c r="AW532" i="1"/>
  <c r="AW527" i="1"/>
  <c r="AW522" i="1"/>
  <c r="AW517" i="1"/>
  <c r="AW512" i="1"/>
  <c r="AW507" i="1"/>
  <c r="AW502" i="1"/>
  <c r="AW497" i="1"/>
  <c r="AW492" i="1"/>
  <c r="AW487" i="1"/>
  <c r="AW482" i="1"/>
  <c r="AW477" i="1"/>
  <c r="AW472" i="1"/>
  <c r="AW467" i="1"/>
  <c r="AW462" i="1"/>
  <c r="AW457" i="1"/>
  <c r="AW452" i="1"/>
  <c r="AW447" i="1"/>
  <c r="AW442" i="1"/>
  <c r="AW437" i="1"/>
  <c r="AW432" i="1"/>
  <c r="AW427" i="1"/>
  <c r="AW422" i="1"/>
  <c r="AW417" i="1"/>
  <c r="AW412" i="1"/>
  <c r="AW407" i="1"/>
  <c r="AW402" i="1"/>
  <c r="AW397" i="1"/>
  <c r="AW392" i="1"/>
  <c r="AW387" i="1"/>
  <c r="AW382" i="1"/>
  <c r="AW377" i="1"/>
  <c r="AW372" i="1"/>
  <c r="AW367" i="1"/>
  <c r="AW362" i="1"/>
  <c r="AW357" i="1"/>
  <c r="AW352" i="1"/>
  <c r="AW347" i="1"/>
  <c r="AW342" i="1"/>
  <c r="AW337" i="1"/>
  <c r="AW332" i="1"/>
  <c r="AW327" i="1"/>
  <c r="AW322" i="1"/>
  <c r="AU310" i="1"/>
  <c r="AV310" i="1"/>
  <c r="AW310" i="1"/>
  <c r="AU280" i="1"/>
  <c r="AV280" i="1"/>
  <c r="AW280" i="1"/>
  <c r="AV191" i="1"/>
  <c r="AW191" i="1"/>
  <c r="AV141" i="1"/>
  <c r="AW141" i="1"/>
  <c r="AV577" i="1"/>
  <c r="AV572" i="1"/>
  <c r="AV567" i="1"/>
  <c r="AV562" i="1"/>
  <c r="AV557" i="1"/>
  <c r="AV552" i="1"/>
  <c r="AV547" i="1"/>
  <c r="AV542" i="1"/>
  <c r="AV537" i="1"/>
  <c r="AV532" i="1"/>
  <c r="AV527" i="1"/>
  <c r="AV522" i="1"/>
  <c r="AV517" i="1"/>
  <c r="AV512" i="1"/>
  <c r="AV507" i="1"/>
  <c r="AV502" i="1"/>
  <c r="AV497" i="1"/>
  <c r="AV492" i="1"/>
  <c r="AV487" i="1"/>
  <c r="AV482" i="1"/>
  <c r="AV477" i="1"/>
  <c r="AV472" i="1"/>
  <c r="AV467" i="1"/>
  <c r="AV462" i="1"/>
  <c r="AV457" i="1"/>
  <c r="AV452" i="1"/>
  <c r="AV447" i="1"/>
  <c r="AV442" i="1"/>
  <c r="AV437" i="1"/>
  <c r="AV432" i="1"/>
  <c r="AV427" i="1"/>
  <c r="AV422" i="1"/>
  <c r="AV417" i="1"/>
  <c r="AV412" i="1"/>
  <c r="AV407" i="1"/>
  <c r="AV402" i="1"/>
  <c r="AV397" i="1"/>
  <c r="AV392" i="1"/>
  <c r="AV387" i="1"/>
  <c r="AV382" i="1"/>
  <c r="AV377" i="1"/>
  <c r="AV372" i="1"/>
  <c r="AV367" i="1"/>
  <c r="AV362" i="1"/>
  <c r="AV357" i="1"/>
  <c r="AV352" i="1"/>
  <c r="AV347" i="1"/>
  <c r="AV342" i="1"/>
  <c r="AV337" i="1"/>
  <c r="AV332" i="1"/>
  <c r="AV327" i="1"/>
  <c r="AV322" i="1"/>
  <c r="AW297" i="1"/>
  <c r="AU289" i="1"/>
  <c r="AW289" i="1"/>
  <c r="AV266" i="1"/>
  <c r="AW266" i="1"/>
  <c r="AV261" i="1"/>
  <c r="AW261" i="1"/>
  <c r="AV256" i="1"/>
  <c r="AW256" i="1"/>
  <c r="AV251" i="1"/>
  <c r="AW251" i="1"/>
  <c r="AV246" i="1"/>
  <c r="AW246" i="1"/>
  <c r="AV241" i="1"/>
  <c r="AW241" i="1"/>
  <c r="AV236" i="1"/>
  <c r="AW236" i="1"/>
  <c r="AV231" i="1"/>
  <c r="AW231" i="1"/>
  <c r="AV226" i="1"/>
  <c r="AW226" i="1"/>
  <c r="AV221" i="1"/>
  <c r="AW221" i="1"/>
  <c r="AU201" i="1"/>
  <c r="AV196" i="1"/>
  <c r="AW196" i="1"/>
  <c r="AU180" i="1"/>
  <c r="AU141" i="1"/>
  <c r="AU132" i="1"/>
  <c r="AU104" i="1"/>
  <c r="AV104" i="1"/>
  <c r="AW104" i="1"/>
  <c r="AV297" i="1"/>
  <c r="AU275" i="1"/>
  <c r="AV275" i="1"/>
  <c r="AW275" i="1"/>
  <c r="AU206" i="1"/>
  <c r="AV201" i="1"/>
  <c r="AW201" i="1"/>
  <c r="AU185" i="1"/>
  <c r="AU114" i="1"/>
  <c r="AV114" i="1"/>
  <c r="AW114" i="1"/>
  <c r="AU313" i="1"/>
  <c r="AW309" i="1"/>
  <c r="AU284" i="1"/>
  <c r="AW284" i="1"/>
  <c r="AV279" i="1"/>
  <c r="AU211" i="1"/>
  <c r="AV206" i="1"/>
  <c r="AW206" i="1"/>
  <c r="AU119" i="1"/>
  <c r="AW272" i="1"/>
  <c r="AW267" i="1"/>
  <c r="AW262" i="1"/>
  <c r="AW212" i="1"/>
  <c r="AW207" i="1"/>
  <c r="AW202" i="1"/>
  <c r="AW197" i="1"/>
  <c r="AW192" i="1"/>
  <c r="AW187" i="1"/>
  <c r="AW182" i="1"/>
  <c r="AW177" i="1"/>
  <c r="AW172" i="1"/>
  <c r="AW148" i="1"/>
  <c r="AU60" i="1"/>
  <c r="AV60" i="1"/>
  <c r="AW60" i="1"/>
  <c r="AU56" i="1"/>
  <c r="AV56" i="1"/>
  <c r="AW56" i="1"/>
  <c r="AU31" i="1"/>
  <c r="AV31" i="1"/>
  <c r="AW31" i="1"/>
  <c r="AU6" i="1"/>
  <c r="AV6" i="1"/>
  <c r="AW6" i="1"/>
  <c r="AV167" i="1"/>
  <c r="AV162" i="1"/>
  <c r="AW159" i="1"/>
  <c r="AW157" i="1"/>
  <c r="AV151" i="1"/>
  <c r="AV148" i="1"/>
  <c r="AV139" i="1"/>
  <c r="AV124" i="1"/>
  <c r="AW118" i="1"/>
  <c r="AV112" i="1"/>
  <c r="AU109" i="1"/>
  <c r="AU103" i="1"/>
  <c r="AW103" i="1"/>
  <c r="AU81" i="1"/>
  <c r="AW133" i="1"/>
  <c r="AW121" i="1"/>
  <c r="AV118" i="1"/>
  <c r="AW99" i="1"/>
  <c r="AU145" i="1"/>
  <c r="AV145" i="1"/>
  <c r="AW145" i="1"/>
  <c r="AU115" i="1"/>
  <c r="AV115" i="1"/>
  <c r="AW115" i="1"/>
  <c r="AU84" i="1"/>
  <c r="AW84" i="1"/>
  <c r="AW264" i="1"/>
  <c r="AW259" i="1"/>
  <c r="AW254" i="1"/>
  <c r="AW249" i="1"/>
  <c r="AW244" i="1"/>
  <c r="AW239" i="1"/>
  <c r="AW234" i="1"/>
  <c r="AW229" i="1"/>
  <c r="AW224" i="1"/>
  <c r="AW219" i="1"/>
  <c r="AW214" i="1"/>
  <c r="AW209" i="1"/>
  <c r="AW204" i="1"/>
  <c r="AW199" i="1"/>
  <c r="AW194" i="1"/>
  <c r="AW189" i="1"/>
  <c r="AW184" i="1"/>
  <c r="AW179" i="1"/>
  <c r="AW174" i="1"/>
  <c r="AW169" i="1"/>
  <c r="AW164" i="1"/>
  <c r="AU130" i="1"/>
  <c r="AV130" i="1"/>
  <c r="AW130" i="1"/>
  <c r="AU80" i="1"/>
  <c r="AV80" i="1"/>
  <c r="AW80" i="1"/>
  <c r="AU55" i="1"/>
  <c r="AV55" i="1"/>
  <c r="AW55" i="1"/>
  <c r="AU51" i="1"/>
  <c r="AV51" i="1"/>
  <c r="AW51" i="1"/>
  <c r="AU26" i="1"/>
  <c r="AV26" i="1"/>
  <c r="AW26" i="1"/>
  <c r="AV264" i="1"/>
  <c r="AV259" i="1"/>
  <c r="AV254" i="1"/>
  <c r="AV249" i="1"/>
  <c r="AV244" i="1"/>
  <c r="AV239" i="1"/>
  <c r="AV234" i="1"/>
  <c r="AV229" i="1"/>
  <c r="AV224" i="1"/>
  <c r="AV219" i="1"/>
  <c r="AV214" i="1"/>
  <c r="AV209" i="1"/>
  <c r="AV204" i="1"/>
  <c r="AV199" i="1"/>
  <c r="AV194" i="1"/>
  <c r="AV189" i="1"/>
  <c r="AV184" i="1"/>
  <c r="AV179" i="1"/>
  <c r="AV174" i="1"/>
  <c r="AV169" i="1"/>
  <c r="AV164" i="1"/>
  <c r="AV156" i="1"/>
  <c r="AW112" i="1"/>
  <c r="AU96" i="1"/>
  <c r="AW96" i="1"/>
  <c r="AU76" i="1"/>
  <c r="AV153" i="1"/>
  <c r="AW142" i="1"/>
  <c r="AW127" i="1"/>
  <c r="AV102" i="1"/>
  <c r="AW92" i="1"/>
  <c r="AW108" i="1"/>
  <c r="AU79" i="1"/>
  <c r="AV79" i="1"/>
  <c r="AW79" i="1"/>
  <c r="AV108" i="1"/>
  <c r="AU95" i="1"/>
  <c r="AV95" i="1"/>
  <c r="AW95" i="1"/>
  <c r="AU75" i="1"/>
  <c r="AV75" i="1"/>
  <c r="AW75" i="1"/>
  <c r="AU46" i="1"/>
  <c r="AV46" i="1"/>
  <c r="AW46" i="1"/>
  <c r="AU21" i="1"/>
  <c r="AV21" i="1"/>
  <c r="AW21" i="1"/>
  <c r="AU150" i="1"/>
  <c r="AW150" i="1"/>
  <c r="AU105" i="1"/>
  <c r="AV105" i="1"/>
  <c r="AW105" i="1"/>
  <c r="AU71" i="1"/>
  <c r="AU120" i="1"/>
  <c r="AV120" i="1"/>
  <c r="AW120" i="1"/>
  <c r="AW102" i="1"/>
  <c r="AU135" i="1"/>
  <c r="AV135" i="1"/>
  <c r="AW135" i="1"/>
  <c r="AW87" i="1"/>
  <c r="AW318" i="1"/>
  <c r="AW313" i="1"/>
  <c r="AW308" i="1"/>
  <c r="AW303" i="1"/>
  <c r="AW298" i="1"/>
  <c r="AW293" i="1"/>
  <c r="AW288" i="1"/>
  <c r="AW283" i="1"/>
  <c r="AW278" i="1"/>
  <c r="AW273" i="1"/>
  <c r="AW268" i="1"/>
  <c r="AW263" i="1"/>
  <c r="AW258" i="1"/>
  <c r="AW248" i="1"/>
  <c r="AW243" i="1"/>
  <c r="AW238" i="1"/>
  <c r="AW233" i="1"/>
  <c r="AW228" i="1"/>
  <c r="AW223" i="1"/>
  <c r="AW218" i="1"/>
  <c r="AW208" i="1"/>
  <c r="AW203" i="1"/>
  <c r="AW198" i="1"/>
  <c r="AW193" i="1"/>
  <c r="AW188" i="1"/>
  <c r="AW183" i="1"/>
  <c r="AW178" i="1"/>
  <c r="AW173" i="1"/>
  <c r="AW147" i="1"/>
  <c r="AW117" i="1"/>
  <c r="AU70" i="1"/>
  <c r="AV70" i="1"/>
  <c r="AW70" i="1"/>
  <c r="AU66" i="1"/>
  <c r="AV66" i="1"/>
  <c r="AW66" i="1"/>
  <c r="AU41" i="1"/>
  <c r="AV41" i="1"/>
  <c r="AW41" i="1"/>
  <c r="AU16" i="1"/>
  <c r="AV16" i="1"/>
  <c r="AW16" i="1"/>
  <c r="AV313" i="1"/>
  <c r="AV308" i="1"/>
  <c r="AV303" i="1"/>
  <c r="AV298" i="1"/>
  <c r="AV293" i="1"/>
  <c r="AV288" i="1"/>
  <c r="AV283" i="1"/>
  <c r="AV278" i="1"/>
  <c r="AV273" i="1"/>
  <c r="AV208" i="1"/>
  <c r="AV203" i="1"/>
  <c r="AV198" i="1"/>
  <c r="AW132" i="1"/>
  <c r="AW119" i="1"/>
  <c r="AU94" i="1"/>
  <c r="AU82" i="1"/>
  <c r="AW134" i="1"/>
  <c r="AV119" i="1"/>
  <c r="AW113" i="1"/>
  <c r="AV107" i="1"/>
  <c r="AU90" i="1"/>
  <c r="AV90" i="1"/>
  <c r="AW90" i="1"/>
  <c r="AW146" i="1"/>
  <c r="AV134" i="1"/>
  <c r="AV122" i="1"/>
  <c r="AW116" i="1"/>
  <c r="AV113" i="1"/>
  <c r="AV97" i="1"/>
  <c r="AW260" i="1"/>
  <c r="AW255" i="1"/>
  <c r="AW250" i="1"/>
  <c r="AW245" i="1"/>
  <c r="AW240" i="1"/>
  <c r="AW235" i="1"/>
  <c r="AW230" i="1"/>
  <c r="AW225" i="1"/>
  <c r="AW220" i="1"/>
  <c r="AW215" i="1"/>
  <c r="AW210" i="1"/>
  <c r="AW205" i="1"/>
  <c r="AW200" i="1"/>
  <c r="AW195" i="1"/>
  <c r="AW190" i="1"/>
  <c r="AW185" i="1"/>
  <c r="AW180" i="1"/>
  <c r="AW175" i="1"/>
  <c r="AW170" i="1"/>
  <c r="AW165" i="1"/>
  <c r="AW160" i="1"/>
  <c r="AV146" i="1"/>
  <c r="AV137" i="1"/>
  <c r="AW131" i="1"/>
  <c r="AV116" i="1"/>
  <c r="AU110" i="1"/>
  <c r="AV110" i="1"/>
  <c r="AW110" i="1"/>
  <c r="AU101" i="1"/>
  <c r="AW101" i="1"/>
  <c r="AU69" i="1"/>
  <c r="AU65" i="1"/>
  <c r="AV65" i="1"/>
  <c r="AW65" i="1"/>
  <c r="AU61" i="1"/>
  <c r="AV61" i="1"/>
  <c r="AW61" i="1"/>
  <c r="AU44" i="1"/>
  <c r="AU40" i="1"/>
  <c r="AU36" i="1"/>
  <c r="AV36" i="1"/>
  <c r="AW36" i="1"/>
  <c r="AU19" i="1"/>
  <c r="AU11" i="1"/>
  <c r="AV11" i="1"/>
  <c r="AW11" i="1"/>
  <c r="AV260" i="1"/>
  <c r="AV255" i="1"/>
  <c r="AV250" i="1"/>
  <c r="AV245" i="1"/>
  <c r="AV240" i="1"/>
  <c r="AV235" i="1"/>
  <c r="AV230" i="1"/>
  <c r="AV225" i="1"/>
  <c r="AV220" i="1"/>
  <c r="AV215" i="1"/>
  <c r="AV210" i="1"/>
  <c r="AV205" i="1"/>
  <c r="AV200" i="1"/>
  <c r="AV195" i="1"/>
  <c r="AV190" i="1"/>
  <c r="AV185" i="1"/>
  <c r="AV180" i="1"/>
  <c r="AV175" i="1"/>
  <c r="AV170" i="1"/>
  <c r="AV165" i="1"/>
  <c r="AV160" i="1"/>
  <c r="AV157" i="1"/>
  <c r="AW154" i="1"/>
  <c r="AW152" i="1"/>
  <c r="AU140" i="1"/>
  <c r="AV140" i="1"/>
  <c r="AW140" i="1"/>
  <c r="AU137" i="1"/>
  <c r="AU125" i="1"/>
  <c r="AV125" i="1"/>
  <c r="AW125" i="1"/>
  <c r="AV154" i="1"/>
  <c r="AW107" i="1"/>
  <c r="AU89" i="1"/>
  <c r="AW89" i="1"/>
  <c r="AW122" i="1"/>
  <c r="AU100" i="1"/>
  <c r="AV100" i="1"/>
  <c r="AW100" i="1"/>
  <c r="AW97" i="1"/>
  <c r="AU85" i="1"/>
  <c r="AV85" i="1"/>
  <c r="AW85" i="1"/>
  <c r="AW74" i="1"/>
  <c r="AW69" i="1"/>
  <c r="AW64" i="1"/>
  <c r="AW59" i="1"/>
  <c r="AW54" i="1"/>
  <c r="AW49" i="1"/>
  <c r="AW44" i="1"/>
  <c r="AW39" i="1"/>
  <c r="AW34" i="1"/>
  <c r="AW29" i="1"/>
  <c r="AW24" i="1"/>
  <c r="AW19" i="1"/>
  <c r="AW14" i="1"/>
  <c r="AW9" i="1"/>
  <c r="AW4" i="1"/>
  <c r="AV74" i="1"/>
  <c r="AV69" i="1"/>
  <c r="AV64" i="1"/>
  <c r="AV59" i="1"/>
  <c r="AV54" i="1"/>
  <c r="AV49" i="1"/>
  <c r="AV44" i="1"/>
  <c r="AV39" i="1"/>
  <c r="AV34" i="1"/>
  <c r="AV29" i="1"/>
  <c r="AV24" i="1"/>
  <c r="AV19" i="1"/>
  <c r="AV14" i="1"/>
  <c r="AV9" i="1"/>
  <c r="AV4" i="1"/>
  <c r="AW91" i="1"/>
  <c r="AW86" i="1"/>
  <c r="AW81" i="1"/>
  <c r="AW76" i="1"/>
  <c r="AW71" i="1"/>
  <c r="AW98" i="1"/>
  <c r="AW93" i="1"/>
  <c r="AW88" i="1"/>
  <c r="AW83" i="1"/>
  <c r="AV48" i="1"/>
  <c r="AV43" i="1"/>
  <c r="AV38" i="1"/>
  <c r="AV33" i="1"/>
  <c r="AV28" i="1"/>
  <c r="AV23" i="1"/>
  <c r="AV18" i="1"/>
  <c r="AV13" i="1"/>
  <c r="AV8" i="1"/>
  <c r="AV3" i="1"/>
  <c r="AW50" i="1"/>
  <c r="AW45" i="1"/>
  <c r="AW40" i="1"/>
  <c r="AW35" i="1"/>
  <c r="AW30" i="1"/>
  <c r="AW25" i="1"/>
  <c r="AW20" i="1"/>
  <c r="AW15" i="1"/>
  <c r="AW10" i="1"/>
  <c r="AW5" i="1"/>
  <c r="AV50" i="1"/>
  <c r="AV45" i="1"/>
  <c r="AV40" i="1"/>
  <c r="AV35" i="1"/>
  <c r="AV30" i="1"/>
  <c r="AV25" i="1"/>
  <c r="AV20" i="1"/>
  <c r="AV15" i="1"/>
  <c r="AV10" i="1"/>
  <c r="AV5" i="1"/>
</calcChain>
</file>

<file path=xl/sharedStrings.xml><?xml version="1.0" encoding="utf-8"?>
<sst xmlns="http://schemas.openxmlformats.org/spreadsheetml/2006/main" count="19598" uniqueCount="11582">
  <si>
    <t>undefined</t>
  </si>
  <si>
    <t>['¬© 1992', 'similar characteristics', 'sensitivity projected', 'room temperature', 'power dissipation', 'perot transducer', 'perot cavity', 'noise temperature', 'multimode gravitational', 'mode 2400', 'illuminated fabry', 'astrophysical significance', '800 hz', '2 k', '03 k']</t>
  </si>
  <si>
    <t>A laser-illuminated Fabry-Perot cavity with a finesse of 83000 and power dissipation of a few ŒºW is tested at room temperature. The sensitivity to changes in the length of the cavity is 5.6√ó10-17 m/Hz. The sensitivity of multimode gravitational-wave bar detectors operated between 0.03 and 4.2 K and instrumented with a Fabry-Perot transducer of similar characteristics is calculated. The sensitivity projected for a three-mode 2400-kg Al 5056 antenna operating at 800 Hz and cooled to 0.03 K is Œ¥h=6.8√ó10-21 and the noise temperature of the system is a factor of 16 above the standard quantum limit. Such a sensitivity would permit observations of astrophysical significance. ¬© 1992 The American Physical Society.</t>
  </si>
  <si>
    <t>2309-2317</t>
  </si>
  <si>
    <t>Journal</t>
  </si>
  <si>
    <t>Physical Review D</t>
  </si>
  <si>
    <t>Richard, J. P.</t>
  </si>
  <si>
    <t>United States</t>
  </si>
  <si>
    <t>College Park</t>
  </si>
  <si>
    <t>University of Maryland, College Park</t>
  </si>
  <si>
    <t>Richard J.P.</t>
  </si>
  <si>
    <t>Article</t>
  </si>
  <si>
    <t>ar</t>
  </si>
  <si>
    <t>Approaching the quantum limit with optically instrumented multimode gravitational-wave bar detectors</t>
  </si>
  <si>
    <t>10.1103/PhysRevD.46.2309</t>
  </si>
  <si>
    <t>2-s2.0-0000005973</t>
  </si>
  <si>
    <t>n</t>
  </si>
  <si>
    <t>['unperturbed patch', 'simple schemes', 'resonant frequency', 'backed patch']</t>
  </si>
  <si>
    <t>Simple schemes are presented for lowering the resonant frequency of the rectangular patch antenna without changing its size. In particular, by placing a perturbance below the patch it is shown that as much as 30 percent decrease from the resonant frequency of the unperturbed patch can be achieved. The specific configurations considered include a cavity-backed and an aperture-backed patch and for each case design curves are presented. ¬© 1992 IEEE</t>
  </si>
  <si>
    <t>292-293</t>
  </si>
  <si>
    <t>IEEE Microwave and Guided Wave Letters</t>
  </si>
  <si>
    <t>60025778;60025778</t>
  </si>
  <si>
    <t>7102576479;7403588231</t>
  </si>
  <si>
    <t>Volakis, J. L.;Jin, J. M.</t>
  </si>
  <si>
    <t>Ann Arbor</t>
  </si>
  <si>
    <t>University of Michigan, Ann Arbor</t>
  </si>
  <si>
    <t>Volakis J.</t>
  </si>
  <si>
    <t>A Scheme to Lower the Resonant Frequency of the Microstrip Patch Antenna</t>
  </si>
  <si>
    <t>10.1109/75.143399</t>
  </si>
  <si>
    <t>2-s2.0-0000013482</t>
  </si>
  <si>
    <t>['sts protocol', 'reduce interference', 'directional antennas', 'design examples', 'delay performance', 'btma protocol', 'broadcasting angles', 'assigning tones', 'also designed', 'active neighbors']</t>
  </si>
  <si>
    <t>A new protocol called the simple tone sense (STS) protocol is designed for multihop packet radio networks (PRN‚Äôs) with multiple directional antennas stations. The protocol can minimize transmission interference by using a group of tones to identify the active neighbors. A variation of the STS protocol called the variable power tone sense (VPTS) protocol is also designed to further reduce interference. Algorithms for assigning tones and for determining the orientation and broadcasting angles of the directional antennas are designed. Design examples are given. Simulation result shows that the STS protocol gives better throughput-delay performance than the BTMA protocol, especially when the traffic is heavy. The VPTS protocol gives still better throughput-delay performance than the STS protocol. ¬© 1992 IEEE</t>
  </si>
  <si>
    <t>1716-1724</t>
  </si>
  <si>
    <t>IEEE Transactions on Communications</t>
  </si>
  <si>
    <t>60002798;60008928</t>
  </si>
  <si>
    <t>7006506507;7202728419</t>
  </si>
  <si>
    <t>Yum, Tak Shing;Hung, Kwok Wah</t>
  </si>
  <si>
    <t>Hong Kong;Hong Kong</t>
  </si>
  <si>
    <t>Kowloon;Hong Kong</t>
  </si>
  <si>
    <t>Hong Kong Polytechnic University;Chinese University of Hong Kong</t>
  </si>
  <si>
    <t>60008928;60002798</t>
  </si>
  <si>
    <t>Yum T.</t>
  </si>
  <si>
    <t>Design Algorithms for Multihop Packet Radio Networks with Multiple Directional Antennas Stations</t>
  </si>
  <si>
    <t>10.1109/26.179935</t>
  </si>
  <si>
    <t>2-s2.0-0000221578</t>
  </si>
  <si>
    <t>['whereas numbers', 'thylakoid membranes', 'substantial increase', 'spectral composition', 'sole function', 'saturated rate', 'results demonstrate', 'relative amounts', 'psi light', 'phycobilisome antenna', 'photosynthetic capacity', 'photosynthetic apparatus', 'mediated reduction', 'lowest irradiance', 'little effect', 'light environment', 'highest irradiance', 'high degree', 'harvesting components', 'harvesting complexes', 'growth light', 'growth irradiance', 'fold relative', 'fold faster', 'electron carriers', 'earlier observations', 'cultures grown', 'chl antenna', 'changed little', 'bisphosphate carboxylase', 'atp synthase', 'absorbed primarily', 'absorbed predominantly', '50161 ).', '5 ms', '40 %,', '2 ¬∑']</t>
  </si>
  <si>
    <t>Acclimation of the photosynthetic apparatus to changes in the light environment was studied in the unicellular red alga Porphyridium cruentum (American Type Culture Collection No. 50161). Absolute or relative amounts of four photosynthetic enzymes and electron carriers were measured, and the data were compared with earlier observations on light-harvesting components (F.X. Cunningham, Jr., R.J. Dennenberg, L. Must√°rdy, P.A. Jursinic, E. Gantt [1989] Plant Physiol 91: 1179-1187; F.X. Cunningham, Jr., R.J. Dennenberg, P.A. Jursinic, E. Gantt [1990] Plant Physiol 93: 888-895) and with measurements of photosynthetic capacity. Pmax, the light-saturated rate of photosynthesis on a chlorophyll (Chl) basis, increased more than 4-fold with increase in growth irradiance from 6 to 280 Œºeinsteins¬∑m-2¬∑s-1. Amounts of ferredoxin-NADP+ reductase, ribulose-1,5-bisphosphate carboxylase, and cytochrome f increased in parallel with Pmax, whereas numbers of the light-harvesting complexes (photosystem [PS] I, PSII, and phycobilisomes) changed little, and ATP synthase increased 7-fold relative to Chl. The calculated minimal turnover time for PSII under the highest irradiance, 5 ms, was thus about 4-fold faster than that calculated for cultures grown under the lowest irradiance (19 ms). A change in the spectral composition of the growth light (irradiance kept constant at 15 Œºeinsteins¬∑m-2¬∑s-1) from green (absorbed predominantly by the phycobilisome antenna of PSII) to red (absorbed primarily by the Chl antenna of PSI) had little effect on the amounts of ribulose-1,5-bisphosphate carboxylase, ATP synthase, and phycobilisomes on a Chl, protein, or thylakoid area basis. However, the number of PSI centers declined by 40%, cytochrome f increased by 40%, and both PSII and ferredoxin-NADP+ reductase increased approximately 3-fold on a thylakoid area basis. The substantial increase in ferredoxin-NADP+ reductase under PSI light is inconsistent with a PSI-mediated reduction of NADP as the sole function of this enzyme. Our results demonstrate a high degree of plasticity in content and composition of thylakoid membranes of P. cruentum.</t>
  </si>
  <si>
    <t>1142-1149</t>
  </si>
  <si>
    <t>Plant Physiology</t>
  </si>
  <si>
    <t>60020304;60027161;60020304</t>
  </si>
  <si>
    <t>7102226979;7004020202;7005758772</t>
  </si>
  <si>
    <t>Cunningham, Francis X.;Vonshak, Avigad;Gantt, Elisabeth</t>
  </si>
  <si>
    <t>Israel;United States</t>
  </si>
  <si>
    <t>Beer Sheba;College Park</t>
  </si>
  <si>
    <t>Ben-Gurion University of the Negev;University of Maryland, College Park</t>
  </si>
  <si>
    <t>60027161;60020304</t>
  </si>
  <si>
    <t>Cunningham F.X.</t>
  </si>
  <si>
    <t>Photoacclimation in the red alga Porphyridium cruentum: Changes in photosynthetic enzymes, electron carriers, and light-saturated rate of photosynthesis as a function of irradiance and spectral quality</t>
  </si>
  <si>
    <t>10.1104/pp.100.3.1142</t>
  </si>
  <si>
    <t>2-s2.0-0000403853</t>
  </si>
  <si>
    <t>University of Saskatchewan</t>
  </si>
  <si>
    <t>U of S</t>
  </si>
  <si>
    <t>['¬© 1992', 'wind directions', 'tidal phases', 'three campaigns', 'spaced antennas', 'six campaigns', 'rocket chaff', 'reduced signal', 'northern europe', 'noise conditions', 'minimal systems', 'mf winds', 'mf radars', 'lower thermosphere', 'low signal', 'located eiscat', 'incoherent scatter', 'first compared', 'excellent agreement', 'either radar', 'data obtained', 'adjusted winds', '7 june', '35 %.', '100 km']</t>
  </si>
  <si>
    <t>Winds and tides from the MF radar near Troms√∏ are first compared with data from the SOUSY VHF radar near Andenes (69¬∞N, 16¬∞E) and from rocket chaff and falling sphere systems, both obtained during SINE (Summer in Northern Europe; 7 June-19 July 1987). Wind directions and tidal phases are in excellent agreement, but magnitudes and amplitudes consistently demonstrate that the MF winds are reduced by 35%. This is associated with reduced signal to noise for the MF radar scatter due to minimal systems (loops) used for the spaced antennas. The adjusted winds and tides are then compared with data obtained from the co-located EISCAT and the Saskatoon MF radars, for a total of six campaigns (1987-1989) covering each season of the year. The data almost overlap near 100 km for three campaigns and do overlap from 90 to 100 km for the other three. There is, in general, excellent agreement between the incoherent scatter and MF radars, and clear seasonal variations are revealed. Differences are attributed to low signal to noise conditions for either radar, lack of complete data overlap, and strong wind gradients in the lower thermosphere. ¬© 1992.</t>
  </si>
  <si>
    <t>927-950</t>
  </si>
  <si>
    <t>Journal of Atmospheric and Terrestrial Physics</t>
  </si>
  <si>
    <t>July 1992/August 1992</t>
  </si>
  <si>
    <t>60191856;60191856;60021255;60010348</t>
  </si>
  <si>
    <t>7006112190;24290221300;6701388319;7004451418</t>
  </si>
  <si>
    <t>Manson, A. H.;Meek, C. E.;Brekke, A.;Moen, J.</t>
  </si>
  <si>
    <t>Canada;Norway;Norway</t>
  </si>
  <si>
    <t>Saskatoon;Tromso;Oslo</t>
  </si>
  <si>
    <t>Institute of Space and Atmospheric Studies;UiT The Arctic University of Norway;Universitetet i Oslo</t>
  </si>
  <si>
    <t>60191856;60021255;60010348</t>
  </si>
  <si>
    <t>Manson A.H.</t>
  </si>
  <si>
    <t>Mesosphere and lower thermosphere (80-120 km) winds and tides from near Troms0 (70¬∞N, 19¬∞E) : comparisons between radars (MF, EISCAT, VHF) and rockets</t>
  </si>
  <si>
    <t>002191699290059T</t>
  </si>
  <si>
    <t>10.1016/0021-9169(92)90059-T</t>
  </si>
  <si>
    <t>2-s2.0-0000584603</t>
  </si>
  <si>
    <t>['unequivocally demonstrates', 'tetramorium caespitum', 'tending ants', 'six times', 'readily contacted', 'quinquenotatus takes', 'quinquenotatus holds', 'possible descendent', 'pavement ant', 'nonattended species', 'mutualistic relationship', 'may secondarily', 'leafhopper species', 'greenhouse study', 'four times', 'flying away', 'excreted two', 'evolved due', 'droplet formation', 'dalbulus quinquenotatus', 'anal tube']</t>
  </si>
  <si>
    <t>ant-leafhopper interactions | Dalbulus quinquenotatus | fivespotted gamagrass leafhopper | honeydew | mutualism | myrmecophily | Tetramorium caespitum</t>
  </si>
  <si>
    <t>Few leafhopper species are known to be ant-attended. Evidence is presented that unequivocally demonstrates that Dalbulus quinquenotatus is a myrmecophile. In a greenhouse study, the behavior of D. quinquenotatus and four Dalbulus species not associated with ants was observed in the absence and presence of the pavement ant, Tetramorium caespitum. D. quinquenotatus is readily contacted by tending ants and responds to stroking on the abdomen from ants' antennae by excreting and holding honeydew droplets until droplets are removed by ants. Nonattended Dalbulus species avoid contact with ants by walking, jumping, or flying away when approached. D. quinquenotatus excretes three to six times the volume of honeydew as do two nonattended species, D. maidis and D. gelbus. Droplets of D. quinquenotatus are about 23% larger in diameter and excreted two to four times more frequently than for the other species. D. quinquenotatus takes about 0.15 s to form honeydew droplets on the anal tube, then holds the droplet an average of 0.28 s before expelling it when ants are absent. In the presence of ants, D. quinquenotatus holds the droplet an average of 1.31 s, which gives ants time to harvest the droplet. Nonattended species, however, immediately expel droplets from the anal tube after droplet formation. This ant-leafhopper mutualism apparently has evolved due to the ability of D. quinquenotatus to have extensive physical contact with ants and excrete large amounts of honeydew. D. chiapensis, a possible descendent of D. quinquenotatus, may secondarily have lost its mutualistic relationship with ants. ¬© 1992 Plenum Publishing Corporation.</t>
  </si>
  <si>
    <t>109-122</t>
  </si>
  <si>
    <t>Journal of Insect Behavior</t>
  </si>
  <si>
    <t>60013499;60013499;60013499</t>
  </si>
  <si>
    <t>7202662628;6506334856;6603838279</t>
  </si>
  <si>
    <t>Larsen, Kirk J.;Heady, Susan E.;Nault, Lowell R.</t>
  </si>
  <si>
    <t>Wooster</t>
  </si>
  <si>
    <t>Ohio Agricultural Research and Development Center</t>
  </si>
  <si>
    <t>Larsen K.</t>
  </si>
  <si>
    <t>Influence of ants (Hymenoptera: Formicidae) on honeydew excretion and escape behaviors in a myrmecophile, dalbulus quinquenotatus (Homoptera: Cicadellidae), and its congeners</t>
  </si>
  <si>
    <t>10.1007/BF01049162</t>
  </si>
  <si>
    <t>2-s2.0-0000625149</t>
  </si>
  <si>
    <t>['scan performance', 'results obtained', 'resonant length', 'polarization level', 'pol levels', 'losses due', 'infinite arrays', 'increased cross', 'dielectric substrate', 'chiral substrates', 'antenna characteristics']</t>
  </si>
  <si>
    <t>Results are presented for isolated microstrip antennas and infinite arrays of microstrip antennas printed on chiral substrates, computed from full-wave spectral domain moment method solutions. Data for resonant length, impedance, directivity, efficiency, cross-polarization level, and scan performance are given, and compared to results obtained for a dielectric substrate of the same thickness and permittivity. It is concluded that, from the point of view of antenna characteristics, there does not seem to be any advantage to using chiral antenna substrates, while there are disadvantages in terms of increased cross-pol levels and losses due to surface wave excitation. ¬© 1992 IEEE</t>
  </si>
  <si>
    <t>1260-1263</t>
  </si>
  <si>
    <t>0018926X</t>
  </si>
  <si>
    <t>IEEE Transactions on Antennas and Propagation</t>
  </si>
  <si>
    <t>Pozar, David M.</t>
  </si>
  <si>
    <t>Amherst MA</t>
  </si>
  <si>
    <t>University of Massachusetts Amherst</t>
  </si>
  <si>
    <t>Pozar D.M.</t>
  </si>
  <si>
    <t>Microstrip Antennas and Arrays on Chiral Substrates</t>
  </si>
  <si>
    <t>10.1109/8.182462</t>
  </si>
  <si>
    <t>2-s2.0-0000636703</t>
  </si>
  <si>
    <t>['saturation behavior', 'reduced 2', 'photoheterotrophic transition', 'photoheterotrophic nutrition', 'photoheterotrophic algae', 'noncyclic photophosphorylation', 'increased light', 'harvesting capacity', 'fluorescence yield', 'electron transport', 'efficient photosystem', 'co2 deficiency', 'atp demand', 'antenna size', 'acetate metabolism', 'accelerated 1', '4 times', '250 chlorophyll']</t>
  </si>
  <si>
    <t>The changes in the light-harvesting antenna size of photosystem I were investigated in the green alga Chlamydobotrys stellata during transition from autotrophic to photoheterotrophic nutrition by measuring the light-saturation behavior of hydrogen evolution following single turnover flashes. It was found that during autotrophic-to-photoheterotrophic transition the antenna size of photosystem I increased from 180 to 250 chlorophyll. The chlorophyll (a + b)/P700 ratio decreased from 800 to 550. The electron transport of photosystem I measured from reduced 2,6-dichlorophenolindophenol to methylviologen was accelerated 1.4 times. In the 77K fluorescence spectra, the photosystem II fluorescence yield was considerably lowered relative to the photosystem I fluorescence yield. It is suggested that the increased light-harvesting capacity and redistribution of absorbed excitation energy in favor of photosystem I is a response of photoheterotrophic algae to meet the ATP demand for acetate metabolism by efficient photosystem I cyclic electron transport when the noncyclic photophosphorylation is inhibited by CO2 deficiency.</t>
  </si>
  <si>
    <t>518-524</t>
  </si>
  <si>
    <t>60021331;60031514;60021331;60031514;60027811</t>
  </si>
  <si>
    <t>7003825263;6602079432;35944650900;8839463100;7003872406</t>
  </si>
  <si>
    <t>Boichenko, Vladimir A.;Wiessner, Wolfgang;Klimov, Vyacheslav V.;Mende, Dierk;Demeter, S√°ndor</t>
  </si>
  <si>
    <t>Germany;Hungary;Russian Federation</t>
  </si>
  <si>
    <t>Gottingen;Budapest;Moscow</t>
  </si>
  <si>
    <t>Georg-August-Universit√§t G√∂ttingen;Magyar Tudomanyos Akademia;Russian Academy of Sciences</t>
  </si>
  <si>
    <t>60031514;60027811;60021331</t>
  </si>
  <si>
    <t>Boichenko V.A.</t>
  </si>
  <si>
    <t>Hydrogen photoevolution indicates an increase in the antenna size of photosystem i in chlamydobotrys stellata during transition from autotrophic to photoheterotrophic nutrition</t>
  </si>
  <si>
    <t>10.1104/pp.100.1.518</t>
  </si>
  <si>
    <t>2-s2.0-0000938319</t>
  </si>
  <si>
    <t>['thylakoid membrane', 'surprisingly similar', 'state 1', 'saw subtle', 'rich domains', 'protein complex', 'previously thought', 'polypeptide composition', 'photosynthetic apparatus', 'lhcii apoproteins', 'including light', 'functionally diverse', 'first show', 'detailed analysis', 'antenna function', 'antenna complexes', 'also resolved', 'adapted grana']</t>
  </si>
  <si>
    <t>The photosystem (PS) II antenna system comprises several biochemically and spectroscopically distinct complexes, including light-harvesting complex II (LHCII), chlorophyll-protein complex (CP) 29, CP26, and CP24. LHCII, the most abundant of these, is both structurally and functionally diverse. The photosynthetic apparatus is laterally segregated within the thylakoid membrane into PSI-rich and PSII-rich domains, and the distribution of antenna complexes between these domains has implications for antenna function. We report a detailed analysis of the differences in the polypeptide composition of LHCII, CP29, and CP26 complexes associated with grana and stroma thylakoid fractions from spinach (Spinacia oleracea L.), making use of a very high-resolution denaturing gel system, coupled with immunoblots using monospecific antibodies to identify specific antenna components. We first show that the polypeptide composition of the PSII antenna system is more complex than previously thought. We resolved at least five type I LHCII apoproteins and two to three type II LHCII apoproteins. We also resolved at least two apoproteins each for CP29 and CP26. In state 1-adapted grana and stroma thylakoid membranes, the spectrum of LHCII apoproteins is surprisingly similar. However, in addition to overall quantitative differences, we saw subtle but reproducible qualitative differences in the spectrum of LHCII apoproteins in grana and stroma membrane domains, including two forms of the major type II apoprotein. The implications of these findings for models of PSII antenna function in spinach are discussed.</t>
  </si>
  <si>
    <t>1517-1526</t>
  </si>
  <si>
    <t>60000221-60025038;60000221</t>
  </si>
  <si>
    <t>16210043900;7006830237</t>
  </si>
  <si>
    <t>Allen, Keith D.;Staehelin, L. Andrew</t>
  </si>
  <si>
    <t>United States;United States</t>
  </si>
  <si>
    <t>Berkeley;Boulder</t>
  </si>
  <si>
    <t>University of California, Berkeley;University of Colorado Boulder</t>
  </si>
  <si>
    <t>60025038;60000221</t>
  </si>
  <si>
    <t>Allen K.</t>
  </si>
  <si>
    <t>Biochemical characterization of photosystem II antenna polypeptides in grana and stroma membranes of spinach</t>
  </si>
  <si>
    <t>10.1104/pp.100.3.1517</t>
  </si>
  <si>
    <t>2-s2.0-0001018513</t>
  </si>
  <si>
    <t>['thermal analysis', 'temperature measurements', 'rod temperature', 'power capacity', 'phase shifter', 'peak power', 'paper analyzes', 'many single', 'improvement achieved', 'generally dictated', 'f performance', 'conventional rotary', 'alternative technique', 'alternative geometry']</t>
  </si>
  <si>
    <t>The rotary-field ferrite phase shifter inherently achieves excellent phase accuracy which has led to application in many single-axis phase scanned antennas. The limitation on power capacity of this device is generally dictated by average power rather than peak power. This paper analyzes the average power capacity of the phase shifter as determined by the increase in rod temperature and the maximum thermal gradient. An equivalent circuit model for thermal analysis is developed, and its parameters are determined by r-f and temperature measurements. An alternative geometry is described which results in significantly improved average power capacity without noticeable degradation of r-f performance. An experimental phase shifter using the alternative technique was built and tested. Comparison with a conventional rotary-field phase shifter demonstrates the improvement achieved. ¬© 1992 IEEE</t>
  </si>
  <si>
    <t>2387-2391</t>
  </si>
  <si>
    <t>IEEE Transactions on Microwave Theory and Techniques</t>
  </si>
  <si>
    <t>Hord, William E.</t>
  </si>
  <si>
    <t>Santa Monica</t>
  </si>
  <si>
    <t>Microwave Applications Group</t>
  </si>
  <si>
    <t>Hord W.</t>
  </si>
  <si>
    <t>Average power capacity of rotary-field ferrite phase shifters</t>
  </si>
  <si>
    <t>10.1109/22.179906</t>
  </si>
  <si>
    <t>2-s2.0-0001056464</t>
  </si>
  <si>
    <t>['¬© 1992', 'threshold value', 'rf sheaths', 'radiation loss', 'power density', 'metallic casing', 'mainly composed', 'impurity production', 'heating efficiency', 'faraday shield', '5 mw', '30 mm', '16 mw', '131 mhz', '1 mw']</t>
  </si>
  <si>
    <t>Performance of the JT-60 ICRF antenna in second and third harmonic heating schemes (f = 120, 131 MHz) over past four years of operation is presented. The antenna is mainly composed of phased 2 √ó 2 loops, an open type Faraday shield and a metallic casing, forming a plug-in type. The antenna is operated for wide plasma parameters: ne = 1-7√ó1019 m-3, IP = 1-2.8 MA and BT = 2.2-4.8 T. The open type Faraday shield shows no deterioration for impurity production and heating efficiency up to the maximum injected power of 3.1 MW (the power density of 16 MW/m2) except the following particular condition. Only for (0, 0) phasing and less than 30 mm of the distance between the outermost magnetic surface and the antenna guard limiter, the radiation loss increases abruptly from ŒîPrad PIC ‚àº 0.3 to ŒîPrad PIC ‚àº 4 in carbon limiter discharges when the injected power exceeds a threshold value of ‚àº 0.5 MW. Strong titanium impurity release from the Faraday shield is observed in coincidence with the increase in the radiation loss. This suggests that strong ion sputtering is induced on the Faraday shield by RF sheaths. ¬© 1992.</t>
  </si>
  <si>
    <t>213-223</t>
  </si>
  <si>
    <t>Fusion Engineering and Design</t>
  </si>
  <si>
    <t>60012288;60012288;60012288;60012288;60012288;60012288;60012288;60012288;60012288;60012288;60012288;60012288</t>
  </si>
  <si>
    <t>35352771100;7005938557;7404269925;7101740816;6505816217;7201460685;35377951900;7402811420;7103103440;7404050584;7005442284;7003910283</t>
  </si>
  <si>
    <t>Fujii, T.;Saigusa, M.;Kimura, H.;Moriyama, S.;Annoh, K.;Kawano, Y.;Kobayashi, N.;Kubo, H.;Nishitani, T.;Ogawa, Y.;Shinozaki, S.;Terakado, M.</t>
  </si>
  <si>
    <t>Japan</t>
  </si>
  <si>
    <t>Naka</t>
  </si>
  <si>
    <t>Naka Fusion Institute</t>
  </si>
  <si>
    <t>Fujii T.</t>
  </si>
  <si>
    <t>Performance of the JT-60 ICRF antenna with an open type Faraday shield</t>
  </si>
  <si>
    <t>092037969290031X</t>
  </si>
  <si>
    <t>10.1016/0920-3796(92)90031-X</t>
  </si>
  <si>
    <t>2-s2.0-0001084062</t>
  </si>
  <si>
    <t>['video techniques', 'various treatments', 'used alone', 'total time', 'starved insects', 'solvent alone', 'simultaneous electronic', 'significant differences', 'possible modes', 'polygodial could', 'plant tissue', 'plant contact', 'mean duration', 'insects exposed', 'insect antennae', 'first penetration', 'electronic recording', 'close correlation', 'behavioural differences', 'beans treated', '60 ).', '24 h']</t>
  </si>
  <si>
    <t>antifeedant | Aphis fabae | electronic monitoring | plant penetration | polygodial | video</t>
  </si>
  <si>
    <t>Simultaneous electronic and close‚Äêup video recordings were made of behaviour during the initial 15 min of plant contact by adult, apterous Aphis fabae Scopoli on tick bean seedlings (Vicia faba Moench). Electronic techniques accurately determined stylet penetration of plant tissue and there was a close correlation between penetration and periods during which the insect antennae and body were immobile (r = 0.994, n = 60). Video techniques were then used alone to infer stylet penetration and the behaviour of aphids after various treatments was monitored. In particular, the time to first penetration, the number of penetrations, the mean duration of penetrations and the total time of penetration were observed. Behavioural differences were recorded between tethered (as required for electronic recording) and freely‚Äêmoving insects as well as between fed and starved insects. The behaviour of starved aphids placed on beans treated with the plant‚Äêderived antifeedant, polygodial could not be distinguished from aphids on solvent‚Äêtreated control beans. However, there were significant differences in behaviour of aphids which had previously been exposed to polygodial on plant or green/yellow paper surfaces for 24 h when compared with insects exposed to solvent alone. The possible modes of action of polygodial are discussed. 1992 The Netherlands Entomological Society</t>
  </si>
  <si>
    <t>233-239</t>
  </si>
  <si>
    <t>Entomologia Experimentalis et Applicata</t>
  </si>
  <si>
    <t>60015150;60015150;60015150;60002793</t>
  </si>
  <si>
    <t>7101763729;7003622538;57205913783;16420094200</t>
  </si>
  <si>
    <t>Hardie, J.;Holyoak, M.;Taylor, N. J.;Griffiths, D. C.</t>
  </si>
  <si>
    <t>United Kingdom;United Kingdom</t>
  </si>
  <si>
    <t>London;Harpenden</t>
  </si>
  <si>
    <t>Imperial College London;Rothamsted Research</t>
  </si>
  <si>
    <t>60015150;60002793</t>
  </si>
  <si>
    <t>Hardie J.</t>
  </si>
  <si>
    <t>The combination of electronic monitoring and video‚Äêassisted observations of plant penetration by aphids and behavioural effects of polygodial</t>
  </si>
  <si>
    <t>10.1111/j.1570-7458.1992.tb00663.x</t>
  </si>
  <si>
    <t>2-s2.0-0001100112</t>
  </si>
  <si>
    <t>['¬© 1992', 'strong interaction', 'reaction center', 'photosynthetic unit', 'nonlinear trapping', 'molecular vibrations', 'molecular aggregates', 'excitation transfer']</t>
  </si>
  <si>
    <t>We present model calculations to describe the phenomenon of nonlinear trapping in molecular aggregates such as can occur during excitation transfer from an antenna to the reaction center in a photosynthetic unit. Our calculations are analytical and proceed from the discrete nonlinear Schr√∂dinger equation introduced recently as the appropriate transport instrument in the analysis of excitation transfer in the presence of strong interaction with molecular vibrations. ¬© 1992 The American Physical Society.</t>
  </si>
  <si>
    <t>13792-13798</t>
  </si>
  <si>
    <t>Physical Review B</t>
  </si>
  <si>
    <t>60033021;60033021</t>
  </si>
  <si>
    <t>7007005051;55947450100</t>
  </si>
  <si>
    <t>Kenkre, V. M.;Kus, M.</t>
  </si>
  <si>
    <t>Albuquerque</t>
  </si>
  <si>
    <t>The University of New Mexico</t>
  </si>
  <si>
    <t>Kenkre V.</t>
  </si>
  <si>
    <t>Model calculations for the phenomenon of nonlinear trapping in molecular aggregates</t>
  </si>
  <si>
    <t>10.1103/PhysRevB.46.13792</t>
  </si>
  <si>
    <t>2-s2.0-0001298271</t>
  </si>
  <si>
    <t>Office of Naval Research</t>
  </si>
  <si>
    <t>DOD-Hughes-PO-SI-1075-1</t>
  </si>
  <si>
    <t>ONR</t>
  </si>
  <si>
    <t>['wave spectrum', 'wave region', 'used extensively', 'technology based', 'successful development', 'space applications', 'shown promise', 'sensors operating', 'second approach', 'resolution antennas', 'rectangular waveguide', 'rather unexploited', 'present status', 'planar conductors', 'ohmic losses', 'nonplanar lines', 'microshield lines', 'lower frequencies', 'lower end', 'loss planar', 'lines referred', 'higher frequencies', 'higher end', 'four types', 'fabrication tolerances', 'fabrication processes', 'fabrication feasibility', 'electrical properties', 'discussed extensively', 'disadvantages associated', 'detailed presentation', 'conventional planar', 'command systems', 'available information', 'appropriate way']</t>
  </si>
  <si>
    <t>Technology based on the submillimeter-wave range offers narrow-beam, high-resolution antennas which are essential for intelligent computer control guidance, command systems for space applications, and sensors operating in an optically opaque environment. There are two typical approaches to the design of low-loss transmission lines. The first approach attempts to extend the millimeter-wave monolithic technology to higher frequencies. In this manner, planar conductors are used extensively for the guidance of the waves but with important structural modifications in their supporting dielectric materials in order to avoid excessive loss of power in the form of radiation. This approach has resulted in the successful development of low-loss planar and nonplanar lines but is limited to the lower end of the submillimeter-wave spectrum (up tp 500 GHz) due to ohmic losses and fabrication tolerances. The second approach extends optical techniques to lower frequencies and has resulted in low-loss, quasi-planar lines made exclusively of intrinsic semiconducting materials combined in an appropriate way. Because of the present status of the fabrication processes, this second approach is limited to the higher end of the submillimeter-wave spectrum. Since the submillimeter-wave region is rather unexploited, the development of the lines referred to above is still in its infancy. However, a detailed presentation of the available information on their electrical properties is given. Furthermore, these lines are compared with conventional planar and nonplanar lines, such as microstrip and rectangular waveguide, in terms of performance, fabrication feasibility, and availability. There are four types of novel monolithic waveguides which have shown promise for use in the submillimeter frequency range: monolithic dielectric guides, microshield lines, lens-supported coplanar lines, and silicon micromachined waveguides. The advantages as well as the disadvantages associated with the use of these guides are discussed extensively. ¬© 1992 IEEE</t>
  </si>
  <si>
    <t>1771-1787</t>
  </si>
  <si>
    <t>Proceedings of the IEEE</t>
  </si>
  <si>
    <t>Katehi, Linda P.B.</t>
  </si>
  <si>
    <t>Katehi L.</t>
  </si>
  <si>
    <t>Novel Transmission Lines for the Submillimeter-Wave Region</t>
  </si>
  <si>
    <t>10.1109/5.175254</t>
  </si>
  <si>
    <t>2-s2.0-0001394113</t>
  </si>
  <si>
    <t>['wave spectral', 'two types', 'theoretical data', 'spectral domain', 'results show', 'radiation properties', 'radiation patterns', 'pulse functions', 'piecewise sinusoidal', 'microstrip antennas', 'lrl de', 'input impedance', 'infinite microstrip', 'feed line', 'fed rectangular', 'embedding algorithm', 'domain method', 'calculated data']</t>
  </si>
  <si>
    <t>A combination of piecewise sinusoidal-pulse functions (PWS-P) and semi-infinite microstrip (SIM) current expansion functions are used in the full-wave spectral-domain method to analyze microstrip antennas with arbitrary rectangular boundaries. Radiation properties are formulated in the spectral domain to achieve high numerical efficiency. Two types of microstrip antennas, edge-fed rectangular and inset fed patches, have been analyzed and measured. A LRL de-embedding algorithm has been implemented to measure the input impedance of both antennas. The results show good agreement between measurement and calculated data. The radiation patterns from the edge-fed rectangular patch are measured and are compared with the theoretical data. Results show that the current on the feed line can disturb the antenna radiation pattern. ¬© 1992 IEEE</t>
  </si>
  <si>
    <t>1245-1249</t>
  </si>
  <si>
    <t>60022904;60027550;60027550</t>
  </si>
  <si>
    <t>56161418400;7004468161;57217922015</t>
  </si>
  <si>
    <t>Wu, Shih Chang;Alexopoulos, Nicolaos G.;Fordham, Owen</t>
  </si>
  <si>
    <t>Los Angeles;Newark</t>
  </si>
  <si>
    <t>University of California, Los Angeles;New Jersey Institute of Technology</t>
  </si>
  <si>
    <t>60027550;60022904</t>
  </si>
  <si>
    <t>Wu S.C.</t>
  </si>
  <si>
    <t>Feeding Structure Contribution to Radiation by Patch Antennas with Rectangular Boundaries</t>
  </si>
  <si>
    <t>10.1109/8.182458</t>
  </si>
  <si>
    <t>2-s2.0-0001436988</t>
  </si>
  <si>
    <t>['wiley blackwell', 'twelve neurones', 'suboesophageal ganglion', 'solely mechanoresponsive', 'six tarsi', 'simulated palpation', 'rights reserved', 'processes confined', 'plant material', 'particular patterns', 'palpation behaviour', 'neurones may', 'mediolateral neuropiles', 'mechanical stimulation', 'maxillary palps', 'major regions', 'labial neuromeres', 'intracellular recording', 'four palps', 'food selection', 'descending axons']</t>
  </si>
  <si>
    <t>feeding | Locust migratoria | mechanoreceptors | sub‚Äêoesophageal ganglion</t>
  </si>
  <si>
    <t>Abstract. A preparation is described for intracellular recording from the neur‚Äêopile of the sub‚Äêoesophageal ganglion (SOG) of the locust, while stimulating the labial and maxillary palps with plant material in such a way as to mimic the palpation behaviour which precedes and continues throughout feeding. Twelve neurones responding to simulated palpation were recorded from and stained in the SOG. Axons of three neurones ascended to the brain, six had descending axons and three had all of their processes confined to the suboesophageal ganglion. The major regions of arborization were in the ventrolateral and mediolateral neuropiles of the maxillary and labial neuromeres. All twelve neurones were solely mechanoresponsive. In addition to responding to palpation of one or more of the four palps, five also responded to stimulation of the labrum, one to touching each antenna, and one to mechanical stimulation of each of the six tarsi. In the context of what is known about the role of mechano‚Äêstimulation in the control of feeding, and given their particular patterns of input and arborizations, it is suggested that the neurones may be active during food selection and ingestion. Copyright ¬© 1992, Wiley Blackwell. All rights reserved</t>
  </si>
  <si>
    <t>351-369</t>
  </si>
  <si>
    <t>Physiological Entomology</t>
  </si>
  <si>
    <t>SIMPSON, S. J.</t>
  </si>
  <si>
    <t>Switzerland</t>
  </si>
  <si>
    <t>Basel</t>
  </si>
  <si>
    <t>Universit√§t Basel, Zoologisches Institut</t>
  </si>
  <si>
    <t>SIMPSON S.J.</t>
  </si>
  <si>
    <t>Mechanoresponsive neurones in the suboesophageal ganglion of the locust</t>
  </si>
  <si>
    <t>10.1111/j.1365-3032.1992.tb01033.x</t>
  </si>
  <si>
    <t>2-s2.0-0001438147</t>
  </si>
  <si>
    <t>['terrestrial planets', 'radar observations', 'radar experiments', 'provided evidence', 'polar region', 'polar ice', 'north pole', 'mariner 10', 'icy regions', 'high values', 'goldstone 70', 'clearly visible', 'centimeter wavelength', '26 antennas']</t>
  </si>
  <si>
    <t>The first unambiguous full-disk radar mapping of Mercury at 3.5-centimeter wavelength, with the Goldstone 70-meter antenna transmitting and 26 antennas of the Very Large Array receiving, has provided evidence for the presence of polar ice. The radar experiments, conducted on 8 and 23 August 1991, were designed to image the half of Mercury not photographed by Mariner 10. The orbital geometry allowed viewing beyond the north pole of Mercury; a highly reflective region was clearly visible on the north pole during both experiments. This polar region has areas in which the circular polarization ratio (Œºc) was 1.0 to 1.4; values &lt;‚àº0.1 are typical for terrestrial planets. Such high values of Œºc have hitherto been observed in radar observations only from icy regions of Mars and icy outer planet satellites.</t>
  </si>
  <si>
    <t>635-640</t>
  </si>
  <si>
    <t>Science</t>
  </si>
  <si>
    <t>60009037;60086312;60086312</t>
  </si>
  <si>
    <t>7101725729;7202035444;7003859294</t>
  </si>
  <si>
    <t>Slade, Martin A.;Butler, Bryan J.;Muhleman, Duane O.</t>
  </si>
  <si>
    <t>Pasadena;Pasadena</t>
  </si>
  <si>
    <t>Division of Geological and Planetary Sciences;Jet Propulsion Laboratory</t>
  </si>
  <si>
    <t>60086312;60009037</t>
  </si>
  <si>
    <t>Slade M.</t>
  </si>
  <si>
    <t>Mercury radar imaging: Evidence for polar ice</t>
  </si>
  <si>
    <t>10.1126/science.258.5082.635</t>
  </si>
  <si>
    <t>2-s2.0-0001555219</t>
  </si>
  <si>
    <t>['temperature control', 'phased arrays', 'microwave radiometry', 'heating patterns', 'active length']</t>
  </si>
  <si>
    <t>Coaxial antennas different in their active length have been designed, to be used in a complete 915 MHz hyper thermia system with temperature control by microwave radiometry. Heating patterns are reconstructed from the power deposition associated with the bioheat transfer equation. Temperature control is effected by means of microwave radiometry and used in order to determine bioheat parameters. Phased arrays are studied allowing heated volume expansion. ¬© 1992 IEEE</t>
  </si>
  <si>
    <t>2243-2250</t>
  </si>
  <si>
    <t>60104665-105925153;60104665;60104665;60104665</t>
  </si>
  <si>
    <t>6701735722;7202188003;56255060000;7004583077</t>
  </si>
  <si>
    <t>Camart, Jean Christophe;Fabre, Jean Jacques;Pribetich, Joseph;Chive, Maurice</t>
  </si>
  <si>
    <t>France;France</t>
  </si>
  <si>
    <t>Lille;Lille</t>
  </si>
  <si>
    <t>Universit√© de Lille;Centre de Lutte Contre le Cancer Oscar Lambret</t>
  </si>
  <si>
    <t>60104665;105925153</t>
  </si>
  <si>
    <t>Camart J.C.</t>
  </si>
  <si>
    <t>Coaxial antenna array for 915 mhz interstitial hyperthermia: Design and modelization‚Äîpower deposition and heating pattern‚Äîphased array</t>
  </si>
  <si>
    <t>10.1109/22.179886</t>
  </si>
  <si>
    <t>2-s2.0-0001619472</t>
  </si>
  <si>
    <t>['¬© 1992', 'wave observatory', 'wave background', 'wave antennas', 'united states', 'two interferometers', 'stochastic gravitation', 'statistical basis', 'similar systems', 'may detect', 'interferometric gravitational', 'gravity wave', 'cosmic strings', 'correlation experiment', 'correlated signal', 'correlated noise', 'closure density', 'background produced', 'antenna separation', 'also discussed', 'advanced detectors', '100 hz', '10 times']</t>
  </si>
  <si>
    <t>A study of the method of detecting a stochastic gravitation-wave background (SGWB) with laser-interferometric gravitational-wave antennas is presented. The SGWB can be measured by correlating the output of two or more detectors. The results in this paper can be applied to the planned new generation of kilometer length interferometers, such as the Laser Interferometer Gravitational-Wave Observatory (LIGO) in the United States, or similar systems in other countries. Advanced detectors will be able to limit the gravity-wave background energy density per logarithmic interval at 100 Hz to 2√ó10-10 times the closure density of the Universe. A survey of potential sources indicates that a pair of antennas will be able to confirm or deny the existence of cosmic strings, or may detect the background produced by extragalactic neutron star binaries. Elements of the optimal interferometer design and orientation for detecting the SGWB, or any gravity wave, are given. In particular, the criteria for orienting a pair of antennas, the trade-off between sensitivity and bandwidth, and the effect of antenna separation on the correlation are presented. A procedure for obtaining the correlated signal from two interferometers is given. The statistical basis of the correlation experiment is presented. The cause and effect of correlated noise is examined. Filtering and data analysis issues are also discussed. ¬© 1992 The American Physical Society.</t>
  </si>
  <si>
    <t>5250-5266</t>
  </si>
  <si>
    <t>60022195-60029445</t>
  </si>
  <si>
    <t>Christensen, Nelson</t>
  </si>
  <si>
    <t>Minneapolis;Cambridge</t>
  </si>
  <si>
    <t>University of Minnesota Twin Cities;Massachusetts Institute of Technology</t>
  </si>
  <si>
    <t>60029445;60022195</t>
  </si>
  <si>
    <t>Christensen N.</t>
  </si>
  <si>
    <t>Measuring the stochastic gravitational-radiation background with laser-interferometric antennas</t>
  </si>
  <si>
    <t>10.1103/PhysRevD.46.5250</t>
  </si>
  <si>
    <t>2-s2.0-0001685023</t>
  </si>
  <si>
    <t>['wiley blackwell', 'two types', 'two extremes', 'three cells', 'temperature change', 'still unaware', 'spontaneous activity', 'spike responses', 'spike activity', 'several seconds', 'rights reserved', 'receptor potentials', 'one type', 'olfactory receptors', 'odour stimuli', 'odour stimulation', 'individual cells', 'exclusively sensitive', 'difference apparent', 'dichloromethane 12', 'continued firing', 'co2 13', 'certain areas', 'cell types', 'action potentials', 'acetone 13', '141 cells']</t>
  </si>
  <si>
    <t>1‚Äêocten‚Äê3‚Äìol | 3‚Äìmethylphenol | acetone | antenna | C02 | dichloromethane | Glossina m.morsitans | mechanorecep‚Äêtion | olfaction | single cell | thermoreception | Tsetse</t>
  </si>
  <si>
    <t>Abstract. Action potentials from individual cells and receptor potentials were recorded from antennae (funiculi) of living tsetse flies, Glossina m.morsitansWestwood, using a ‚Äòsurface‚Äêcontact‚Äô recording technique. Stimuli were pressure of the electrode, changes in temperature and the vapours of l‚Äêocten‚Äê3‚Äìol, acetone, 3‚Äìmethylphenol, dichloromethane and CO2. Two types of mechano‚Äêreceptive cells were found. One type only fired action potentials when pressure was increased, the other type continued firing when pressure was maintained. Of the 182 cells tested for their sensitivity to temperature change and the odour stimuli, 19% did not respond to any of the stimuli, suggesting that we are still unaware of cues which may be of import to the flies, and 4% responded to temperature only, increasing and decreasing their activity with a decrement and increment in temperature, respectively. Of the 141 cells which were olfactory receptors, 52% responded to 1‚Äêocten‚Äê3‚Äìol and 40% were exclusively sensitive to this substance. For 3‚Äìmethylphenol these percentages were 23 and 18, for acetone 13 and 11, for dichloromethane 12 and 7, for CO2 13 and 13. No clustering of cell types in certain areas of the funiculi was found, nor was a difference apparent between the sexes. The majority of the olfactory cells responded by increasing their activities on odour stimulation. Inhibition was found in three cells only, in which spontaneous activity was suppressed on stimulation with 3‚Äìmethylphenol. Spike responses were phasic‚Äêtonic and varied between two extremes: Cells showing relatively rapid cessation of spike activity after the end of stimulation, and cells which continued firing for several seconds or minutes after stimulation. Possible behavioural effects of the activities of the various cell types are discussed. Copyright ¬© 1992, Wiley Blackwell. All rights reserved</t>
  </si>
  <si>
    <t>33-42</t>
  </si>
  <si>
    <t>60010023;60010023</t>
  </si>
  <si>
    <t>57195020410;8983649300</t>
  </si>
  <si>
    <t>OTTER, C. J.DEN;NATERS, W. M.VAN DER GOES VAN</t>
  </si>
  <si>
    <t>Netherlands</t>
  </si>
  <si>
    <t>Groningen</t>
  </si>
  <si>
    <t>University of Groningen</t>
  </si>
  <si>
    <t>OTTER C.</t>
  </si>
  <si>
    <t>Single cell recordings from tsetse Glossina m.morsitans antennae reveal olfactory, mechano ‚Äê and cold receptors</t>
  </si>
  <si>
    <t>10.1111/j.1365-3032.1992.tb00987.x</t>
  </si>
  <si>
    <t>2-s2.0-0001805745</t>
  </si>
  <si>
    <t>['resonant layer', 'resonance location', 'radial position', 'plasma pressure', 'phase velocity', 'phase reversal', 'measurements show', 'lie inside', 'larger change', 'induced effects', 'hydrogen plasma', 'hydrogen case', 'fluids 25', 'experiment uses', 'estimates based', 'deuterium plasmas', 'deuterium plasma', 'collisonless model', 'capacitors driving', 'approximately 0', 'antenna resistance', 'absorption efficiency', '6 cm']</t>
  </si>
  <si>
    <t>Alfv√©n-wave heating experiments are performed on the High-Beta Q Machine (HBQM) [Phys. Fluids 25, 262 (1982)] straight plasma column. An investigation is made of Alfv√©n-wave energy absorption by the Alfv√©n-resonant layer at which the local shear Alfv√©n velocity is equal to the phase velocity of the driven plasma standing wave. The radial position of the resonance in the plasma is defined by the equilibrium magnetic field diamagnetic profile and nearly constant electron number density profile. The experiment uses a 250 MW ringing LC circuit in the 615-720 kHz frequency range with the capacitors driving the HBQM compression coil segments that are connected to form a 2.0 m long m = ¬± 1 antenna configuration with axial wave number kz = 15.7 m-1. Experiments were conducted on both hydrogen and deuterium plasmas. In the hydrogen case the Alfv√©n resonance is predicted to lie inside the plasma. Internal magnetic field probes were used to measure both the rf and equilibrium magnetic fields. The rf heating produces a larger change in the hydrogen plasma axial magnetic field profile that is centered around r = 6 cm, near the Alfv√©n-resonance location. The rf BÃÉŒ∏ signal shows a phase reversal at the same radius. Other measurements show a 25% increase in plasma pressure for hydrogen. The antenna resistance increases from 0.06 Œ© vacuum value to approximately 0.2 Œ© in the presence of hydrogen plasma with a 31% absorption efficiency. The rf-induced effects in the deuterium plasma are 20%-50% smaller, agreeing with estimates based on collisional viscous damping, or collisonless model with finite ion cyclotron and Larmor radius effects. In the hydrogen case both these models predict insufficient energy absorption to explain observed heating. However, a magnetofluid calculation taking account of the singularity at the Alfv√©n-resonant layer reproduces the value of the antenna resistance for the hydrogen case. ¬© 1992 American Institute of Physics.</t>
  </si>
  <si>
    <t>392-403</t>
  </si>
  <si>
    <t>Physics of Fluids B</t>
  </si>
  <si>
    <t>60015481-60032179;60015481;60015481</t>
  </si>
  <si>
    <t>6602924044;7402428186;6603954092</t>
  </si>
  <si>
    <t>Cekic, M.;Nelson, B. A.;Ribe, F. L.</t>
  </si>
  <si>
    <t>Madison;Seattle</t>
  </si>
  <si>
    <t>University of Wisconsin-Madison;University of Washington</t>
  </si>
  <si>
    <t>60032179;60015481</t>
  </si>
  <si>
    <t>Cekic M.</t>
  </si>
  <si>
    <t>Alfv√©n-wave heating of a high-beta plasma column</t>
  </si>
  <si>
    <t>10.1063/1.860289</t>
  </si>
  <si>
    <t>2-s2.0-0002847960</t>
  </si>
  <si>
    <t>['signal strength']</t>
  </si>
  <si>
    <t>A microprocessor controlled direction selectable TV receiving antenna providing maximum signal strength from multiple direction TV sources is reported. The system has many desirable features such as single step control. off-time programmable direction setting and control, a display unit showing the time and direction and a bar graph display indicating- the signal strength. ¬© 1992 IEEE</t>
  </si>
  <si>
    <t>862-868</t>
  </si>
  <si>
    <t>IEEE Transactions on Consumer Electronics</t>
  </si>
  <si>
    <t>60032587;60032587</t>
  </si>
  <si>
    <t>55751743517;6506990088</t>
  </si>
  <si>
    <t>Balasubramanian, K.;Ikiz, Turgut</t>
  </si>
  <si>
    <t>Turkey</t>
  </si>
  <si>
    <t>Adana</t>
  </si>
  <si>
    <t>√áukurova √úniversitesi</t>
  </si>
  <si>
    <t>Balasubramanian K.</t>
  </si>
  <si>
    <t>Microprocessor controlled direction selectable TV receiving antenna</t>
  </si>
  <si>
    <t>10.1109/30.179976</t>
  </si>
  <si>
    <t>2-s2.0-0003662492</t>
  </si>
  <si>
    <t>['wide range', 'whose antennas', 'stct ),', 'section transponder', 'scattering matrix', 'phase patterns', 'performance evaluation', 'parc rather', 'paper deals', 'orthomode transducer', 'one another', 'matrix elements', 'incidence angles', 'high radar', 'extending stct', 'excellent isolation', 'designed using', 'close proximity', 'calibration technique', 'boresight direction', 'antenna parc', '45 ¬∞,', '3 ghz', '25 ghz']</t>
  </si>
  <si>
    <t>A polarimetric active radar calibrator (PARC) is a high radar-cross-section transponder with a known scattering matrix. This paper deals with three PARCRelated topics. The first involves experimental measurements of the magnitudes and phases of the scattering-matrix elements of a pair of PARC's that operate at 1.25 GHz and 5.3 GHz. The measurements, which were obtained by a polarimetric scatterometer calibrated using a recently developed single-target-calibration technique (STCT), were conducted over a wide range of incidence angles (relative to the boresight direction) in the azimuth, elevation, 45¬∞, and 135¬∞ planes. The S3 GHz PARC, which consisted of two antennas placed several wavelengths apart, exhibited symmetrical patterns with no ripples and excellent isolation between orthogonal polarization channels. In contrast, the 1.25 GHz PARC, whose antennas were in very close proximity of one another, exhibited unsymmetrical patterns as well as ripples in the phase patterns, thereby introducing errors in the elements of the scattering matrix. To avoid this problem, the antennas should be placed several wavelengths apart. Alternatively, a single-antenna PARC can be designed using an orthomode transducer. The design, construction, and performance evaluation of such a PARC is the second topic discussed in this paper, and the third topic pertains to extending STCT so it may be applied equally well using a PARC rather than being limited to using reciprocal passive calibration devices such as spheres and trihedral corner reflectors. ¬© 1992 IEEE</t>
  </si>
  <si>
    <t>1147-1154</t>
  </si>
  <si>
    <t>60025778;60025778;60025778</t>
  </si>
  <si>
    <t>35585913500;7402126293;7103159953</t>
  </si>
  <si>
    <t>Sarabandi, Kamal;Oh, Yisok;Ulaby, Fawwaz T.</t>
  </si>
  <si>
    <t>Sarabandi K.</t>
  </si>
  <si>
    <t>Performance Characterization of Polarimetric Active Radar Calibrators and a New Single Antenna Design</t>
  </si>
  <si>
    <t>10.1109/8.182446</t>
  </si>
  <si>
    <t>2-s2.0-0005101107</t>
  </si>
  <si>
    <t>['typically terminated', 'treated approximately', 'slot width', 'simple formulas', 'similar results', 'short circuit', 'rivet may', 'rivet act', 'resulting inductance', 'question arises', 'outer shell', 'open circuit', 'much larger', 'metal wall', 'impedance loads', 'formulas show', 'correction resulting', 'bolt load', 'antenna model', 'annular region', 'also required', 'also given']</t>
  </si>
  <si>
    <t>Unintentional slot apertures formed at the joints in the outer shell of a system are typically terminated by bolts or rivets. When the slot is narrow (length and wavelength much larger than the slot cross section) the question arises: How can these loads be incorporated into the antenna model for the slot? Impedance loads for the antenna model are derived by considering the difference between the Hall√©n filamentary feed representation and the true bolt geometry. Simple formulas are derived for the inductance of such loads. The leading order formulas are derived by means of conformal mapping considering only the interior of the slot. A correction resulting from the exterior of the slot is also given. These formulas show (in the case where the bolt or rivet makes contact with the conductors on each side of the width of the slot) that the bolt or rivet may be treated approximately as a short circuit. This follows because the condition that the slot be narrow, required to treat it by means of an antenna model, is also required for the bolt load to approach a short circuit. However, in the case where an annular gap exists around the bolt or rivet in the slot conducting wall, and the length of this annular region (typically the thickness of the metal wall) is much larger than the slot width, the resulting inductance can dominate the bolt load effect and in certain cases make the bolt or rivet act more as an open circuit; bolt or rivet contact impedance can lead to similar results. ¬© 1992 VSP.</t>
  </si>
  <si>
    <t>891-910</t>
  </si>
  <si>
    <t>Journal of Electromagnetic Waves and Applications</t>
  </si>
  <si>
    <t>60007843-60031581;60007843</t>
  </si>
  <si>
    <t>7003397779;7410237435</t>
  </si>
  <si>
    <t>Warne, L. K.;Chen, K. C.</t>
  </si>
  <si>
    <t>Pasadena;Albuquerque</t>
  </si>
  <si>
    <t>California Institute of Technology;Sandia National Laboratories, New Mexico</t>
  </si>
  <si>
    <t>60031581;60007843</t>
  </si>
  <si>
    <t>Warne L.</t>
  </si>
  <si>
    <t>Effective impedance of bolt loads on narrow slot apertures having depth</t>
  </si>
  <si>
    <t>10.1163/156939392X01507</t>
  </si>
  <si>
    <t>2-s2.0-0005821492</t>
  </si>
  <si>
    <t>['toroidal geometry', 'strong dependence', 'rays starting', 'power along', 'poloidal angles', 'poloidal angle', 'plasma core', 'particular regard', 'horizontal plane', 'allowed except', 'absorption mechanism']</t>
  </si>
  <si>
    <t>The ion Bernstein wave (IBW) propagation is investigated in toroidal geometry with particular regard for the absorption mechanism of the power along the trajectory which shows a strong dependence on the value of the poloidal angle at the antenna. A large power fraction launched by poloidally wide antennas turns out to be absorbed in the very edge of the plasma by electron Landau damping and no penetration of the wave up to the plasma core is allowed except for rays starting at poloidal angles very close to the horizontal plane. This result could provide an explanation for the absence of efficient core heating in some of the IBW heating experiments. ¬© 1992 American Institute of Physios.</t>
  </si>
  <si>
    <t>504-511</t>
  </si>
  <si>
    <t>60027075;60027075</t>
  </si>
  <si>
    <t>7003552802;56967138300</t>
  </si>
  <si>
    <t>Cardinali, Alessandro;Romanelli, Francesco</t>
  </si>
  <si>
    <t>Italy</t>
  </si>
  <si>
    <t>Frascati</t>
  </si>
  <si>
    <t>ENEA Centro Ricerche Frascati</t>
  </si>
  <si>
    <t>Cardinali A.</t>
  </si>
  <si>
    <t>Linear propagation and absorption of ion Bernstein waves in toroidal geometry</t>
  </si>
  <si>
    <t>10.1063/1.860248</t>
  </si>
  <si>
    <t>2-s2.0-0006197984</t>
  </si>
  <si>
    <t>['third species', 'southwestern cape', 'south africa', 'small streams', 'small size', 'slender pereopods', 'relatively short', 'morphological similarities', 'material collected', 'lack teeth', 'francis ltd', 'features common', 'antenna 2', 'adult males']</t>
  </si>
  <si>
    <t>Amphipoda | Crangonyctoidea | Crustacea | New species | Paramelitidae | South Africa | Taxonomy</t>
  </si>
  <si>
    <t>Four new species within the crangonyctoid amphipod genus Paramelita are described from material collected from small streams in the southwestern Cape, South Africa. Two of the species are large, with robust second antennae which exceed the first in length, especially in adult males. The third species is recognized by its slender pereopods and its densely setose second antennae, and the fourth by its small size and relatively short, slender, unmodified second antennae. All of these species have an unmodified pereopod 3, and lack teeth, spines, ridges or lobes on antenna 2, features common to many of the known Paramelita species. Morphological similarities between the four new species and 19 previously known species of Paramelita are discussed. ¬© 1992 Taylor &amp; Francis Ltd.</t>
  </si>
  <si>
    <t>489-506</t>
  </si>
  <si>
    <t>Journal of Natural History</t>
  </si>
  <si>
    <t>May-June 1992</t>
  </si>
  <si>
    <t>60000493;60000356</t>
  </si>
  <si>
    <t>7202105898;7201982179</t>
  </si>
  <si>
    <t>Stewart, B. A.;Griffiths, C. L.</t>
  </si>
  <si>
    <t>South Africa;South Africa</t>
  </si>
  <si>
    <t>Cape Town;Cape Town</t>
  </si>
  <si>
    <t>Iziko South African Museum;University of Cape Town</t>
  </si>
  <si>
    <t>Stewart B.</t>
  </si>
  <si>
    <t>Further new species within the freshwater amphipod genus paramelita (Crangonyctoidea: Paramelitidae) from south africa</t>
  </si>
  <si>
    <t>10.1080/00222939200770321</t>
  </si>
  <si>
    <t>2-s2.0-0007221622</t>
  </si>
  <si>
    <t>['zu messen', 'wiley blackwell', 'two types', 'two biotypes', 'tp values', 'temperature dependence', 'susceptible biotypes', 'solatium nigrum', 'rights reserved', 'resistant biotypes', 'reduced state', 'reduced qa', 'redox state', 'quinone reoxidation', 'quinone oxidation', 'qq ),', 'qa l', 'poa annua', 'photosynthetic performance', 'photochemical component', 'photochemical activity', 'oxyder l', 'lhcpii ).', 'leaves exposed', 'la chaleur', 'ii changed', 'higher susceptibility', 'heat tolerance', 'heat stress', 'heat sensitivity', 'fluorescence quenching', 'en effet', 'determine whether', 'chlorophyll antennae', 'chenopodium album', 'also compared', '56 bzw', '55 bzw', '48 bzw']</t>
  </si>
  <si>
    <t>The photosynthetic performance of Solarium nigrum L., Poa annua L. and Chenopodium album L. resistant to triazines was investigated in order to determine whether the alteration of the 32‚ÄêkD protein of photosystem (PS) II changed the ability to oxidize the PSII primary quinone acceptor QA. The effect of heat stress on the photochemistry of the resistant biotypes and the susceptible biotypes was also compared. The weeds were screened with the in‚Äêvivo modulated chlorophyll fluorescence device to measure the photochemical component of fluorescence quenching (qQ), which provided semi‚Äêquantitative information on the redox state of QA. At 25¬∞C, an increase in the amplitude of the parameter 1‚ÄêqQ, which reflected the reduced state of QA, was observed in all resistant biotypes, compared to the susceptible wild biotypes. This was attributable to a shift in the equilibrium between QA‚àí and QB (the PSII secondary quinone acceptor) in favour of QA. A heat stress of 35¬∞C did not increase the level of reduced QA, except in the resistant biotypes of Poa annua. The photochemical activity of the two types of leaves exposed to increasingly high temperatures (25‚Äì65¬∞C) indicated that quinone oxidation was more affected by heat stress in mutant resistant biotypes than in the susceptible biotypes. The quinone reoxidation was nullified at 60, 56 and 60¬∞C, respectively, for susceptible biotypes of Solatium nigrum, Poa annua and Chenopodium album, and at 56, 48 and 54¬∞C, respectively, for the three resistant biotypes. Heat also induced changes in the dark fluorescence F0, an indicator of the heat sensitivity of the light‚Äêharvesting chlorophyll protein complex of PSII (LHCPII). The temperature dependence (25‚Äì70¬∞C) of this fluorescence parameter confirmed the higher susceptibility of heat‚Äêtreated resistant leaves. Indeed, the temperatures of the peak of F0 (Tp) were 60, 55 and 62¬∞C for susceptible Solanum nigrum, Poa annua and Chenopodium album, respectively. The Tp values for the three resistant biotypes were 55, 48 and 57¬∞C, respectively. It is concluded that heat tolerance is related to differences in the organization of the chlorophyll antennae (LHCPII) between the two biotypes. Tolerance de biotypes sensibles et resistants aux triazines de 3 adventices au stress de la chaleur: une √©tude de fluorescence Les rendements photosynth√©tiques de Solanum nigrum L., Poa annua L. et Chenopodium album L. resistant aux triazines ont √©t√©√©tudi√©s en vue de d√©terminer dans quelle mesure l'alt√©ration de la prot√©√Øne 32 kD du photosyst√®me (PS) II, affecte la capacit√© d'oxyder l'accepteur quinonique primaire de PS II. QA L'influence d'un stress de chaleur sur la photochimie de biotypes r√©sistants et de biotypes sensibles a √©t√© compar√©e. Les mauvaises herbes ont √©t√© tri√©es au moyen de la fluorescence de la chlorophylle in vivo, pour mesurer la composante photochimique de r√©duction de la fluorescence (qQ) qui donne une information semi quantitative de l'√©tat redox de QA. A 25 ¬∞C, une augmentation dans l'amplitude du param√®tre 1‚ÄêqQ, qui refl√®te l'√©tat r√©duit de QA a √©t√© observ√©e chez les biotypes resistants encomparaison des biotypes sauvages sensibles. Ceci a √©t√© attribu√©√† une modification dans l'√©quilibre entre Q‚àíA et QB (l'accepteur quinonique secondaire PS II), en faveur de QA. Un stress thermique de 35¬∞C n'a pas augment√© le niveau de QA r√©duit, sauf chez le biotype r√©sistant de Poa annua. L'activit√© photochimique des feuilles des 2 types expos√©es √† des hautes temp√©ratures croissantes (25 √† 65¬∞C) a montr√© que l'oxydation de la quinone √©tait plus affect√©e par le stress thermique chez les biotypes mutants r√©sistants que chez les biotypes sensibles. La r√©oxydation de la quinone √©tait annul√©e √† 60, 56 et 60¬∞C respectivement pour les biotypes sensibles de Solatium nigrum, Poa annua et Chenopodium album et √† 56, 48 et 54¬∞C respectivement pour les 3 biotypes r√©sistants. La chaleur a √©galement entrain√© des changements dans la fluorescence F0, un indicateur de la sensibilit√©√† la chaleur du complexe collecteur de lumi√®re du PS II (LHCP II). La d√©pendance avec la temp√©rature (25‚Äì70¬∞C) de ce param√®tre de fluorescence a confirm√© la plus grande sensibilit√© des feuilles r√©sistantes soumises √† la chaleur. En effet, les temp√©ratures du pic de Fo (Tp) √©taient de 60, 55 et 62¬∞C respectivement, pour les biotypes sensibles de Solanum nigrum, Poa annua et Chenopodium album. Les valeurs Tp pour les 3 biotypes r√©sistants √©taient respectivement de 55, 48 et 57¬∞C. Il est conclu que la tol√©rance √† la chaleur est li√©e aux diff√©rences dans l'organisation des antennes chlorophylliennes (LHC P II) entre les 2 biotypes. Hitzetoleranz Triazin‚Äêresistenter und ‚Äêempfindlicher Biotypen von drei Unkrautarten Die photosynthetische Leistung Triazin‚Äêresistenter Biotypen von Solanum nigrum L., Poa annua L. und Chenopodium album L. wurde dahingehend untersucht, ob eine Ver√§nderung des 32‚ÄêkD‚ÄêEiweisses des Pigmentsystems II (PII) die F√§higkeit √§nderte, den prim√§ren Quinon‚ÄêAkzeptor QA des PII zu oxidieren. Auch die Wirkung einer Hitzebehandlung auf die photochemischen Reaktionen resistenter und empfindlicher Biotypen wurde verglichen. Die Unkr√§uter wurden in vivo mit einem Chlorophyll‚ÄêFluorimeter gescreent, um die photochemische Komponente der Fluoreszenz‚ÄêAusl√∂sung (qQ) zu messen, die eine semiquantitative Information √ºber den Redox‚ÄêZustand des QA lieferte. Die Amplitude des Parameters l‚ÄêqQ, der den reduzierten Zustand des QA widerspiegelte, nahm bei 25¬∞C bei allen resistenten Biotypen im Vergleich zu den empfindlichen zu. Dies konnte einer Verschiebung des Gleichgewichts zwischen Q‚àíA und QB (dem sekund√§ren Quinon‚ÄêAkzeptor QA des PII) zugunsten des QA zugeordnet werden. Eine Hitzebehandlung mit 35¬∞C erh√∂hte den reduzierten QA nicht, au√üer bei resistenten Biotypen von Poa annua. Die photochemische Aktivit√§t von Bl√§ttern der beiden Typen, die steigenden Temperaturen von 25 bis 65¬∞C unterworden wurden, zeigte, da√ü die Quinon‚ÄêOxidation bei den resitenten Biotypen durch den Hitzestre√ü st√§rker beeinflu√üt wurde als bei den empfindlichen. Die Quinon‚ÄêReoxidation wurde bei den empfindlichen Biotypen von Solanum nigrum, Poa annua und Chenopodium album bei 60, 56 bzw. 60¬∞C aufgehoben, bei den resistenten bei 56, 48 bzw. 54¬∞C. Hitze f√ºhrte auch zu √Ñnderungen der Dunkel‚ÄêFluoreszenz Fo, einem Indikator der Hitzeempfindlichkeit des lichtabsorbierenden Chlorophyll‚ÄêEiwei√ükomplexes des PII (LHCPII). Die Temperaturabh√§ngigkeit dieses Fluoreszenz‚ÄêParameters bei 25 bis 70¬∞C best√§tigte die h√∂here Empfindlichkeit hitzebehandelter Bl√§tter resistenter Pflanzen. So waren Fo‚ÄêPeaks bei empfindlichen Solanum nigrum, Poa annua und Chenopodium album bei 60, 55 bzw. 62¬∞C, bei resistenten bei 55, 48 bzw. 57¬∞C festzustellen. Daraus wurde geschlossen, da√ü die Hitzetoleranz auf Unterschieden im Aufbau des lichtabsorbierenden Pigmentsystems LHCPII der beiden Biotypen beruht. Copyright ¬© 1992, Wiley Blackwell. All rights reserved</t>
  </si>
  <si>
    <t>Weed Research</t>
  </si>
  <si>
    <t>60000145;60000145;60000145</t>
  </si>
  <si>
    <t>57196612470;8608364500;6603343127</t>
  </si>
  <si>
    <t>FUKS, B.;VAN EYCKEN, F.;LANNOYE, R.</t>
  </si>
  <si>
    <t>Belgium</t>
  </si>
  <si>
    <t>Brussels</t>
  </si>
  <si>
    <t>Universit√© Libre de Bruxelles</t>
  </si>
  <si>
    <t>FUKS B.</t>
  </si>
  <si>
    <t>Tolerance of triazine‚Äêresistant and susceptible biotypes of three weeds to heat stress: a fluorescence study</t>
  </si>
  <si>
    <t>10.1111/j.1365-3180.1992.tb01857.x</t>
  </si>
  <si>
    <t>2-s2.0-0007311189</t>
  </si>
  <si>
    <t>Kuwait University</t>
  </si>
  <si>
    <t>KU</t>
  </si>
  <si>
    <t>['¬© 1992', 'waveguides filled', 'waveguide walls', 'reflector antennas', 'modal propagation', 'electromagnetic waves', 'conditions leading', 'chiral media']</t>
  </si>
  <si>
    <t>Modal propagation of electromagnetic waves in waveguides filled with chiral media, known as chirowaveguides, is studied. The waveguide walls are assumed to behave as constant impedance surfaces. This can model corrugated surfaces, dielectric coated metallic surfaces, as well as perfectly or imperfectly conducting walls. Conditions leading to modes with pure circular polarization are derived. Under these conditions, a chirowaveguide can act as a low crosspolar feed for reflector antennas. ¬© 1992, VSP.</t>
  </si>
  <si>
    <t>625-640</t>
  </si>
  <si>
    <t>Mahmoud, Samir F.</t>
  </si>
  <si>
    <t>Kuwait</t>
  </si>
  <si>
    <t>Kuwait City</t>
  </si>
  <si>
    <t>Mahmoud S.</t>
  </si>
  <si>
    <t>Mode Characteristics in Chirowaveguides with Constant Impedance Walls</t>
  </si>
  <si>
    <t>10.1163/156939392X01354</t>
  </si>
  <si>
    <t>2-s2.0-0007562825</t>
  </si>
  <si>
    <t>['zones break', 'wiley blackwell', 'virgin females', 'turn correlated', 'thymelicus lineola', 'stigmata removed', 'single episode', 'rights reserved', 'physical contact', 'osmophore release', 'never observed', 'nail polish', 'mating status', 'male wings', 'male forewings', 'large increase', 'laboratory experiments', 'hesperiidae ).', 'fewer matings', 'female forewings', 'female antennae', 'electroantennogram recordings', 'either males', 'courting males', 'behavioural tests']</t>
  </si>
  <si>
    <t>androconia | courtship behaviour | Mating behaviour | mating success | osmophores | scent scales</t>
  </si>
  <si>
    <t>Abstract. Laboratory experiments were carried out to determine the role and characteristics of male scent scales (androconia), located in patches (stigmata) on the forewings of Thymelicus lineola (Ochsenheimer) (Lepidoptera: Hesperiidae). In behavioural tests, there were 30‚Äî40% fewer matings of virgin females by males with the stigmata removed or where females had their antennal sensilla covered with nail polish, when compared to sham‚Äêtreated controls. These reductions occurred despite a large increase in male courtship activity. No physical contact was observed between male wings and female antennae during mating. A scanning electron microscope study of male wings and female antennae showed that: (1) lysis zones form over time on the androconia and pieces (osmo‚Äêphores) distal to these zones break off; (2) while few of these zones are present at emergence they are numerous in‚Äêday‚Äêold males; (3) during a single episode of courtship and mating approximately two‚Äêthirds of the available osmophores break off, yet the commonly observed courtship between males does not appear to result in osmophore release; and (4) osmophores were never observed on the female antennae. Electroantennogram recordings (EAGs) indicated that: (1) female antennae responded strongly to odours from male forewings but not from other parts of either males or females; (2) female antennae responded more strongly to young field‚Äêcollected males than to newly‚Äêemerged or old, field‚Äêcollected males; (3) female antennal response to male forewings was reduced if the androconia were scraped off, and was eliminated if the stigmata were removed; (4) male antennae gave weak EAG responses to both male and female forewings. We conclude that males release pheromone via the breakage of osmophores during courtship. We propose that the frequently observed refusals by females of courting males are at least partially dependent on the quantity or quality of male pheromone released, which are in turn correlated with the male's age and mating status. Copyright ¬© 1992, Wiley Blackwell. All rights reserved</t>
  </si>
  <si>
    <t>260-268</t>
  </si>
  <si>
    <t>60032619;60032619;60032619</t>
  </si>
  <si>
    <t>6602285001;16463964100;7202414312</t>
  </si>
  <si>
    <t>PIVNICK, KENNETH A.;LAVOIE‚ÄêDORNIK, JANY;McNEIL, JEREMY N.</t>
  </si>
  <si>
    <t>Canada</t>
  </si>
  <si>
    <t>Quebec</t>
  </si>
  <si>
    <t>Universit√© Laval</t>
  </si>
  <si>
    <t>PIVNICK K.</t>
  </si>
  <si>
    <t>The role of the androconia in the mating behaviour of the European skipper, Thymelicus lineola, and evidence for a male sex pheromone</t>
  </si>
  <si>
    <t>10.1111/j.1365-3032.1992.tb01020.x</t>
  </si>
  <si>
    <t>2-s2.0-0008061534</t>
  </si>
  <si>
    <t>['planar antenna', 'manner similar', 'lobed far', 'difference beam', 'circular aperture', 'aperture illumination']</t>
  </si>
  <si>
    <t>The double-difference beam is a four-lobed far-field antenna response formed by an aperture illumination that has an antisymmetrical phase property in both dimensions of a planar antenna. Such a beam is useful for main beam ECCM applications. In this paper, a low sidelobe double-difference beam is synthesized for a circular aperture in a manner similar to the synthesis of the circular Taylor sum beam and the circular Bayliss difference beam. ¬© 1992 IEEE</t>
  </si>
  <si>
    <t>1187-1191</t>
  </si>
  <si>
    <t>Chesley, Donald E.</t>
  </si>
  <si>
    <t>Boston</t>
  </si>
  <si>
    <t>General Electric Company</t>
  </si>
  <si>
    <t>Chesley D.E.</t>
  </si>
  <si>
    <t>Design of a Low Sidelobe Double Difference Beam for a Circular Aperture</t>
  </si>
  <si>
    <t>10.1109/8.182450</t>
  </si>
  <si>
    <t>2-s2.0-0008576658</t>
  </si>
  <si>
    <t>['track direction', 'time correlation', 'test ground', 'squint angles', 'receiver yields', 'later evaluation', 'ins ).', 'good opportunity', 'elevation pattern', 'azimuth cuts', 'azimuth cut']</t>
  </si>
  <si>
    <t>ground calibration receivers | inflight antenna pattern | Radiometric corrections</t>
  </si>
  <si>
    <t>An approach is presented on how to determine the inflight antenna pattern in the cross-track direction for air- and spaceborne synthetic aperture radar (SAR) systems. in the 1991 Oberpfaffenhofen DC-8/E-SAR calibration campaign there was a good opportunity to test ground-based measurement equipment comprising 18 precision calibration receivers and nine polarimetric active radar calibrators (PARC‚Äôs), all operating in C-band. These devices were designed and manufactured by the Institute of Navigation at the University of Stuttgart (INS). These instruments are capable of handling various pulse lengths, PRF‚Äôs, and have a very high dynamic range. Together with precise internal clocks, these instruments are suitable for recording the actual radar transmit pulse shape for the later evaluation of the desired inflight antenna pattern. Lining up these devices in the cross-track direction, each receiver yields an azimuth cut of the three-dimensional antenna pattern. the elevation pattern was then obtained by time correlation of these azimuth cuts. Further results concerning pulse shapes, squint angles, and H-V pattern misalignment are presented. ¬© 1992 IEEE.</t>
  </si>
  <si>
    <t>1131-1136</t>
  </si>
  <si>
    <t>IEEE Transactions on Geoscience and Remote Sensing</t>
  </si>
  <si>
    <t>60007798;60007798;60007798;60015815</t>
  </si>
  <si>
    <t>7102103788;56220450100;6602662661;7003379904</t>
  </si>
  <si>
    <t>Seifert, Pedro;Zink, Manfred;Heel, Franz;Lentz, Harald</t>
  </si>
  <si>
    <t>Germany;Germany</t>
  </si>
  <si>
    <t>Stuttgart;¬†Cologne</t>
  </si>
  <si>
    <t>Universit√§t Stuttgart;Deutsches Zentrum fur Luft- Und Raumfahrt</t>
  </si>
  <si>
    <t>60015815;60007798</t>
  </si>
  <si>
    <t>Seifert P.</t>
  </si>
  <si>
    <t>Ground-Based Measurements of Inflight Antenna Patterns for Imaging Radar Systems</t>
  </si>
  <si>
    <t>10.1109/36.193788</t>
  </si>
  <si>
    <t>2-s2.0-0008758446</t>
  </si>
  <si>
    <t>['point feeds', 'microstrip elements', 'layered self', 'internal isolation', 'heavily dependent', 'feed circuits', 'feed circuit', 'diplexing antenna', 'communication presents', 'cavity model']</t>
  </si>
  <si>
    <t>This communication presents an analysis of feed circuits for a double-layered self-diplexing antenna (SDA) for mobile satellite communications. It is possible to reduce the weight of the diplexer for a self-diplexing antenna by getting large internal isolation between transmitting and receiving. This communication presents that the internal isolation is heavily dependent on the configuration and errors of the feed circuits of the antenna. We discuss the feed circuits of two- and four-point feeds for the antenna by using the cavity model of microstrip elements, and also present error analysis of the feed circuit. ¬© 1992 IEEE</t>
  </si>
  <si>
    <t>1269-1271</t>
  </si>
  <si>
    <t>60018279;60018279;60001271;60001271;60031126</t>
  </si>
  <si>
    <t>55576111100;7402657600;7006680804;35595788800;7201747933</t>
  </si>
  <si>
    <t>Nakano, Masayuki;Arai, Hiroyuki;Chujo, Wataru;Fujise, Masayuki;Goto, Naohisa</t>
  </si>
  <si>
    <t>Japan;Japan;Japan</t>
  </si>
  <si>
    <t>Tokyo;Yokohama;Kyoto</t>
  </si>
  <si>
    <t>Tokyo Institute of Technology;Yokohama National University;Advanced Telecommunications Research Institute International (ATR)</t>
  </si>
  <si>
    <t>60031126;60018279;60001271</t>
  </si>
  <si>
    <t>Nakano M.</t>
  </si>
  <si>
    <t>Feed Circuits of Double-Layered Self-Diplexing Antenna for Mobile Satellite Communications</t>
  </si>
  <si>
    <t>10.1109/8.182465</t>
  </si>
  <si>
    <t>2-s2.0-0008971898</t>
  </si>
  <si>
    <t>['unsaturated aldehydes', 'test compounds', 'selective sensitivity', 'saturated analogs', 'ripe nectarines', 'potential adaptiveness', 'potent compounds', 'particular volatile', 'nectarine volatiles', 'nectarine volatile', 'headspace odor', 'ethyl hexanoates', 'eliciting eags', 'eag tracings', 'eag response', 'e .,', 'certain classes', 'baseline potential', 'antennal responsiveness', 'antennal response', '10 volatiles']</t>
  </si>
  <si>
    <t>Ceratitis capitata | Diptera | electroantennogram | electrophysiology | green‚Äêleaf volatiles | Mediterranean fruit fly | nectarines | olfaction | stonefruits | Tephritidae</t>
  </si>
  <si>
    <t>Electroantennograms (EAGs) were recorded from laboratory‚Äêreared, male and female Ceratitis capitata (medfly) in response to individual volatiles identified from ripe nectarines. Uniformity in EAG response between the sexes was observed for most test compounds. Only 10 volatiles, of the 44 nectarine volatiles tested, elicited significantly different EAG responses between the sexes. No correlation was observed between the magnitude of antennal responsiveness and the concentration of a particular volatile in the headspace odor of ripe nectarines. The most abundant (‚Äòmajor‚Äô) nectarine volatiles were among the least EAG stimulatory compounds tested. And certain ‚Äòminor‚Äô and ‚Äòtrace‚Äô volatiles were the most potent compounds in eliciting EAGs. Moreover, the magnitude of antennal response to a nectarine volatile was related to the functional‚Äêgroup, chain‚Äêlength, and unsaturation of the compound. The degree of potency of the compounds was as follows: six‚Äêcarbon unsaturated aldehydes and alcohols &gt; methyl and ethyl hexanoates and octanoates ‚â• hexenyl acetates and monoterpenes &gt; shorter chain‚Äêlength acetates and alcohols &gt; lactones. Unsaturated aldehydes, alcohols, and acetates generally elicited larger EAGs than their saturated analogs, with the (E)‚Äê2‚Äêisomers being the most potent isomeric configurations. In addition, medfly antennae exhibited ‚Äòlong recovery‚Äô periods (i.e., &gt; 10 sec.) for the EAG tracings to return to baseline potential after stimulations with certain classes of compounds, e.g., C6 to C8 acid esters, monoterpenes, and hexen‚Äê1‚Äêols. The potential adaptiveness to medflies for selective sensitivity to these volatiles is discussed. 1992 The Netherlands Entomological Society</t>
  </si>
  <si>
    <t>13-26</t>
  </si>
  <si>
    <t>60022600;60001989;60022600</t>
  </si>
  <si>
    <t>7102068858;7006157410;6603290232</t>
  </si>
  <si>
    <t>Light, D. M.;Jang, E. B.;Flath, R. A.</t>
  </si>
  <si>
    <t>Albany;Washington, D.C.</t>
  </si>
  <si>
    <t>USDA ARS Western Regional Research Center (WRRC);USDA Agricultural Research Service</t>
  </si>
  <si>
    <t>60022600;60001989</t>
  </si>
  <si>
    <t>Light D.</t>
  </si>
  <si>
    <t>Electroantennogram responses of the Mediterranean fruit fly, Ceratitis capitata, to the volatile constituents of nectarines</t>
  </si>
  <si>
    <t>10.1111/j.1570-7458.1992.tb02415.x</t>
  </si>
  <si>
    <t>2-s2.0-0009570306</t>
  </si>
  <si>
    <t>['¬© 1992', 'valid solution', 'scattered power', 'receiving antenna', 'radar range', 'mainly depends', 'limiting conditions', 'fresnel zone', 'fraunhofer zone', 'electromagnetic waves', 'correlation length', 'born approximation', 'antenna pattern', 'antenna parameters', 'anisotropic irregularities', 'angular width']</t>
  </si>
  <si>
    <t>The problem of scattering of electromagnetic waves from anisotropic irregularities, generated by turbulence in the atmosphere, was considered in Born approximation. A valid solution is found not only for the Fraunhofer zone but also for the Fresnel zone of the antenna. In this case no limiting conditions on correlation length of refractive index irregularities appear and there are only limitations on radar range. It is shown that the scattered power, measured at the output of the receiving antenna, mainly depends on the degree of anisotropy and angular width of the antenna pattern. Received power increases with the increasing of anisotropy, but then saturates at a level which depends on the antenna parameters. ¬© 1992, VSP.</t>
  </si>
  <si>
    <t>107-118</t>
  </si>
  <si>
    <t>60021331;60021331</t>
  </si>
  <si>
    <t>7102983286;7006058852</t>
  </si>
  <si>
    <t>Gurvich, A. S.;Kon, A. I.</t>
  </si>
  <si>
    <t>Russian Federation</t>
  </si>
  <si>
    <t>Moscow</t>
  </si>
  <si>
    <t>Russian Academy of Sciences</t>
  </si>
  <si>
    <t>Gurvich A.S.</t>
  </si>
  <si>
    <t>The Backscattering from Anisotropic Turbulent Irregularities</t>
  </si>
  <si>
    <t>10.1163/156939392X01048</t>
  </si>
  <si>
    <t>2-s2.0-0010175792</t>
  </si>
  <si>
    <t>['sources closest', 'remaining seven', 'rapid drop', 'pronounced scattering', 'physical relationship', 'physical implications', 'one hypothesis', 'nearly centered', 'model considers', 'lower limits', 'known objects', 'interstellar scattering', 'increasing baseline', 'galactic center', 'future tests', 'enhanced turbulence', 'enhanced scattering', 'correlated flux', 'circumstellar shells', 'angular sizes', 'angular diameters', 'additional oh', '612 ghz', '525 mas', '20 oh']</t>
  </si>
  <si>
    <t>Circumstellar matter | Masers techniques: interferometric</t>
  </si>
  <si>
    <t>We report here on angular broadening measurements of 20 OH/IR stars near the Galactic center. This class of sources is known to have bright, intrinsically compact (&lt;20 mas) maser components within their circumstellar shells. We have used VLBA antennas and the VLA to perform a MklI spectral line VLBI experiment. The rapid drop in correlated flux with increasing baseline, especially for sources closest to the Galactic center, is attributed to interstellar scattering. Angular diameters were measured for 13 of our sources. Lower limits were obtained for the remaining seven. With our data/ together with additional data taken from the literature, we have been able to determine the distribution of interstellar scattering toward the Galactic center. We find a region of pronounced scattering (Œ∏ÃÑobs = 525 mas at 1.612 GHz) nearly centered (angularly) on Sgr A*. We consider two interpretations for the enhanced scattering. One hypothesis is that the scattering is due to a clump of enhanced turbulence, such as those that lie along lines of sight to other known objects, that has no physical relationship to the Galactic center. The other model considers the location of the enhanced scattering to arise in the Galactic center itself. The physical implications of the models yield information on the nature of the interstellar scattering. Future tests to discriminate between these models will be the measurement of angular sizes of extragalactic sources within 15‚Ä≤ of Sgr A* and angular sizes of additional OH/IR stars toward the Galactic center region.</t>
  </si>
  <si>
    <t>686-695</t>
  </si>
  <si>
    <t>0004637X</t>
  </si>
  <si>
    <t>Astrophysical Journal</t>
  </si>
  <si>
    <t>60003878;60021907;60007776;60021907</t>
  </si>
  <si>
    <t>6603776865;57190586777;7102087612;7102763138</t>
  </si>
  <si>
    <t>Van Langevelde, Huib Jan;Frail, Dale A.;Cordes, James M.;Diamond, Philip J.</t>
  </si>
  <si>
    <t>United States;United States;Netherlands</t>
  </si>
  <si>
    <t>Socorro;Ithaca;Leiden</t>
  </si>
  <si>
    <t>National Radio Astronomy Observatory Socorro;Cornell University;Sterrewacht Leiden</t>
  </si>
  <si>
    <t>60021907;60007776;60003878</t>
  </si>
  <si>
    <t>Van Langevelde H.</t>
  </si>
  <si>
    <t>Interstellar scattering toward the galactic center as probed by OH/IR stars</t>
  </si>
  <si>
    <t>10.1086/171750</t>
  </si>
  <si>
    <t>2-s2.0-0010279628</t>
  </si>
  <si>
    <t>['transfer process', 'potential acceptors', 'photochemical changes', 'molecules cease', 'may result', 'long time', 'e .,']</t>
  </si>
  <si>
    <t>Molecules in light-harvesting antenna form an inhomogeneous and to a certain extent random structure. Therefore, the energy-transfer routes may end in traps, i.e., on molecules out of resonance with the potential acceptors. The electronic excitations stay on these molecules for a long time. This may result in photochemical changes and the molecules cease to be traps: their spectra or/and the orientation of the dipole moments change in such a manner that the molecules become either "normal" acceptors-donors or "outsiders" of the energy-transfer process. ¬© 1992 American Chemical Society.</t>
  </si>
  <si>
    <t>9583-9585</t>
  </si>
  <si>
    <t>Journal of Physical Chemistry</t>
  </si>
  <si>
    <t>Rebane, Karl K.</t>
  </si>
  <si>
    <t>Estonia</t>
  </si>
  <si>
    <t>Tallinn</t>
  </si>
  <si>
    <t>Academia Scientiarum Estoniae</t>
  </si>
  <si>
    <t>Rebane K.</t>
  </si>
  <si>
    <t>Possibility of self-organization in photosynthetic light harvesting antennae</t>
  </si>
  <si>
    <t>10.1021/j100203a001</t>
  </si>
  <si>
    <t>2-s2.0-0010896338</t>
  </si>
  <si>
    <t>['‚ àº10', '¬© 1992', 'wide impulses', 'whole spacecraft', 'weakly dependent', 'vega 2', 'spectral density', 'spacecraft potential', 'small particles', 'roughly proportional', 'previous investigation', 'particles bigger', 'particle mass', 'outer coma', 'outbound pass', 'new peculiarities', 'negative pulse', 'n antenna', 'mostly generated', 'lower limit', 'light particles', 'integral flux', 'inner coma', 'impulse amplitude', 'impacts decreases', 'generated impulses', 'electric impulses', 'dust particles', 'count rates', 'continuous impact', 'closest approach', 'big ones', 'antenna response', '9 g', '7 g', '14 g']</t>
  </si>
  <si>
    <t>In this paper we draw some inferences on the response of the APV-N antenna of Vega 2 to plasma clouds induced by dust particles. We show that: (1) electric impulses were mostly generated by impacts of particles bigger than ‚àº10-9 g on the whole spacecraft, (2) in the case of large particle impacts the impulse amplitude was weakly dependent on the particle mass, (3) the antenna response to the impact plasma depends on the ambient plasma parameters, and (4) the sensitivity to impacts decreases when the impact rate becomes quasicontinuous. The conclusions are based on an analysis of the wide impulses in the outbound pass of Vega 2 through the outer coma and on a comparison of the electric field spectral densities with the count rates of dust particles in various mass channels. The lower limit, down to which the amplitude vs mass dependence is weak, has been defined as the "least effective mass"; its value has been deduced to be ‚àº3 √ó 10-9 g in the outer coma, and ‚àº10-7 g in the inner coma, while near the point of closest approach to the comet it was determined to be more than ‚àº10-6 g due to the continuous impact of small particles. The spectral density of impact-generated impulses should be roughly proportional to the integral flux of particles bigger than the least effective mass. Some new peculiarities of the large particle distribution in the coma are derived. The interpretation of the impulse generation involves the response of the antenna to a negative pulse of the spacecraft potential and to electric fields associated with the electron density gradients in the expanding plasma cloud. The correlation between the count rates of the light (m &lt; 10-14 g) particles and of the impulses (found in a previous investigation) is reinterpreted in terms of the hypothesis that the light particles were originated by disintegration of the big ones. ¬© 1992.</t>
  </si>
  <si>
    <t>195-206</t>
  </si>
  <si>
    <t>Icarus</t>
  </si>
  <si>
    <t>60021642;60021642</t>
  </si>
  <si>
    <t>6602263978;24318358000</t>
  </si>
  <si>
    <t>Oberc, P.;Parzyd≈Ço, W.</t>
  </si>
  <si>
    <t>Poland</t>
  </si>
  <si>
    <t>Warsaw</t>
  </si>
  <si>
    <t>Space Research Center of the Polish Academy of Sciences</t>
  </si>
  <si>
    <t>Oberc P.</t>
  </si>
  <si>
    <t>Impacts of dust particles m &amp;gt; 10&lt;sup&gt;-9&lt;/sup&gt; g in Halley's coma as seen in the electric field waveforms of Vega 2</t>
  </si>
  <si>
    <t>0019-1035(92)90089-P</t>
  </si>
  <si>
    <t>10.1016/0019-1035(92)90089-P</t>
  </si>
  <si>
    <t>2-s2.0-0011683392</t>
  </si>
  <si>
    <t>Institute of Circulatory and Respiratory Health</t>
  </si>
  <si>
    <t>ICRH</t>
  </si>
  <si>
    <t>['shielded fast', 'previous study', 'preliminary measurements', 'plasma due', 'performed using', 'first time', 'extends toroidally', 'excited faraday', 'electrically connected', 'dc current']</t>
  </si>
  <si>
    <t>In the authors' previous study (1989) on TEXTOR it has been shown that an excited Faraday-shielded fast-wave antenna draws a large DC electron current from the plasma due to the sheath rectification effect. They show for the first time that this DC current (up to 400 A) extends toroidally all around the circumference of the machine and returns to the wall via conducting objects which are electrically connected to the wall. Preliminary measurements of r.f. currents in the scrape-off layer were performed using a specially designed Rogowski coil.</t>
  </si>
  <si>
    <t>525-532</t>
  </si>
  <si>
    <t>Plasma Physics and Controlled Fusion</t>
  </si>
  <si>
    <t>60004280;60004280</t>
  </si>
  <si>
    <t>6602572553;7006718297</t>
  </si>
  <si>
    <t>Van Nieuwenhove, R.;Van Oost, G.</t>
  </si>
  <si>
    <t>Koninklijke Militaire School - Ecole Royale Militaire</t>
  </si>
  <si>
    <t>Van Nieuwenhove R.</t>
  </si>
  <si>
    <t>Experimental study of sheath currents in the scrape-off layer during ICRH on TEXTOR</t>
  </si>
  <si>
    <t>10.1088/0741-3335/34/4/011</t>
  </si>
  <si>
    <t>2-s2.0-0012168129</t>
  </si>
  <si>
    <t>['wire antennas', 'wide variety', 'quite good', 'mutual admittances', 'including shielding', 'fdtd application', 'extensively applied', 'antenna impedance']</t>
  </si>
  <si>
    <t>The finite difference time domain (FDTD) technique has been applied to a wide variety of electromagnetic analysis problems, including shielding and scattering. However, the method has not been extensively applied to antennas. In this short paper calculations of self and mutual admittances between wire antennas are made using FDTD and compared with results obtained using the Method of Moments. The agreement is quite good, indicating the possibilities for FDTD application to antenna impedance and coupling. ¬© 1992 IEEE</t>
  </si>
  <si>
    <t>357-359</t>
  </si>
  <si>
    <t>1558187X</t>
  </si>
  <si>
    <t>IEEE Transactions on Electromagnetic Compatibility</t>
  </si>
  <si>
    <t>60001439;60001439</t>
  </si>
  <si>
    <t>7005852706;7006948386</t>
  </si>
  <si>
    <t>Luebbers, Raymond;Kunz, Karl</t>
  </si>
  <si>
    <t>University Park</t>
  </si>
  <si>
    <t>Pennsylvania State University</t>
  </si>
  <si>
    <t>Luebbers R.</t>
  </si>
  <si>
    <t>Finite Difference Time Domain Calculations of Antenna Mutual Coupling</t>
  </si>
  <si>
    <t>10.1109/15.155855</t>
  </si>
  <si>
    <t>2-s2.0-0012562102</t>
  </si>
  <si>
    <t>Natural Science Foundation of Beijing Municipality</t>
  </si>
  <si>
    <t>['theoretical analyses', 'pigtail effect', 'least 30', 'experimental results', 'excellent agreement', 'db suppressions', 'antenna theory']</t>
  </si>
  <si>
    <t>Electromagnetic leakage | pigtail effects | shielded cables</t>
  </si>
  <si>
    <t>In this paper, theoretical analyses and experimental results are carried out on the common mode radiated emission from a shielded cable caused by pigtails. Calculations of the radiation are introduced on the basis of transmission line theory and antenna theory, and are in excellent agreement with the experiment. Finally, certain protective methods and techniques are presented, which exhibit at least 30-dB suppressions against the pigtail effect. ¬© 1992 IEEE</t>
  </si>
  <si>
    <t>345-348</t>
  </si>
  <si>
    <t>Han, Fang</t>
  </si>
  <si>
    <t>China</t>
  </si>
  <si>
    <t>Beijing</t>
  </si>
  <si>
    <t>Beijing Jiaotong University</t>
  </si>
  <si>
    <t>Han F.</t>
  </si>
  <si>
    <t>Radiated Emission from Shielded Cables by Pigtail Effect</t>
  </si>
  <si>
    <t>10.1109/15.155852</t>
  </si>
  <si>
    <t>2-s2.0-0013353431</t>
  </si>
  <si>
    <t>National Heart, Lung, and Blood Institute</t>
  </si>
  <si>
    <t>R01HL039116</t>
  </si>
  <si>
    <t>NHLBI</t>
  </si>
  <si>
    <t>['stages 3', 'stage 18', 'stage 15', 'scattered throughout', 'results suggest', 'restriction mapping', 'partial sequencing', 'occasional cell', 'neurite bundles', 'manduca sexta', 'labeled cells', 'clones isolated', 'antennal morphogenesis', 'antennal lumen', 'alaserpin transcripts', 'alaserpin mrna', 'alaserpin may']</t>
  </si>
  <si>
    <t>morphogenesis | neurodevelopment | olfaction | serpin</t>
  </si>
  <si>
    <t>The expression of alaserpin, a serine protease inhibitor, was studied in the developing adult olfactory system of Manduca sexta. Alaserpin mRNA in the antenna was identical to alaserpin from larval fat body, by restriction mapping and partial sequencing of clones isolated from a male pupal stage 6 antennal cDNA library. Northern and primer extension analysis showed that alaserpin transcripts were the same length at all stages and were present at stages 3 and 6, declined at stages 9‚Äì15, reappeared at stage 18, and persisted in adults. Western blotting revealed that alaserpin was present at stages 3‚Äì12, declined at stage 15, and disappeared at stage 18 and in adults. Immunocytochemistry at stage 6 revealed labeled cells closely associated with neurite bundles and scattered throughout the receptor cell layer. An occasional cell was seen in the antennal lumen. Labeled cells were segmentally distributed along the length of the antenna. The results suggest that alaserpin may have a role in antennal morphogenesis and olfactory neuron axon outgrowth. Copyright ¬© 1992 Wiley‚ÄêLiss, Inc.</t>
  </si>
  <si>
    <t>39-52</t>
  </si>
  <si>
    <t>Archives of Insect Biochemistry and Physiology</t>
  </si>
  <si>
    <t>60010065;60010065-60000689</t>
  </si>
  <si>
    <t>6603298136;7006709475</t>
  </si>
  <si>
    <t>Hanneman, Eric H.;Kanost, Michael R.</t>
  </si>
  <si>
    <t>Tucson;Manhattan</t>
  </si>
  <si>
    <t>The University of Arizona;Kansas State University</t>
  </si>
  <si>
    <t>60010065;60000689</t>
  </si>
  <si>
    <t>Hanneman E.</t>
  </si>
  <si>
    <t>Differential alaserpin expression during development of the antennae in the tobacco hawkmoth, Manduca sexta</t>
  </si>
  <si>
    <t>10.1002/arch.940190105</t>
  </si>
  <si>
    <t>2-s2.0-0026435355</t>
  </si>
  <si>
    <t>Natural Sciences and Engineering Research Council of Canada</t>
  </si>
  <si>
    <t>NSERC</t>
  </si>
  <si>
    <t>['¬© 1992', 'wavelength region', 'various absorption', 'thermal dissipation', 'rhodospirillum rubrum', 'reaction centres', 'polarized absorption', 'perpendicular component', 'parallel component', 'membrane plane', 'lower degree', 'ir bands', 'fluorescence spectra', 'fluorescence emission', 'film axis', 'exciting light', 'excitation energy', 'energy absorbed', 'emission maxima', 'electric vector', 'efficient trapping', 'different orientations', 'corresponding values', 'complexes absorbing', 'bacteriochlorophyll molecules', 'bacteriochlorophyll emission', 'antenna complexes', '928 nm', '892 nm', '85 k', '376 nm']</t>
  </si>
  <si>
    <t>Oriented systems | photoacoustic spectra | polarized light | purple bacteria | Rhodospirilium rubrum.</t>
  </si>
  <si>
    <t>Polarized absorption, photoacoustic and fluorescence spectra of cells of the purple bacterium Rhodospirillum rubrum, embedded in isotropic and stretched polyvinyl alcohol films, were measured at 296 and 85 K. The existence of pools of bacteriochlorophyll molecules, characterized by various absorption and emission maxima and different orientations of their transition moments vdth respect to the membrane plane, was shown. The polarized spectra suggest that in addition to the light-harvesting LH1 B875 complexes, other antenna complexes (B806 and complexes absorbing in the long-wavelength region) are present in Rhodospirillum rubrum. The ratio between the yield of fluorescence polarized parallel and perpendicular to the direction of the electric vector of the exciting light (376 nm) and the film axis is about 1.8 for bacteriochlorophyll emission at 892 nm and about 0.14 for that at 928 nm. In the parallel component, 28% of the energy absorbed in the near-IR bands of bacteriochlorophyll is converted into heat and 72% is used for fluorescence emission and photochemistry, whereas in the perpendicular component, the corresponding values are about 60% and 40% respectively. We conclude that the mutually parallel bacteriochlorophyll antenna chromophores lose less energy by thermal dissipation than chromophores with a lower degree of orientation. This suggests a very efficient trapping in the reaction centres of that part of the excitation energy which migrates between chromophores having mutually parallel transition moments. ¬© 1992.</t>
  </si>
  <si>
    <t>267-283</t>
  </si>
  <si>
    <t>Journal of Photochemistry and Photobiology, B: Biology</t>
  </si>
  <si>
    <t>60021501;60021501;60021501</t>
  </si>
  <si>
    <t>56625077200;24755233800;35510906100</t>
  </si>
  <si>
    <t>Cegielski, Roman;FraÃßkowiak, Danuta;Leblanc, Roger M.</t>
  </si>
  <si>
    <t>Trois-Rivieres</t>
  </si>
  <si>
    <t>Universit√© du Qu√©bec √† Trois-Rivi√®res</t>
  </si>
  <si>
    <t>Cegielski R.</t>
  </si>
  <si>
    <t>Distribution of energy absorbed by purple bacteria between various paths of de-excitation</t>
  </si>
  <si>
    <t>101113449280015N</t>
  </si>
  <si>
    <t>10.1016/1011-1344(92)80015-N</t>
  </si>
  <si>
    <t>2-s2.0-0026443699</t>
  </si>
  <si>
    <t>['radiation pattern', 'output resistances', 'design equations']</t>
  </si>
  <si>
    <t>The effect of coupling between the elements of a phased antenna array on the radiation pattern (RP) and the output resistances of individual is considered. Design equations are obtained for RP and output resistances and the results of calculations are presented which are applicable to the phased antenna array of a remote repeater operating in a zonal radio communications system.</t>
  </si>
  <si>
    <t>91-94</t>
  </si>
  <si>
    <t>Telecommunications and Radio Engineering (English translation of Elektrosvyaz and Radiotekhnika)</t>
  </si>
  <si>
    <t>Derzhani, Kh I.</t>
  </si>
  <si>
    <t>Derzhani K.</t>
  </si>
  <si>
    <t>Effect of interelement coupling of phased antenna array on its characteristics</t>
  </si>
  <si>
    <t>2-s2.0-0026449209</t>
  </si>
  <si>
    <t>['¬© 1992', 'tapered coplanar', 'substrate thickness', 'strip antennas', 'rights reserved', 'radiation characteristics', 'electrical engineers', '150 ghz']</t>
  </si>
  <si>
    <t>Antennas</t>
  </si>
  <si>
    <t>The effect of substrate thickness on the broadband (15- 150 GHz) radiation characteristics of exponentially-tapered coplanar-strip antennas is explored using picosecond photoconductive pulse generation and sampling. ¬© 1992, The Institution of Electrical Engineers. All rights reserved.</t>
  </si>
  <si>
    <t>249-251</t>
  </si>
  <si>
    <t>Electronics Letters</t>
  </si>
  <si>
    <t>60025534;60017366;60017366;60017366</t>
  </si>
  <si>
    <t>6602681736;57190283458;7004102516;7003917289</t>
  </si>
  <si>
    <t>Heimlich, M.;Robertson, W. M.;Arjavalingam, G.;Halbout, J. M.</t>
  </si>
  <si>
    <t>Troy;Yorktown Heights</t>
  </si>
  <si>
    <t>Rensselaer Polytechnic Institute;IBM Thomas J. Watson Research Center</t>
  </si>
  <si>
    <t>60025534;60017366</t>
  </si>
  <si>
    <t>Heimlich M.</t>
  </si>
  <si>
    <t>Effect of substrate thickness on radiation properties of coplanar strip antennas</t>
  </si>
  <si>
    <t>10.1049/el:19920154</t>
  </si>
  <si>
    <t>2-s2.0-0026450287</t>
  </si>
  <si>
    <t>['wefax format', 'weather forecasting', 'quality system', 'pixel basis', 'personal computer', 'meteorological education', 'interactive features', 'hard disk', 'ground albedo', 'great use', 'graphic boards', 'global irradiation', 'francis group', 'evaluated accurately', 'environmental research', 'data onto', 'cost high', 'contrast enhancement', 'cloud coverage', 'atmospheric depletion', 'antenna connected', 'animation loops', 'also available', 'accurate navigation']</t>
  </si>
  <si>
    <t>A low-cost high-quality system for the processing of satellite data received in the WEFAX analogue format is presented. It is composed of a receiver with its antenna connected to a personal computer with digitizing and graphic boards. The software automatically performs the storage of data onto the hard disk, contrast enhancement and false colour display, accurate navigation and animation loops. Interactive features are also available. Such a system is of great use in meteorological education, in weather forecasting and in environmental research. Taking into account the peculiarities of the WEFAX format, some algorithms have been devised to correct for atmospheric depletion. Ground albedo can therefore be evaluated accurately on a pixel basis as well as global irradiation, cloud coverage and atmospheric global transmission. ¬© 1992 Taylor &amp; Francis Group, LLC.</t>
  </si>
  <si>
    <t>911-916</t>
  </si>
  <si>
    <t>International Journal of Remote Sensing</t>
  </si>
  <si>
    <t>60030506;;</t>
  </si>
  <si>
    <t>7005456532;7006071209;6506894448</t>
  </si>
  <si>
    <t>Wald, L.;Wald, J. L.;Moussu, G.</t>
  </si>
  <si>
    <t>France</t>
  </si>
  <si>
    <t>Paris</t>
  </si>
  <si>
    <t>Mines ParisTech</t>
  </si>
  <si>
    <t>Wald L.</t>
  </si>
  <si>
    <t>Technical note A low-cost high-quality system for the acquisition and digital processing of images of WEFAX type provided by meteorological geostationary satellites</t>
  </si>
  <si>
    <t>10.1080/01431169208904163</t>
  </si>
  <si>
    <t>2-s2.0-0026458424</t>
  </si>
  <si>
    <t>['coherent processing']</t>
  </si>
  <si>
    <t>A method of reducing the number of operations for determining unitary focusing matrices by abandoning complex computations in favor of actual calculations used in the modeling of coherent processing is discussed.</t>
  </si>
  <si>
    <t>101-102</t>
  </si>
  <si>
    <t>Mal'tsev, E. A.</t>
  </si>
  <si>
    <t>Mal'tsev E.</t>
  </si>
  <si>
    <t>Simplification of the calculations of a focusing matrix for a linear equidistant antenna array</t>
  </si>
  <si>
    <t>2-s2.0-0026461658</t>
  </si>
  <si>
    <t>['simple formula', 'receiving antennas', 'enables one', 'correlation function']</t>
  </si>
  <si>
    <t>A simple formula is obtained for the correlation function of the signals at the outputs of receiving antennas which enables one to describe quantitatively practically all the properties of the signals. These properties are then systematized.</t>
  </si>
  <si>
    <t>103-107</t>
  </si>
  <si>
    <t>Akulinichev, Yu P.</t>
  </si>
  <si>
    <t>Akulinichev Y.</t>
  </si>
  <si>
    <t>Transfer constants of a transhorizon tropospheric link in the case of motion, scanning, and spacing of the antennas</t>
  </si>
  <si>
    <t>2-s2.0-0026461659</t>
  </si>
  <si>
    <t>['second organ', 'reduces response', 'previously isolated', 'olfactory function', 'odorants varies', 'odorants differ', 'odorant sensitivity', 'odorant pathway', 'maxillary palp', 'electrical response', 'drosophila antenna', 'different type', 'different parts', 'antennal response', 'also provided', 'almond ),', 'age dependence', 'acj6 mutation']</t>
  </si>
  <si>
    <t>antenna | maxillary palps | olfaction | olfactory physiology</t>
  </si>
  <si>
    <t>This article provides characterization of the electrical response to odorants in the Drosophila antenna and provides physiological evidence that a second organ, the maxillary palp, also has olfactory function in Drosophila. The acj6 mutation, previously isolated by virtue of defective olfactory behavior, affects olfactory physiology in the maxillary palp as well as in the antenna. Interestingly, abnormal chemosensory jump 6 (acj6) reduces response in the maxillary palp to all odorants tested except benzaldehyde (odor of almond), as if response to benzaldehyde is mediated through a different type of odorant pathway from the other odorants. In other experiments, different parts of the antenna are shown to differ with respect to odorant sensitivity. Evidence is also provided that antennal response to odorants varies with age, and that odorants differ in their age dependence. ¬© 1992 John Wiley &amp; Sons, Inc. Copyright ¬© 1992 John Wiley &amp; Sons, Inc.</t>
  </si>
  <si>
    <t>965-982</t>
  </si>
  <si>
    <t>Journal of Neurobiology</t>
  </si>
  <si>
    <t>60005455;60005455</t>
  </si>
  <si>
    <t>7003397043;7402114946</t>
  </si>
  <si>
    <t>Ayer, Richard K.;Carlson, John</t>
  </si>
  <si>
    <t>New Haven</t>
  </si>
  <si>
    <t>Yale University</t>
  </si>
  <si>
    <t>Ayer R.</t>
  </si>
  <si>
    <t>Olfactory physiology in the Drosophila antenna and maxillary palp: acj6 Distinguishes two classes of odorant pathways</t>
  </si>
  <si>
    <t>10.1002/neu.480230804</t>
  </si>
  <si>
    <t>2-s2.0-0026462793</t>
  </si>
  <si>
    <t>['rapid means', 'probing results', 'peatland investigations', 'peat moisture', 'paper discusses', 'obtained using', 'laboratory conditions', 'frequency 80', 'forested mires', 'examining open', 'energy content', 'dense network', 'bulk density']</t>
  </si>
  <si>
    <t>The paper discusses the applicability of ground penetrating radar and radio wave moisture probe techniques to peatland investigations, peat moisture, bulk density and energy content in hydrologically different mires. Ground penetrating radar constitutes a rapid means of examining open, unditched peatland areas, but is slower to use in forested mires with a dense network of ditches. Of the antennae curently available, those of frequency 80, 100, 120 and 500 KHz lend themselves best to peatland investigations. The practicability of the radio wave moisture probe was examined by comparing the probing results with those obtained using a volumetric piston sampler and analysed under laboratory conditions. -from Author</t>
  </si>
  <si>
    <t>Bulletin - Geological Survey of Finland</t>
  </si>
  <si>
    <t>Hanninen, P.</t>
  </si>
  <si>
    <t>Finland</t>
  </si>
  <si>
    <t>Espoo</t>
  </si>
  <si>
    <t>Geologian Tutkimuskeskus</t>
  </si>
  <si>
    <t>Hanninen P.</t>
  </si>
  <si>
    <t>Application of ground penetrating radar and radio wave moisture probe techniques to peatland investigations</t>
  </si>
  <si>
    <t>2-s2.0-0026463448</t>
  </si>
  <si>
    <t>['wiley company', 'primary feed', 'inc .,', 'hybrid mode', 'electromagnetic field', 'design method', 'corrugation depth', 'boundary conditions']</t>
  </si>
  <si>
    <t>With a view for use as a primary feed for the shaped beam antenna on board the Broadcast Satellite 3, a design of the corrugation depth and a study of the velocity dispersion characteristics were carried out. The elliptical corrugated horn is approximated with an elliptical corrugated waveguide. The boundary conditions are determined by connecting the electromagnetic field in the corrugation with the hybrid mode in the waveguide at the boundary. From the solution of this boundary condition equation, the analysis other than that for the balanced hybrid mode is possible. By means of this method, a design method is demonstrated for corrugated grooves satisfying the elliptic balanced hybrid condition. Further, the Œ∫‚ÄêŒ≤ characteristics of the elliptic corrugated waveguide fabricated for test are computed and measured. Copyright ¬© 1992 Wiley Periodicals, Inc., A Wiley Company</t>
  </si>
  <si>
    <t>110-119</t>
  </si>
  <si>
    <t>Electronics and Communications in Japan (Part I: Communications)</t>
  </si>
  <si>
    <t>Shogen, Kazuyoshi</t>
  </si>
  <si>
    <t>Tokyo</t>
  </si>
  <si>
    <t>Nippon Hoso Kyokai</t>
  </si>
  <si>
    <t>Shogen K.</t>
  </si>
  <si>
    <t>Design of corrugation depth and velocity dispersion characteristics of elliptical corrugated horn</t>
  </si>
  <si>
    <t>10.1002/ecja.4410750110</t>
  </si>
  <si>
    <t>2-s2.0-0026464362</t>
  </si>
  <si>
    <t>['¬© 1992', 'shorter campaigns', 'reference atmospheres', 'providing data', 'physical processes', 'observational networks', 'numerical models', 'mlt network', 'middle atmosphere', 'mean winds', 'lower thermosphere', 'latitudinal coverage', 'last 5', 'km region', 'increasing height', 'gravity waves', '10 years', '10 min']</t>
  </si>
  <si>
    <t>Radars of the MLT network have been providing data on the winds and waves of the 60/80-110- km region with increasing height and latitudinal coverage over the last 5-10 years: they include Medium Frequency (MF, spaced antenna), Meteor and L.F. systems. Climatologies of mean winds, tidal - (24-, 12-h) and gravity waves (10 min &lt; œÑ &lt; 6h) are discussed and compared with reference atmospheres and numerical models; physical processes and inconsistencies which require particular attention by observational networks and modellers are addressed. Coupling between winds and waves, and between middle atmosphere and lower thermosphere during shorter campaigns are considered using data mainly from the Saskatoon MF Radar. ¬© 1992.</t>
  </si>
  <si>
    <t>67-76</t>
  </si>
  <si>
    <t>Advances in Space Research</t>
  </si>
  <si>
    <t>Manson, A. H.</t>
  </si>
  <si>
    <t>Saskatoon</t>
  </si>
  <si>
    <t>Institute of Space and Atmospheric Studies</t>
  </si>
  <si>
    <t>Dynamics of the mesosphere/lower thermosphere region from radar observations</t>
  </si>
  <si>
    <t>10.1016/0273-1177(92)90445-4</t>
  </si>
  <si>
    <t>2-s2.0-0026466757</t>
  </si>
  <si>
    <t>['¬© 1992', 'winds data', 'useful resolution', 'three types', 'techniques used', 'sampling rates', 'planetary waves', 'mlt network', 'meteor radars', 'measuring winds', 'mean winds', 'major type', 'magnetospheric influences', 'involves climatologies', 'called mltcs', '3 km', '12 hr']</t>
  </si>
  <si>
    <t>Three types of radars have demonstrated, during the 1980's, the capibility of measuring winds with useful resolution (2-3 km in the vertical, sampling rates, 1-12 hr-1): medium frequency (MF) using the spaced antenna method, LF systems using similar techniques, and meteor radars, some associated with S.T. radars. The techniques used, assumptions and examples of winds data are shown for each major type of system. The MLT network is now active in the WITS/ CEDAR and STEP (1990-1995) programs, for the latter the project is called MLTCS (Mesosphere, Lower Thermosphere Coupling Study). It involves climatologies of mean winds, tides and planetary waves, interactions between these waves, and solar, magnetospheric influences. Some examples of these data are shown. ¬© 1992.</t>
  </si>
  <si>
    <t>277-287</t>
  </si>
  <si>
    <t>60191856;60191856;60000221;60027576;60008042;60008042;60009512</t>
  </si>
  <si>
    <t>7006112190;24290221300;56691869300;55473898400;6601964045;6701745259;7202620125</t>
  </si>
  <si>
    <t>Manson, A. H.;Meek, C. E.;Avery, S.;Clark, R. R.;Schminder, R.;Kurschner, D.;Vincent, R. A.</t>
  </si>
  <si>
    <t>Canada;United States;Australia;Germany;United States</t>
  </si>
  <si>
    <t>Saskatoon;Durham;Adelaide;Leipzig;Boulder</t>
  </si>
  <si>
    <t>Institute of Space and Atmospheric Studies;University of New Hampshire Durham;The University of Adelaide;Universit√§t Leipzig;University of Colorado Boulder</t>
  </si>
  <si>
    <t>60191856;60027576;60009512;60008042;60000221</t>
  </si>
  <si>
    <t>Radars of the mesosphere, lower thermosphere network: Their capability to measure winds and waves, and their role in step</t>
  </si>
  <si>
    <t>027311779290480L</t>
  </si>
  <si>
    <t>10.1016/0273-1177(92)90480-L</t>
  </si>
  <si>
    <t>2-s2.0-0026466758</t>
  </si>
  <si>
    <t>['two dipoles', 'short distances', 'receiver subjected', 'radiation patterns', 'paper analyzes', 'nonsinusoidal current', 'noise signal', 'noise characteristics', 'general solution', 'correlation matrix', '60 %.']</t>
  </si>
  <si>
    <t>This paper analyzes the emission from a linear balanced dipole of a noise signal in the form of a steady-state random process with a uniform energy spectrum. A general solution of Maxwell's equations is found for an elementary electric radiator excited by a nonsinusoidal current, and the correlation matrix of its field is used to determine the radiation patterns of the dipole. It is shown that for short distances between two dipoles, the measurement error may reach 25-60%. This must be taken into account when analyzing the noise characteristics in the passband of a receiver subjected to the effect of noise.</t>
  </si>
  <si>
    <t>126-127</t>
  </si>
  <si>
    <t>Maslov, O. N.</t>
  </si>
  <si>
    <t>Maslov O.</t>
  </si>
  <si>
    <t>Field of a dipole emitter of a stationary noise signal</t>
  </si>
  <si>
    <t>2-s2.0-0026469816</t>
  </si>
  <si>
    <t>Fonds De La Recherche Scientifique - FNRS</t>
  </si>
  <si>
    <t>FNRS</t>
  </si>
  <si>
    <t>['¬© 1992', 'secretions contain', 'regurgitation allomone', 'regurgitate food', 'myrmecophilous beetle', 'lasius flavus', 'claviger testaceus', 'also shown']</t>
  </si>
  <si>
    <t>Formicidae | Myrmecophile | Pselaphidae | Regurgitation allomone | Trophallaxiss</t>
  </si>
  <si>
    <t>Experiments have shown that, contrary to what has been stated in the literature, the limited antennal movements of the myrmecophilous beetle, Claviger testaceus, are not required for inducing the workers of its host, Lasius flavus, to regurgitate food. Experiments have also shown that the regurgitations are released by the secretions of the Claviger's labral (cephalic) and Wasmann (abdominal) glands. These secretions contain a regurgitation allomone and are taken up by the ants when they lick the beetle's mouthparts or trichomes. The allomone is not present in the myrmecophile's hemolymph. ¬© 1992.</t>
  </si>
  <si>
    <t>81-95</t>
  </si>
  <si>
    <t>Behavioural Processes</t>
  </si>
  <si>
    <t>Cammaerts, R.</t>
  </si>
  <si>
    <t>Cammaerts R.</t>
  </si>
  <si>
    <t>Stimuli inducing the regurgitation of the workers of Lasius flavus (formicidae) upon the myrmecophilous beetle Claviger testaceus (pselaphidae)</t>
  </si>
  <si>
    <t>0376-6357(92)90051-E</t>
  </si>
  <si>
    <t>10.1016/0376-6357(92)90051-E</t>
  </si>
  <si>
    <t>2-s2.0-0026470943</t>
  </si>
  <si>
    <t>['numerical calculation', 'laminated emitters', 'dielectric supports']</t>
  </si>
  <si>
    <t>Results of a numerical calculation of the characteristics of laminated emitters of phased antenna arrays with a substrate in the form of a system of dielectric supports are presented.</t>
  </si>
  <si>
    <t>95-97</t>
  </si>
  <si>
    <t>;</t>
  </si>
  <si>
    <t>7202667195;6506193924</t>
  </si>
  <si>
    <t>Filippov, V. S.;Tatarnikov, D. V.</t>
  </si>
  <si>
    <t>Filippov V.</t>
  </si>
  <si>
    <t>Characteristics of laminated emitters with a transversely nonuniform substrate in a regular phased antenna array</t>
  </si>
  <si>
    <t>2-s2.0-0026473609</t>
  </si>
  <si>
    <t>['¬© 1992', 'years old', 'widely distributed', 'volcanic plains', 'venusian surface', 'tectonic features', 'takes venus', 'shares electronics', 'rights reserved', 'periapsis located', 'orbital plane', 'obtain echoes', 'may 15', 'magellan spacecraft', 'impact craters', 'cycle 1', 'complete circuit', 'backscatter images', 'august 10', '243 days', '1991 ].']</t>
  </si>
  <si>
    <t>Analysis of a global radar backscatter mosaic generated from cycle 1 and 2 Magellan data shows that the Venusian surface is, on average, only hundreds of millions of years old, dominated by volcanic plains, and that it exhibits a variety of tectonic features. Impact craters are well‚Äêpreserved and widely distributed. In this article, we consider resurfacing models that are consistent with these observations and interpretations. On August 10, 1990, the Magellan spacecraft, with its 12.6 cm wavelength radar system, was placed in a highly inclined elliptical orbit around Venus, with a periapsis located at ‚àº10¬∞ northern latitude. [Saunders and Pettengill, 1991]. Since September 15, 1990, the 3.7‚Äêm diameter high gain antenna (HGA) has been used to acquire side‚Äêlooking synthetic aperture radar (SAR) backscatter images and passive radiometry data in HH (horizontally polarized transmit and receive) polarization [Pettengill et al., 1991]. A smaller, nadir‚Äêpointing antenna (ALTA) that shares electronics with the high gain antenna has been used to obtain echoes from which elevation and surface scattering properties have been derived [Pettengill et al., 1991]. The orbital ground track shifts approximately 20 km eastward at the equator from orbit to orbit, returning to the same position in 243 days, the time it takes Venus to rotate once beneath the orbital plane. Each complete circuit is called a ‚Äúmapping cycle.‚Äù Mapping cycle 1 ended on May 15, 1991. After completion of cycle 1, the spacecraft's orbit was changed to offset the ground track relative to cycle 1 to allow for interleaving of altimetry ground swaths. ¬©1992. American Geophysical Union. All Rights Reserved.</t>
  </si>
  <si>
    <t>161-169</t>
  </si>
  <si>
    <t>Eos, Transactions American Geophysical Union</t>
  </si>
  <si>
    <t>60074756;60074756-60017536;60074756</t>
  </si>
  <si>
    <t>26425436200;7404241898;7003326331</t>
  </si>
  <si>
    <t>Arvidson, R. E.;Phillips, R. J.;Izenberg, N.</t>
  </si>
  <si>
    <t>St. Louis;Dallas</t>
  </si>
  <si>
    <t>Washington University in St. Louis, McDonnell Center for the Space Sciences;Southern Methodist University</t>
  </si>
  <si>
    <t>60074756;60017536</t>
  </si>
  <si>
    <t>Arvidson R.E.</t>
  </si>
  <si>
    <t>Global views of Venus from Magellan</t>
  </si>
  <si>
    <t>10.1029/91EO00133</t>
  </si>
  <si>
    <t>2-s2.0-0026475927</t>
  </si>
  <si>
    <t>['¬© 1992', 'unambiguously defined', 'typically three', 'surrounding epidermis', 'sequential homology', 'segmented flagellum', 'present also', 'monolayer character', 'literature show', 'larval organs', 'larval life', 'larval breakdown', 'larval antennae', 'imaginal discs', 'general aspects', 'flagellar origin', 'disc cells', 'defined meaning', 'bombyx mori', 'ancestral holometabola', 'always maintained', 'additional facts']</t>
  </si>
  <si>
    <t>Some general aspects of the concept of imaginal discs in the Holometabola are reevaluated. Their monolayer character and continuity with the surrounding epidermis are confirmed. Studies on the imaginal discs of the silkworm (Bombyx mori) and data from the literature show that the discs and their peripodial cells produce cuticle during larval life, as well as at metamorphosis. In B. mori it is demonstrated that adult and larval antennae are produced by the same cells or their progeny. The results also suggest that segments of the typically three-segmented larval antenna of Holometabola are not scape, pedicel, and one-segmented flagellum; at least segments 2 and 3 are of flagellar origin. Based on these and some additional facts it is argued that: (1) No larval organs are "replaced" at metamorphosis, but strict "sequential homology" is always maintained. (2) Imaginal discs are not undifferentiated structures destined to form the adult after larval breakdown, cannot be unambiguously defined, and do not represent qualitatively different epidermal structures. Classical imaginal discs (invaginated and present also in pre-final larval instars) arose several times independently and were not present in the larvae of ancestral Holometabola. (3) Since the disc cells are not undifferentiated and "embryonic" (if these words have a defined meaning at all), it is unreasonable to expect that the processes taking place in discs at metamorphosis would differ fundamentally from those occurring in other diploid metamorphosing epidermal cells. ¬© 1992.</t>
  </si>
  <si>
    <t>101-117</t>
  </si>
  <si>
    <t>Developmental Biology</t>
  </si>
  <si>
    <t>≈†v√°cha, Petr</t>
  </si>
  <si>
    <t>Tsukuba</t>
  </si>
  <si>
    <t>National Institute Sericultural Entomological Sciences Tsukuba</t>
  </si>
  <si>
    <t>≈†v√°cha P.</t>
  </si>
  <si>
    <t>What are and what are not imaginal discs: Reevaluation of some basic concepts (insecta, holometabola)</t>
  </si>
  <si>
    <t>001216069290052I</t>
  </si>
  <si>
    <t>10.1016/0012-1606(92)90052-I</t>
  </si>
  <si>
    <t>2-s2.0-0026476429</t>
  </si>
  <si>
    <t>['whether stimuli', 'visual cues', 'various stimuli', 'various situations', 'taxon mantodea', 'strictly predacious', 'stimulus within', 'stimuli consisting', 'sphodromantis lineola', 'shiny clear', 'sauss .)', 'presented together', 'presented one', 'praying mantids', 'plastic beads', 'opaque frosted', 'observed food', 'maintaining drinking', 'like behavior', 'ingestive behaviors', 'identify water', 'generally recognized', 'eating bouts', 'diced banana', 'deprived male', 'defining characteristics', 'data exist', 'burr .)', 'banana ),', 'antennae drumming', 'amount imbibed', 'always preceded', 'alone capable', 'abstract truncated', '250 words']</t>
  </si>
  <si>
    <t>Praying mantids are thought to be so strictly predacious that, historically, carnivorousness has been used as a defining characteristics of the taxon Mantodea, and no data exist on other ingestive behaviors. We observed food- and water-deprived male and female Tenodera aridifolia sinensis (Sauss.) and Sphodromantis lineola (Burr.) in various situations and found that their ingestive behaviors are more variable than generally recognized. Both species regularly drink water in response to deprivation, the amount imbibed being correlated with the total (but not daily) percent of initial body weight lost. When presented with stimuli consisting of plastic beads of different reflective quality (shiny clear, opaque frosted, or matte black), lighted by a single direct light source, the shiny stimuli consistently elicited the most drinking-like behavior by the mantids. The preference was consistent, whether stimuli were presented together or singly. This suggests that visual cues can be used to identify water and are alone capable of maintaining drinking-like behavior. When S. lineola were presented with various stimuli, including diced apple and diced banana, in a five-way or a three-way choice test, mantids that chose a stimulus within the allotted time consistently ate the diced banana. When presented one of two stimuli differing only in odor (30 x 20 x 15 mm cloth bags filled with either plastic beads or banana), S. lineola did not attempt to eat the former, but 50% attempted to eat the bag of banana. Eating bouts were always preceded by antennae drumming in the direction of, or over the stimulus.(ABSTRACT TRUNCATED AT 250 WORDS)</t>
  </si>
  <si>
    <t>124-132</t>
  </si>
  <si>
    <t>Brain, behavior and evolution</t>
  </si>
  <si>
    <t>60004960;60004960;60004960</t>
  </si>
  <si>
    <t>7005308091;7006024045;7202987193</t>
  </si>
  <si>
    <t>Prete, F. R.;Lum, H.;Grossman, S. P.</t>
  </si>
  <si>
    <t>Youngstown</t>
  </si>
  <si>
    <t>Youngstown State University</t>
  </si>
  <si>
    <t>Prete F.</t>
  </si>
  <si>
    <t>Non-predatory ingestive behaviors of the praying mantids Tenodera aridifolia sinensis (Sauss.) and Sphodromantis lineola (Burr.).</t>
  </si>
  <si>
    <t>10.1159/000114110</t>
  </si>
  <si>
    <t>2-s2.0-0026479417</t>
  </si>
  <si>
    <t>['striking change', 'small number', 'sexual maturity', 'sexual behavior', 'posteclosional changes', 'one line', 'olfactory system', 'olfactory genes', 'morphologically dissimilar', 'molecular organization', 'maxillary palps', 'male sterile', 'larval amc', 'imaginal disc', 'genes expressed', 'chemosensory organs', 'certain subsets', 'certain classes', 'antennal sensilla', 'another line', 'amc ),', 'adult stage', 'adult life', 'adult antenna']</t>
  </si>
  <si>
    <t>antenna | enhancer traps | Olfaction | sexual dimorphism</t>
  </si>
  <si>
    <t>Drosophila uses different olfactory organs at different developmental stages. The larval and adult olfactory organs are morphologically dissimilar and have different developmental origins: the antenno‚Äêmaxillary complex (AMC), which houses the larval olfactory organ, is histolyzed during metamorphosis; the third antennal segment‚Äîthe principal adult olfactory organ‚Äîderives from an imaginal disc. A screen for genes expressed in both larval and adult olfactory organs, but in relatively few other tissues, has been carried out. Seven enhancer trap lines showing reporter gene expression in both the larval AMC and in certain subsets of the adult antenna are described. The antennal staining pattern of one line shows a striking change over the first few days of adult life, with a time course comparable to that of the development of sexual maturity. A pronounced sexual dimorphism in antennal staining pattern is seen in another line. Some staining patterns resemble the patterns of certain classes of antennal sensilla; others show expression restricted to only a small number of cells. Some lines also show expression associated with other chemosensory organs at either the larval or adult stage, including the maxillary palps, labellum, and anterior wing margin. One line, which also shows staining in the male reproductive tract, is male sterile. The significance of these results is considered in terms of (1) the molecular organization of the olfactory system; (2) the recruitment of olfactory genes for use in two developmental contexts; (3) the sharing of genes among different sensory modalities; (4) the role of olfaction in sexual behavior; and (5) posteclosional changes in the olfactory system. ¬© 1992 John Wiley &amp; Sons, Inc. Copyright ¬© 1992 John Wiley &amp; Sons, Inc.</t>
  </si>
  <si>
    <t>947-964</t>
  </si>
  <si>
    <t>60005455;60005455;60005455;60005455</t>
  </si>
  <si>
    <t>6603052957;7004626990;35606807800;7402114946</t>
  </si>
  <si>
    <t>Riesgo‚ÄêEscovar, Juan;Woodard, Craig;Gaines, Peter;Carlson, John</t>
  </si>
  <si>
    <t>Riesgo‚ÄêEscovar J.</t>
  </si>
  <si>
    <t>Development and organization of the Drosophila olfactory system: An analysis using enhancer traps</t>
  </si>
  <si>
    <t>10.1002/neu.480230803</t>
  </si>
  <si>
    <t>2-s2.0-0026482054</t>
  </si>
  <si>
    <t>['¬© 1992', 'terrestrial exploration', 'systems would', 'resource mapping', 'recent advances', 'potential applications', 'particularly valuable', 'lower frequencies', 'lightweight systems', 'lightweight instrumentation', 'found application', 'dry ground', 'depth penetration', 'could form', 'considerably extends', 'arid regions', 'antenna systems']</t>
  </si>
  <si>
    <t>Ground probing radar is a well established technique for locating buried objects and has found application in resource mapping. The development of this technology for the Mars exploration programme has lead to lightweight systems with potential applications for investigating shallow geological structures on Earth, Mars and Venus. Recent advances in ground probing radar technology for planetary exploration include the development of single-antenna systems with improved beam focussing into the ground and a move to lower frequencies which considerably extends the depth penetration in dry ground. These systems are designed for mobility and could form the basis of autonomous mapping systems for terrestrial exploration. Such systems would be particularly valuable for water resource surveying in arid and semi-arid regions, where there is a need to have lightweight instrumentation that can be moved into sometimes inhospitable terrain. ¬© 1992.</t>
  </si>
  <si>
    <t>65-68</t>
  </si>
  <si>
    <t>60001881;60001881;60071070;60001881</t>
  </si>
  <si>
    <t>6507834299;6603451186;35618392900;7007084505</t>
  </si>
  <si>
    <t>Cattermole, P. J.;Junkin, G.;Finkelstein, M. I.;Kingsley, S. P.</t>
  </si>
  <si>
    <t>Latvia;United Kingdom</t>
  </si>
  <si>
    <t>Riga;Sheffield</t>
  </si>
  <si>
    <t>Transport and telecommunication institute;The University of Sheffield</t>
  </si>
  <si>
    <t>60071070;60001881</t>
  </si>
  <si>
    <t>Cattermole P.</t>
  </si>
  <si>
    <t>New developments in ground probing radar for Earth resource mapping and planetology</t>
  </si>
  <si>
    <t>10.1016/0273-1177(92)90197-6</t>
  </si>
  <si>
    <t>2-s2.0-0026483226</t>
  </si>
  <si>
    <t>['telecommunications ministry', 'significant manner', 'services provided', 'satellite services', 'respective powers', 'regulations applicable', 'regime applicable', 'one area', 'new law', 'mutual recognition', 'made clearer', 'licenses issued', 'high council', 'france telecom', 'even though', 'enterprises may', 'embryonic stage', 'december 29', 'audiovisual ).', '1990 delimited']</t>
  </si>
  <si>
    <t>The French regulations applicable to satellites which, until recently, were only in an embryonic stage, have been made clearer and more detailed since 1990. First, the law of December 29, 1990 delimited the respective powers of the Postal and Telecommunications Ministry and the High Council For Broadcast; such delimitation is, for the most part, based on the nature of the services in question (telecommunications or audiovisual). Second, even though the new law on the regulations applicable to telecommunications does not contain any terms specifically dealing with the services provided by satellite, the new legal environment created by this law has allowed for the establishment of the regime applicable to VSAT and other satellite services. This evolution should facilitate the introduction of future EC directives on the mutual recognition of licenses issued for the furnishing of satellite services. There is one area, however, which has not evolved in any significant manner. Access to satellite frequencies assigned to France remains reserved to certain government ministries and agencies and to France Telecom. Consequently, enterprises may not benefit from any direct access right.</t>
  </si>
  <si>
    <t>17-23</t>
  </si>
  <si>
    <t>Space Communications</t>
  </si>
  <si>
    <t>Dupuis-Toubol, Frederique</t>
  </si>
  <si>
    <t>Moquet Borde &amp; Associes</t>
  </si>
  <si>
    <t>Dupuis-Toubol F.</t>
  </si>
  <si>
    <t>New French regulations applicable to satellites</t>
  </si>
  <si>
    <t>2-s2.0-0026483530</t>
  </si>
  <si>
    <t>['vertical velocities', 'velocity measurements', 'squares sense', 'signal phase', 'receiving antennas', 'radial velocity', 'computationally fast', 'analysis leads']</t>
  </si>
  <si>
    <t>Presents a method for deriving horizontal velocities, vertical velocities, and in-beam incidence angles from radar interferometer data. All parameters are calculated from the slope and intercept of straight lines fitted in a least-squares sense to the variation of the signal phase as a function of radial velocity for each pair of receiving antennas. Advantages of the method are that the calculations are computationally fast and simple, and the analysis leads to relatively simple expressions for the uncertainty in the velocity measurements. -Authors</t>
  </si>
  <si>
    <t>Journal of Atmospheric &amp; Oceanic Technology</t>
  </si>
  <si>
    <t>Larsen, M. F.</t>
  </si>
  <si>
    <t>Kyoto</t>
  </si>
  <si>
    <t>Kyoto University</t>
  </si>
  <si>
    <t>Larsen M.</t>
  </si>
  <si>
    <t>An analysis technique for deriving vector winds and in-beam incidence angles from radar interferometer measurements</t>
  </si>
  <si>
    <t>10.1175/1520-0426(1992)009&lt;0003:AATFDV&gt;2.0.CO;2</t>
  </si>
  <si>
    <t>2-s2.0-0026486550</t>
  </si>
  <si>
    <t>['transport steps', 'transmitters implanted', 'step lengths', 'step length', 'starting points', 'spatial distributions', 'southern germany', 'single value', 'roughness conditions', 'river bed', 'rest periods', 'rest period', 'random variables', 'probability approach', 'pool showed', 'point sources', 'platy ones', 'petsy technique', 'natural circumstances', 'move continuously', 'measuring reach', 'mean values', 'masking influence', 'laboratory data', 'iron tracers', 'individual pebbles', 'gamma distributions', 'flood events', 'exponential functions', 'elongated pebbles', 'different positions', 'critical conditions', 'considerable amount', 'computerized receiver', 'best described', 'bedload particles', 'antenna switchboard']</t>
  </si>
  <si>
    <t>Bedload transport | Entrainment | Radio tracer | Rest periods | Step lengths | Tracer techniques | Travel lengths</t>
  </si>
  <si>
    <t>This paper reports results from bedload transport investigations with active (radio) and passive (iron, magnetic) tracers in the Lainbach, a step‚Äêpool mountain river, in Bavaria, Southern Germany. The spatial distributions of the iron tracers after flood events can be best described by exponential or Gamma distributions. There is some indication of a tendency of size‚Äêselective transport of the iron tracers, but there is also a considerable amount of scatter in the correlations between weight (size) and travel length owing to the masking influence of other variables, such as the shape of the particles and different positions in the river bed. The experiments with artificial magnetic tracers showed that elongated pebbles (rods) had the longest mean transport distance, platy ones (discs) remained relatively close to the starting points. The particles from the pool showed the greatest transport lengths and a 100 per cent chance of being eroded. The Pebble Transmitter System (PETSY) consists of transmitters implanted into individual pebbles, a computerized receiver, a stationary antenna system with an antenna switchboard, and a data logging system. The particles do not move continuously but in a series of transport steps and non‚Äêmovement intervals. A single value for a given size‚Äêclass is not adequate to describe the critical conditions of entrainment under natural circumstances. A probability approach is much more suitable. The critical unit discharges (total discharge divided by active channel width) along the measuring reach are dependent on river bed morphology. In the steps bedload needs higher unit discharges to be entrained. Once entrained, the transport of bedload is stochastic in nature and the single particle transport is controlled by the step lengths and the duration of rest periods. The distributions of both parameters can be approximated by exponential functions. Applying the stochastic concept proposed by Einstein the mean values of the random variables [step length] and [duration of rest period] measured with the PETSY technique were used for the simulation of spatial distributions of bedload particles from point sources. More field and laboratory data are needed to include varying flow and roughness conditions with tracers representing different particle characteristics. Copyright ¬© 1992 John Wiley &amp; Sons, Ltd</t>
  </si>
  <si>
    <t>147-165</t>
  </si>
  <si>
    <t>Earth Surface Processes and Landforms</t>
  </si>
  <si>
    <t>60030718;60030718</t>
  </si>
  <si>
    <t>16035284500;35580912000</t>
  </si>
  <si>
    <t>Schmidt, Karl‚ÄêHeinz ‚ÄêH;Ergenzinger, Peter</t>
  </si>
  <si>
    <t>Germany</t>
  </si>
  <si>
    <t>Berlin</t>
  </si>
  <si>
    <t>Freie Universit√§t Berlin</t>
  </si>
  <si>
    <t>Schmidt K.</t>
  </si>
  <si>
    <t>Bedload entrainment, travel lengths, step lengths, rest periods‚Äîstudied with passive (iron, magnetic) and active (radio) tracer techniques</t>
  </si>
  <si>
    <t>10.1002/esp.3290170204</t>
  </si>
  <si>
    <t>2-s2.0-0026489219</t>
  </si>
  <si>
    <t>['sufficient condition', 'mark iii', 'experiments carried', 'error model', 'east directions', 'also used', '15 years', '0 mm']</t>
  </si>
  <si>
    <t>An analysis of interferometric phase delays from 15 years of Mark I and Mark III very long baseline interferometry (VLBI) experiments carried out with two radio telescopes in Westford, Massachusetts, ~1.24 km apart, yields weighted root-mean-square (WRMS) scatters about the mean locally horizontal coordinates of 1.0 and 2.0 mm in the north and east directions, respectively. We conclude from these studies that VLBI antennas satisfy a necessary but not sufficient condition for being able to maintain a global reference system with submillimeter per year accuracy for intervals in excess of a decade. These data are also used to determine an error model for the VBLI group delay measurements. -from Author</t>
  </si>
  <si>
    <t>1981-1990</t>
  </si>
  <si>
    <t>B2</t>
  </si>
  <si>
    <t>Journal of Geophysical Research</t>
  </si>
  <si>
    <t>Herring, T. A.</t>
  </si>
  <si>
    <t>Herring T.</t>
  </si>
  <si>
    <t>Submillimeter horizontal position determination using very long baseline interferometry</t>
  </si>
  <si>
    <t>10.1029/91JB02649</t>
  </si>
  <si>
    <t>2-s2.0-0026490944</t>
  </si>
  <si>
    <t>N00014-89-C-0117</t>
  </si>
  <si>
    <t>['¬± 2', 'wind variation', 'wind speed', 'results suggest', 'resulting error', 'radiometric temperature', 'originally developed', 'less sensitive', 'horizontal polarization', 'francis group', 'dual jinear', 'corrected using', '60 ¬∞.', '6 ghz', '1979 ),']</t>
  </si>
  <si>
    <t>We study the feasibility of using a dual Jinear-polarized radiometer operating at 6 GHz in conjunction with a scatterometer as a method of extracting sea surface temperature. A model, originally developed by Wilheit (1979), is used lo investigate the sensitivity of radiometric temperature to changes in wind speed, U, at a height of 20 m; that is, the accuracy of sea temperature depends directly on the accuracy of radiometric temperature. These changes are corrected using this extracted wind speed based on a scatterometer wind accuracy of ¬± I ms-1 We show that a vertically polarized radiometer is less sensitive to wind speed changes than a horizontally polarized one near an incidence angle Œò = 60¬∞. Furthermore, we quantify the wind variation; ‚àÜTBV/‚àÜU‚â§0.12¬∞Cm-1 s when U&gt;10ms-1 and ATHB/‚àÜU‚â§2.0¬∞Cm-1 s when U&gt;6ms-1 for vertical and horizontal polarization, respectively. Thus, the resulting error is ¬± 12¬∞C and ¬±2.0¬∞C for TVB and THB, respectively. These results suggest that a scatterometer can be used to correct the wind speed dependence of a vertically polarized radiometer operating near 6 GHz using a pencil antenna beam pointing at an incidence angle near 57¬∞. ¬© 1992 Taylor &amp; Francis Group, LLC.</t>
  </si>
  <si>
    <t>957-964</t>
  </si>
  <si>
    <t>60023201;60023201</t>
  </si>
  <si>
    <t>7004231277;7005115667</t>
  </si>
  <si>
    <t>Rufenach, C. L.;Shuchman, R. A.</t>
  </si>
  <si>
    <t>Altarum Institute</t>
  </si>
  <si>
    <t>Rufenach C.L.</t>
  </si>
  <si>
    <t>On the feasibility of measuring sea surface temperature using active and passive microwave sensors</t>
  </si>
  <si>
    <t>10.1080/01431169208904169</t>
  </si>
  <si>
    <t>2-s2.0-0026490963</t>
  </si>
  <si>
    <t>Small Business Innovation Research</t>
  </si>
  <si>
    <t>SBIR</t>
  </si>
  <si>
    <t>['¬© 1992', 'various parameters', 'various configurations', 'user applications', 'trimble navigation', 'test data', 'system performance', 'stability statistics', 'solution accuracy', 'signal multipath', 'several milliradians', 'royal institute', 'roll angles', 'rights reserved', 'receiver system', 'platform dynamics', 'paper discusses', 'operational features', 'land platforms', 'direct measurement', 'differential phase', 'determine azimuth', 'axis solutions', 'antenna array', 'also presented']</t>
  </si>
  <si>
    <t>Attitude references | Heading references | Satellite navigation</t>
  </si>
  <si>
    <t>In 1991 Trimble Navigation introduced a Global Positioning System (Gps)-based attitude determination receiver capable of 3-axis solutions with accuracy to several milliradians for airborne, sea and land platforms. This paper discusses the physical, architectural, and operational features of this receiver system. Analysis of system performance will also be reviewed for various configurations and user applications. The Trimble Navigation attitude determination receiver uses differential carrier phase techniques to determine azimuth, pitch and roll angles of a 3-antenna array. This product is designed to operate in a variety of user applications and to withstand rugged operating environments. Trimble Navigation has expanded its proven gps sensor architecture to incorporate three independent rf sections and additional processing channels to measure and process the differential phase between antennas on two orthogonal baselines. Direct measurement of differential phase utilizing a common local oscillator provides highly accurate relative phase data. The navigation and attitude processor computes azimuth, pitch, and roll angles as well as position, velocity and time. The solution accuracy and stability statistics are sensitive to various parameters. Antenna baseline length, signal multipath, platform dynamics and filtering are investigated. Test data from static and various dynamic platforms are also presented. ¬© 1992, The Royal Institute of Navigation. All rights reserved.</t>
  </si>
  <si>
    <t>192-204</t>
  </si>
  <si>
    <t>Journal of Navigation</t>
  </si>
  <si>
    <t>116409127;116409127</t>
  </si>
  <si>
    <t>7404529839;7801491939</t>
  </si>
  <si>
    <t>Wilson, Gregory J.;Tonnemacher, Jeffrey D.</t>
  </si>
  <si>
    <t>United Kingdom</t>
  </si>
  <si>
    <t>Trimble Navigation Limited</t>
  </si>
  <si>
    <t>Wilson G.</t>
  </si>
  <si>
    <t>A GPS Attitude Determination System</t>
  </si>
  <si>
    <t>10.1017/S0373463300010699</t>
  </si>
  <si>
    <t>2-s2.0-0026494868</t>
  </si>
  <si>
    <t>['wiley blackwell', 'werden analysiert', 'vacuum chamber', 'selfcalibration approach', 'satellite antenna', 'rights reserved', 'refraction compensation', 'rays due', 'incident bundles', 'glass window', 'analytical selfcalibration']</t>
  </si>
  <si>
    <t>Photogrammetric measurements within environmental test chambers which incorporate viewing ports constitute an application of multi‚Äêmedia photogrammetry. Perturbations to the incident bundles of rays due to refraction must therefore be taken into account. In this paper, refraction compensation for the case of antenna measurements within thermal vacuum chambers is discussed. Correction models applicable to the camera invariant refracting surfaces of a glass window and vacuum chamber are reviewed, especially error compensation using the approach of analytical selfcalibration. Results of a sequence of measurements of a satellite antenna are then analysed to illustrate the high measurement accuracies which are afforded by the selfcalibration approach. Les d√©terminations photogramm√©triques dans un environnement de caissons ƒè essais munis de hublots de vis√©e, constituent une application de la photogrammetrie √† trovers des milieux multiples. II y a lieu par cons√©quent de tenir compte des perturbations que subissent lesfaisceaux de rayons lumineux incidents par suite de la r√©fraction. On examine dans cet article la compensation de la r√©fraction dans le cas de mesures sur des antennes plac√©es dans des enceintes thermiques sous vide. On analyse les mod√®les de correction applicables aux surfaces r√©fractantes invariantes de la chambre photographique et de ƒæ enceinte √† vide, comprenant des fen√™tres en verre, en s'attachant plus particuli√®rement √† une compensation ƒè erreurs bas√©e sur des m√©thodes ƒè auto‚Äê√©talonnage analytique. On pr√©sente ensuite les r√©sultats ƒè une s√©rie de mesures portant sur une antenne de satellite, qui illustrent le haut degr√© de pr√©cision atteint par cette m√©thode ƒèauto‚Äê√©talonnage. Photogrammetrische Messungen innerhalb von Umwelt‚ÄêTestkammern, die auch √ñffnungen zum Durchblick enthalten, stellen eine Anwendung der Multimedien‚ÄêPhotogrammetrie dar. Demzufolge m√ºssen St√∂rungen wegen Refraktion bei den Aufnahmestrahlenb√ºndeln ber√ºcksichtigt werden. Im vorliegenden Beitrag wird die Kompensation der Refraktion f√ºr Antennenmessungen in thermalen Vakuum‚ÄêKammern diskutiert. Korrekturmodelle, die auf die kamerainvarianten brechenden Oberfl√§chen eines Fensterglases und die Vakuum‚ÄêKammer angewandt werden k√∂nnen, werden analysiert, besonders unter dem Gesichtspunkt, da√ü eine Fehlerkorrektur mittels Selbstkalibrierung erfolgt. Dann werden Ergebnisse einer Folge von Messungen an der Satellitenantenne analysiert, um die hohe Me√ügenauigkeit darzustellen, die aus dem Ansatz zur Selbstkalibrierung resultiert. Copyright ¬© 1992, Wiley Blackwell. All rights reserved</t>
  </si>
  <si>
    <t>99-112</t>
  </si>
  <si>
    <t>0031868X</t>
  </si>
  <si>
    <t>The Photogrammetric Record</t>
  </si>
  <si>
    <t>Fraser, C. S.</t>
  </si>
  <si>
    <t>Melbourne</t>
  </si>
  <si>
    <t>Geodetic Systems, Inc.</t>
  </si>
  <si>
    <t>Fraser C.S.</t>
  </si>
  <si>
    <t>REFRACTION CONSIDERATIONS FOR PHOTOGRAMMETRIC MEASUREMENTS IN A THERMAL VACUUM CHAMBER</t>
  </si>
  <si>
    <t>10.1111/j.1477-9730.1992.tb00210.x</t>
  </si>
  <si>
    <t>2-s2.0-0026495915</t>
  </si>
  <si>
    <t>National Institutes of Health</t>
  </si>
  <si>
    <t>R01CA042604</t>
  </si>
  <si>
    <t>NIH</t>
  </si>
  <si>
    <t>['¬© 1991', 'tumor volumes', 'tumor heated', 'significant effect', 'sharp decrease', 'muscle tissue', 'insertion depths', 'insertion depth', 'imaah system', 'dimensional steady', 'diagonal plane', 'antenna arrays', 'antenna array', '915 mhz', '7 cm', '6 cm']</t>
  </si>
  <si>
    <t>Finite elements | Hyperthermia | Insertion depth | Microwave antennas | Temperature distributions</t>
  </si>
  <si>
    <t>Interstitial microwave antenna array hyperthermia (IMAAH) systems are currently being used in the treatment of cancer. The insertion depth of an interstitial microwave antenna, defined as the length of the antenna from the tip to the point of insertion in tissue, affects its ability to produce uniform power deposition patterns in tumor volumes. The effect of varying insertion depths on the ability of an IMAAH system to heat two theoretical tumor models was examined. Four dipole microwave antennas were implanted in a 2 √ó 2 cm array and driven at 915 MHz in muscle tissue. The explicit power deposition patterns were calculated for each insertion depth using known theory. The bioheat transfer equation was solved for the 3-dimensional steady-state temperature distributions in cylindrical and ellipsoidal tumor models using a finite element method. Homogeneous and nonhomogeneous blood flow models were considered. As a basis of comparison of the various temperature distributions, the volume of tumor heated to ‚â• 43¬∞C was calculated. Under the conditions of this study, the insertion depth was shown to have a significant effect on the ability of an IMAAH system to heat the tumor volumes. A sharp decrease in the percentage of tumor volume heated to ‚â• 43¬∞C was seen for insertion depths between 7.8 and 14.6 cm. At an insertion depth of 11.7 cm ( 3 4 Œª) there was virtually no heating of the tumor. Regions of elevated power occurred outside of the desired treatment volume, stressing the importance of adequate thermometry techniques and demonstrating the need for hyperthermia treatment planning prior to implantation of an antenna array. Plots of the power deposition patterns and the corresponding temperatures produced in the diagonal plane of the antenna arrays are present. ¬© 1991.</t>
  </si>
  <si>
    <t>131-138</t>
  </si>
  <si>
    <t>International Journal of Radiation Oncology, Biology, Physics</t>
  </si>
  <si>
    <t>60030443;60030443;60001844</t>
  </si>
  <si>
    <t>6602167161;7005534211;57197374123</t>
  </si>
  <si>
    <t>Mechling, Joyce A.;Strohbehn, John W.;Ryan, Thomas P.</t>
  </si>
  <si>
    <t>Hanover;Lebanon</t>
  </si>
  <si>
    <t>Thayer School of Engineering at Dartmouth;Dartmouth-Hitchcock Medical Center</t>
  </si>
  <si>
    <t>60030443;60001844</t>
  </si>
  <si>
    <t>Mechling J.</t>
  </si>
  <si>
    <t>Three-dimensional theoretical temperature distributions produced by 915 MHz dipole antenna arrays with varying insertion depths in muscle tissue</t>
  </si>
  <si>
    <t>036030169290992Q</t>
  </si>
  <si>
    <t>10.1016/0360-3016(92)90992-Q</t>
  </si>
  <si>
    <t>2-s2.0-0026500666</t>
  </si>
  <si>
    <t>National Cancer Institute</t>
  </si>
  <si>
    <t>R01CA023594</t>
  </si>
  <si>
    <t>NCI</t>
  </si>
  <si>
    <t>['upon removal', 'two cases', 'tumour length', 'temperature probes', 'temperature measurement', 'technique may', 'strength seeds', 'single strand', 'rights reserved', 'procedure well', 'possible due', 'patients tolerated', 'muscle phantom', 'microwave antenna', 'keeping temperatures', 'implanted percutaneously', 'immediately following', 'hyperthermia treatment', 'hyperthermia method', 'fluoroscopic guidance', 'distal margins', 'clinical study', 'catheter accommodated', 'bile precipitation', 'best performance', 'antenna performance', 'also noted', 'acute complications', '915 mhz', '7 days', '192 double', '192 brachytherapy', '10 patients']</t>
  </si>
  <si>
    <t>Brachytherapy | Cancer | Hyperthermia | Interstitial | Microwave</t>
  </si>
  <si>
    <t>In a phase I clinical study. 10 patients with obstructive biliary carcinomas were treated with single-antenna interstitial microwave hyperthermia and iridium-192 brachytherapy. For each patient a standard biliary drainage catheter was implanted percutaneously through the obstructed common bile duct. This catheter accommodated a single microwave antenna which operated at 915 MHz, and one or two fibreoptic thermometry probes for temperature measurement. Under fluoroscopic guidance the microwave antenna and temperature probes were positioned in the CT-determined tumour mass. The 60-min heat treatment achieved a central tumour temperature of 45-55 ¬∞C while keeping temperatures at the proximal and distal margins at 43 ¬∞C. Immediately following the hyperthermia treatment the microwave antenna and temperature probes were removed, and a single strand of iridium-192 double-strength seeds was inserted to irradiate the tumour length. A dose of 5500-7900 cGy calculated at 0.5 cm radially from the catheter was administered over 5-7 days. Upon removal of the iridium a second hyperthermia treatment was performed. A total of 18 hyperthermia treatments were administered to the 10 patients. In two cases the second hyperthermia treatment after brachytherapy was not possible due to a kink in the catheter, or bile precipitation in the catheter. All patients tolerated the procedure well, and there were no acute complications. To evaluate the volumetric heating potential of this hyperthermia method, specific absorption rate (SAR) values were measured at 182 planar points in muscle phantom. Insulated and non-insulated antenna performance was tested at 915 MHz in a biliary catheter filled with air, saline, or bile to mimic clinical treatments. The insulated antenna exhibited the best performance. Differences between antenna performance in saline and bile were also noted. In summary, this technique may have potential for tumours which obstruct biliary drainage and are accessible to percutaneous decompression using standard diagnostic radiological procedures. ¬© 1992 Informa UK Ltd All rights reserved: reproduction in whole or part not permitted.</t>
  </si>
  <si>
    <t>157-171</t>
  </si>
  <si>
    <t>International Journal of Hyperthermia</t>
  </si>
  <si>
    <t>60010756;60010756-60030443;60010756-60001844-60030443;60010756-60030443;60001844;60010756;60010756</t>
  </si>
  <si>
    <t>7007000893;7403531361;57197374123;7404235921;6701713105;7004420938;57196630740</t>
  </si>
  <si>
    <t>Coughlin, C. T.;Wong, T. Z.;Ryan, T. P.;Jones, E. L.;Crichlow, R. W.;Spiegel, P. K.;Jeffery, R.</t>
  </si>
  <si>
    <t>United States;United States;United States</t>
  </si>
  <si>
    <t>Hanover;Hanover;Lebanon</t>
  </si>
  <si>
    <t>Thayer School of Engineering at Dartmouth;Dartmouth College;Dartmouth-Hitchcock Medical Center</t>
  </si>
  <si>
    <t>60030443;60010756;60001844</t>
  </si>
  <si>
    <t>Coughlin C.</t>
  </si>
  <si>
    <t>Interstitial microwave-induced hyperthermia and iridium brachytherapy for the treatment of obstructing biliary carcinomas</t>
  </si>
  <si>
    <t>10.3109/02656739209021772</t>
  </si>
  <si>
    <t>2-s2.0-0026505633</t>
  </si>
  <si>
    <t>['¬© 1992', 'surface charge', 'structural studies', 'specific effects', 'reaction centres', 'protein interactions', 'photosynthetic membranes', 'pairwise protein', 'negatively charged', 'molecular recognition', 'membrane domains', 'ligand blocking', 'intramolecular interactions', 'biological membranes']</t>
  </si>
  <si>
    <t>Phosphorylation of light-harvesting antenna proteins redirects absorbed light energy between reaction centres of photosynthetic membranes. A generally accepted explanation for this is that electrostatic forces drive the more negatively charged, phosphorylated antenna proteins between membrane domains that differ in surface charge. However, structural studies on soluble phosphoproteins indicate that phosphorylated amino acid side chains have specific effects on molecular recognition, by ligand blocking or by intramolecular interactions which alter protein structure. These studies suggest alternative mechanisms for phosphorylation in control of pairwise protein-protein interactions in biological membranes. Thus, in photosynthesis, the surface charge model is only one possible interpretation. ¬© 1992.</t>
  </si>
  <si>
    <t>Trends in Biochemical Sciences</t>
  </si>
  <si>
    <t>Allen, John F.</t>
  </si>
  <si>
    <t>Norway</t>
  </si>
  <si>
    <t>Oslo</t>
  </si>
  <si>
    <t>Universitetet i Oslo</t>
  </si>
  <si>
    <t>Allen J.</t>
  </si>
  <si>
    <t>How does protein phosphorylation regulate photosynthesis?</t>
  </si>
  <si>
    <t>0968-0004(92)90418-9</t>
  </si>
  <si>
    <t>10.1016/0968-0004(92)90418-9</t>
  </si>
  <si>
    <t>2-s2.0-0026513229</t>
  </si>
  <si>
    <t>['¬© 1992', 'ion channels', 'elementary conductances', 'clamp conditions', '67 ps', '100 ps']</t>
  </si>
  <si>
    <t>1. 1. Ion channels of silkworm moth antennae were incorporated into a planar lipid bilayer and investigated under voltage-clamp conditions. 2. 2. Ion channels with elementary conductances of 33 and 100 pS in 100 mM K+ and 67 pS in 100 mM Na+ were recorded. 3. 3. Kinetics of the channel with conductance of 100 pS was investigated. ¬© 1992.</t>
  </si>
  <si>
    <t>209-212</t>
  </si>
  <si>
    <t>Comparative Biochemistry and Physiology -- Part A: Physiology</t>
  </si>
  <si>
    <t>60031838;60014652;60014652</t>
  </si>
  <si>
    <t>7103400132;24326078700;24294456600</t>
  </si>
  <si>
    <t>Kiyonori, Yoshii;Masauki, Takakuri;Kenzo, Kurihara</t>
  </si>
  <si>
    <t>Japan;Japan</t>
  </si>
  <si>
    <t>Kitakyushu;Sapporo</t>
  </si>
  <si>
    <t>Kyushu Institute of Technology;Hokkaido University</t>
  </si>
  <si>
    <t>60031838;60014652</t>
  </si>
  <si>
    <t>Kiyonori Y.</t>
  </si>
  <si>
    <t>Ion channels of silkworm moth (Bombyx mori) antennae incorporated into planar lipid bilayer</t>
  </si>
  <si>
    <t>030096299290524T</t>
  </si>
  <si>
    <t>10.1016/0300-9629(92)90524-T</t>
  </si>
  <si>
    <t>2-s2.0-0026518592</t>
  </si>
  <si>
    <t>['wiley blackwell', 'two species', 'rights reserved', 'primary structures', 'polypeptide sequences', 'gel filtration', 'family ectothiorhodospiraceae', 'edman degradation', 'ectothiorhodospira halophila', 'ectothiorhodospira halochloris', 'core complexes', 'antenna polypeptides']</t>
  </si>
  <si>
    <t>Antenna polypeptides from two species of the family Ectothiorhodospiraceae have been investigated. By means of gel filtration and subsequent high‚Äêperformance liquid chromatography, at least five polypeptides were isolated from each of Ectothiorhodospira halochloris and Ectothiorhodospira halophila. The majority of their primary structures was identified by Edman degradation. Comparison of these polypeptide sequences with the known primary structures of antenna polypeptides from various purple non‚Äêsulfur bacteria revealed interesting new aspects with regard to the structure of the core‚Äêperipheral antenna system. E. halochloris and E. halophila contain two pairs of Œ±‚Äê and Œ≤‚Äêpolypeptides each with typical primary structure elements of core complexes, indicating a modified antenna complex organization. Copyright ¬© 1992, Wiley Blackwell. All rights reserved</t>
  </si>
  <si>
    <t>917-925</t>
  </si>
  <si>
    <t>European Journal of Biochemistry</t>
  </si>
  <si>
    <t>60025858;60025858;60025858;60025858;60025858;60025858</t>
  </si>
  <si>
    <t>13611433800;6603669964;6505879969;7401890961;7006674721;7006345218</t>
  </si>
  <si>
    <t>WAGNER‚ÄêHUBER, Regula;BRUNISHOLZ, Ren√© A.;BISSIG, Iwan;FRANK, Gerhard;SUTER, Franz;ZUBER, Herbert</t>
  </si>
  <si>
    <t>Zurich ZH,</t>
  </si>
  <si>
    <t>ETH Zurich</t>
  </si>
  <si>
    <t>WAGNER‚ÄêHUBER R.</t>
  </si>
  <si>
    <t>The primary structure of the antenna polypeptides of Ectothiorhodospira halochloris and Ectothiorhodospira halophila Four core‚Äêtype antenna polypeptides in E. halochtoris and E. halophila</t>
  </si>
  <si>
    <t>10.1111/j.1432-1033.1992.tb16858.x</t>
  </si>
  <si>
    <t>2-s2.0-0026524764</t>
  </si>
  <si>
    <t>['shark hosts', 'secondary role', 'scale impressions', 'placoid scale', 'myxal pad', 'maxilliped abuts', 'embedded slightly', 'bifid tip']</t>
  </si>
  <si>
    <t>Scanning electron microscopy of Pandarus species detached from their shark hosts while still grasping placoid scales reveals how the maxillipeds are used to clasp the host. The bifid tip of the maxilliped abuts the 'neck' of a placoid scale, and the grasping action clamps the scale's crown to the myxal pad with the scale's lateral region pressed against the lateral myxal projection. Scale impressions on the myxal pad indicate that the scale's crown is embedded slightly in the myxa, possibly further securing the copepod's grasp. The second antennae presumably perform a secondary role in attaching the parasite to its host.</t>
  </si>
  <si>
    <t>368-370</t>
  </si>
  <si>
    <t>Journal of Parasitology</t>
  </si>
  <si>
    <t>Benz, G. W.</t>
  </si>
  <si>
    <t>Tennessee Aquarium</t>
  </si>
  <si>
    <t>Benz G.</t>
  </si>
  <si>
    <t>How Pandarus species (copepoda: Pandaridae) attach to their shark hosts</t>
  </si>
  <si>
    <t>10.2307/3283492</t>
  </si>
  <si>
    <t>2-s2.0-0026529707</t>
  </si>
  <si>
    <t>['wiley blackwell', 'tryptic glycopeptides', 'sugar chains', 'small proportion', 'rights reserved', 'results reveal', 'pentasaccharide core', 'methylation analysis', 'glycans obtained', 'characteristic feature']</t>
  </si>
  <si>
    <t>The carbohydrate side chains of the thrombin‚Äêlike serine protease ancrod from the venom of the Malayan pit viper Agkistrodon rhodostoma were liberated from tryptic glycopeptides by treatment with peptide‚ÄêN4‚Äê(N‚Äêacetyl‚ÄêŒ≤‚Äêglucosaminyl)asparagine amidase F and fractionated by high‚Äêperformance liquid chromatography. Glycans obtained were characterized by digestion with exoglycosidases, methylation analysis and, in part, by liquid secondary‚Äêion mass spectrometry and 1H‚ÄêNMR spectroscopy. The results reveal that this snake venom glycoprotein contains partially truncated di‚Äê, tri‚Äê and tetraantennary complex type N‚Äêglycans carrying Fuc(Œ±1‚Äê6) residues at the innermost N‚Äê acetylglucosamine and solely (Œ±2‚Äê3)‚Äêlinked sialic acid substituents. As a characteristic feature, ancrod oligosaccharides comprise mainly sialylated GalŒ≤3GlcNAcŒ≤ lactosamine antennae. Furthermore, a small proportion of the sugar chains were found to carry a NeuAcŒ±3GalNAcŒ≤4GlcNAcŒ≤ antenna exclusively linked to C‚Äê2 of Man(Œ±1‚Äê3) residues of the pentasaccharide core. Thus, many of the glycans found represent novel glycoprotein‚ÄêN‚Äêglycan structures. Copyright ¬© 1992, Wiley Blackwell. All rights reserved</t>
  </si>
  <si>
    <t>961-978</t>
  </si>
  <si>
    <t>60017134;60014117;60014117;60017134;60007616;60017134</t>
  </si>
  <si>
    <t>7004877275;6701616952;7102959892;7007163902;6602213149;7102649252</t>
  </si>
  <si>
    <t>PFEIFFER, G√ºnter;DABROWSKI, Ursula;DABROWSKI, Janusz;STIRM, Stephan;STRUBE, Karl‚ÄêHermann ‚ÄêH;GEYER, Rudolf</t>
  </si>
  <si>
    <t>Germany;Germany;Germany</t>
  </si>
  <si>
    <t>Giessen;Heidelberg;Ludwigshafen</t>
  </si>
  <si>
    <t>Justus-Liebig-Universit√§t Gie√üen;Max Planck Institute for Medical Research;BASF SE</t>
  </si>
  <si>
    <t>60017134;60014117;60007616</t>
  </si>
  <si>
    <t>PFEIFFER G.</t>
  </si>
  <si>
    <t>Carbohydrate structure of a thrombin‚Äêlike serine protease from Agkistrodon rhodostoma Structure elucidation of oligosaccharides by methylation analysis, liquid secondary‚Äêion mass spectrometry and proton magnetic resonance</t>
  </si>
  <si>
    <t>10.1111/j.1432-1033.1992.tb16863.x</t>
  </si>
  <si>
    <t>2-s2.0-0026535154</t>
  </si>
  <si>
    <t>['wiley blackwell', 'rights reserved', 'previously described', 'lhcii subpopulations', 'lhcii moiety', 'lhcii components', 'isoelectrofocusing analysis', 'ii obtained', 'b proteins', 'aggregation state']</t>
  </si>
  <si>
    <t>In this study, we report on the composition of a photosystem‚ÄêII antenna preparation which contains three chlorophyll‚Äêa/b proteins (CP), CP29, CP24 and light‚Äêharvesting complex (LHC) II obtained from Zea mays grana membranes as previously described [Dainese, P. &amp; Bassi, R. (1991) J. Biol. Chem. 266, 8136‚Äì8142]. We demonstrate that the three chlorophyll proteins are present in the preparation with a 3:3:9 molar ratio and that they form a supramolecular antenna complex which represents one third of the photosystem‚ÄêII antenna system. Phosphorylation experiments show that this complex is involved in the mechanism of regulation of excitation‚Äêenergy distribution between photosystems: phosphorylation of the membranes induces dissociation of the LHCII moiety from the CP29‚ÄêCP24 moiety and changes in the aggregation state of LHCII components of the CP29‚ÄêCP24‚ÄêLHCII complex. The LHCII subpopulations of the complex are shown to be distinct from the total LHCII population by isoelectrofocusing analysis. On the basis of these data and in the light of the stoichiometry of photosystem‚ÄêII chlorophyll‚Äêbinding proteins, we propose a model for the organization of photosystem‚ÄêII antenna system. Copyright ¬© 1992, Wiley Blackwell. All rights reserved</t>
  </si>
  <si>
    <t>317-326</t>
  </si>
  <si>
    <t>60000481;60000481</t>
  </si>
  <si>
    <t>35553979700;6603780088</t>
  </si>
  <si>
    <t>BASSI, Roberto;DAINESE, Paola</t>
  </si>
  <si>
    <t>Padua</t>
  </si>
  <si>
    <t>Universit√† degli Studi di Padova</t>
  </si>
  <si>
    <t>BASSI R.</t>
  </si>
  <si>
    <t>A supramolecular light‚Äêharvesting complex from chloroplast photosystem‚ÄêII membranes</t>
  </si>
  <si>
    <t>10.1111/j.1432-1033.1992.tb16640.x</t>
  </si>
  <si>
    <t>2-s2.0-0026541431</t>
  </si>
  <si>
    <t>['‚ äìiv', 'wiley blackwell', 'single apoprotein', 'rights reserved', 'reaction centre', 'native photosystem', 'made possible', 'lhci type', 'internal sequence', 'heterodimer composed', 'genes coding', 'four types', 'four proteins', 'four apoproteins', 'complex showed', 'barley photosystem', 'b proteins', '25 kda']</t>
  </si>
  <si>
    <t>The light‚Äêharvesting antenna of barley photosystem I (LHCI) was isolated from native photosystem I (PSI) complexes and fractionated into three pigment‚Äêprotein subcomplexes using two consecutive rounds of green gel electrophoresis. Each complex showed a characteristic polypeptide composition and low‚Äêtemperature fluorescence emission spectrum; they were designated as LHCI‚Äê730, LHCI‚Äê680A and LHCI‚Äê680B. Their four apoproteins of 21, 22, 23 and 25 kDa were purified and NH2‚Äêterminal sequences were determined; in the case of the NH2‚Äêterminally blocked 25‚ÄêkDa protein, an internal sequence was obtained after cleavage with endoproteinase Lys‚ÄêC. This made possible an assignment of the four proteins to the four types (I‚ÄìIV) of genes coding for chlorophyll a/b proteins of PSI (cab or lha genes). The LHCI‚Äê730 complex was isolated as a heterodimer composed of the 21‚ÄêkDa (LHCI type IV) and the 22‚ÄêkDa (LHCI type I) polypeptides. Each LHCI‚Äê680 complex had a single apoprotein. LHCI‚Äê680A consisted of the 25‚ÄêkDa (LHCI type III) and LHCI‚Äê680B of the 23‚ÄêkDa (LHCI type II) polypeptides. LHCI‚Äê680B was associated with the non‚Äêpigmented PSI‚ÄêE subunit, indicating that this protein may function in the binding of this antenna to the reaction centre. Copyright ¬© 1992, Wiley Blackwell. All rights reserved</t>
  </si>
  <si>
    <t>209-215</t>
  </si>
  <si>
    <t>60019782;60019782;60019782</t>
  </si>
  <si>
    <t>6602072663;7103286529;7402414929</t>
  </si>
  <si>
    <t>KNOETZEL, J√ºrgen;SVENDSEN, Ib;SIMPSON, David John</t>
  </si>
  <si>
    <t>Denmark</t>
  </si>
  <si>
    <t>Copenhagen</t>
  </si>
  <si>
    <t>Carlsberg Research Center</t>
  </si>
  <si>
    <t>KNOETZEL J.</t>
  </si>
  <si>
    <t>Identification of the photosystem I antenna polypeptides in barley: Isolation of three pigment‚Äêbinding antenna complexes</t>
  </si>
  <si>
    <t>10.1111/j.1432-1033.1992.tb16918.x</t>
  </si>
  <si>
    <t>2-s2.0-0026547754</t>
  </si>
  <si>
    <t>['topographical representation', 'spiny lobster', 'serially arranged', 'sensory afferents', 'previously thought', 'novel pathway', 'morphological findings', 'mechanosensory input', 'largely statocyst', 'lan arborize', 'dorsal divisions', 'consistent pattern', 'chemosensory input', 'central arborization', 'antennule contribute', 'antennular nerve', 'afferents projecting']</t>
  </si>
  <si>
    <t>afferents | antennules | biocytin | brain | central projections | chemoreception | crustacean | lobster | mechanoreception</t>
  </si>
  <si>
    <t>The organization of sensory afferents in the antennular nerve (AN) of the spiny lobster and the central arborization of the afferents in the lateral and medial antennular neuropils (LAN, MAN) were analyzed by backfilling the AN with biocytin. The MAN receives primarily thick afferents (diameter ‚â• 10 Œºm) with a consistent pattern of arborization from the medial of the three major divisions of the AN. The LAN, in contrast, receives many thin to medium‚Äêsized afferents (diameter ‚â§ 0.3‚Äì5 Œºm), in addition some with diameters ‚â• 5 Œºm, from the lateral and dorsal divisions of the AN. In contrast to the consistent pattern of arborization in the MAN, afferents projecting to the LAN arborize in widely different patterns. Serially arranged, orthogonal side branches that are suggestive of topographical representation of the serially arranged sensilla on the antennule contribute to the stratification of the LAN. Together with existing electrophysiological data, these morphological findings are consistent with the idea that the MAN receives primarily mechanosensory (largely statocyst) input, as previously thought, but that the LAN receives chemosensory as well as mechanosensory input. The chemosensory input to the LAN would represent a novel pathway for processing chemosensory input from the antennule. Copyright ¬© 1992 Wiley‚ÄêLiss, Inc.</t>
  </si>
  <si>
    <t>277-290</t>
  </si>
  <si>
    <t>Journal of Comparative Neurology</t>
  </si>
  <si>
    <t>60013959;60013959;60013959</t>
  </si>
  <si>
    <t>35590709300;6506816406;7006343779</t>
  </si>
  <si>
    <t>Schmidt, Manfred;Van Ekeris, Leslie;Ache, Barry W.</t>
  </si>
  <si>
    <t>Gainesville</t>
  </si>
  <si>
    <t>University of Florida</t>
  </si>
  <si>
    <t>Schmidt M.</t>
  </si>
  <si>
    <t>Antennular projections to the midbrain of the spiny lobster. I. Sensory innervation of the lateral and medial antennular neuropils</t>
  </si>
  <si>
    <t>10.1002/cne.903180305</t>
  </si>
  <si>
    <t>2-s2.0-0026548050</t>
  </si>
  <si>
    <t>['thin afferents', 'strictly uniglomerular', 'spiny lobster', 'smaller number', 'single glomeruli', 'selectively terminate', 'results suggest', 'projection pattern', 'panulirus argus', 'olfactory sensilla', 'olfactory lobe', 'olfactory afferents', 'ol innervation', 'multiple glomeruli', 'may provide', 'likely mechanosensory', 'lateral division', 'innermost part', 'glomerular cortex', 'functionally significant', 'fine processes', 'evolutionary correlate', 'dense plexus', 'completely envelops', 'columnar organization', 'columnar glomeruli', 'backfilling axons', 'antennular nerve', 'afferents project', 'aesthetascs ),']</t>
  </si>
  <si>
    <t>afferents | antennules | biocytin | brain | central projections | crustacean | glomeruli | lobster | olfaction</t>
  </si>
  <si>
    <t>The projection pattern of antennular sensory afferents in the olfactory lobe (OL) of the spiny lobster, Panulirus argus, was examined by backfilling axons in the antennular nerve (AN) with biocytin. Thin, presumptive olfactory afferents from the lateral division of the AN form a tract in the brain that diverges into a dense plexus that completely envelops the glomerular cortex of the OL. Most of the thin (diameter ‚â§ 0.3‚Äì1 Œºm) afferents project to single glomeruli. About 10% of the thin afferents, however, branch in the plexus and project to multiple glomeruli. A smaller number of medium‚Äêsized to thick (diameter 2‚Äì10 Œºm), presumably mechanosensory, afferents also innervate the OL and co‚Äêproject to multiple glomeruli with the thin afferents. Afferents arborize profusely within the columnar glomeruli into very fine processes that penetrate to the base of the columns, but selectively terminate in either the cap/subcap region‚Äêor in the innermost part of the base of the columns, often with conspicuous terminal boutons, forming two distinct regions of presumptive synaptic output. These results suggest that 1) The majority of the OL innervation is provided by olfactory sensilla (aesthetascs), but that other types of sensilla provide additional, likely mechanosensory, input to the OL. 2) The projection of olfactory afferents is not strictly uniglomerular. 3) The columnar organization of crustacean olfactory glomeruli is functionally significant and may provide an evolutionary correlate of the recently proposed subdivision of the vertebrate olfactory bulb into ‚Äúfunctional columns‚Äù. Copyright ¬© 1992 Wiley‚ÄêLiss, Inc.</t>
  </si>
  <si>
    <t>291-303</t>
  </si>
  <si>
    <t>60013959;60013959</t>
  </si>
  <si>
    <t>35590709300;7006343779</t>
  </si>
  <si>
    <t>Schmidt, Manfred;Ache, Barry W.</t>
  </si>
  <si>
    <t>Antennular projections to the midbrain of the spiny lobster. II. Sensory innervation of the olfactory lobe</t>
  </si>
  <si>
    <t>10.1002/cne.903180306</t>
  </si>
  <si>
    <t>2-s2.0-0026552520</t>
  </si>
  <si>
    <t>['visible response', 'undepleted animals', 'trials necessary', 'therefore propose', 'sugar water', 'stimulus strength', 'state dependence', 'spike discharge', 'separate process', 'satiation level', 'satiated animals', 'responsive animals', 'response decrement', 'response compared', 'reserpine abolished', 'reflex pathways', 'reduced responsiveness', 'recording extracellularly', 'proboscis movement', 'proboscis extension', 'one hemisphere', 'nervous system', 'muscle involved', 'initial response', 'immunocytochemical investigations', 'habituation could', 'feeding behavior', 'contralateral hemisphere', 'contralateral antenna', 'appetitive component', 'acetylcholine esterase']</t>
  </si>
  <si>
    <t>1. The proboscis extension reflex is an appetitive component of the bee's feeding behavior that is elicited by touching one antenna with a droplet of sugar water. Repetitive stimulation leads to a decrement and finally to the disappearance of the response, which can be restored by stimulating the contralateral antenna. This behavioral plasticity conforms to essential parametric characteristics for habituation. 2. The response was quantified by recording extracellularly from a muscle involved in proboscis movement, by measuring the duration of the proboscis extension, or by determining the number of trials necessary to abolish any visible response. 3. Because habituation was restricted to the repetitively stimulated antenna and did not generalize to the contralateral hemisphere, the neural circuits mediating habituation may be confined to one hemisphere. 4. State dependence of habituation could be demonstrated by showing that hungry animals exhibited a smaller response decrement and required more trials until disappearance of the response compared with satiated animals. The initial response and the subsequent response decrement are separate components determined by satiation level and stimulus strength. 5. Depleting the nervous system of monoamines by the use of reserpine abolished the reflex in 30% of the animals and reduced responsiveness in the remainder. Injection of octopamine or its metabolic precursor tyramine restored the reflex in reserpinized unresponsive animals, and tyramine also enhanced the muscle-spike discharge of reserpinized, responsive animals. In undepleted animals, tyramine application also accelerated the rate of habituation of the reflex. We therefore propose that octopaminergic neurons participate in mediating food arousal and the state dependence of habituation and, in a separate process, influence the response decrement during habituation. 6. Application of an acetylcholine esterase (AChE) inhibitor and a cholinergic receptor blocker confirmed histochemical data that implicate cholinergic transmission in the reflex pathways. 7. The combined pharmacological dissection of the reflex and immunocytochemical investigations of its chemical architecture provide evidence that the proboscis extension reflex is mediated by nonaminergic and monoaminergic pathways operating in parallel.</t>
  </si>
  <si>
    <t>588-598</t>
  </si>
  <si>
    <t>Journal of Neurophysiology</t>
  </si>
  <si>
    <t>60014439;60014439</t>
  </si>
  <si>
    <t>7101624519;7006119207</t>
  </si>
  <si>
    <t>Braun, G.;Bicker, G.</t>
  </si>
  <si>
    <t>Davis</t>
  </si>
  <si>
    <t>University of California, Davis</t>
  </si>
  <si>
    <t>Braun G.</t>
  </si>
  <si>
    <t>Habituation of an appetitive reflex in the honeybee</t>
  </si>
  <si>
    <t>10.1152/jn.1992.67.3.588</t>
  </si>
  <si>
    <t>2-s2.0-0026559502</t>
  </si>
  <si>
    <t>['tyrosine residues', 'specific mutants', 'specific mutagenesis1', 'rhodobacter sphaeroides', 'results suggest', 'protein interactions', 'poorly understood', 'pigments absorbing', 'pigment absorption', 'peripheral light', 'one kind', 'migrates energetically', 'light energy', 'harvesting complex', 'excited state', "downhill '.", 'directed mutagenesis', 'constructing single', 'close approach', 'clear correlation', 'chlorophyll molecule', 'aromatic residues', 'antenna system', 'antenna polypeptides', 'absorbing species', 'absorbance behaviour', '77 k', '24 nm']</t>
  </si>
  <si>
    <t>LIGHT energy for photosynthesis is collected by the antenna system, creating an excited state which migrates energetically 'downhill'. To achieve efficient migration of energy the antenna is populated with a series of pigments absorbing at progressively redshifted wavelengths. This variety in absorbing species in vivo has been created in a biosynthetically economical fashion by modulating the absorbance behaviour of one kind of (bacterio)chlorophyll molecule. This modulation is poorly understood but has been ascribed to pigment-pigment and pigment-protein interactions. We have examined the relationship between aromatic residues in antenna polypeptides and pigment absorption, by studying the effects of site-directed mutagenesis on a bacterial antenna complex. A clear correlation was observed between the absorbance of bacteriochlorophyll a and the presence of two tyrosine residues, Œ±Tyr44 and Œ±Tyr45, in the a subunit of the peripheral light-harvesting complex of Rhodobacter sphaeroides, a purple photosynthetic bacterium that provides a well characterized system for site-specific mutagenesis1-3. By constructing single (Œ±Tyr44,Œ±Tyr45-‚Üí;PheTyr) and then double (Œ±Tyr44, Œ±Tyr45‚ÜíPheLeu) site-specific mutants, the absorbance of bacteriochlorophyll was blueshifted by 11 and 24 nm at 77 K, respectively. The results suggest that there is a close approach of tyrosine residues to bacteriochlorophyll, and that this proximity may promote redshifts in vivo. ¬© 1992 Nature Publishing Group.</t>
  </si>
  <si>
    <t>848-850</t>
  </si>
  <si>
    <t>Nature</t>
  </si>
  <si>
    <t>60001881;60008734;60001881;60008734;60001881</t>
  </si>
  <si>
    <t>7103071035;7004878962;6507947130;35599806700;13105070700</t>
  </si>
  <si>
    <t>Fowler, G. J.S.;Visschers, R. W.;Grief, G. G.;Van Grondelle, R.;Hunter, C. N.</t>
  </si>
  <si>
    <t>Netherlands;United Kingdom</t>
  </si>
  <si>
    <t>Amsterdam;Sheffield</t>
  </si>
  <si>
    <t>Vrije Universiteit Amsterdam;The University of Sheffield</t>
  </si>
  <si>
    <t>60008734;60001881</t>
  </si>
  <si>
    <t>Fowler G.</t>
  </si>
  <si>
    <t>Genetically modified photosynthetic antenna complexes with blueshifted absorbance bands</t>
  </si>
  <si>
    <t>10.1038/355848a0</t>
  </si>
  <si>
    <t>2-s2.0-0026565422</t>
  </si>
  <si>
    <t>['triantennary nonasaccharides', 'structures elucidated', 'structural assignments', 'smaller fragments', 'physical techniques', 'phosphorylethanolamine substitution', 'lipopolysaccharide obtained', 'enzymatic procedures', 'dimensional modes', 'different patterns', 'combined chemical', 'column chromatography', 'also degraded']</t>
  </si>
  <si>
    <t>Three different oligosaccharides were identified following mild acid hydrolysis of the lipopolysaccharide obtained from Neisseria meningitidis serotype 2 and their structures elucidated by combined chemical and physical techniques. The use of 500 MHz 1H nmr in both one- and two-dimensional modes as well as nuclear Overhauser effect experiments were employed. To assist in the structural assignments the oligosaccharides were also degraded by chemical and enzymatic procedures to smaller fragments. The oligosaccharides were all triantennary nonasaccharides in which the longest antenna terminates in lacto-N-neotetraose. Two of the nonasaccharides (major components), not separable by column chromatography, were distinguishable only by their different patterns of phosphorylethanolamine substitution and the third minor component by the absence of this substituent.</t>
  </si>
  <si>
    <t>922-925</t>
  </si>
  <si>
    <t>Journal of Biological Chemistry</t>
  </si>
  <si>
    <t>60009839;60009839;60009839;60009839;60009839</t>
  </si>
  <si>
    <t>7006609635;6602727783;57202051696;7103345649;7101854591</t>
  </si>
  <si>
    <t>Gamian, A.;Beurret, M.;Michon, F.;Brisson, J. R.;Jennings, H. J.</t>
  </si>
  <si>
    <t>Ottawa ON,</t>
  </si>
  <si>
    <t>National Research Council Canada</t>
  </si>
  <si>
    <t>Gamian A.</t>
  </si>
  <si>
    <t>Structure of the L2 lipopolysaccharide core oligosaccharides of Neisseria meningitidis</t>
  </si>
  <si>
    <t>2-s2.0-0026570941</t>
  </si>
  <si>
    <t>['¬© 1992', 'two antennae', 'torsional angles', 'three linkages', 'structure evolved', 'simulation conditions', 'rigid one', 'ray diffraction', 'previously described', 'phase transition', 'oriented perpendicularly', 'linked glycans', 'lactosaminic type', 'glycosidic linkages', 'contrary direction', 'conformational flexibility', 'asymmetric conformation', 'angle psi', '83 ps', '60 ¬∞.', '60 ¬∞', '200 ps', '180 ¬∞.', '150 ps']</t>
  </si>
  <si>
    <t>dynamics simulations | glycan conformation | N-acetyllactosamine type</t>
  </si>
  <si>
    <t>Molecular dynamics simulations were carried out to explore the conformational flexibility of the antennae of N-linked glycans. They were performed over 200 ps in vacuo on the complete disialylated monofucosylated biantennary glycan of the N-acetyl-lactosaminic type. Starting from a bird-conformation, the 3-D-structure evolved through 9 successive transitional states to a new, compact and energetically favorable conformation which had never been previously described. In this conformation, both antennae are organized in two coplanar loops rolled in a contrary direction and oriented perpendicularly to the plane of the di-N-acetyl chitobiose residue leading to a 'lobster conformation'. All the glycosidic linkages of the disialylated monofucosylated biantennary glycan, except the Fuc(Œ±1-6)GlcNAc(Œ≤1-), were modified by a phase transition. Particularly, the Man(Œ≤1-4) GlcNAc(Œ≤1-) linkage, which was previously described by NMR and X-ray diffraction as a rigid one, was involved in numerous conformational changes during 83 ps, even before the first transition phase. The freedom of mobility of the torsional angles of the Man(Œ±1-6)Man(Œ≤1-) linkage was limited, under these simulation conditions, to the angle psi which took three values: 30¬∞, 90¬∞ and 180¬∞. Moreover, from 150 ps up to the end of the simulation, the value of the torsional angle omega of the NeuAc(Œ±2-6)Gal(Œ≤1-) linkage of the Œ±-1,6-antenna continuously swung between 60¬∞ and -60¬∞. Finally, we observed that the values of the torsional angles of the three linkages: NeuAc(Œ±2-6)Gal(Œ≤1-), Gal(Œ≤1-4)GlcNAc(Œ≤1-) and GlcNAc(Œ≤1-2)Man(Œ≤1-) of each of the two antennae were different, demonstrating their asymmetric conformation. ¬© 1992.</t>
  </si>
  <si>
    <t>63-74</t>
  </si>
  <si>
    <t>Biochimie</t>
  </si>
  <si>
    <t>60000905;60104298;60104298;60104298;60000905</t>
  </si>
  <si>
    <t>6602002957;7006083608;56377616100;7006843431;55410533100</t>
  </si>
  <si>
    <t>Dauchez, M.;Mazurier, J.;Montreuil, J.;Spik, G.;Vergoten, G.</t>
  </si>
  <si>
    <t>Villeneuve-d'Ascq;Paris</t>
  </si>
  <si>
    <t>Unit√© de Glycobiologie Structurale et Fonctionnelle (UGSF);Inserm</t>
  </si>
  <si>
    <t>60104298;60000905</t>
  </si>
  <si>
    <t>Dauchez M.</t>
  </si>
  <si>
    <t>Molecular dynamics simulations of a monofucosylated biantennary glycan of the N-acetyllactosamine type: the human lactotransferrin glycan</t>
  </si>
  <si>
    <t>0300-9084(92)90185-H</t>
  </si>
  <si>
    <t>10.1016/0300-9084(92)90185-H</t>
  </si>
  <si>
    <t>2-s2.0-0026573501</t>
  </si>
  <si>
    <t>Vetenskapsr√•det</t>
  </si>
  <si>
    <t>VR</t>
  </si>
  <si>
    <t>['¬© 1992', 'upon excitation', 'transfer steps', 'spectrally heterogeneous', 'slow channel', 'slow 35', 'rights reserved', 'ps component', 'predominantly excited', 'pigment b896', 'observed kinetics', 'observed excited', 'moment unclear', 'mainly excited', 'limiting step', 'lh1 takes', 'large number', 'fast path', 'fast channel', 'excitations originating', 'excitations follow', 'excitation wavelength', 'energy transport', 'biophysical society', 'b850 pigment', 'b850 heterogeneity', '9 ps', '35 ps']</t>
  </si>
  <si>
    <t>Using low intensity picosecond absorption spectroscopy with independently tunable excitation and probing infrared pulses, we have studied the pathways of energy transport through the light-harvesting antenna pigments of the photosynthetic purple bacterium Rhodobacter sphaeroides. From the observed excited-state rise time of the red-most pigment B896 as a function of excitation wavelength it is concluded that the B850 pigment of LH2 is spectrally heterogeneous. For excitations originating in the B850 pigment this results in a fast channel (9 ps) that is mainly excited in the peak of the B850 absorption band, and a slow channel (35 ps) that is predominantly excited at ‚àº840 nm. Upon excitation of B800, more than 90% of the excitations follow the fast path. From the observed kinetics it is concluded that the majority of the LH2 ‚Üí LH1 energy transfer takes place within at most a few picoseconds. The rate-limiting step in the whole energy transfer sequence appears to be the B896 ‚Üí reaction center transfer. The origin of the B850 heterogeneity and the slow 35-ps component is at the moment unclear. Possibly it represents a highly extended form of LH2 in which transfer to LH1 takes a relatively long time, due to a large number of transfer steps. ¬© 1992, The Biophysical Society. All rights reserved.</t>
  </si>
  <si>
    <t>911-920</t>
  </si>
  <si>
    <t>Biophysical Journal</t>
  </si>
  <si>
    <t>60031040;60031040;60031040</t>
  </si>
  <si>
    <t>7404969243;35599806700;7006706612</t>
  </si>
  <si>
    <t>Zhang, Fu Geng;van Grondelle, Rienk;Sundstr√∂m, Villy</t>
  </si>
  <si>
    <t>Sweden</t>
  </si>
  <si>
    <t>Umea</t>
  </si>
  <si>
    <t>Ume√• Universitet</t>
  </si>
  <si>
    <t>Zhang F.G.</t>
  </si>
  <si>
    <t>Pathways of energy flow through the light-harvesting antenna of the photosynthetic purple bacterium rhodobacter sphaeroides</t>
  </si>
  <si>
    <t>S0006349592818982</t>
  </si>
  <si>
    <t>10.1016/S0006-3495(92)81898-2</t>
  </si>
  <si>
    <t>2-s2.0-0026577706</t>
  </si>
  <si>
    <t>Swedish Insitute</t>
  </si>
  <si>
    <t>SI</t>
  </si>
  <si>
    <t>['¬© 1992', 'walk model', 'viridis membranes', 'strict requirements', 'spectrally homogeneous', 'rps .)', 'room temperature', 'rights reserved', 'reaction center', 'rc coupling', 'rb .)', 'p +,', 'lifetime reflects', 'harvesting antenna', 'experimental results', 'exciton lifetime', 'excitation energy', 'energy transfer', 'biophysical society', 'approximately 0', '77 k']</t>
  </si>
  <si>
    <t>By low intensity picosecond absorption spectroscopy it is shown that the exciton lifetime in the light-harvesting antenna of Rhodopseudomonas (Rps.) viridis membranes with photochemically active reaction centers at room temperature is 60 +/- 10 ps. This lifetime reflects the overall trapping rate of the excitation energy by the reaction center. With photochemically inactive reaction centers, in the presence of P+, the exciton lifetime increases to 150 +/- 15 ps. Prereducing the secondary electron acceptor QA does not prevent primary charge separation, but slows it down from 60 to 90 +/- 10 ps. Picosecond kinetics measured at 77 K with inactive reaction centers indicates that the light-harvesting antenna is spectrally homogeneous. Picosecond absorption anisotropy measurements show that energy transfer between identical Bchlb molecules occurs on the subpicosecond time scale. Using these experimental results as input to a random-walk model, results in strict requirements for the antenna-RC coupling. The model analysis prescribes fast trapping (approximately 1 ps) and an approximately 0.5 escape probability from the reaction center, which requires a more tightly coupled RC and antenna, as compared with the Bchla-containing bacteria Rhodospirillum (R.) rubrum and Rhodobacter (Rb.) sphaeroides. ¬© 1992, The Biophysical Society. All rights reserved.</t>
  </si>
  <si>
    <t>694-703</t>
  </si>
  <si>
    <t>60031040;60031040;60031040;60031040</t>
  </si>
  <si>
    <t>7404969243;7004029175;35599806700;7006706612</t>
  </si>
  <si>
    <t>Zhang, F. G.;Gillbro, T.;van Grondelle, R.;Sundstr√∂m, V.</t>
  </si>
  <si>
    <t>Dynamics of energy transfer and trapping in the light-harvesting antenna of Rhodopseudomonas viridis</t>
  </si>
  <si>
    <t>S000634959281874X</t>
  </si>
  <si>
    <t>10.1016/S0006-3495(92)81874-X</t>
  </si>
  <si>
    <t>2-s2.0-0026580831</t>
  </si>
  <si>
    <t>National Institute of General Medical Sciences</t>
  </si>
  <si>
    <t>R01GM024299</t>
  </si>
  <si>
    <t>NIGMS</t>
  </si>
  <si>
    <t>['terminal region', 'significant portion', 'protein showed', 'process yielding', 'pb may', 'pb function', 'partially dispensable', 'murine hox', 'mammalian homologs', 'identified based', 'human hox', 'gene structure', 'conserved motifs', 'antisera directed', 'alternative splicing', 'adult mouthparts']</t>
  </si>
  <si>
    <t>Alternative splicing | Antennapedia complex | Evolutionary conservation | Homeobox | Homeodomain</t>
  </si>
  <si>
    <t>Mutations of the homeotic gene proboscipedia (pb) of Drosophila cause striking transformations of the adult mouthparts, to legs or antennae. We report here an analysis of the gene structure of pb. Coding sequences across a 34kb interval yield, by alternative splicing, four identified mRNA forms which differ immediately upstream of the homeobox. As a consequence, the homeodomain is expected to reside in four different contexts in the predicted protein isoforms. Mammalian homologs of pb, human HOX-2H and murine Hox-2.8, were identified based on the similarities of their homeodomains (95% identity) and several other conserved motifs. Examination of a collection of pb mutant alleles with antisera directed against the N-terminal region, the center or the C-terminal region of the protein showed that, surprisingly, several partial loss-of-function pb alleles appear to generate partially functional proteins truncated at their C-termini. This suggests that a significant portion of the protein contributes quantitatively to pb function, but is partially dispensable. Finally, evolutionary considerations suggest that pb may be one of several ancient genes which preceded the process yielding the modern homeotic gene complexes.</t>
  </si>
  <si>
    <t>1437-1449</t>
  </si>
  <si>
    <t>EMBO Journal</t>
  </si>
  <si>
    <t>60021121;60021121;60021121;60021121;60021121</t>
  </si>
  <si>
    <t>7007006710;6602340018;57197153807;57201152682;35396515200</t>
  </si>
  <si>
    <t>Cribbs, D. L.;Pultz, M. A.;Johnson, D.;Mazzulla, M.;Kaufman, T. C.</t>
  </si>
  <si>
    <t>Bloomington</t>
  </si>
  <si>
    <t>Indiana University Bloomington</t>
  </si>
  <si>
    <t>Cribbs D.L.</t>
  </si>
  <si>
    <t>Structural complexity and evolutionary conservation of the Drosophila homeotic gene proboscipedia</t>
  </si>
  <si>
    <t>10.1002/j.1460-2075.1992.tb05188.x</t>
  </si>
  <si>
    <t>2-s2.0-0026585004</t>
  </si>
  <si>
    <t>['unmeasured components', 'spring populations', 'smaller eyes', 'sectional samplings', 'seasonal cross', 'reduced characters', 'parallel patterns', 'observed divergence', 'may act', 'mating success', 'larger eyes', 'larger body', 'independent invasions', 'genetic variation', 'directional selection', 'characters relative', 'cave populations', 'antennal size', 'also selection']</t>
  </si>
  <si>
    <t>The amphipod Gammarus minus is present in both caves and springs, with cave populations showing elaborated (size and antennae) and reduced (eye) characters relative to spring populations. Cave populations have resulted from independent invasions of hydrologically isolated subterranean drainages and there is genetic variation for both elaborated and reduced characters. The authors used variation in mating success and fecundity to test for the presence of directional selection on eye, antennal, and body size characters in a set of cave and spring populations during a series of seasonal cross-sectional samplings. There were significant directional selection for smaller eyes in caves and larger eyes in springs, which supports the hypothesis that selection is responsible for reduced eye size in cave populations. There was also selection for larger body and antennal size in cave populations, consistent with the hypothesis that parallel patterns of selection in caves are responsible for the elaboration of body and antennal size, but selection for larger body and antennal size in spring populations is not consistent with the observed divergence of spring and cave populations. Unmeasured components of viability selection could be more important in springs than in caves and may act against the selection for larger size found in spring populations. -from Authors</t>
  </si>
  <si>
    <t>353-365</t>
  </si>
  <si>
    <t>Evolution</t>
  </si>
  <si>
    <t>60019000;60019000;60019000</t>
  </si>
  <si>
    <t>57197987343;7006428719;7101829481</t>
  </si>
  <si>
    <t>Jones, R.;Culver, D. C.;Kane, T. C.</t>
  </si>
  <si>
    <t>St John's</t>
  </si>
  <si>
    <t>Memorial University of Newfoundland</t>
  </si>
  <si>
    <t>Jones R.</t>
  </si>
  <si>
    <t>Are parallel morphologies of cave organisms the result of similar selection pressures?</t>
  </si>
  <si>
    <t>10.1111/j.1558-5646.1992.tb02043.x</t>
  </si>
  <si>
    <t>2-s2.0-0026593622</t>
  </si>
  <si>
    <t>['¬© 1992', 'two types', 'two ps', 'two forms', 'thylakoid membranes', 'thylakoid lumen', 'results confirm', 'ps )-', 'pigment exists', 'paired thylakoids', 'molecular organization', 'marked asymmetry', 'localized along', 'lh confirmed', 'kda chlorophyll', 'isolated pe', 'ii particles', 'higher plants', 'external membranes', 'cryptomonas rufescens', 'cryptomonad thylakoids', 'c light', 'appressed membranes']</t>
  </si>
  <si>
    <t>Cryptomonas rufescens | light-harvesting protein | photosystems | phycoerythrin | thylakoids</t>
  </si>
  <si>
    <t>The molecular organization of the thylakoids of Cryptomonas rufescens was studied by immunoelectron microscopy employing antibodies against photosystem (PS)-I and two PS-II antenna proteins. The PS-I complex and the 19-kDa chlorophyll a/c light-harvesting (LH) protein are both localized along the length of the thylakoid membranes. The external membranes of the paired thylakoids are enriched in PS-I whereas the chlorophyll a/c LH protein is more concentrated in the internal or appressed membranes. However, unlike the situation in higher plants and Chlamydomonas, there is not a marked asymmetry in the concentration of PS-I and chorophyll a/c LH protein in the two types of membranes. Double labelling studies of sections and isolated PE-PS-II particles with anti-phycoerythrin and anti-LH confirmed that phycoerythrin is localized in the thylakoid lumen and that this pigment exists in two forms, a fraction closely associated with the thylakoid membranes and another fraction free in the lumen. These results confirm the uniqueness of cryptomonad thylakoids. ¬© 1992.</t>
  </si>
  <si>
    <t>187-194</t>
  </si>
  <si>
    <t>C</t>
  </si>
  <si>
    <t>Biology of the Cell</t>
  </si>
  <si>
    <t>60000179;60002494;60002494</t>
  </si>
  <si>
    <t>6603248289;35556115500;7103263756</t>
  </si>
  <si>
    <t>Lichtl√©, Christiane;McKay, R. Michael L.;Gibbs, Sarah P.</t>
  </si>
  <si>
    <t>Canada;France</t>
  </si>
  <si>
    <t>Montreal;Paris</t>
  </si>
  <si>
    <t>Universit√© McGill;√âcole Normale Sup√©rieure</t>
  </si>
  <si>
    <t>60002494;60000179</t>
  </si>
  <si>
    <t>Lichtl√© C.</t>
  </si>
  <si>
    <t>Immunogold localization of photosystem I and photosystem II light-harvesting complexes in cryptomonad thylakoids</t>
  </si>
  <si>
    <t>0248-4900(92)90024-U</t>
  </si>
  <si>
    <t>10.1016/0248-4900(92)90024-U</t>
  </si>
  <si>
    <t>2-s2.0-0026596497</t>
  </si>
  <si>
    <t>R01GM033850</t>
  </si>
  <si>
    <t>['widespread distribution', 'tail region', 'subunit mrna', 'salt gland', 'positive cells', 'mrnas encoding', 'marked drop', 'low abundance', 'likelihood due', 'less mrna', 'gut mucosa', 'greatest abundance', 'g .,', 'epidermal cells', 'distinct pattern', 'development progresses', 'development progressed', 'certain stages', 'brain region', 'antenna gland', 'adult stage', '36 hr']</t>
  </si>
  <si>
    <t>Artemia | Brine shrimp | Development | mRNA in situ hybridization | Na,K-ATPase</t>
  </si>
  <si>
    <t>We used in situ hybridization histochemistry with synthetic oligonucleotide probes to localize the mRNAs encoding the Œ±2- and Œ≤-mRNAs of Na,K-ATPase during development of the brine shrimp Artemia. The mRNAs of the Œ±2- and Œ≤-subunit were of low abundance in the cysts; in addition, less mRNA of the Œ≤-subunit was localized. During emergence (12 hr), there was an increase in Œ±2-subunit mRNA in the gut mucosa, but there was a burst in Œ≤-subunit mRNA throughout. As development progressed, the mRNAs of both the Œ±2- and Œ≤-subunits showed a distinct pattern of expression in which the mRNA in the salt gland was of greatest abundance, followed by epidermal cells and gut mucosa. After 36 hr the Œ±2-subunit mRNA began to decrease in all positive cells but still remained highest in the salt gland and the brain region, while the mRNA of the Œ≤-subunit kept increasing in the gut mucosa. Finally, the greatest abundance of the Œ≤-subunit mRNA shifted from the salt gland to the antenna gland and the epidermal cells in the tail region, but the Œ±2-subunit mRNA did not. The more widespread distribution of the Œ≤- mRNA than Œ±2-mRNA at certain stages (e.g., there was no Œ±2-mRNA in the antenna gland at the adult stage) is in all likelihood due to the marked drop in the Œ±2-subunit and a rise in Œ±1-subunit previously seen by Peterson et al. on polyacrylamide gel electrophoresis, as development progresses.</t>
  </si>
  <si>
    <t>555-562</t>
  </si>
  <si>
    <t>Journal of Histochemistry and Cytochemistry</t>
  </si>
  <si>
    <t>60025553;60025553;60025553;60025553;60025553</t>
  </si>
  <si>
    <t>57199760900;7409679967;7202625194;7102286822;7005922079</t>
  </si>
  <si>
    <t>Sun, D. Y.;Jian Zhong Guo, ;Hartmann, H. A.;Uno, H.;Hokin, L. E.</t>
  </si>
  <si>
    <t>Madison</t>
  </si>
  <si>
    <t>University of Wisconsin School of Medicine and Public Health</t>
  </si>
  <si>
    <t>Sun D.Y.</t>
  </si>
  <si>
    <t>Differential expression of the alpha&lt;inf&gt;2&lt;/inf&gt; and beta messenger RNAs of Na,K- ATPase in developing brine shrimp as measured by in situ hybridization</t>
  </si>
  <si>
    <t>10.1177/40.4.1313064</t>
  </si>
  <si>
    <t>2-s2.0-0026605231</t>
  </si>
  <si>
    <t>GM 14458-01</t>
  </si>
  <si>
    <t>['¬© 1992', 'various kinds', 'temperature dependence', 'tau 1', 'structural organization', 'spectral lineshapes', 'spectral inhomogeneity', 'short component', 'rights reserved', 'resolved measurements', 'random model', 'psi particles', 'psi ).', 'observed experimentally', 'mutant strain', 'model systems', 'lhc proteins', 'largely attributed', 'includes one', 'included explicitly', 'funnel arrangements', 'core complex', 'chlamydomonas reinhardtii', 'biophysical society', 'antenna arrangements']</t>
  </si>
  <si>
    <t>The fluorescence decay kinetics of the photosystem I-only mutant strain of Chlamydomonas reinhardtii, A4d, are used to study energy transfer and structural organization in photosystem I (PSI). Time-resolved measurements over a wide temperature range (36‚Äì295 K) have been made both on cells containing approximately 65 core chl a/P700 and an additional 60‚Äì70 chl a + b from LHC proteins and on PSI particles containing 40‚Äì50 chl a/P700. In each case, the fluorescence decay kinetics is dominated by a short component, tau 1 which is largely attributed to the lifetime of the excitations in the core complex. The results are discussed in terms of simulations of the temperature dependence of tau 1 in model systems. Spectral inhomogeneity and the temperature dependence of the spectral lineshapes are included explicitly in the simulations. Various kinds of antenna arrangements are modeled with and without the inclusion of pigments with lower absorption energies than the trap (red pigments). We conclude that funnel arrangements are not consistent with our measurements. A random model that includes one or two red pigments placed close to the trap shows temperature and wavelength dependence similar to that observed experimentally. A comparison of the temperature dependence of tau 1 for cells and PSI particles is included. ¬© 1992, The Biophysical Society. All rights reserved.</t>
  </si>
  <si>
    <t>868-878</t>
  </si>
  <si>
    <t>60029278;60029278;60029278;60029278</t>
  </si>
  <si>
    <t>57202729085;7401503719;6701820953;36936627600</t>
  </si>
  <si>
    <t>Werst, M.;Jia, Y.;Mets, L.;Fleming, G. R.</t>
  </si>
  <si>
    <t>Chicago</t>
  </si>
  <si>
    <t>The University of Chicago</t>
  </si>
  <si>
    <t>Werst M.</t>
  </si>
  <si>
    <t>Energy transfer and trapping in the photosystem I core antenna. A temperature study</t>
  </si>
  <si>
    <t>S0006349592818945</t>
  </si>
  <si>
    <t>10.1016/S0006-3495(92)81894-5</t>
  </si>
  <si>
    <t>2-s2.0-0026605520</t>
  </si>
  <si>
    <t>['temperature range', 'solid state', 'pressing one', 'phase transition', 'microwave energy', 'fatty tissues', 'experiment provides', 'error caused', 'dielectric properties', 'contact antennas', 'circuit method', 'aided diagnosis']</t>
  </si>
  <si>
    <t>Since the employment of microwave energy for defrosting biological tissues and for microwave-aided diagnosis in cryosurgery is very promising, the problem of ensuring the match between the contact antennas (applicators) and the frozen biological object has become a pressing one. It is for this reason that investigations were aimed at the study of the dielectric properties of the dog's muscular and fatty tissues in a temperature range of +20 to -30¬∞C including the phase transition of the samples to the solid state. The investigations were performed in a waveguide device using a short-circuit method. During the investigation possible error was estimated. The experiment provides for the reduction of the error caused by the waveguide linear expansion.</t>
  </si>
  <si>
    <t>Medical Progress through Technology</t>
  </si>
  <si>
    <t>;;</t>
  </si>
  <si>
    <t>6701729525;6701758997;57196623218</t>
  </si>
  <si>
    <t>Poletaev, L. I.;Makeev, Y. V.;Mikhailov, V. A.</t>
  </si>
  <si>
    <t>Poletaev L.</t>
  </si>
  <si>
    <t>Testing of dielectric properties of biological tissues in microwave range for solving matching problems</t>
  </si>
  <si>
    <t>2-s2.0-0026609350</t>
  </si>
  <si>
    <t>['wiley blackwell', 'rights reserved', 'model system', 'mg2 +,', 'material containing', 'light intensity', 'light harvesting', 'implying effects', 'electron transport', 'also observed']</t>
  </si>
  <si>
    <t>A material containing only photosystem I (PSI) and the chlorophyll‚Äêa/b‚Äêbinding light‚Äêharvesting complex of PSII (LHC‚ÄêII) has been isolated from the chloroplast thylakoid membrane by solubilization with Triton X‚Äê100. Fluorescence spectroscopy shows that, within the material, LHC‚ÄêII is coupled to PSI for excitation‚Äêenergy transfer and that this coupling is decreased by the presence of Mg2+, which also decreased PSI electron transport specifically at limiting light intensity. Inclusion of phosphorylated LHC‚ÄêII within the material did not alter its structure, but gave decreased energy transfer to PSI and inhibition of electron transport which was independent of light intensity, implying effects of phosphorylation on both light harvesting and directly on electron transport. Inclusion of Mg2+ within the phosphorylated material gave decreased energy transfer, but slightly increased PSI electron transport. A cation‚Äêinduced direct promotion of PSI electron transport was also observed in isolated PSI particles. The PSI/LHC‚ÄêII material represents a model system for examining protein interactions during light‚Äêstate adaptations and the possibility that LHC‚ÄêII can contribute to the antenna of PSI in light state 2 in vivo is discussed. Copyright ¬© 1992, Wiley Blackwell. All rights reserved</t>
  </si>
  <si>
    <t>1107-1114</t>
  </si>
  <si>
    <t>60012070;60012070</t>
  </si>
  <si>
    <t>7401595128;7406421287</t>
  </si>
  <si>
    <t>HARRISON, Michael A.;ALLEN, John F.</t>
  </si>
  <si>
    <t>Leeds</t>
  </si>
  <si>
    <t>University of Leeds</t>
  </si>
  <si>
    <t>HARRISON M.</t>
  </si>
  <si>
    <t>Protein phosphorylation and Mg&lt;sup&gt;2+&lt;/sup&gt; influence light harvesting and electron transport in chloroplast thylakoid membrane material containing only the chlorophyll‚Äêa/b‚Äêbinding light‚Äêharvesting complex of photosystem II and photosystem I</t>
  </si>
  <si>
    <t>10.1111/j.1432-1033.1992.tb16735.x</t>
  </si>
  <si>
    <t>2-s2.0-0026611199</t>
  </si>
  <si>
    <t>['topics included', 'paper presents', 'paper emphasizes', 'one presentation', 'mechanical aspects', 'corporate feeds', 'architecture includes', 'abbreviated view']</t>
  </si>
  <si>
    <t>This paper presents an abbreviated view of the topics included in modern array architecture. Too broad for any one presentation, the subject of architecture includes all the electromagnetic, thermal, and mechanical aspects that need to be addressed by the array design team. This paper emphasizes the interaction between the selection of an array aperture organization, corporate feeds, devices and elements, and includes as example a discussion of EHF monolithic array architecture. ¬© 1992 IEEE</t>
  </si>
  <si>
    <t>163-172</t>
  </si>
  <si>
    <t>Mailloux, Robert J.</t>
  </si>
  <si>
    <t>Hanscom AFB</t>
  </si>
  <si>
    <t>Mailloux R.J.</t>
  </si>
  <si>
    <t>Antenna Array Architecture</t>
  </si>
  <si>
    <t>10.1109/5.119575</t>
  </si>
  <si>
    <t>2-s2.0-0026622281</t>
  </si>
  <si>
    <t>['¬© 1992', 'various elements', 'system broad', 'respective points', 'planar array', 'fed ),', 'desirable feature', 'corresponding model', 'corresponding element']</t>
  </si>
  <si>
    <t>A procedure is presented for positioning the various elements of a phased array antenna system preserving the "equal path length" characteristic. This antenna system consists of one horn illuminating a planar array (which is space-fed), each element of which is connected through an amplifier to the corresponding element of a radiating planar array. The objective is to make the total path length from the horn to any element of the radiating array via the respective points just described the same for all such elements. This is a desirable feature for making the system broad-band. An example is given and a corresponding model having the equal path length characteristic is built. ¬© 1992.</t>
  </si>
  <si>
    <t>37-44</t>
  </si>
  <si>
    <t>Journal of the Franklin Institute</t>
  </si>
  <si>
    <t>Samaddar, S. N.</t>
  </si>
  <si>
    <t>Washington, D.C.</t>
  </si>
  <si>
    <t>Naval Research Laboratory</t>
  </si>
  <si>
    <t>Samaddar S.N.</t>
  </si>
  <si>
    <t>Equal path length design for a phased array antenna system</t>
  </si>
  <si>
    <t>0016-0032(92)90094-W</t>
  </si>
  <si>
    <t>10.1016/0016-0032(92)90094-W</t>
  </si>
  <si>
    <t>2-s2.0-0026622503</t>
  </si>
  <si>
    <t>['thin cavities', 'stop regions', 'spiral antennas', 'size relative', 'respond simultaneously', 'provides procedures', 'profile antennas', 'principles used', 'practical success', 'may arise', 'lp antennas', 'independent antennas', 'dipole arrays', 'conical log', 'circular polarizations', 'analytical results', 'additional requirements', 'active region']</t>
  </si>
  <si>
    <t>The principles used in the development of frequency-independent antennas are reviewed. Examples of log-periodic (LP) geometry and the additional requirements that must be met for practical success are given. The evolution of unidirectional, wire-outline, and dipole arrays is presented. Analytical results for log-periodic dipole arrays led to the concept of an active region that remains almost fixed in size relative to the wavelength. Periodic structure theory serves as an aid to understanding LP structures. The analysis of periodically loaded lines shows the problems that may arise from the existence of stop regions on LP antennas, and provides procedures for eliminating them. This has led to successful LP monopole and cavity-backed slot arrays. Planar and conical log-spiral antennas are discussed. Frequency-independent, circularly polarized patterns; bidirectional, unidirectional, omnidirectional, and conical, can be provided from log-spiral antennas with two or more arms. Recently, the log-periodic design principles have been applied to low-profile antennas: patches, thin cavities, and spirals over ground. They have also produced flush-mounted aircraft antennas that can respond simultaneously to two different linear or circular polarizations. ¬© 1992 IEEE</t>
  </si>
  <si>
    <t>103-112</t>
  </si>
  <si>
    <t>Mayes, Paul E.</t>
  </si>
  <si>
    <t>Urbana</t>
  </si>
  <si>
    <t>University of Illinois Urbana-Champaign</t>
  </si>
  <si>
    <t>Mayes P.</t>
  </si>
  <si>
    <t>Frequency-Independent Antennas and Broad Band Derivatives Thereof</t>
  </si>
  <si>
    <t>10.1109/5.119570</t>
  </si>
  <si>
    <t>2-s2.0-0026623694</t>
  </si>
  <si>
    <t>['unavoidable losses', 'synthesis procedure', 'specified shapes', 'practical network', 'maximum efficiency', 'energy conservation', 'correlation matrix', 'correlation coefficients', 'beam pairs']</t>
  </si>
  <si>
    <t>The design of passive microwave circuits for the formation of simultaneous multiple beams with arbitrary but specified shapes is considered. The maximum possible efficiency is derived from energy conservation and is determined from a Hermitian matrix whose elements are the correlation coefficients between all beam pairs. The eigenfunctions of the correlation matrix are the basis of a synthesis procedure for a practical network that will achieve the maximum efficiency. Several practical examples are given where unavoidable losses are typically 1 dB or more. ¬© 1992 IEEE</t>
  </si>
  <si>
    <t>DuFort, Edward C.</t>
  </si>
  <si>
    <t>Waltham</t>
  </si>
  <si>
    <t>Raytheon</t>
  </si>
  <si>
    <t>DuFort E.</t>
  </si>
  <si>
    <t>Optimum Networks for Simultaneous Multiple Beam Antennas</t>
  </si>
  <si>
    <t>10.1109/8.123346</t>
  </si>
  <si>
    <t>2-s2.0-0026623697</t>
  </si>
  <si>
    <t>['solution significantly', 'paa calculation', 'iteration method', 'electrodynamic characteristics', 'confirmed experimentally']</t>
  </si>
  <si>
    <t>An iteration method, making it possible to speed up the solution significantly, is examined for the example of solving the problem of calculating the electrodynamic characteristics of a finite phased antenna array (PAA) of log-periodic dipole antennas. The results of the PAA calculation are confirmed experimentally.</t>
  </si>
  <si>
    <t>29-33</t>
  </si>
  <si>
    <t>Soviet journal of communications technology &amp; electronics</t>
  </si>
  <si>
    <t>Strizhkov, V. A.</t>
  </si>
  <si>
    <t>Strizhkov V.</t>
  </si>
  <si>
    <t>Numerical modeling of phased antenna array of nonsymmetrical log-periodic antennas</t>
  </si>
  <si>
    <t>2-s2.0-0026623881</t>
  </si>
  <si>
    <t>['wave propagation', 'supports leaky', 'radiation pattern', 'planar surface', 'physical surface', 'new method', 'method accounts', 'lies beyond', 'leaky wave', 'improved accuracy', 'finite radius']</t>
  </si>
  <si>
    <t>A new method is given for calculating the radiation pattern of a finite-size cylindrical leaky-wave antenna structure consisting of a single source near a planar surface that supports leaky-wave propagation. The method accounts for the finite radius of the planar surface by subtracting the radiation from that part of the leaky wave that lies beyond the physical surface, from the exact radiation pattern corresponding to an infinite planar surface. Experimental results obtained for a leaky-wave structure consisting of multiple dielectric layers above a ground plane confirm the improved accuracy of the new method, particularly for the part of the radiation pattern away from the peak. ¬© 1992 IEEE</t>
  </si>
  <si>
    <t>19-24</t>
  </si>
  <si>
    <t>60005837;60005837;60108318</t>
  </si>
  <si>
    <t>6603864302;7404289310;7005564352</t>
  </si>
  <si>
    <t>Ip, Antonio;Jackson, David R.;Oliner, Arthur A.</t>
  </si>
  <si>
    <t>New York;Houston</t>
  </si>
  <si>
    <t>NYU Tandon School of Engineering;University of Houston</t>
  </si>
  <si>
    <t>60108318;60005837</t>
  </si>
  <si>
    <t>Ip A.</t>
  </si>
  <si>
    <t>An Improved Calculation Procedure for the Radiation Pattern of a Cylindrical Leaky-Wave Antenna of Finite Size</t>
  </si>
  <si>
    <t>10.1109/8.123349</t>
  </si>
  <si>
    <t>2-s2.0-0026623932</t>
  </si>
  <si>
    <t>['theoretical predictions', 'polarization sensitivity', 'optoelectronically generated', 'optical components', 'cross dipoles']</t>
  </si>
  <si>
    <t>The broad-band microwave transmission properties of quasi-optical components are characterized with optoelectronically generated, picosesond transient radiation. The polarization sensitivity of a lithographically fabricated wire grating, from 15‚Äì140 GHz, is presented. The complex transmission functions of two different uniform arrays of cross dipoles are measured and compared with theoretical predictions. ¬© 1992 IEEE</t>
  </si>
  <si>
    <t>63-66</t>
  </si>
  <si>
    <t>60011048;60017366;60000745;60000745</t>
  </si>
  <si>
    <t>7004102516;6602459372;6701919037;55197051100</t>
  </si>
  <si>
    <t>Arjavalingam, G.;Pastol, Yvon;Epp, Larry W.;Mittra, Raj</t>
  </si>
  <si>
    <t>Yorktown Heights;Yorktown Heights;Urbana</t>
  </si>
  <si>
    <t>IBM Thomas J. Watson Research Center;IBM Research;University of Illinois Urbana-Champaign</t>
  </si>
  <si>
    <t>60017366;60011048;60000745</t>
  </si>
  <si>
    <t>Arjavalingam G.</t>
  </si>
  <si>
    <t>Characterization of Quasi-Optical Filters with Picosecond Transient Radiation</t>
  </si>
  <si>
    <t>10.1109/8.123358</t>
  </si>
  <si>
    <t>2-s2.0-0026623933</t>
  </si>
  <si>
    <t>['take advantage', 'numerical results', 'moments formulation', 'impedance matrix', 'field pattern', 'current distribution', 'additional analysis']</t>
  </si>
  <si>
    <t>A method of moments formulation for the current on arbitrarily shaped thin wires is applied to the problem of radiation and scattering from Archimedian spiral antennas. This formulation includes impedance loading along the wires. Additional analysis is performed to take advantage of structures which exhibit discrete rotational symmetry. This allows the memory storage requirements of the impedance matrix to be reduced. Numerical results for a four-arm Archimedian spiral antenna with and without impedance loading are compared, showing that the loading significantly affects the current distribution and the far-field pattern for the higher order modes. ¬© 1992 IEEE</t>
  </si>
  <si>
    <t>102-108</t>
  </si>
  <si>
    <t>60005837;60005837;60005837;60005837;60005837</t>
  </si>
  <si>
    <t>6603829914;57218985569;7202712664;57220409913;7102880539</t>
  </si>
  <si>
    <t>Champagne, Nathan J.;Williams, Jeffery T.;Sharpe, Robert M.;Hwu, Shian Uei;Wilton, Donald R.</t>
  </si>
  <si>
    <t>Houston</t>
  </si>
  <si>
    <t>University of Houston</t>
  </si>
  <si>
    <t>Champagne N.J.</t>
  </si>
  <si>
    <t>Numerical Modeling of Impedance Loaded Multi-Arm Archimedian Spiral Antennas</t>
  </si>
  <si>
    <t>10.1109/8.123365</t>
  </si>
  <si>
    <t>2-s2.0-0026623935</t>
  </si>
  <si>
    <t>['synthesis techniques', 'shaped beams', 'random errors', 'planar arrays', 'phased arrays', 'periodic linear', 'pattern analysis', 'null steering', 'major emphasis', 'conformal arrays']</t>
  </si>
  <si>
    <t>This paper outlines basic antenna array theory with major emphasis on pattern analysis and synthesis for periodic linear and planar arrays, phased arrays, and conformal arrays. Extension is made to synthesis techniques which use computer algorithms. These include arbitrary side lobe control, shaped beams, and phase-only null steering. The subjects of random errors and phased array quantization errors are outlined. ¬© 1992 IEEE</t>
  </si>
  <si>
    <t>127-140</t>
  </si>
  <si>
    <t>Kummer, Wolfgang H.</t>
  </si>
  <si>
    <t>W. H. Kummer, Inc. Santa Monica</t>
  </si>
  <si>
    <t>Kummer W.H.</t>
  </si>
  <si>
    <t>Basic Array Theory</t>
  </si>
  <si>
    <t>10.1109/5.119572</t>
  </si>
  <si>
    <t>2-s2.0-0026624051</t>
  </si>
  <si>
    <t>['work presents', 'results compared', 'previous workers', 'measurements made', 'make broad', 'experimental results', 'different technique', 'dielectric properties', 'analysis technique', 'allows measurements']</t>
  </si>
  <si>
    <t>Previous workers have demonstrated the utility of optoelectronically pulsed antennas to make broad-band microwave measurements of the dielectric properties of relatively low loss materials. This work presents an extension of the analysis technique that allows measurements to be made on highly absorptive samples. Experimental results for water in the 10‚Äì70 GHz frequency range are presented, error sources analyzed, and results compared with measurements made with a different technique. ¬© 1992 IEEE</t>
  </si>
  <si>
    <t>96-101</t>
  </si>
  <si>
    <t>60030821;60030821;60030821;60030821</t>
  </si>
  <si>
    <t>7003811674;7202742847;56838936300;6507141345</t>
  </si>
  <si>
    <t>Capps, C. David;Falk, R. Aaron;Ferriet, Stuart G.;Majoch, Tim R.</t>
  </si>
  <si>
    <t>Boeing Corporation</t>
  </si>
  <si>
    <t>Capps C.</t>
  </si>
  <si>
    <t>Broad-Band Microwave Measurement of Water using Transient Radiation</t>
  </si>
  <si>
    <t>10.1109/22.108328</t>
  </si>
  <si>
    <t>2-s2.0-0026624126</t>
  </si>
  <si>
    <t>['technologies exist', 'surface errors', 'reflectors increase', 'pattern corrections', 'localized algorithm', 'gravitational forces', 'electronic compensation', 'electromagnetic compensation', 'adaptive surfaces']</t>
  </si>
  <si>
    <t>Technologies exist for construction of antennas with adaptive surfaces that can compensate for many of the larger distortions caused by thermal and gravitational forces. However, as the frequency and size of the reflectors increase, the subtle surface errors become significant and degrade the overall electromagnetic performance. Electronic compensation through an adaptive feed array offers a means for mitigation of surface distortion effects. A pattern synthesis approach for electromagnetic compensation of surface errors is presented. The pattern synthesis approach uses a localized algorithm in which pattern corrections are directed toward specific portions of the pattern requiring improvement. The pattern synthesis technique uses radiation pattern data to perform the compensation. ¬© 1992 IEEE</t>
  </si>
  <si>
    <t>57-62</t>
  </si>
  <si>
    <t>60027090;60015941</t>
  </si>
  <si>
    <t>7406473521;7006247497</t>
  </si>
  <si>
    <t>Smith, William T.;Stutzman, Warren L.</t>
  </si>
  <si>
    <t>Blacksburg;Lexington</t>
  </si>
  <si>
    <t>Virginia Polytechnic Institute and State University;University of Kentucky</t>
  </si>
  <si>
    <t>Smith W.</t>
  </si>
  <si>
    <t>A Pattern Synthesis Technique for Array Feeds to Improve Radiation Performance of Large Distorted Reflector Antennas</t>
  </si>
  <si>
    <t>10.1109/8.123357</t>
  </si>
  <si>
    <t>2-s2.0-0026624445</t>
  </si>
  <si>
    <t>['¬© 1991', 'thunderstorm ii', 'sounding rocket', 'several sections', 'rights reserved', 'proven method', 'plasma frequency', 'past decade', 'instrument uses', 'direct function', 'crit ii', 'controlled oscillator', 'closely related', 'antenna impedance', 'american institute', '90 km']</t>
  </si>
  <si>
    <t>During the past decade, the plasma frequency probe (PFP) has evolved into an accurate, proven method of measuring electron density in the ionosphere above about 90 km. The instrument uses an electrically short antenna mounted on a sounding rocket that is immersed in the plasma and notes the frequency where the antenna impedance is large and nonreactive. This frequency is closely related to the plasma frequency, which is a direct function of free electron concentration. The probe uses phase-locked loop technology to follow a changing electron density. Several sections of the plasma frequency probe circuitry are unique, especially the voltage-controlled oscillator that uses both an electronically tuned capacitor and inductor to give the wide tuning range needed for electron density measurements. The results from two recent sounding rocket flights (Thunderstorm II and CRIT II) under vastly different plasma conditions demonstrate the capabilities of the PFP and show the importance of in situ electron density measurements for understanding plasma processes. ¬© 1991 by the American Institute of Aeronautics and Astronautics, Inc. All rights reserved.</t>
  </si>
  <si>
    <t>91-95</t>
  </si>
  <si>
    <t>Journal of Spacecraft and Rockets</t>
  </si>
  <si>
    <t>January-February 1992</t>
  </si>
  <si>
    <t>60031706-109711045;60031706-117807707</t>
  </si>
  <si>
    <t>7401787577;24309693100</t>
  </si>
  <si>
    <t>Jensen, Mark D.;Baker, Kay D.</t>
  </si>
  <si>
    <t>Logan;;Albuquerque</t>
  </si>
  <si>
    <t>Utah State University;Electrical Engineering and Physics Departments;Space Dynamics Laboratory</t>
  </si>
  <si>
    <t>60031706;117807707;109711045</t>
  </si>
  <si>
    <t>Jensen M.</t>
  </si>
  <si>
    <t>Measuring ionospheric electron density using the plasma frequency probe</t>
  </si>
  <si>
    <t>10.2514/3.26318</t>
  </si>
  <si>
    <t>2-s2.0-0026624528</t>
  </si>
  <si>
    <t>['wide range', 'tropospheric scatter', 'links equipped', 'establish fixed', 'certain climates', 'autoadaptive modem', 'antennae selected', 'alcatel telspace', '512 kbit', '4 mbit']</t>
  </si>
  <si>
    <t>Alcatel Telspace's AFH 990 digital microwave radio is designed to establish fixed or mobile links using propagation by tropospheric scatter or by diffraction. Whilst selective fading phenomena only allows limited bit rates (1024 or 512 kbit/s in certain climates) on links equipped with conventional tropospheric terminals, the AFH 990 enables signal routing at a rate of up to 4 Mbit/s thanks to its autoadaptive modem. This state-of-the-art equipment combined with amplifiers and antennae selected from a wide range of options, solves the problem of long distance digital transmissions.</t>
  </si>
  <si>
    <t>Commutation and Transmission</t>
  </si>
  <si>
    <t>7402648693;6602612071;7006079631</t>
  </si>
  <si>
    <t>Richard, J.;Debray, B.;Darmon, M.</t>
  </si>
  <si>
    <t>Richard J.</t>
  </si>
  <si>
    <t>AFH 990: High bit rate digital transhorizon microwave radio</t>
  </si>
  <si>
    <t>2-s2.0-0026624672</t>
  </si>
  <si>
    <t>['virtual transmit', 'usual techniques', 'total number', 'successfully applied', 'resolvable targets', 'receive elements', 'receive array', 'matrix may', 'largest number', 'large number', 'given transmit', 'general approach', 'eigenspace direction', 'different transmit', 'different tradeoff', 'different synthetic', 'data obtained', 'coherent sources', 'coherent multipath', 'actual transmit']</t>
  </si>
  <si>
    <t>In this paper we present a general approach to super resolution imaging of point sources using active arrays of transmit/receive elements. The usual techniques of high resolution imaging using single transmitters and passive receive arrays fail in the presence of sets of coherent point sources, which often arise due to coherent multipath. However, data obtained from transmit/receive arrays may be arranged into matrices to which eigenspace direction of arrival estimation may be successfully applied, even in the presence of coherent sources. Each such matrix may be thought of as corresponding to a different transmit/receive array; this may be either the actual transmit/ receive array or a virtual transmit/receive array whose effect is synthesized. This approach provides great flexibility, since a large number of different synthetic or virtual arrays may be available for a given transmit/receive array, and each can provide a different tradeoff between the total number of resolvable targets and the largest number of mutually coherent targets which can be resolved. ¬© 1992 IEEE</t>
  </si>
  <si>
    <t>88-100</t>
  </si>
  <si>
    <t>IEEE Transactions on Image Processing</t>
  </si>
  <si>
    <t>60102562;60102562</t>
  </si>
  <si>
    <t>6603222618;56251804200</t>
  </si>
  <si>
    <t>Hoctor, Ralph T.;Kassam, Saleem A.</t>
  </si>
  <si>
    <t>Philadelphia</t>
  </si>
  <si>
    <t>School of Engineering and Applied Science</t>
  </si>
  <si>
    <t>Hoctor R.T.</t>
  </si>
  <si>
    <t>High Resolution Coherent Source Location Using Transmit/Receive Arrays</t>
  </si>
  <si>
    <t>10.1109/83.128033</t>
  </si>
  <si>
    <t>2-s2.0-0026626875</t>
  </si>
  <si>
    <t>['various regions', 'radiation pattern', 'paper describes', 'given along', 'copyright 1991', 'code allows', 'calculated separately', 'antenna temperature']</t>
  </si>
  <si>
    <t>This paper describes an application of the classical convolution integral for the calculation of antenna temperature to Earth‚Äêbased microwave antennas. The Ohio State University‚ÄêReflector Antenna Code has been implemented to provide the radiation pattern of antennas in the calculation. Use of the code allows the full volumetric pattern of the antenna, including all sidelobes, backlobes, and cross‚Äêpolarized response, to be included in the calculation. Additionally, the contribution to the antenna temperature from various regions of the pattern can be calculated separately and analyzed. Examples of the calculations are given along with a description of an experiment which was performed to verify the accuracy of the technique. Copyright 1991 by the American Geophysical Union.</t>
  </si>
  <si>
    <t>23-30</t>
  </si>
  <si>
    <t>1944799X</t>
  </si>
  <si>
    <t>Radio Science</t>
  </si>
  <si>
    <t>23001929200;6603843146</t>
  </si>
  <si>
    <t>Lambert, Kevin M.;Rudduck, Roger C.</t>
  </si>
  <si>
    <t>Lambert K.</t>
  </si>
  <si>
    <t>Calculation and verification of antenna temperature for Earth‚Äêbased reflector antennas</t>
  </si>
  <si>
    <t>10.1029/91RS02358</t>
  </si>
  <si>
    <t>2-s2.0-0026627208</t>
  </si>
  <si>
    <t>National Aeronautics and Space Administration</t>
  </si>
  <si>
    <t>JPL956520</t>
  </si>
  <si>
    <t>NASA</t>
  </si>
  <si>
    <t>['¬© 1991', 'southeastern australia', 'satellite service', 'roadside trees', 'probability region', 'probability isolation', 'october 1988', 'measurements executed', 'ipors satellites', 'geostationary ets', 'directive antennas', 'day period', 'data predicted', 'continuing examination', 'beacon transmissions', 'australian results', 'attenuation measurements', 'another continent', 'american institute', '5 ghz', '4 %),', '10 db', '1 db']</t>
  </si>
  <si>
    <t>Attenuation measurements were implemented at L-band (1.5 GHz) in southeastern Australia during an 11-day period in October 1988 as part of a continuing examination of the propagation effects due to roadside trees and terrain for mobile-satellite service. Beacon transmissions from the geostationary ETS-V and IPORS satellites were observed. The Australian campaign expanded to another continent our Mobile Satellite Service data base of measurements executed in the eastern and southwestern United States regions. An empirical fade distribution model based on U.S. data predicted the Australian results with errors generally less than 1 dB in the 1-20% probability region. Directive antennas are shown to suffer deeper fades under severe shadowing conditions (3 dB excess at 4%), the equal-probability isolation between co- and cross-polarized transmissions deteriorated to 10 dB at the 5 dB fade level, and antenna diversity reception may reduce unavailability of the system by a factor of 2-8. ¬© 1991 by the American Institute of Aeronautics and Astronautics, Inc.</t>
  </si>
  <si>
    <t>123-128</t>
  </si>
  <si>
    <t>60013372-105269364;60005248;117807295-60092258</t>
  </si>
  <si>
    <t>35613152700;7005208323;57206128771</t>
  </si>
  <si>
    <t>Vogel, Wolfhard J.;Goldhirsh, Julius;Hase, Yoshihiro</t>
  </si>
  <si>
    <t>Japan;United States;United States;Japan;United States</t>
  </si>
  <si>
    <t>Koganei;Austin;Baltimore;Tokyo;Austin</t>
  </si>
  <si>
    <t>Ministry of Posts and Telecommunications, Japan;The University of Texas at Austin;Johns Hopkins University;Communication Research Laboratory;Electrical Engineering Research Laboratory</t>
  </si>
  <si>
    <t>60092258;60013372;60005248;117807295;105269364</t>
  </si>
  <si>
    <t>Vogel W.J.</t>
  </si>
  <si>
    <t>Land-mobile-satellite fade measurements in Australia</t>
  </si>
  <si>
    <t>10.2514/3.26323</t>
  </si>
  <si>
    <t>2-s2.0-0026627393</t>
  </si>
  <si>
    <t>['uncorrelated interference', 'spatial smoothing', 'spatial processing', 'signals based', 'obtain estimates', 'effective suppression', 'adaptive algorithms']</t>
  </si>
  <si>
    <t>We investigate the rate of convergence of adaptive algorithms for the spatial processing of signals based on the method of spatial smoothing, and obtain estimates for the number of temporal and spatial samples required for effective suppression of uncorrelated interference.</t>
  </si>
  <si>
    <t>83-90</t>
  </si>
  <si>
    <t>6701509526;6505697984;6506188619</t>
  </si>
  <si>
    <t>Sverdlik, M. B.;Shpatakovskii, V. E.;Kushnerik, O. A.</t>
  </si>
  <si>
    <t>Sverdlik M.</t>
  </si>
  <si>
    <t>Dynamic characteristics of an adaptive system for spatial signal processing based on the method of spatial smoothing</t>
  </si>
  <si>
    <t>2-s2.0-0026627676</t>
  </si>
  <si>
    <t>['¬© 1992', 'rcs reduction', 'numerical aspects', 'new phenomena', 'inherent limitations', 'high gain', 'gain improvement', 'competing requirements']</t>
  </si>
  <si>
    <t>There are some inherent limitations on printed circuit antenna (PCA) technology, especially the competing requirements for high gain and low radar cross section. This paper will discuss the analysis and new phenomena of PCAs with a biased ferrite layer. The issues to be addressed include beam steering capability, RCS reduction, gain improvement. Both analytic and numerical aspects of the analysis of the structure will be addressed. ¬© 1992 by Hemisphere Publishing Corporation.</t>
  </si>
  <si>
    <t>17-31</t>
  </si>
  <si>
    <t>1532527X</t>
  </si>
  <si>
    <t>Electromagnetics</t>
  </si>
  <si>
    <t>January-March 1992</t>
  </si>
  <si>
    <t>115569186;115569186;60027550</t>
  </si>
  <si>
    <t>7406565241;7004064046;7004468161</t>
  </si>
  <si>
    <t>Yang, Hung Yu;Castaneda, Jesse A.;Alexopoulos, Nicolaos G.</t>
  </si>
  <si>
    <t>Los Angeles;Santa Monica</t>
  </si>
  <si>
    <t>University of California, Los Angeles;Phraxos Research and Development Inc</t>
  </si>
  <si>
    <t>60027550;115569186</t>
  </si>
  <si>
    <t>Yang H.</t>
  </si>
  <si>
    <t>Multifunctional and low rcs nonreciprocal microstrip antennas</t>
  </si>
  <si>
    <t>10.1080/02726349208908294</t>
  </si>
  <si>
    <t>2-s2.0-0026627707</t>
  </si>
  <si>
    <t>['wavelength band', 'thin rod', 'surface h', 'shaped dipoles', 'problem numerically', 'large number', 'finite number', 'find expressions', 'electrodynamic problem', 'efficient algorithm', 'dipole currents', 'dipole array', 'dimensional green', 'diffraction characteristics', 'dielectric film', 'array consisting', 'analytic method']</t>
  </si>
  <si>
    <t>We describe a numerical-analytic method for solving the electrodynamic problem of diffraction of surface H-waves on a dielectric film by an array consisting of a finite number of thin rod-shaped dipoles. For waves normally incident on the dipole array we use the two-dimensional Green's function to obtain a system of linear algebraic equations for the dipole currents and find expressions for the diffraction characteristics of the structure. We develop an efficient algorithm to solve the problem numerically for the case of an array with a large number of elements and calculate the characteristics of a sharply directive dielectric leaky wave antenna for the millimeter-wavelength band.</t>
  </si>
  <si>
    <t>29-36</t>
  </si>
  <si>
    <t>7004641779;6506008956</t>
  </si>
  <si>
    <t>Kalinichev, V. I.;Kuranov, Yu V.</t>
  </si>
  <si>
    <t>Kalinichev V.</t>
  </si>
  <si>
    <t>Diffraction of surface waves by an array of metallic rods and analysis of a leaky wave dielectric antenna</t>
  </si>
  <si>
    <t>2-s2.0-0026628569</t>
  </si>
  <si>
    <t>['¬© 1992', 'two elements', 'test helices', 'side lobes', 'rights reserved', 'paper derives', 'large magnitude', 'experimental results', 'electromagnetic application', 'design factors', 'calculated results', 'brass rod', 'acoustical society', 'acoustic analog']</t>
  </si>
  <si>
    <t>An underwater acoustic helical antenna is constructed through the acoustic analog of the axial-mode helical antenna typically for electromagnetic application. The acoustic antenna consists of two elements: a cylindrical helix made of a brass rod and a PZT Langevin transducer driver. This paper derives the design factors for an optimum helix geometry. The acoustic helical antenna acts as an underwater endfire antenna over broad frequency ranges, but can be characterized by the large magnitude of its side lobes. Next, an equiangular spiral antenna is described that has reduced side lobes. The experimental results for the test helices are in relatively good agreement with the calculated results. ¬© 1992, Acoustical Society of America. All rights reserved.</t>
  </si>
  <si>
    <t>3041-3048</t>
  </si>
  <si>
    <t>NA</t>
  </si>
  <si>
    <t>Journal of the Acoustical Society of America</t>
  </si>
  <si>
    <t>60004176;60004176</t>
  </si>
  <si>
    <t>7402842148;55439531200</t>
  </si>
  <si>
    <t>Hasegawa, Akio;Kikuchi, Toshiaki</t>
  </si>
  <si>
    <t>Yokosuka</t>
  </si>
  <si>
    <t>National Defense Academy of Japan</t>
  </si>
  <si>
    <t>Hasegawa A.</t>
  </si>
  <si>
    <t>Directional characteristics of underwater acoustic helical antennas</t>
  </si>
  <si>
    <t>10.1121/1.402939</t>
  </si>
  <si>
    <t>2-s2.0-0026629245</t>
  </si>
  <si>
    <t>['wide range', 'significant developments', 'recent years', 'paper begins', 'microstrip antennas', 'innovative topics', 'brief overview', 'basic characteristics', 'antenna theory', 'analytical modeling']</t>
  </si>
  <si>
    <t>Microstrip antennas have been one of the most innovative topics in antenna theory and design in recent years, and are increasingly finding application in a wide range of modern microwave systems. This paper begins with a brief overview of the basic characteristics of microstrip antennas, and then concentrates on the most significant developments in microstrip antenna technology that have been made in the last several years. Emphasis is on new antenna configurations for improved electrical performance and manufacturability, and advances in the analytical modeling of microstrip antennas and arrays. ¬© 1992 IEEE</t>
  </si>
  <si>
    <t>79-91</t>
  </si>
  <si>
    <t>Pozar D.</t>
  </si>
  <si>
    <t>Microstrip Antennas</t>
  </si>
  <si>
    <t>10.1109/5.119568</t>
  </si>
  <si>
    <t>2-s2.0-0026630618</t>
  </si>
  <si>
    <t>['phase shifters', 'new materials', 'components applicable', 'also covered']</t>
  </si>
  <si>
    <t>A review of advances in the state-of-the-art of devices and components applicable to modern phased arrays is given. Phase shifters as well as solid state transmit and receive (T/R) modules are discussed. Approaches to cost reduction using higher levels of integration (different packaging approaches) and new materials are also covered. ¬© 1992 IEEE</t>
  </si>
  <si>
    <t>173-182</t>
  </si>
  <si>
    <t>60005304;60005304</t>
  </si>
  <si>
    <t>7202300269;7401945695</t>
  </si>
  <si>
    <t>Tang, Raymond;Burns, Richard W.</t>
  </si>
  <si>
    <t>Tang R.</t>
  </si>
  <si>
    <t>Array Technology</t>
  </si>
  <si>
    <t>10.1109/5.119576</t>
  </si>
  <si>
    <t>2-s2.0-0026630619</t>
  </si>
  <si>
    <t>['wiley company', 'present work', 'nonidentical elements', 'narrow beams', 'main beamwidth', 'low sidelobes', 'inc .,', 'identical elements', 'excitation levels', 'array considered']</t>
  </si>
  <si>
    <t>Array | narrow beams | non‚Äêidentical elements | sidelobes</t>
  </si>
  <si>
    <t>The narrow beams with very low sidelobes are generated from an array of nonidentical elements. The array considered in the present work is found to be more advantageous than the array of identical elements in terms of main beamwidth and side‚Äêlobe levels, excitation levels being uniform in both cases. Copyright ¬© 1992 Wiley Periodicals, Inc., A Wiley Company</t>
  </si>
  <si>
    <t>26-31</t>
  </si>
  <si>
    <t>Microwave and Optical Technology Letters</t>
  </si>
  <si>
    <t>60023544;60023544;60023544;60004750</t>
  </si>
  <si>
    <t>7101987279;57198441735;7801499340;57202662632</t>
  </si>
  <si>
    <t>Raju, G. S.N.;Rao, P. M.;Gottumukkala, K. R.;Chakraborty, Ajoy</t>
  </si>
  <si>
    <t>India;India</t>
  </si>
  <si>
    <t>Visakhapatnam;Kharagpur</t>
  </si>
  <si>
    <t>Andhra University;Indian Institute of Technology Kharagpur</t>
  </si>
  <si>
    <t>60023544;60004750</t>
  </si>
  <si>
    <t>Raju G.</t>
  </si>
  <si>
    <t>Investigations on arrays of nonidentical radiators</t>
  </si>
  <si>
    <t>10.1002/mop.4650050109</t>
  </si>
  <si>
    <t>2-s2.0-0026630915</t>
  </si>
  <si>
    <t>U.S. Naval Research Laboratory</t>
  </si>
  <si>
    <t>NRL</t>
  </si>
  <si>
    <t>['recent state', 'primary thrust', 'perhaps impractical', 'mathematics intensive', 'kept tutorial', 'help bridge', 'greater participation', 'greater detail', 'discussed briefly', 'background material', 'art updates']</t>
  </si>
  <si>
    <t>Adaptive array systems have undergone enormous growth and progress in the past two decades. This multidiscipline technology area is admittedly both complex and mathematics intensive, such that it often appears alien (and perhaps impractical) to the nonspecialist. To help bridge those gaps, this paper has been kept tutorial and limited to just three principal topic areas: side lobe cancellers (SLC‚Äôs), fully adaptive arrays, and ‚Äúsuperresolution‚Äù techniques. In each case, background material is included both for perspective and clarity, plus extensive use of carefully selected references which can guide the nonspecialist to greater detail. Recent state-of-the-art updates are discussed briefly where appropriate, but the primary thrust is to whet the reader's appetite and encourage a greater participation. ¬© 1992 IEEE</t>
  </si>
  <si>
    <t>152-162</t>
  </si>
  <si>
    <t>Gabriel, William F.</t>
  </si>
  <si>
    <t>Crofton</t>
  </si>
  <si>
    <t>SFA, Inc</t>
  </si>
  <si>
    <t>Gabriel W.</t>
  </si>
  <si>
    <t>Adaptive Processing Array Systems</t>
  </si>
  <si>
    <t>10.1109/5.119574</t>
  </si>
  <si>
    <t>2-s2.0-0026631867</t>
  </si>
  <si>
    <t>CA426W</t>
  </si>
  <si>
    <t>['tumour heated', 'therapeutic temperatures', 'theoretical three', 'temperature distributions', 'slightly less', 'size tumour', 'sharp decrease', 'rights reserved', 'relatively constant', 'model predicted', 'insertion depths', 'insertion depth', 'entire range', 'dimensional steady', 'brain tissue', 'antenna junction', '6 cm', '2450 mhz']</t>
  </si>
  <si>
    <t>Brain | Cancer therapy | Finite elements | Hyperthermia | Microwave antennas | Temperature distributions</t>
  </si>
  <si>
    <t>Theoretical three-dimensional power deposition and temperature distributions were calculated for interstitial hyperthermia microwave antenna arrays driven at 915 and 2450 MHz in brain tissue. Four dipole antennas were assumed to be placed in a 2√ó2 cm array with varying insertion depths in cylindrical tumour models. The bioheat transfer equation was solved for the three-dimensional steady-state temperature distributions using a finite element method. Homogeneous and non-homogeneous blood flow models were considered. As a basis of comparison of the various temperature distributions, the volume of the tumour heated to ‚â• 43¬∞C was calculated. SAR distributions calculated for the 915 MHz antenna arrays in brain tissue were very similar to those calculated for muscle. The 2450 MHz arrays showed similar behaviour to the 915 MHz arrays; however, as the insertion depth increased from slightly less than a full-wavelength there was a single hotspot centred at the antenna junction. For the 2450 MHz arrays, the predicted therapeutic tumour volumes were relatively constant over the entire range of insertion depths considered, and in fact, for most insertion depths considered, the model predicted the 2450 MHz arrays would heat larger therapeutic volumes than the 915 MHz arrays. For the 915 MHz array, at insertion depths between 7.8 and 14.6 cm there was a sharp decrease in the predicted therapeutic volume due to a proximal secondary hotspot in the normal tissue causing overheating. However, when the same size tumour at the same insertion depth was heated with the 2450 MHz array, the hotspot was in the tumour, adding to the volume of tumour that was heated to therapeutic temperatures. ¬© 1992 Informa UK Ltd All rights reserved: reproduction in whole or part not permitted.</t>
  </si>
  <si>
    <t>529-542</t>
  </si>
  <si>
    <t>60030443-60006051;60030443</t>
  </si>
  <si>
    <t>6602167161;7005534211</t>
  </si>
  <si>
    <t>Mechling, J. A.;Strohbehn, J. W.</t>
  </si>
  <si>
    <t>Hanover;Hanover</t>
  </si>
  <si>
    <t>Thayer School of Engineering at Dartmouth;U.S. Army Cold Regions Research and Engineering Laboratory</t>
  </si>
  <si>
    <t>60030443;60006051</t>
  </si>
  <si>
    <t>Three-dimensional theoretical SAR and temperature distributions created in brain tissue by 915 and 2450 MHz dipole antenna arrays with varying insertion depths</t>
  </si>
  <si>
    <t>10.3109/02656739209037990</t>
  </si>
  <si>
    <t>2-s2.0-0026632759</t>
  </si>
  <si>
    <t>['space qualification', 'radio relay', 'presented briefly', 'phased array', 'multibeam antennas', 'intelsat vi', 'important role', 'fullest extent', 'communication satellites', 'c );']</t>
  </si>
  <si>
    <t>Communication satellites have evolved from a radio relay in space to encompass other applications such as processing and meteorology. The demand for high capacity communication satellites has led in the past two decades to the development of multibeam antennas, a landmark in satellite antenna technology. This paper classifies satellite antennas into three categories according to function: communication; tracking, telemetry, and command (TT&amp;C); and special satellite antennas. While the application of shaped beam antennas has been developed to its fullest extent as in INTELSAT VI and VII, an active monolithic microwave integrated circuit (MMIC) phased array has come to play an important role in future satellite antenna technology. Examples of each stateof-the-art satellite antenna technology and the process of space qualification are presented briefly in this paper. ¬© 1992 IEEE</t>
  </si>
  <si>
    <t>183-193</t>
  </si>
  <si>
    <t>Hwang, Yeongming</t>
  </si>
  <si>
    <t>Palo Alto</t>
  </si>
  <si>
    <t>Space Systems Loral</t>
  </si>
  <si>
    <t>Hwang Y.</t>
  </si>
  <si>
    <t>Satellite Antennas</t>
  </si>
  <si>
    <t>10.1109/5.119577</t>
  </si>
  <si>
    <t>2-s2.0-0026634378</t>
  </si>
  <si>
    <t>['varying appearance', 'ultrastructural aspects', 'transduced message', 'secondary cilia', 'review deals', 'receptive structures', 'probably produced', 'olfactory system', 'morphological appearance', 'modified primary', 'great variety', 'evolutionary pressure', 'events resulting', 'cytoskeletal elements', 'copyright1992 wileyliss', 'cellular extensions', 'animal kingdom', '1992 wileyliss']</t>
  </si>
  <si>
    <t>Antenna | Cilia | Evolution | Microvilli | Nose | Olfaction | Phyla | Septal | Vomeronasal</t>
  </si>
  <si>
    <t>There is a great variety in the morphological appearance of olfactory structures across the metazoan animal kingdom. Despite this variety the receptive structures themselves have a strikingly similar architecture, namely some type of elongated cellular extension that is spanned by a membrane and surrounded by mucus. These cellular extensions can either be modified primary or secondary cilia, or microvilli. There are more similarities between membranes of these extensions than between the cytoskeletal elements immediately underneath the membranes. One might infer that the cytoskeletal elements of the cellular extensions merely serve as a scaffold for the membranes, whereas the similarity in membrane ultrastructure provides morphological evidence supporting the concept that these membranes are responsible for the initial olfactory transduction process. The transduced message is transported to the brain, where it is decoded to initiate the cascade of events resulting in the organisms' appropriate behavioral response to the initial odorous stimulus. The varying appearance of olfactory structures across the animal kingdom is probably produced by evolutionary pressure to adapt the olfactory system to the animal's environment. This review deals with the ultrastructural aspects of these facets of olfaction.1992 WileyLiss, Inc. Copyright1992 WileyLiss, Inc.</t>
  </si>
  <si>
    <t>215-224</t>
  </si>
  <si>
    <t>1059910X</t>
  </si>
  <si>
    <t>Microscopy Research and Technique</t>
  </si>
  <si>
    <t>Ph. M. Menco, Bert</t>
  </si>
  <si>
    <t>Evanston</t>
  </si>
  <si>
    <t>Northwestern University</t>
  </si>
  <si>
    <t>Ph. M. Menco B.</t>
  </si>
  <si>
    <t>Ultrastructural studies on membrane, cytoskeletal, mucous, and protective compartments in olfaction</t>
  </si>
  <si>
    <t>10.1002/jemt.1070220303</t>
  </si>
  <si>
    <t>2-s2.0-0026640863</t>
  </si>
  <si>
    <t>['wiley company', 'uniform amplitude', 'progressive phase', 'increased phase', 'inc .,', 'directivity values']</t>
  </si>
  <si>
    <t>Antenna arrays | endfire arrays | Hansen‚ÄêWoodyard arrays | superdirectivity</t>
  </si>
  <si>
    <t>Small endfire arrays of isotropes with uniform amplitude and progressive phase are examined. The directivity is maximized, and the increased phase and directivity values are given for N = 2‚Äì20. Copyright ¬© 1992 Wiley Periodicals, Inc., A Wiley Company</t>
  </si>
  <si>
    <t>44-46</t>
  </si>
  <si>
    <t>Hansen, R. C.</t>
  </si>
  <si>
    <t>Hansen R.</t>
  </si>
  <si>
    <t>Hansen‚Äêwoodyard arrays with few elements</t>
  </si>
  <si>
    <t>10.1002/mop.4650050114</t>
  </si>
  <si>
    <t>2-s2.0-0026642797</t>
  </si>
  <si>
    <t>['¬© 1992', 'transition angle', 'special attention', 'scattered field', 'reflector antennas', 'paper starts', 'including surface', 'eec methods', 'direct comparison', 'diffracted rays', 'correct results', 'complete far', 'calculation methods', 'axial region', 'angle regions']</t>
  </si>
  <si>
    <t>The paper starts with a review of calculation methods for determining the complete far-field radiation patterns of reflector antennas. Subsequently, a direct comparison is made between PO, APO, CAPO, GTD, UTD and EEC methods by applying all of these techniques to one and the same reflector antenna configuration. It is shown that both UTD, including surface-diffracted rays, and CAPO is satisfactory for calculating the scattered field from reflector antennas in wide-angle regions (away from the antenna axis). The correct results in both forward- and rear-axial region can be obtained with PO and EEC, respectively. Finally, special attention is paid to the transition angle between EEC and UTD. ¬© 1992 by Hemisphere Publishing Corporation.</t>
  </si>
  <si>
    <t>57-75</t>
  </si>
  <si>
    <t>60032882;60032882;60084617</t>
  </si>
  <si>
    <t>6506840375;7003821814;7501891556</t>
  </si>
  <si>
    <t>Maagt, P. J.I.de;Herben, M. H.A.J.;Chen, J.</t>
  </si>
  <si>
    <t>China;Netherlands</t>
  </si>
  <si>
    <t>Chengdu;Eindhoven</t>
  </si>
  <si>
    <t>Chengdu Aircraft Industrial (Group) Co. Ltd.;Technische Universiteit Eindhoven</t>
  </si>
  <si>
    <t>60084617;60032882</t>
  </si>
  <si>
    <t>Maagt P.</t>
  </si>
  <si>
    <t>A review and comparison of some asymptotic techniques for calculating the wide-angle radiation pattern of paraboloid reflector antennas</t>
  </si>
  <si>
    <t>10.1080/02726349208908296</t>
  </si>
  <si>
    <t>2-s2.0-0026642830</t>
  </si>
  <si>
    <t>['translation initiation', 'thylakoid membranes', 'specifically associated', 'results support', 'probably released', 'previously cloned', 'present study', 'predicted sequence', 'predicted product', 'occasionally observed', 'nutrient deprivation', 'nuclear gene', 'mild solubilization', 'massive accumulation', 'larger complex', 'kda polypeptide', 'induced proteins', 'highly illuminated', 'higher plants', 'high light', 'gel electrophoresis', 'found exclusively', 'early light', 'closely related', 'cbr co', 'cbr belongs', 'binding proteins', 'bardawil cells', 'approximately 20', 'apparently 17', 'antibodies raised', 'antennae complexes', 'accelerated carotenogenesis', '19 kda']</t>
  </si>
  <si>
    <t>The unicellular green alga Dunaliella bardawil responds to high light, nutrient deprivation, and several other types of stress by massive accumulation of Œ≤-carotene. We have previously cloned a nuclear gene, cbr, that is co-induced with accelerated carotenogenesis. The predicted product of cbr is closely related to early light-induced proteins (Elips) of higher plants, and also shows resemblance to chlorophyll a/b-binding proteins. In the present study, the determination of the cbr transcription start site supported the previously proposed site of translation initiation. Antibodies raised against a synthetic oligopeptide matching the predicted sequence of Cbr recognized two polypeptides of apparently 17 and 19 kDa that were induced in parallel to cbr transcript accumulation in highly illuminated or sulfate- starved D. bardawil cells. The antibodies also cross-reacted with an approximately 20-kDa polypeptide in sulfate-starved Dunaliella salina. In both D. bardawil and D. salina, Cbr was found exclusively in the thylakoid membranes. After mild solubilization, Cbr co-fractionated with light- harvesting complex II (LHCII) in sucrose gradient centrifugation and gel electrophoresis and was specifically associated with a minor LHCII complex. An occasionally observed, faster mobility Cbr form, free of LHCII, was probably released from the larger complex. These results support the conclusion that Cbr belongs to a class of stress-induced proteins transiently associated with antennae complexes.</t>
  </si>
  <si>
    <t>18831-18836</t>
  </si>
  <si>
    <t>60017563;60017563;60017563</t>
  </si>
  <si>
    <t>57197269001;6602154056;7006701679</t>
  </si>
  <si>
    <t>Levy, H.;Gokhman, I.;Zamir, A.</t>
  </si>
  <si>
    <t>Israel</t>
  </si>
  <si>
    <t>Rehovot</t>
  </si>
  <si>
    <t>Weizmann Institute of Science Israel</t>
  </si>
  <si>
    <t>Levy H.</t>
  </si>
  <si>
    <t>Regulation and light-harvesting complex II association of a Dunaliella protein homologous to early light-induced proteins in higher plants</t>
  </si>
  <si>
    <t>2-s2.0-0026644065</t>
  </si>
  <si>
    <t>['systematic errors', 'system consists', 'range measurements', 'radar system', 'paper describes', 'one standard', 'height measurements', 'geometric height', 'civil aircrafts']</t>
  </si>
  <si>
    <t>This paper describes a radar system for geometric height estimation of civil aircrafts. The system consists of one standard or mode S secondary surveillance radar (SSR) and one omnidirectional antenna sited away from SSR under an airlane. The geometric height is derived by trilateratlon. Systematic errors are compensated for by deriving the profile of the effect on height measurements of the bias in range measurements. A curve fitting technique is then used, which estimates both the geometric height and any non-zero systematic errors. ¬© 1992 IEEE</t>
  </si>
  <si>
    <t>241-248</t>
  </si>
  <si>
    <t>IEEE Transactions on Aerospace and Electronic Systems</t>
  </si>
  <si>
    <t>60022461;60022461;60022461;60002947</t>
  </si>
  <si>
    <t>7005823101;7003777185;7004846565;6602466950</t>
  </si>
  <si>
    <t>Manolakis, D. E.;Lefas, C. C.;Stavrakakis, G. S.;Rekkas, C. M.</t>
  </si>
  <si>
    <t>Greece;Greece</t>
  </si>
  <si>
    <t>Chania;Athens</t>
  </si>
  <si>
    <t>Technical University of Crete;National Technical University of Athens</t>
  </si>
  <si>
    <t>60022461;60002947</t>
  </si>
  <si>
    <t>Manolakis D.E.</t>
  </si>
  <si>
    <t>Computation of Aircraft Geometric Height Under Radar Surveillance</t>
  </si>
  <si>
    <t>10.1109/7.135449</t>
  </si>
  <si>
    <t>2-s2.0-0026644970</t>
  </si>
  <si>
    <t>['theoretic approach', 'rf systems', 'interference shielding']</t>
  </si>
  <si>
    <t>We describe a game-theoretic approach to the problem of interference shielding and jamming of RF systems with adaptive phased antenna arrays based on a processing method designed around signals with special phase modulation. We present modeling results that confirm the rather high efficiency of this approach.</t>
  </si>
  <si>
    <t>92-99</t>
  </si>
  <si>
    <t>;;;</t>
  </si>
  <si>
    <t>6505893459;6602851818;6602891746;6603167953</t>
  </si>
  <si>
    <t>Anashkin, R. V.;Glushankov, Ye I.;Kolosov, L. V.;Yatsuk, V. V.</t>
  </si>
  <si>
    <t>Anashkin R.</t>
  </si>
  <si>
    <t>Use of signals with special phase modulation to solve problems of interference shielding and jamming under conditions of conflict</t>
  </si>
  <si>
    <t>2-s2.0-0026652288</t>
  </si>
  <si>
    <t>['west africa', 'savannah species', 'qualitative characters', 'pupae maintained', 'previous studies', 'physical environment', 'morphological identification', 'involved use', 'fourth day', 'flies emerging', 'entirely pale', 'dark antennae', 'damnosum complex', 'colour characters', 'biological significance', 'ambient temperatures', 'also pale', 'adults reared']</t>
  </si>
  <si>
    <t>Previous studies on the morphological identification of adult female Simulium damnosum s.l. have involved use of colour characters. To determine the degree to which these qualitative characters are influenced by the physical environment, a portable rearing system was constructed. Wild-caught female flies and flies emerging from pupae maintained at ambient temperatures or above showed entirely pale antennae, fore-coxae, wing-tufts and hairs on the scutellum and ninth abdominal tergite, as is normal for S. sirbanum. Adults reared from larvae at below ambient temperatures were also pale, except for the antennae which were dark in all specimens. Adult females emerging from pupae maintained at below ambient temperatures were entirely pale up to the fourth day of emergence and mostly with dark antennae. The biological significance and the implications to the morphological identification of the savannah species of the S. damnosum complex in West Africa are discussed.</t>
  </si>
  <si>
    <t>169-174</t>
  </si>
  <si>
    <t>Annals of Tropical Medicine and Parasitology</t>
  </si>
  <si>
    <t>60008250;60008250;60008250</t>
  </si>
  <si>
    <t>56909224500;7202218128;6701920582</t>
  </si>
  <si>
    <t>Wilson, M. D.;Post, R. J.;Boakye, D. A.</t>
  </si>
  <si>
    <t>Salford</t>
  </si>
  <si>
    <t>University of Salford</t>
  </si>
  <si>
    <t>Wilson M.D.</t>
  </si>
  <si>
    <t>Studies on environmentally-induced colour variation in Simulium sirbanum (Diptera: Simuliidae) using a portable rearing system</t>
  </si>
  <si>
    <t>10.1080/00034983.1992.11812648</t>
  </si>
  <si>
    <t>2-s2.0-0026664589</t>
  </si>
  <si>
    <t>['using near', 'tolerance test', 'successfully accomplished', 'spectroscopy coupled', 'si detector', 'optic sampling', 'noninvasive monitoring', 'nir spectra', 'maximum range', 'glucose concentration', 'diabetic subjects', 'chemometric methods', 'blood samples', 'array detector', '27 mmol', '1 mmol']</t>
  </si>
  <si>
    <t>monitoring therapy | multivariate calibration | near-infrared spectroscopy</t>
  </si>
  <si>
    <t>Noninvasive monitoring of blood/tissue glucose concentrations has been successfully accomplished in individual diabetic subjects by using near- infrared (NIR) spectroscopy coupled with chemometric methods. Three different spectrometer configurations were tested: a) a Fourier-transform infrared spectrometer with an indium antimonide detector; b) a grating monochromator equipped with a silicon (SI) array detector, without fiber optics; and c) a grating monochromator equipped with an Si detector, with fiber-optic sampling. NIR spectra were obtained from diabetic subjects by transmission through the finger during a meal-tolerance test. The maximum range of observed plasma glucose concentrations obtained from the blood samples was 2.5-27 mmol/L. The NIR spectra were processed by using the chemometric multivariate calibration methods of partial least squares and principal component regression. The best calibration yielded a cross-validated average absolute error in glucose concentration of 1.1 mmol/L. This predictive ability suggests that noninvasive glucose determinations by NIR/chemometrics is a viable analytical method.</t>
  </si>
  <si>
    <t>1618-1622</t>
  </si>
  <si>
    <t>Clinical Chemistry</t>
  </si>
  <si>
    <t>60032328;60032328;60032328;60032328;60032328;60032328;60032328</t>
  </si>
  <si>
    <t>55463879800;7202041334;7004167053;6507567339;55617338800;57224613113;7403719998</t>
  </si>
  <si>
    <t>Robinson, M. R.;Eaton, R. P.;Haaland, D. M.;Koepp, G. W.;Thomas, E. V.;Stallard, B. R.;Robinson, P. L.</t>
  </si>
  <si>
    <t>UNM School of Medicine</t>
  </si>
  <si>
    <t>Robinson M.R.</t>
  </si>
  <si>
    <t>Noninvasive glucose monitoring in diabetic patients: A preliminary evaluation</t>
  </si>
  <si>
    <t>10.1093/clinchem/38.9.1618</t>
  </si>
  <si>
    <t>2-s2.0-0026668743</t>
  </si>
  <si>
    <t>Corpus Christi College, University of Cambridge</t>
  </si>
  <si>
    <t>['¬© 1992', 'working hypothesis', 'van grondelle', 'trapping efficiency', 'three cases', 'supertrap speeds', 'sundstr √∂', 'soc .)', 'ring around', 'rights reserved', 'rhodobacter sphaeroides', 'recent suggestion', 'photosynthetic bacteria', 'minor component', 'lower energy', 'hexagonal symmetry', 'harvesting complexes', 'gutter slows', 'fluorescence decay', 'called long', 'biophysical society', 'bergstr √∂']</t>
  </si>
  <si>
    <t>The effect of the presence of a minor antenna component in light-harvesting complexes of photosynthetic bacteria is investigated with numerical simulation employing the transition probability matrix method. A model antenna system of hexagonal symmetry is adopted, using as a working hypothesis that the minor component forms a ring around the trap. Three cases have been considered: (a) the minor component is isoenergetic with the trap, which is at lower energy than the antennas (the ‚Äúsupertrap‚Äù), (b) the minor component is at lower energy than the trap, which is at lower energy than the antennas (the ‚Äúasymmetric gutter‚Äù), (c) the minor component is at lower energy than the trap, which is isoenergetic with the antennas (the ‚Äúgutter‚Äù). It is found that the supertrap speeds up the fluorescence decay and enhances the trapping efficiency, whereas the gutter slows down the fluorescence decay and decreases the trapping efficiency. It is concluded that, in contrast to a recent suggestion (Bergstr√∂m, H., R. van Grondelle, and V. Sundstr√∂m. 1989. FEBS (Fed. Eur. Biochem. Soc.) Lett. 250:503‚Äì508), concentrating excitations in the vicinity of the trap by the so-called long-wavelength minor antenna component purportedly present in Rhodobacter sphaeroides and Rhodospirillum rubrum instead of improving trapping actually impedes trapping. ¬© 1992, The Biophysical Society. All rights reserved.</t>
  </si>
  <si>
    <t>;60003878-60026851</t>
  </si>
  <si>
    <t>7402920758;7103325525</t>
  </si>
  <si>
    <t>Fischer, Monika R.;Hoff, Arnold J.</t>
  </si>
  <si>
    <t>United Kingdom;Netherlands</t>
  </si>
  <si>
    <t>Oxford;Leiden</t>
  </si>
  <si>
    <t>University of Oxford;Sterrewacht Leiden</t>
  </si>
  <si>
    <t>60026851;60003878</t>
  </si>
  <si>
    <t>Fischer M.</t>
  </si>
  <si>
    <t>On the long-wavelength component of the light-harvesting complex of some photosynthetic bacteria</t>
  </si>
  <si>
    <t>S0006349592816892</t>
  </si>
  <si>
    <t>10.1016/S0006-3495(92)81689-2</t>
  </si>
  <si>
    <t>2-s2.0-0026669260</t>
  </si>
  <si>
    <t>['whip spiders', 'wall pores', 'vaseshaped chambers', 'various types', 'unperforated cuticle', 'threadlike flagella', 'temporal organs', 'tarsal organs', 'structural features', 'spoke canals', 'singlewalled sensilla', 'shaft lumen', 'sensory cuticle', 'sensory cells', 'sensillum lumen', 'sensillum base', 'sensilla consist', 'sensilla basiconica', 'proximal sidewall', 'outer surface', 'olfactory sensilla', 'longitudinally grooved', 'located dorsally', 'inner surface', 'first tarsus', 'first leg', 'fibrouslooking cuticle', 'extend toward', 'extend partly', 'entire length', 'either open', 'doublewalled sensilla', 'dendritic tips', 'dendrites terminating', 'cuticular wall', 'cuticular capsule', 'copyright1992 wileyliss', 'canals extend', '1992 wileyliss', '1 ).']</t>
  </si>
  <si>
    <t>Dendrites | Electron microscopy | Olfactory chemoreceptors | Sheath cells | Wall structures</t>
  </si>
  <si>
    <t>Structural features of various types of olfactory sensilla are reviewed. (1). Sensilla basiconica which differ in form and size are found on the antennae of centipedes and millipedes. Their walls show longitudinal slits or grooves that either open into the sensillum lumen or do not penetrate the cuticle. In other such sensilla the outer surface is pierced by pores and the inner surface grooved and pocketed. These sensilla are innervated by one to six sensory cells. Their unbranched outer dendritic segments extend to the tip of the sensillum. The sensory cells are surrounded by two or three sheath cells which terminate at the sensillum base or form a continuous tube around the entire length of the outer dendritic segments. (2) Temporal organs of centipides are located between the insertion of the antenna and the ocelli. These sensilla consist of a shallow cuticular ring with a central sensory plate made up by a layer of unperforated cuticle or a capsule with a mushroomshaped structure inside formed by fibrouslooking cuticle. A dozen sensory cells with unbranched outer dendritic segments innervate each sensillum. They extend toward the sensory cuticle and pass just below it. Numerous sheath cell processes run parallel to the outer dendritic segments up to the sensory cuticle. (3) Threadlike flagella of Pauropoda are found on the antennae. They possess a flexible unperforated cuticular wall. These sensilla contain nine sensory cells surrounded by several sheath cells which form a continuous cytoplasmic tube around the outer dendritic segments. (4) Singlewalled sensilla with numerous plugged pores penetrating the cuticular wall occur on the tarsus of the first leg in ticks. Each sensillum is innervated by 415 sensory cells. Three sheath cells terminate in the base of the sensillum. (5) Doublewalled sensilla with spoke canals are found on the first tarsus of ticks. Their shaft is longitudinally grooved. Pore canals lead inward from the bottom of the grooves and open into vaseshaped chambers. From its base these canals extend into the lumen of the sensillum which contains unbranched outer dendritic segments of 12 sensory cells. (6) Singlewalled sensilla with pore openings occur on the distal tarsal segments of the first leg of whip spiders. These sensilla are innervated by 4045 sensory cells. Their unbranched outer dendritic segments fill the shaft lumen and extend partly into the wall pores. Microvillusshaped sheath cell processes line the inner surface of the cuticular wall. (7) Tarsal organs are located dorsally on the tarsus of all legs and pedipalps of spiders. These sensory organs consist of a cuticular capsule with a domeshaped projection inside. It is situated on the proximal sidewall of the capsule and possesses 7 pore canals that enclose the dendritic tips of 23 sensory cells, giving a total of 20 sensory cells. Each group of dendrites terminating in an individual pore canal is encased by 2 sheath cells.1992 WileyLiss, Inc. Copyright1992 WileyLiss, Inc.</t>
  </si>
  <si>
    <t>372-391</t>
  </si>
  <si>
    <t>60069038;60069038</t>
  </si>
  <si>
    <t>56249960300;35561105400</t>
  </si>
  <si>
    <t>Tichy, Harald;Barth, Friedrich G.</t>
  </si>
  <si>
    <t>Austria</t>
  </si>
  <si>
    <t>Vienna</t>
  </si>
  <si>
    <t>University of Vienna Institute of Zoology</t>
  </si>
  <si>
    <t>Tichy H.</t>
  </si>
  <si>
    <t>Fine structure of olfactory sensilla in myriapods and arachnids</t>
  </si>
  <si>
    <t>10.1002/jemt.1070220406</t>
  </si>
  <si>
    <t>2-s2.0-0026670568</t>
  </si>
  <si>
    <t>['stimulus transport', 'sensillum lymph', 'sensilla trichodea', 'sensilla basiconica', 'prolonged extraction', 'present hypotheses', 'pheromonesensitive sensilla', 'pheromonebinding protein', 'methodological peculiarities', 'lipid solvents', 'insect sensilla', 'hydrophilic tracers', 'hair lumen', 'general morphology', 'detection limit', 'copyright1992 wileyliss', 'briefly reviewed', 'auxiliary cells', 'antheraea polyphemus', 'also labelled', '1992 wileyliss']</t>
  </si>
  <si>
    <t>Antheraea polyphemus | Bombyx mori | Cryofixation | Olfactory sensilla</t>
  </si>
  <si>
    <t>The general morphology and methodological peculiarities of insect sensilla are briefly reviewed. The stimulus conducting poretubule systems of pheromonesensitive sensilla of the silkmoths Bombyx mori and Antheraea polyphemus are described. Lipophilic tracers readily enter the hair lumen, while hydrophilic tracers do so only after prolonged extraction with lipid solvents and/or pronase. Xray microanalysis demonstrates a high potassium content of the sensillum lymph; calcium was only found in the haemolymph above detection limit. Auxiliary cells rapidly take up radioactive leucine administered via the haemolymph. Antibodies against pheromonebinding protein of Antheraea polyphemus label the sensillum lymph of sensilla trichodea, but not of sensilla basiconica in A. polyphemus as well as in B. mori. The cytoplasm of auxiliary cells of the sensilla trichodea is also labelled. The results are discussed in context with present hypotheses on the role of sensillum lymph in stimulus transport and inactivation.1992 WileyLiss, Inc. Copyright1992 WileyLiss, Inc.</t>
  </si>
  <si>
    <t>336-350</t>
  </si>
  <si>
    <t>Steinbrecht, Rudolf Alexander</t>
  </si>
  <si>
    <t>Pocking</t>
  </si>
  <si>
    <t>Max Planck Institute for Ornithology</t>
  </si>
  <si>
    <t>Steinbrecht R.</t>
  </si>
  <si>
    <t>Experimental morphology of insect olfaction: Tracer studies, xray microanalysis, autoradiography, and immunocytochemistry with silkmoth antennae</t>
  </si>
  <si>
    <t>10.1002/jemt.1070220404</t>
  </si>
  <si>
    <t>2-s2.0-0026673975</t>
  </si>
  <si>
    <t>['wideband signals', 'time processing', 'moving objects', 'mo ).', 'immunity problem', 'different methods', 'comprehensive use', 'adaptive space']</t>
  </si>
  <si>
    <t>The comprehensive use of different methods of signal processing makes it possible to solve the interference-immunity problem of communication radio links. An approach, based on using an adaptive space-time processing of wideband signals in synthetic-aperture (SA) antenna systems turns out to be constructive in this case for communications with moving objects (MO).</t>
  </si>
  <si>
    <t>121-123</t>
  </si>
  <si>
    <t>6701693763;6602436817</t>
  </si>
  <si>
    <t>Rodimov, A. P.;Kobin, S. V.</t>
  </si>
  <si>
    <t>Rodimov A.</t>
  </si>
  <si>
    <t>Adaptive space. Time processing of wideband signals in synthetic-aperture antennas</t>
  </si>
  <si>
    <t>2-s2.0-0026678283</t>
  </si>
  <si>
    <t>['strong function', 'simple model', 'related schemes', 'medium properties', 'distance dependence', 'brief review', 'borehole experiment', 'ambient medium']</t>
  </si>
  <si>
    <t>In this brief review, we deal with the interaction of antennas with the ambient medium. Beginning with a simple model we show the frequency and distance dependence is a strong function of the medium properties. A borehole experiment is described and related schemes are discussed both from the telecommunications and the remote sensing points of view. ¬© 1992 IEEE</t>
  </si>
  <si>
    <t>200-203</t>
  </si>
  <si>
    <t>Wait, James R.</t>
  </si>
  <si>
    <t>Tucson</t>
  </si>
  <si>
    <t>East Waverly</t>
  </si>
  <si>
    <t>Wait J.</t>
  </si>
  <si>
    <t>Antennas in the Geophysical Environment‚ÄîSome Examples</t>
  </si>
  <si>
    <t>10.1109/5.119579</t>
  </si>
  <si>
    <t>2-s2.0-0026678923</t>
  </si>
  <si>
    <t>['¬© 1991', 'time according', 'three simulations', 'rotational springs', 'rotating base', 'rights reserved', 'rc algorithm', 'prescribed motion', 'long antenna', 'formulating equations', 'dimensional deformation', 'american institute']</t>
  </si>
  <si>
    <t>Rosenthal‚Äôs order-rc algorithm for formulating equations of motion of an n-degree-of-freedom multibody system is adapted to a situation where n itself changes with time according to a prescribed motion. Effectiveness of modeling a beam in this context by a series of rigid rods connected by rotational springs is demonstrated by comparison to a conventional approach using time-varying shape functions. The formulation is capable of describing large bending deformation of a beam undergoing large overall motion. This is illustrated by three simulations: extrusion/retraction of a beam from/into a base undergoing planar rotation, retraction of a tether into a rotating base, and three-dimensional deformation of a long antenna during spin-up of its base undergoing nonplanar rotation. ¬© 1991 by the American Institute of Aeronautics and Astronautics, Inc. All rights reserved.</t>
  </si>
  <si>
    <t>121-127</t>
  </si>
  <si>
    <t>Journal of Guidance, Control, and Dynamics</t>
  </si>
  <si>
    <t>Banerjee, Arun K.</t>
  </si>
  <si>
    <t>Boulevard</t>
  </si>
  <si>
    <t>Lockheed Martin Space Systems Company</t>
  </si>
  <si>
    <t>Banerjee A.</t>
  </si>
  <si>
    <t>Order-n formulation of extrusion of a beam with large bending and rotation</t>
  </si>
  <si>
    <t>10.2514/3.20809</t>
  </si>
  <si>
    <t>2-s2.0-0026678936</t>
  </si>
  <si>
    <t>['properties ).', 'new developments', 'material electromagnetic', 'many applications', 'including diagnostics', 'great impact', 'electromagnetic devices', 'common characteristic', 'biological applications', 'antennas may']</t>
  </si>
  <si>
    <t>Medical and biological applications of antennas may be classified into two broad groups: 1) therapeutic, and 2) informational (including diagnostics and measurement of material electromagnetic (EM) properties). Most of these applications involve electromagnetic coupling into or out of the body, which requires a device such as an antenna or other applicator. A common characteristic of many applications is the difficulty of coupling electromagnetic energy into the interior of the body without damaging the surface. Rapidly increasing computing power and new developments in numerical electromagnetic techniques are expected to have a great impact on the use of electromagnetic devices in medicine and biology. ¬© 1992 IEEE</t>
  </si>
  <si>
    <t>194-199</t>
  </si>
  <si>
    <t>Durney, Carl H.</t>
  </si>
  <si>
    <t>Salt Lake City</t>
  </si>
  <si>
    <t>The University of Utah</t>
  </si>
  <si>
    <t>Durney C.</t>
  </si>
  <si>
    <t>Antennas and Other Electromagnetic Applicators in Biology and Medicine</t>
  </si>
  <si>
    <t>10.1109/5.119578</t>
  </si>
  <si>
    <t>2-s2.0-0026679470</t>
  </si>
  <si>
    <t>['several types', 'complex platforms']</t>
  </si>
  <si>
    <t>The modeling of antennas on complex platforms is reviewed. The objective is to analyze the modification of the basic antenna performance due to its environment. This includes pattern distortion, antenna to antenna spacial coupling, and radiation hazard predictions. High frequency methods are used to develop computer codes to accomplish these tasks. Several types of generally available codes are discussed. ¬© 1992 IEEE</t>
  </si>
  <si>
    <t>204-208</t>
  </si>
  <si>
    <t>60003500;60003500</t>
  </si>
  <si>
    <t>7004052296;7004270570</t>
  </si>
  <si>
    <t>Marhefka, Ronald Joseph;Burnside, Walter Dennis</t>
  </si>
  <si>
    <t>Columbus</t>
  </si>
  <si>
    <t>The Ohio State University</t>
  </si>
  <si>
    <t>Marhefka R.</t>
  </si>
  <si>
    <t>Antennas on Complex Platforms</t>
  </si>
  <si>
    <t>10.1109/5.119580</t>
  </si>
  <si>
    <t>2-s2.0-0026679713</t>
  </si>
  <si>
    <t>['simple application', 'series representing', 'quantitative comparison', 'periodic green', 'functions involving']</t>
  </si>
  <si>
    <t>It is shown here that a simple application of the Chebyschev-Toeplitz algorithm enhances the rate of convergence of slowly converging series. The algorithm is applied to series representing the periodic Green's functions involving a single infinite summation. The algorithm yields highly accurate results within relatively fewer terms. A quantitative comparison is shown with methods previously reported in the literature. ¬© 1992 IEEE</t>
  </si>
  <si>
    <t>171-173</t>
  </si>
  <si>
    <t>60015573;60015573</t>
  </si>
  <si>
    <t>57221223108;7408223119</t>
  </si>
  <si>
    <t>Singh, Surendra;Singh, Ritu</t>
  </si>
  <si>
    <t>Tulsa</t>
  </si>
  <si>
    <t>The University of Tulsa</t>
  </si>
  <si>
    <t>Singh S.</t>
  </si>
  <si>
    <t>On the use of Chebyschev-Toeplitz Algorithm in Accelerating the Numerical Convergence of Infinite Series</t>
  </si>
  <si>
    <t>10.1109/22.108340</t>
  </si>
  <si>
    <t>2-s2.0-0026679958</t>
  </si>
  <si>
    <t>['various combinations', 'series representing', 'second kind', 'relative saving', 'partial sums', 'observation points', 'machine precision', 'computation time', 'also provided', 'also able', '20 terms']</t>
  </si>
  <si>
    <t>The application of sloped Œ∏ -algorithm to the partial sums of a slowly converging series is shown to accelerate its convergence. The algorithm is applied to accelerate the convergence of series representing the free-space periodic Green‚Äôs functions involving the zerothorder Hankel function of the second kind, and its associated Fourier transform. Numerical results indicate that the algorithm converges faster than the Shanks‚Äô transform. It is also able to sum the series to machine precision in about 20 terms. A relative error measure is shown as a function of the number of terms of various combinations of source and observation points. The relative saving in computation time is also provided to show the benefit of using the algorithm. ¬© 1992 IEEE</t>
  </si>
  <si>
    <t>168-171</t>
  </si>
  <si>
    <t>A Convergence Acceleration Procedure for Computing Slowly Converging Series</t>
  </si>
  <si>
    <t>10.1109/22.108339</t>
  </si>
  <si>
    <t>2-s2.0-0026679959</t>
  </si>
  <si>
    <t>['wiley company', 'radiation characteristics', 'patch antennas', 'inc .,', 'circular arrangement', 'article investigates', 'array configuration', 'aperture method']</t>
  </si>
  <si>
    <t>array, radiation pattern | Microstrip patch</t>
  </si>
  <si>
    <t>This article investigates the radiation characteristics of microstrip patch antennas located at arbitrary angular positions. The aperture method was employed to determine the radiated far field of the patch. A circular arrangement of the patch antennas was studied. The effect of the array configuration on the radiation characteristics are presented and analyzed. Copyright ¬© 1992 Wiley Periodicals, Inc., A Wiley Company</t>
  </si>
  <si>
    <t>60022144;60022144;60022144</t>
  </si>
  <si>
    <t>7004705420;35465847700;7003515438</t>
  </si>
  <si>
    <t>Wahid, P. F.;Christodoulou, C. G.;Rutkowski, K. A.</t>
  </si>
  <si>
    <t>Orlando</t>
  </si>
  <si>
    <t>University of Central Florida</t>
  </si>
  <si>
    <t>Wahid P.</t>
  </si>
  <si>
    <t>Radiated fields of microstrip patches at arbitrary angular positions</t>
  </si>
  <si>
    <t>10.1002/mop.4650050104</t>
  </si>
  <si>
    <t>2-s2.0-0026680150</t>
  </si>
  <si>
    <t>['œ ≤', 'terminal segment', 'strain u43', 'selective pressure', 'rhodobacter capsulatus', 'reaction center', 'ptpr15 )].', 'ptpr15 ).', 'positive lhi', 'photosynthetic unit', 'nh2 termini', 'mutations abolished', 'mutated protein', 'mutant strains', 'membranes purified', 'low light', 'lhi proteins', 'lhi complexes', 'lhi complex', 'intracytoplasmic membrane', 'hydrophobic stretch', 'higher amount', 'harvesting complex', 'frame duplication', 'detailed study', 'deletion present', 'changes introduced', 'carotenoid content', '9 bp', '11 reduced']</t>
  </si>
  <si>
    <t>The NH2 termini of light-harvesting complex I (LHI) polypeptides Œ± and Œ≤ of Rhodobacter capsulatus are thought to be involved in the assembly of the LHI complex. For a more detailed study of the role of the NH2-terminal segment of the LHI Œ± protein in insertion into the intracytoplasmic membrane (ICM) of R. capsulatus, amino acids 6 to 8, 9 to 11, 12 and 13, or 14 and 15 of the LHI Œ± protein were deleted. Additionally, the hydrophobic stretch of the amino acids 7 to 11 was lengthened by insertion of hydrophobic or hydrophilic amino acids. All mutations abolished the ability of the mutant strains to form a functional LHI antenna complex. All changes introduced into the LHI Œ± protein strongly reduced the stability of its LHI Œ≤ partner protein in the ICM. The effects on the mutated protein itself, however, were different. Deletion of amino acids 6 to 8, 9 to 11, or 14 and 15 drastically reduced the amount of the LHI Œ± protein inserted into the membrane or prevented its insertion. Deletion of amino acids 12 and 13 and lengthening of the stretch of amino acids 7 to 11 reduced the half-life of the mutated LHI Œ± protein in the ICM in comparison with the wild-type LHI Œ± protein. Under the selective pressure of low light, revertants which regained a functional LHI antenna complex were identified only for the mutant strain deleted of amino acids 9 to 11 of the LHI Œ± polypeptide [U43 (pTPR15)]. The restoration of the LHI+ phenotype was due to an in-frame duplication of 9 bp in the pufA gene directly upstream of the site of deletion present in strain U43(pTPR15). The duplicated nucleotides code for the amino acids Lys, Ile, and Trp. Membranes purified from the revertants were different from that of the reaction center-positive LHI+ LHII- control strain U43(pTX35) in doubling of the carotenoid content and increase of the size of the photosynthetic unit. By separating the reaction center and LHI complexes of the revertants by native preparative gel electrophoresis, we confirmed that the higher amount of carotenoids was associated with the LHI proteins.</t>
  </si>
  <si>
    <t>3030-3041</t>
  </si>
  <si>
    <t>Journal of Bacteriology</t>
  </si>
  <si>
    <t>60025641;60025641;60025641</t>
  </si>
  <si>
    <t>36861629400;24293252900;7102742634</t>
  </si>
  <si>
    <t>Richter, P.;Brand, M.;Drews, G.</t>
  </si>
  <si>
    <t>Freiburg im Breisgau</t>
  </si>
  <si>
    <t>Universit√§t Freiburg im Breisgau</t>
  </si>
  <si>
    <t>Richter P.</t>
  </si>
  <si>
    <t>Characterization of LHI&lt;sup&gt;-&lt;/sup&gt; and LHI&lt;sup&gt;+&lt;/sup&gt; Rhodobacter capsulatus pufA mutants</t>
  </si>
  <si>
    <t>10.1128/jb.174.9.3030-3041.1992</t>
  </si>
  <si>
    <t>2-s2.0-0026680590</t>
  </si>
  <si>
    <t>['¬© 1992', 'subjects described', 'sage publications', 'rights reserved', 'practical needs', 'interplanetary vehicles', 'flexible structures', 'closely linked', 'astronautical science', 'article reviews', 'adaptive structures', 'adaptive structure']</t>
  </si>
  <si>
    <t>adaptive structure | shape control | tension truss | variable geometry truss | vibration con trol</t>
  </si>
  <si>
    <t>This article reviews the research and development on adaptive structures and intelligent structural systems done by the structures and structural dynamic group at the Institute of Space and Astronautical Science (ISAS) from 1984 to 1990. Our activity is closely linked to the practical needs for actively controlled structures on board scientific satellites and interplanetary vehicles which ISAS launches annually. The subjects described here are: the proposal of novel structural concepts such as the variable geometry truss, the adaptive structure and the tension truss antenna; the proposal of vibration control schemes for flexible structures and the shape control scheme for precision antenna reflectors; and the study on construction of large space structures by assembling adaptive structures. ¬© 1992, Sage Publications. All rights reserved.</t>
  </si>
  <si>
    <t>54-74</t>
  </si>
  <si>
    <t>1045389x</t>
  </si>
  <si>
    <t>Journal of Intelligent Material Systems and Structures</t>
  </si>
  <si>
    <t>Miura, Koryo</t>
  </si>
  <si>
    <t>Sagamihara</t>
  </si>
  <si>
    <t>JAXA Institute of Space and Astronautical Science</t>
  </si>
  <si>
    <t>Miura K.</t>
  </si>
  <si>
    <t>Adaptive Structures Research at ISAS, 1984-1990</t>
  </si>
  <si>
    <t>10.1177/1045389X9200300104</t>
  </si>
  <si>
    <t>2-s2.0-0026680933</t>
  </si>
  <si>
    <t>['axis outside']</t>
  </si>
  <si>
    <t>A solution is obtained to the problem of synthesizing an axisymmetrical graded lens. The refractive index depends on the distance to the axis, one of the foci is located on the axis outside the lens, and the other is at infinity.</t>
  </si>
  <si>
    <t>55-60</t>
  </si>
  <si>
    <t>6507317199;7003747598</t>
  </si>
  <si>
    <t>Venetskiy, A. S.;Kaloshin, V. A.</t>
  </si>
  <si>
    <t>Venetskiy A.</t>
  </si>
  <si>
    <t>Synthesis of axisymmetrical graded lens antenna</t>
  </si>
  <si>
    <t>2-s2.0-0026680952</t>
  </si>
  <si>
    <t>['simplified detector', 'signal direction', 'ratio test', 'manner similar', 'look direction', 'limiting case', 'glrt detector', 'generalized likelihood', 'antenna array', 'adaptive algorithm']</t>
  </si>
  <si>
    <t>An adaptive algorithm for radar target detection using an antenna array is proposed. The detector is derived in a manner similar to that of the generalized likelihood-ratio test (GLRT) but contains a simplified test statistic that is a limiting case of the GLRT detector. This simplified detector is analyzed for performance to signals on boresight, as well as when the signal direction is misaligned with the look direction. ¬© 1992 IEEE</t>
  </si>
  <si>
    <t>208-216</t>
  </si>
  <si>
    <t>60010261;60010261;60024592;60015623</t>
  </si>
  <si>
    <t>7005953807;7007074378;36985843100;7004111273</t>
  </si>
  <si>
    <t>Robey, Frank C.;Fuhrmann, Daniel R.;Kelly, Edward J.;Nitzberg, Ramon</t>
  </si>
  <si>
    <t>Lexington;Boston;St. Louis</t>
  </si>
  <si>
    <t>Lincoln Laboratory;General Electric Company;Washington University in St. Louis</t>
  </si>
  <si>
    <t>60024592;60015623;60010261</t>
  </si>
  <si>
    <t>Robey F.C.</t>
  </si>
  <si>
    <t>A CFAR Adaptive Matched Filter Detector</t>
  </si>
  <si>
    <t>10.1109/7.135446</t>
  </si>
  <si>
    <t>2-s2.0-0026680976</t>
  </si>
  <si>
    <t>['waveguide environment', 'sis junctions', 'results show', 'port approximation', 'perform well', 'model measurements', 'gain calculations', 'applications using', '230 ghz']</t>
  </si>
  <si>
    <t>A three-port approximation of the quantum mixer theory is employed to perform mixer gain calculations at 230 GHz for SIS junctions with integrated tuning structures. In addition, the embedding impedance range of a waveguide mixer mount has been obtained from model measurements and has been included in the gain calculations. The results show that even moderately small junctions can perform well in a waveguide environment when an integrated tuning structure is used. A three-element tuning circuit is presented that would allow broad band operation with a fixed embedding impedance which is important for applications using a planar antenna structure. ¬© 1992 Plenum Publishing Corporation.</t>
  </si>
  <si>
    <t>15-26</t>
  </si>
  <si>
    <t>International Journal of Infrared and Millimeter Waves</t>
  </si>
  <si>
    <t>60024025;60024025;60024025</t>
  </si>
  <si>
    <t>56261483200;6507425377;6603760531</t>
  </si>
  <si>
    <t>Jacobs, K.;Kotthaus, U.;Vowinkel, B.</t>
  </si>
  <si>
    <t>Koln</t>
  </si>
  <si>
    <t>University of Cologne</t>
  </si>
  <si>
    <t>Jacobs K.</t>
  </si>
  <si>
    <t>Simulated performance and model measurements of an SIS waveguide mixer using integrated tuning structures</t>
  </si>
  <si>
    <t>10.1007/BF01011204</t>
  </si>
  <si>
    <t>2-s2.0-0026681943</t>
  </si>
  <si>
    <t>['sometimes unavoidable', 'resulting formulation', 'receiver antenna', 'properly interpreted', 'probability calculation', 'parametric range', 'paper presents', 'noise intensities', 'fall outside', 'error probability', 'entire range', 'compact plots', 'alternative system']</t>
  </si>
  <si>
    <t>Error probability | Incoherent | M‚Äêary | Optical PPM | Photon counting | Poisson</t>
  </si>
  <si>
    <t>In digital satellite‚Äêto‚Äêearth transmission the entry of substantial undesired solar radiation into the receiver antenna is sometimes unavoidable. When the signal transmission takes the form of incoherent optical pulse position modulation (PPM) the parameters of signal and consequent intense noise can fall outside the range of routinely available classical numerical results on symbol error probability. This paper presents an alternative system for parametrization of signal and noise in the classical PPM channel, i.e. that characterized by Poisson photon arrival statistics for signal itself, the noise itself, and the signal plus noise. The resulting formulation for error probability, the scheme for probability calculation, and the simple, compact plots of error probability versus newly conceived parameters cover the entire range of signal and noise intensities, from weakest to strongest. Of course, when properly interpreted the new results agree entirely with classically available numerical results within the parametric range of the former. Copyright ¬© 1992 John Wiley &amp; Sons, Ltd.</t>
  </si>
  <si>
    <t>15-19</t>
  </si>
  <si>
    <t>International Journal of Satellite Communications</t>
  </si>
  <si>
    <t>January/February 1992</t>
  </si>
  <si>
    <t>7005207070;7005782669</t>
  </si>
  <si>
    <t>Amoroso, Frank;Bricker, Jacob L.</t>
  </si>
  <si>
    <t>Amoroso F.</t>
  </si>
  <si>
    <t>New formulation and plots for error probability in the pulse position modulation (PPM) photon counting satellite‚Äêto‚Äêearth channel</t>
  </si>
  <si>
    <t>10.1002/sat.4600100103</t>
  </si>
  <si>
    <t>2-s2.0-0026682016</t>
  </si>
  <si>
    <t>['power pulse', 'novel features', 'frequency fields', 'electromagnetic radiation', 'dielectric film', 'back side']</t>
  </si>
  <si>
    <t>We show that microstrip patch antennas can be used to convert the energy of a high-power pulse of electromagnetic radiation into energy in the form of quasi-steady-state electric current. The conversion takes place in the microwave discharge plasma that appears at the surface of such antennas in vacuum when the dielectric film, which is metallized on its back side, has dimensions that exceed the wavelength of the radiation and the size of the patch. In this paper we describe the anomalous and novel features of this phenomenon, which involves the creation of low-frequency fields and currents in the plasma jet produced by the nanosecond microwave discharge on the dielectric film.</t>
  </si>
  <si>
    <t>110-113</t>
  </si>
  <si>
    <t>6602597985;7003766923</t>
  </si>
  <si>
    <t>Ravaev, A. A.;Loza, M. I.</t>
  </si>
  <si>
    <t>Ravaev A.</t>
  </si>
  <si>
    <t>Microstrip antenna. An effective converter of microwave radiant energy to steady-state current</t>
  </si>
  <si>
    <t>2-s2.0-0026682201</t>
  </si>
  <si>
    <t>['¬© 1992', 'transfer sequences', 'transfer sequence', 'terminal acceptor', 'sulfur clusters', 'sulfur centers', 'suggest occurs', 'spectral properties', 'sodium sulfide', 'selectively inhibit', 'room temperature', 'rights reserved', 'reinsertion ofiron', 'redox centers', 'recombination reaction', 'presence ofethylene', 'physiological electron', 'photosystem 1', 'photoactive antenna', 'p840 +.', 'p840 +,', 'optical measurements', 'ofpreparations isolated', 'ms phase', 'modified signal', 'mercaptoethanol restored', 'membrane preparation', 'kinetic interactions', 'higher concentrations', 'high concentrations', 'faster reaction', 'endogenous donor', 'cytochrome c553', 'complete electron', 'chlorobium preparation', 'centers fx', 'cells grown', 'biochemistry 29', 'another iron', 'acceptor side', '[( 1990', '80 œºs', '77 k', '7 ms', '50 œºs', '3842 ].', '3842 ],', '20 ms']</t>
  </si>
  <si>
    <t>The green sulfur bacterium Chlorobium vibrioforme was cultured in the presence ofethylene to selectively inhibit the synthesis ofthe chlorosome antenna BChl d. Use of these cells as starting material simplified the isolation of a photoactive antenna-depleted membrane fraction without the use of high concentrations of detergents. The preparation had a BChl a/P840 of 50, and the spectral properties were similar to those ofpreparations isolated from cells grown with a normal complement ofchlorosomes. The membrane preparation was active in NADP+ photoreduction. This indicated that the fraction contained reaction centers with complete electron-transfer sequences which were then characterized further by flash kinetic spectrophotometry and EPR. We confirmed that cytochrome c553 is the endogenous donor to P840+, and at room temperature we observed a recombination reaction between the reduced terminal acceptor and P840+ with a t1/2 = 7 ms. Oxidative degradation ofiron-sulfur centers using low concentrations ofchaotropic salts introduced a faster recombination reaction of t1/2 = 50 Œºs which was lost at higher concentrations of chaotrope, indicating the participation of another iron-sulfur redox center earlier than the terminal acceptor. Cluster insertion using ferric chloride and sodium sulfide in the presence of 2-mercaptoethanol restored both the 50-Œºs and 7-ms recombination reactions, allowing definitive assignments of these centers as iron-sulfur centers. Following the suggestion ofNitschke et al. [(1990) Biochemistry 29, 3834-3842], we associate these two kinetic phases to back-reactions between P840+ and iron-sulfur centers Fx and FAFB, respectively. The iron-sulfur cluster degradation and reconstitution protocols also led to inhibition and restoration of NADP+ photoreduction by the membrane preparation, providing unequivocal evidence for the function of the centers Fx and FAFB in the physiological electron-transfer sequence on the acceptor side of the Chlorobium reaction center. At 77 K we observed a recombination reaction of t1/2 = 20 ms that we suggest occurs between Fx- and P840+. Degradation of the iron-sulfur clusters resulted in replacement of the 20-ms phase with a faster reaction of t1/2 = 80 Œºs that was most likely a recombination between the early acceptor Af and P840+ or decay of 3P840. Analysis of the iron-sulfur centers in the preparation by EPR atcryogenic temperature supports the optical measurements. EPR signals originating from the terminal acceptor(s) were not observed following treatment of the membrane preparation by chaotropes, and a modified signal was restored following cluster reinsertion. The reinsertion ofiron-sulfur clusters in the Chlorobium preparation did not require the addition of any polypeptides, and the inclusion of psaC and psaD gene products that are required for the reconstitution of photosystem 1 did not increase the extent ofthe Chlorobium reconstitution. Kinetic interactions between the redox centers are discussed with reference to the model ofthe Chlorobium reaction center proposed by Nitschke et al. [(1990) Biochemistry 29, 3834-3842]. ¬© 1992, American Chemical Society. All rights reserved.</t>
  </si>
  <si>
    <t>4354-4363</t>
  </si>
  <si>
    <t>Biochemistry</t>
  </si>
  <si>
    <t>60011460;60011460;60019160;60028609;60028609</t>
  </si>
  <si>
    <t>15075842200;7005845761;7406531143;57216599226;57201080293</t>
  </si>
  <si>
    <t>Liu, Xingmin;Biggins, John;Miller, Mette;Snyder, Seth W.;Thurnauer, Marion C.</t>
  </si>
  <si>
    <t>United States;Denmark;United States</t>
  </si>
  <si>
    <t>Lemont;Odense;Providence</t>
  </si>
  <si>
    <t>Argonne National Laboratory;Syddansk Universitet;Brown University</t>
  </si>
  <si>
    <t>60028609;60019160;60011460</t>
  </si>
  <si>
    <t>Liu X.</t>
  </si>
  <si>
    <t>Photosynthetic Electron-Transfer Reactions in the Green Sulfur Bacterium Chlorobium Vibrioforme: Evidence for the Functional Involvement of Iron-Sulfur Redox Centers on the Acceptor Side of the Reaction Center</t>
  </si>
  <si>
    <t>10.1021/bi00132a028</t>
  </si>
  <si>
    <t>2-s2.0-0026689266</t>
  </si>
  <si>
    <t>['¬© 1992', 'uniform treatment', 'special case', 'rights reserved', 'reciprocity theorem', 'numerical studies', 'lead fields', 'extracranial stimulation', 'electric field', 'electric dipole', 'dimensional focusing', 'depth electrodes', 'currently available', 'constant conductivity', 'conductivity profile', 'conductivity jumps', 'biophysical society', 'also surface']</t>
  </si>
  <si>
    <t>We prove that, at the frequencies generally proposed for extracranial stimulation of the brain, it is not possible, using any superposition of external current sources, to produce a three-dimensional local maximum of the electric field strength inside the brain. The maximum always occurs on a boundary where the conductivity jumps in value. Nevertheless, it may be possible to achieve greater two-dimensional focusing and shaping of the electric field than is currently available. Towards this goal we have used the reciprocity theorem to present a uniform treatment of the electric field inside a conducting medium produced by a variety of sources: an external magnetic dipole (current loop), an external electric dipole (linear antenna), and surface and depth electrodes. This formulation makes use of the lead fields from magneto- and electroencephalography. For the special case of a system with spherically symmetric conductivity, we derive a simple analytic formula for the electric field due to an external magnetic dipole. This formula is independent of the conductivity profile and therefore embraces spherical models with any number of shells. This explains the "insensitivity" to the skull's conductivity that has been described in numerical studies. We also present analytic formulas for the electric field due to an electric dipole, and also surface and depth electrodes, for the case of a sphere of constant conductivity. ¬© 1992, The Biophysical Society. All rights reserved.</t>
  </si>
  <si>
    <t>129-138</t>
  </si>
  <si>
    <t>60006164;60006164</t>
  </si>
  <si>
    <t>22971503200;6603274259</t>
  </si>
  <si>
    <t>Heller, L.;van Hulsteyn, D. B.</t>
  </si>
  <si>
    <t>Los Alamos</t>
  </si>
  <si>
    <t>Los Alamos National Laboratory</t>
  </si>
  <si>
    <t>Heller L.</t>
  </si>
  <si>
    <t>Brain stimulation using electromagnetic sources: theoretical aspects</t>
  </si>
  <si>
    <t>S0006349592815874</t>
  </si>
  <si>
    <t>10.1016/S0006-3495(92)81587-4</t>
  </si>
  <si>
    <t>2-s2.0-0026690273</t>
  </si>
  <si>
    <t>['value close', 'sds gels', 'reaction centre', 'pufx polypeptide', 'puf operon', 'predicted mass', 'photoheterotrophic growth', 'observed lack', 'nonphotosynthetic phenotype', 'may play', 'lhi complex', 'lhi ),', 'gene product', 'functional reinsertion', 'critical role', 'components required', 'although expression', 'also demonstrate', '9 kda', '10 000']</t>
  </si>
  <si>
    <t>Cyclic electron transfer | Light harvesting | Puf operon | Rhodobacter sphaeroides</t>
  </si>
  <si>
    <t>The puf operon in Rhodobacter sphaeroides contains the genes for the light-harvesting antenna complex I (LHI), the reaction centre (RC) L and M subunits and an additional small open reading frame identified as pufX. It has been demonstrated before that a photosynthetically incompetent pufLMX deletion strain was not complemented by a plasmid-borne truncated puf operon version lacking only pufX, although expression of the pufL and pufM gene products was restored. We demonstrate here that the functional reinsertion of only the pufX open reading frame into the same construct is sufficient and necessary for complementation of the nonphotosynthetic phenotype. We also demonstrate that the observed lack of photoheterotrophic growth in the absence of pufX is not the result of decreased lightharvesting ability, but rather the result of an impairment in light-driven cyclic electron transfer. Western blots using polyclonal antibodies against a synthetic peptide corresponding to a portion of the DNA-derived pufX amino acid sequence showed that the pufX open reading frame is expressed and that the gene product has an M(r) of 8-10 000 on SDS gels; a value close to the predicted mass of 9 kDa. The pufX polypeptide was localized to the intracytoplasmic membrane fraction and appeared to co-purify with the RC - LHI complex. It is suggested that the pufX polypeptide is associated with the RC - LHI complex and that it may play a critical role in facilitating the interaction between this complex and other components required for light-driven cyclic electron transfer.</t>
  </si>
  <si>
    <t>2779-2788</t>
  </si>
  <si>
    <t>60006070;60006070;60006070;60006070</t>
  </si>
  <si>
    <t>6602688325;55729258600;6504105325;7101607962</t>
  </si>
  <si>
    <t>Farchaus, J. W.;Barz, W. P.;Grunberg, Z.;Oesterhelt, D.</t>
  </si>
  <si>
    <t>Planegg</t>
  </si>
  <si>
    <t>Max Planck Institute for Biochemistry</t>
  </si>
  <si>
    <t>Farchaus J.W.</t>
  </si>
  <si>
    <t>Studies on the expression of the pufX polypeptide and its requirement for photoheterotrophic growth in Rhodobacter sphaeroides</t>
  </si>
  <si>
    <t>10.1002/j.1460-2075.1992.tb05345.x</t>
  </si>
  <si>
    <t>2-s2.0-0026691439</t>
  </si>
  <si>
    <t>['spacecraft design', 'spaceborne computing', 'renewed interest', 'drag compensation', 'doppler tracking', 'capable satellites', 'attitude control']</t>
  </si>
  <si>
    <t>The Applied Physics Laboratory has made several important contributions to spacecraft design in the fields of Doppler tracking and navigation, attitude control, mechanisms, drag compensation, antennas, spaceborne computing, and autonomous satellite positioning. Many of these innovations have since become standard spacecraft techniques. Others are being rediscovered in the light of renewed interest in small, mission-capable satellites.</t>
  </si>
  <si>
    <t>167-181</t>
  </si>
  <si>
    <t>Johns Hopkins APL Technical Digest (Applied Physics Laboratory)</t>
  </si>
  <si>
    <t>Hoffman, Eric J.</t>
  </si>
  <si>
    <t>Hoffman E.</t>
  </si>
  <si>
    <t>Spacecraft design innovations in the APL space department</t>
  </si>
  <si>
    <t>2-s2.0-0026692409</t>
  </si>
  <si>
    <t>['paper traces', 'fundamental principles', 'arraying principles', 'antenna radiation', 'antenna parameters', 'antenna analysis']</t>
  </si>
  <si>
    <t>This paper is a tutorial on the theory of antennas, and it has been written as an introduction for the nonspecialist and as a review for the expert. The paper traces the history of antennas and some of the most basic radiating elements, demonstrates the fundamental principles of antenna radiation, reviews Maxwell‚Äôs equations and electromagnetic boundary conditions, and outlines basic procedures and equations of radiation. Modeling of antenna source excitation is illustrated, and antenna parameters and figures-of-merit are reviewed. Finally, theorems, arraying principles, and advanced asymptotic methods for antenna analysis and design are summarized. ¬© 1992 IEEE</t>
  </si>
  <si>
    <t>Balanis, Constantine A.</t>
  </si>
  <si>
    <t>Tempe</t>
  </si>
  <si>
    <t>Arizona State University</t>
  </si>
  <si>
    <t>Balanis C.A.</t>
  </si>
  <si>
    <t>Antenna Theory: A Review</t>
  </si>
  <si>
    <t>10.1109/5.119564</t>
  </si>
  <si>
    <t>2-s2.0-0026692555</t>
  </si>
  <si>
    <t>['weli tolerated', 'uveitic glaucoma', 'two eyes', 'treatment ).', 'rubeotic glaucoma', 'reduced doses', 'primary treatment', 'plaque radiotherapy', 'plaque brachytherapy', 'placed beneath', 'one death', 'might preclude', 'microwave thermoradiotherapy', 'microwave heating', 'mean follow', 'levels used', 'cutaneous melanomas', 'choroidal melanoma', 'apex dose', 'adverse effects', '50 gy', '45 minutes', '44 patients', '39 months']</t>
  </si>
  <si>
    <t>Microwave thermoradiotherapy was used as a primary treatment for 44 patients with choroidal melanoma. An episcleral dishshaped microwave antenna was placed beneath the tumour at the time of plaque brachytherapy. While temperatures were measured at the sclera, the tumour's apex was targeted to receive a minimum of 42¬∞C for 45 minutes. In addition, the patients received full or reduced doses of plaque radiotherapy. No patients have been lost to foliow-up. Two eyes have been enucleated: one for rubeotic glaucoma, and one for uveitic glaucoma. Though six patients have died, only one death was due to metastatic choroidal melanoma (39 months after treatment). Clinical observations suggest that the addition of microwave heating to plaque radiation therapy of choroidal melanoma has been weli tolerated. There has been a 97-7% local control rate (with a mean follow-up of 22.2 months). We have reduced the minimum tumour radiation dose (apex dose) to levels used for thermoradiotherapy of cutaneous melanomas (50 Gy/5000 rad). Within the range of this foliow-up period no adverse effects which might preclude the use of this microwave heat delivery system for treatment of choroidal melanoma have been noted.</t>
  </si>
  <si>
    <t>358-364</t>
  </si>
  <si>
    <t>British Journal of Ophthalmology</t>
  </si>
  <si>
    <t>60019970-60006022-60006221</t>
  </si>
  <si>
    <t>Finger, Paul T.</t>
  </si>
  <si>
    <t>Manhasset;Upton;New York</t>
  </si>
  <si>
    <t>North Shore University Hospital;Brookhaven National Laboratory;New York Eye and Ear Infirmary</t>
  </si>
  <si>
    <t>60019970;60006221;60006022</t>
  </si>
  <si>
    <t>Finger P.</t>
  </si>
  <si>
    <t>Microwave plaque thermoradiotherapy for choroidal melanoma</t>
  </si>
  <si>
    <t>10.1136/bjo.76.6.358</t>
  </si>
  <si>
    <t>2-s2.0-0026694952</t>
  </si>
  <si>
    <t>['wiley company', 'theoretical analysis', 'rotation depends', 'rotation around', 'radiation pattern', 'novel antenna', 'inc .,', 'constitutive relations', 'chirality iœµe', 'chiral materials', 'axis normal']</t>
  </si>
  <si>
    <t>antenna | Chiral material | microstrip | radiation pattern</t>
  </si>
  <si>
    <t>We present certain novel characteristics of the radiation pattern of a chirostrip dipole antenna which consists of a short horizontal dipole antenna on a grounded chiral substrate. Chiral materials are characterized by constitutive relations D = œµeE + iœµcB and H = B/Œºc + iœµeE. In our theoretical analysis we show that the radiation pattern of a simple chirostrip horizontal dipole undergoes a rotation around the axis normal to the substrate and that this rotation depends on the value of the chirality iœµe. Applications of this novel antenna are mentioned. Copyright ¬© 1992 Wiley Periodicals, Inc., A Wiley Company</t>
  </si>
  <si>
    <t>31-34</t>
  </si>
  <si>
    <t>6602927057;7005850584</t>
  </si>
  <si>
    <t>Pelet, Philippe;Engheta, Nader</t>
  </si>
  <si>
    <t>Pelet P.</t>
  </si>
  <si>
    <t>Novel rotational characteristics of radiation patterns of chirostrip dipole antennas</t>
  </si>
  <si>
    <t>10.1002/mop.4650050110</t>
  </si>
  <si>
    <t>2-s2.0-0026696521</t>
  </si>
  <si>
    <t>['trisphosphate receptor', 'third chromosome', 'signaling system', 'region 83a5', 'polypeptide encoded', 'olfactory transduction', 'muscular system', 'mouse insp3r', 'insp3r mrna', 'insp3 binding', 'inositol 1', 'functionally expressed', 'drosophila melanogaster', 'cdna encoding', 'binding activity', 'apparently consistent']</t>
  </si>
  <si>
    <t>We isolated a cDNA encoding an inositol 1,4,5-trisphosphate receptor (InsP3R) of Drosophila melanogaster. The predicted Drosophila InsP3R (2,833 amino acids) has extensive sequence similarity to the mouse InsP3R. The polypeptide encoded by the cDNA was functionally expressed and showed characteristic InsP3-binding activity. The Drosophila InsP3R gene is located at the region 83A5-9 on the third chromosome and expresses throughout development but predominantly in the adult. Localization of the InsP3R mRNA in adult tissues suggests strong expression in the retina and antenna, indicating the involvement of the InsP3R in visual and olfactory transduction. In addition, the InsP3R mRNA is abundant in the legs and thorax, which are enriched with a muscular system. Such localization is apparently consistent with the quantitatively predominant sites for [3H]InsP3 binding in Drosophila and the fleshfly (Boettcherisca peregrina). The present study points to the likely functional importance of the InsP3/Ca2+ signaling system in Drosophila.</t>
  </si>
  <si>
    <t>16613-16619</t>
  </si>
  <si>
    <t>60025272;60025272;60025272;60025272;60025272;60025272;60025272</t>
  </si>
  <si>
    <t>7202952195;7006346904;7005760634;57199925780;7003817938;7005260284;35415007100</t>
  </si>
  <si>
    <t>Yoshikawa, S.;Tanimura, T.;Miyawaki, A.;Nakamura, M.;Yuzaki, M.;Furuichi, T.;Mikoshiba, K.</t>
  </si>
  <si>
    <t>The University of Tokyo</t>
  </si>
  <si>
    <t>Yoshikawa S.</t>
  </si>
  <si>
    <t>Molecular cloning and characterization of the inositol 1,4,5-trisphosphate receptor in Drosophila melanogaster</t>
  </si>
  <si>
    <t>2-s2.0-0026699165</t>
  </si>
  <si>
    <t>['tormogen cells', 'thecogen cell', 'thcogen cell', 'stimulus transport', 'sensilla trichodea', 'receptor cells', 'receptor cell', 'purified pheromone', 'protein secretion', 'performed using', 'multivesicular bodies', 'mainly found', 'lymph cavities', 'like structures', 'labelled except', 'label indicates', 'intracellular label', 'intracellular distribution', 'important role', 'immunocytochemical findings', 'homologous proteins', 'hitherto assumed', 'higher specificity', 'heavily labelled', 'hair lumen', 'golgi apparatus', 'endoplasmic reticulum', 'endocytotic pits', 'embedding immunocytochemistry', 'dense granules', 'current concepts', 'cell membranes', 'bombyx mori', 'binding proteins', 'binding protein', 'autographa gamma', 'antheraea polyphemus', 'antennal homogenates', 'also labelled']</t>
  </si>
  <si>
    <t>Antheraea polyphemus, Bombyx mori, Autographa gamma (Insecta) | Cryofixation | Freeze-substitution | Immunogold labelling | Odorant-binding protein | Olfaction | Sensillum trichodeum</t>
  </si>
  <si>
    <t>Odorant-binding proteins are supposed to play an important role in stimulus transport and/or inactivation in olfactory sense organs. In an attempt to precisely localize pheromone-binding protein in the antenna of moths, post-embedding immunocytochemistry was performed using an antiserum against purified pheromone-binding protein of Antheraea polyphemus. In immunoblots of antennal homogenates, the antiserum reacted exclusively with pheromone-binding protein of A. polyphemus, and cross-reacted with homologous proteins of Bombyx mori and Autographa gamma. On sections of antennae of male A. polyphemus and B. mori, exclusively the pheromone-sensitive sensilla trichodea are labelled; in A. gamma, label is restricted to a subpopulation of morphologically similar sensilla trichodea, which indicates that not all pheromone-sensitive sensilla contain the same type of pheromone-binding protein and accounts for a higher specificity of pheromone-binding protein than hitherto assumed. Within the sensilla trichodea, the extracellular sensillum lymph of the hair lumen and of the sensillum-lymph cavities is heavily labelled. Intracellular label is mainly found in the trichogen and tormogen cells: in endoplasmic reticulum, Golgi apparatus, and a variety of dense granules. Endocytotic pits and vesicles, multivesicular bodies and lysosome-like structures are also labelled and can be observed not only in these cells, but also in the thcogen cell and in the receptor cells. Cell membranes are not labelled except the border between thecogen cell and receptor cell and the autojunction of the thecogen cell. The intracellular distribution of label indicates that pheromone-binding protein is synthesized in the tormogen and trichogen cell along typical pathways of protein secretion, whereas its turnover and decomposition does not appear to be restricted to these cells but may also occur in the thecogen and receptor cells. The immunocytochemical findings are discussed with respect to current concepts of the function of pheromone-binding protein. ¬© 1992 Springer-Verlag.</t>
  </si>
  <si>
    <t>287-302</t>
  </si>
  <si>
    <t>0302766X</t>
  </si>
  <si>
    <t>Cell &amp; Tissue Research</t>
  </si>
  <si>
    <t>60005460;60024322;60005460</t>
  </si>
  <si>
    <t>7003953871;7402318814;57217532540</t>
  </si>
  <si>
    <t>Steinbrecht, R. A.;Ozaki, M.;Ziegelberger, G.</t>
  </si>
  <si>
    <t>Japan;Germany</t>
  </si>
  <si>
    <t>Suita;Pocking</t>
  </si>
  <si>
    <t>Osaka University;Max Planck Institute for Ornithology</t>
  </si>
  <si>
    <t>60024322;60005460</t>
  </si>
  <si>
    <t>Steinbrecht R.A.</t>
  </si>
  <si>
    <t>Immunocytochemical localization of pheromone-binding protein in moth antennae</t>
  </si>
  <si>
    <t>10.1007/BF00328015</t>
  </si>
  <si>
    <t>2-s2.0-0026702207</t>
  </si>
  <si>
    <t>['¬© 1992', 'vaginal wall', 'vaginal obturator', 'vaginal mucosa', 'two free', 'three patients', 'therapeutic heating', 'shorted ),', 'rotated around', 'provide grooves', 'power deposition', 'outer wall', 'obturator catheters', 'obturator array', 'modified dipole', 'made along', 'irradiate solely', 'interstitial techniques', 'interstitial catheters', 'implanted catheters', 'helical antennas', 'four non', 'equivalent phantom', 'dipole tip', 'diagonal transect', 'circumferential implants', 'central axis', 'array center', 'adjacent pairs', '8 cm', '42 %.', '25 sec']</t>
  </si>
  <si>
    <t>Cancer | Dipole antennas | Helical antennas | Hyperthermia | Interstitial | Intracavitary | Microwave | SAR</t>
  </si>
  <si>
    <t>A vaginal obturator was fabricated to be used in combination with implanted catheters to provide microwave hyperthermia and brachytherapy to the vulva and vaginal wall. This site is difficult to heat or irradiate solely with interstitial techniques. The obturator was modified to provide grooves for the mounting of interstitial catheters into the outer wall and was matched with a template for circumferential implants. Power deposition tests were done using arrays of three microwave antenna designs: dipole (hA = hB = 3.9 cm), helical (3.9 cm coil, shorted), and modified dipole (1.0 cm helix on dipole tip) to test the performance of the obturator. The obturator and four non-obturator catheters were positioned in muscle-equivalent phantom. Two obturator catheters along with two free-standing catheters formed the obturator array. Four freestanding catheters formed the non-obturator array. Power deposition or specific absorption rate (SAR) measurements were made along the central axis, bisect, and diagonal transect of each array. SAR results showed that antennas in the obturator wall radiated as dipole theory predicts, although with less power density when compared to antennas in the same catheters spaced 1.8 cm from the obturator. This could be compensated for by increasing the power to the antennas in the obturator by 42%. Adjacent pairs of antennas were placed 90¬∞ out of phase for 0.25 sec and rotated around the array. Phase rotation demonstrated that the central array SAR peaks could be lowered from 100% to 50% SAR, with dipole antennas thus resulting in lowered peak temperatures and the ability to heat larger volumes by improving the distribution of power. With helical antennas, there was 50% SAR at the array center when operated coherently without phase rotation. Three patients were treated with the obturator and a custom-made template using dipole antennas, and temperatures were measured in five obturator catheters. Therapeutic heating was measured in the catheters on the obturator between antennas in contact with the vaginal mucosa. ¬© 1992.</t>
  </si>
  <si>
    <t>189-199</t>
  </si>
  <si>
    <t>60030443;60030443;60030443</t>
  </si>
  <si>
    <t>57197374123;55741176200;7007000893</t>
  </si>
  <si>
    <t>Ryan, Thomas P.;Taylor, James H.;Coughlin, Christopher T.</t>
  </si>
  <si>
    <t>Hanover</t>
  </si>
  <si>
    <t>Thayer School of Engineering at Dartmouth</t>
  </si>
  <si>
    <t>Ryan T.</t>
  </si>
  <si>
    <t>Interstitial microwave hyperthermia and brachytherapy for malignancies of the vulva and vagina I: Design and testing of a modified intracavitary obturator</t>
  </si>
  <si>
    <t>10.1016/0360-3016(92)90560-5</t>
  </si>
  <si>
    <t>2-s2.0-0026703612</t>
  </si>
  <si>
    <t>['would limit', 'wiley company', 'varying degrees', 'tissue temperature', 'therapeutic temperatures', 'therapeutic effects', 'studies demonstrate', 'scientific fashion', 'reached within', 'prostek 3000', 'prostatic urethra', 'prostatic inflammation', 'periurethral zone', 'periurethral prostate', 'perineal urethrostomy', 'microwave hyperthermia', 'local hyperthermia', 'linear array', 'intraurethral temperatures', 'individual dogs', 'inc .,', 'heat applied', 'foley catheter', 'even prior', 'direct control', 'clinical efficacy', 'cellular effects', 'catheter alongside', 'canine prostates', 'canine prostate', 'bladder opened', 'basic information', '37 ¬∞', '30 min', '1 hr', '1 cm']</t>
  </si>
  <si>
    <t>benign prostatic hyperplasia | dog model | hyperthermia</t>
  </si>
  <si>
    <t>Although the therapeutic effects of heat on tumors have been known for more than a century, only recently has hyperthermia been applied in the treatment of various solid tumors in a scientific fashion. In preliminary clinical trials, heat applied by transurethrally or transrectally placed microwave antennas has been used in the treatment of benign prostatic hyperplasia (BPH) with some success. However, basic information about prostatic temperature distribution and the cellular effects of hyperthermia is lacking. In an attempt to establish the safety of local hyperthermia of the prostate and the precise temperature distribution within the gland, we performed temperature mapping studies in canine prostates. Eight mongrel dogs were anesthetized, and a 16 Fr catheter with three helical coil microwave antennas was placed in the bladder through a perineal urethrostomy. Laparotomy was performed and the bladder opened. The antennas were placed under direct control in the prostatic urethra. Linear array and single point thermometers (Clini‚ÄêTherm TS1200 thermometry system) were placed (1) within the catheter alongside the antennas, (2) alongside the Foley catheter in the urethra, and (3) longitudinally and radially in the prostate for mapping of tissue temperature. Heating was performed with a 915‚ÄêMHz ISM frequency Z‚Äê80 microprocessor controlled microwave power generator (Prostek 3000, Clini‚ÄêTherm Corporation, Dallas, TX) using 2‚Äì9 watts per channel (6‚Äì27 watts total) for 30 min to 1 hr. Baseline body temperatures varied between the individual dogs from 37¬∞ to 38¬∞C, but temperature distribution within the prostate was even prior to heating. With relatively low power (6 watts total), temperatures of Àú45¬∞C were reached within the catheter. Therapeutic temperatures of Àú43¬∞C were achieved in the periurethral prostate. Intraurethral temperatures were in general 1‚Äì2¬∞C lower than within the catheter. The radial temperature dropoff in the prostate was sharp and about 1¬∞C per 3‚Äêmm distance from the catheter. This would limit the area of effectiveness to a periurethral zone of 1 cm in diameter in this model. No unsafe temperature peaks were noted either intraurethrally or between the prostate and the rectum during steady‚Äêstate conditions. Histologic studies demonstrated an intact rectal wall and varying degrees of prostatic inflammation and/or necrosis despite uniform treatment regimens administered. These studies demonstrate the short‚Äêterm safety of microwave hyperthermia in the canine prostate. Further studies will be necessary to determine the clinical efficacy and toxicity in men with BPH. Copyright ¬© 1992 Wiley‚ÄêLiss, Inc., A Wiley Company</t>
  </si>
  <si>
    <t>97-104</t>
  </si>
  <si>
    <t>The Prostate</t>
  </si>
  <si>
    <t>60026695;60026695;60026695</t>
  </si>
  <si>
    <t>7004802912;7003684254;7203040832</t>
  </si>
  <si>
    <t>Roehrborn, Claus G.;Krongrad, Arnon;McConnell, John D.</t>
  </si>
  <si>
    <t>Dallas</t>
  </si>
  <si>
    <t>UT Southwestern Medical Center</t>
  </si>
  <si>
    <t>Roehrborn C.</t>
  </si>
  <si>
    <t>Temperature mapping in the canine prostate during transurethrally‚Äêapplied local microwave hyperthermia</t>
  </si>
  <si>
    <t>10.1002/pros.2990200204</t>
  </si>
  <si>
    <t>2-s2.0-0026704050</t>
  </si>
  <si>
    <t>['wave antennas', 'two areas', 'third group', 'substantial progress', 'recent years', 'radiating elements', 'passive circuits', 'open mm', 'new class', 'monolithic form', 'microstrip antennas', 'major advances', 'interesting developments', 'integrated antennas']</t>
  </si>
  <si>
    <t>Major advances in mm-wave antennas have been made in recent years in particular in two areas. A new class of leaky-wave antennas based on open mm-waveguides has been proposed and investigated; and substantial progress has been achieved in integrated antennas where active and passive circuits, possibly in monolithic form, are combined with the radiating elements in one compact unit. Interesting developments have taken place also in a third group of mm-wave antennas, that of microstrip antennas and printed circuit antennas in general. An attempt is made to summarize these developments. ¬© 1992 IEEE</t>
  </si>
  <si>
    <t>92-102</t>
  </si>
  <si>
    <t>Schwering, Felix K.</t>
  </si>
  <si>
    <t>Fort Monmouth</t>
  </si>
  <si>
    <t>U.S. Army Communications and Electronics Command</t>
  </si>
  <si>
    <t>Schwering F.</t>
  </si>
  <si>
    <t>Millimeter Wave Antennas</t>
  </si>
  <si>
    <t>10.1109/5.119569</t>
  </si>
  <si>
    <t>2-s2.0-0026706033</t>
  </si>
  <si>
    <t>['reflector antennas', 'physical optics', 'introducing shadows', 'improved method', 'different locations', 'blockage effects', 'axial direction', 'accurately accounted']</t>
  </si>
  <si>
    <t>An improved method is presented to account for blockage effects in the analysis of reflector antennas. Commonly this is done by introducing shadows on the reflector surface according to the location of the obstacles when performing the physical optics (PO) integration. By using physical optics blockage currents located at the blocking obstacle instead of at the main reflector surface, the effect of the different locations in the axial direction is accurately accounted for. This can easily be included by a simple phase factor in existing computer programs based on physical optics integration. ¬© 1992 IEEE</t>
  </si>
  <si>
    <t>100-102</t>
  </si>
  <si>
    <t>60000990;60000990</t>
  </si>
  <si>
    <t>6603460142;7101988263</t>
  </si>
  <si>
    <t>Moldsvor, Arild;Kildal, Per Simon</t>
  </si>
  <si>
    <t>Gothenburg</t>
  </si>
  <si>
    <t>Chalmers University of Technology</t>
  </si>
  <si>
    <t>Moldsvor A.</t>
  </si>
  <si>
    <t>Analysis of Aperture Blockage in Reflector Antennas by Using Obstacle-Located Blockage Currents</t>
  </si>
  <si>
    <t>10.1109/8.123364</t>
  </si>
  <si>
    <t>2-s2.0-0026706034</t>
  </si>
  <si>
    <t>['surface wave', 'space wave', 'radiation resistance', 'radiated power', 'far field', 'derived elsewhere', 'derive expressions', 'corresponding formulas', 'copyright 1992']</t>
  </si>
  <si>
    <t>The formulas for the complete electromagnetic field of a unit horizontal electric dipole on the surface of a dielectric‚Äêcoated conductor (microstrip) as derived elsewhere are written down and used to derive expressions for the far field. This includes the space wave and the surface wave. The radiated power and radiation resistance are derived. The corresponding formulas for the far field of an antiresonant rectangular patch antenna with an assumed sinusoidal current distribution are derived. Copyright 1992 by the American Geophysical Union.</t>
  </si>
  <si>
    <t>71-78</t>
  </si>
  <si>
    <t>King, Ronold W.P.</t>
  </si>
  <si>
    <t>King R.</t>
  </si>
  <si>
    <t>Electromagnetic field of dipoles and patch antennas on microstrip</t>
  </si>
  <si>
    <t>10.1029/91RS02635</t>
  </si>
  <si>
    <t>2-s2.0-0026711459</t>
  </si>
  <si>
    <t>Air Force Office of Scientific Research</t>
  </si>
  <si>
    <t>AFOSR</t>
  </si>
  <si>
    <t>['transmitting information', 'thus providing', 'quantitative study', 'millimeter waves', 'microwatt levels', 'light intensity', 'ingaas hemt', 'fet gate']</t>
  </si>
  <si>
    <t>Continuously tunable 49‚Äì67 GHz millimeter wave radiation has been generated using optical mixing in AlGaAs/InGaAs HEMT's integrated with both quasi-optical antenna circuits and multistage MMIC amplifiers. Using these systems, microwatt levels of millimeter wave power has been generated. A quantitative study of the signal strength versus bias, polarization, and light intensity was performed. In addition, the millimeter waves were modulated by applying a RF signal (&lt;; 1 GHz) to the FET gate. Using this technique, tunable electrical sidebands were added to the optically generated 60 GHz carrier, thus providing a method of transmitting information. ¬© 1992 IEEE</t>
  </si>
  <si>
    <t>102-105</t>
  </si>
  <si>
    <t>IEEE Photonics Technology Letters</t>
  </si>
  <si>
    <t>60027550;60027550;60027550;60025209;60025209;60025209</t>
  </si>
  <si>
    <t>7006054958;7404952877;7006388096;7402573047;56309634700;7403999978</t>
  </si>
  <si>
    <t>Plant, D. V.;Scott, D. C.;Fetterman, H. R.;Shaw, L. K.;Jones, W.;Tan, K. L.</t>
  </si>
  <si>
    <t>Los Angeles;Los Angeles</t>
  </si>
  <si>
    <t>University of California, Los Angeles;Northrop Grumman corporation</t>
  </si>
  <si>
    <t>60027550;60025209</t>
  </si>
  <si>
    <t>Plant D.V.</t>
  </si>
  <si>
    <t>Optically Generated 60 GHz Millimeter Waves Using AlGaAs/InGaAs HEMT's Integrated with Both Quasi-Optical Antenna Circuits and MMIC's</t>
  </si>
  <si>
    <t>10.1109/68.124891</t>
  </si>
  <si>
    <t>2-s2.0-0026711655</t>
  </si>
  <si>
    <t>['‚ äúintegrals', 'tm cases', 'systematic consideration', 'quite general', 'quantities narrows', 'qualitative features', 'qualitative aspects', 'possible solutions', 'plane approach', 'particularly suggestive', 'numerically based', 'nonlinear propagation', 'nonlinear problem', 'millimetric applications', 'kutta method', 'integrated optics', 'current work', 'considerable interest']</t>
  </si>
  <si>
    <t>Considerable interest is currently being devoted to nonlinear propagation in dielectric slab waveguides for integrated optics and millimetric applications. Apart from a few specific analytical cases, much of the current work is numerically based, so that the qualitative features of the solutions are lost. In this contribution, we look at on the problem in the framework of a phase-plane approach, prior to seeking numerical solutions by, say, the Runge-Kutta method. As a result, qualitative aspects, such as ‚Äúintegrals of motion‚Äù in phase-plane do emerge from the analysis. Systematic consideration of these quantities narrows the range of possible solutions down whilst providing direct physical interpretation of the same. Particularly suggestive, in this respect, are the interpretations of the appearance of higher order modes and of the energy/ boundary conditions constraints typical of the nonlinear problem. The approach is quite general and results will be shown in the TE and TM cases. ¬© 1992 IEEE</t>
  </si>
  <si>
    <t>102-111</t>
  </si>
  <si>
    <t>60031624;60031624;60031624</t>
  </si>
  <si>
    <t>56253019800;7004854291;57192403784</t>
  </si>
  <si>
    <t>Rozzi, Tullio;Chiaraluce, Franco;Zappelli, Leonardo</t>
  </si>
  <si>
    <t>Ancona</t>
  </si>
  <si>
    <t>Universit√† Politecnica delle Marche</t>
  </si>
  <si>
    <t>Rozzi T.</t>
  </si>
  <si>
    <t>Phase-Plane Approach to Nonlinear Propagation in Dielectric Slab Waveguide</t>
  </si>
  <si>
    <t>10.1109/22.108329</t>
  </si>
  <si>
    <t>2-s2.0-0026711670</t>
  </si>
  <si>
    <t>['two matrices', 'proposed algorithm', 'interference situations', 'corresponding matrix', 'computational respects', 'certain type', 'aaa ),']</t>
  </si>
  <si>
    <t>An algorithm, economical in computational respects, is described for determining the eigenvalues and vectors for the sum of two matrices, one of which has a single nonzero eigenvalue. This makes it possible to avoid the necessity, during an analysis of a certain type of adaptive antenna arrays (AAA), to solve the complete eigenvalue problem of the corresponding matrix again for each of the interference situations being analyzed. A numerical example illustrates the features of the proposed algorithm.</t>
  </si>
  <si>
    <t>22-28</t>
  </si>
  <si>
    <t>Choni, Yu I.</t>
  </si>
  <si>
    <t>Choni Y.</t>
  </si>
  <si>
    <t>Efficient computational algorithm for carrying out orthogonal expansions in the analysis of adaptation processes in antenna arrays</t>
  </si>
  <si>
    <t>2-s2.0-0026711676</t>
  </si>
  <si>
    <t>['several techniques', 'rf conversion', 'rf circuitry', 'passive matching', 'optical fiber', 'module containing', 'microwave frequencies', 'locked oscillator', 'antenna modules']</t>
  </si>
  <si>
    <t>Several techniques are presented for feeding microstrip antennas with RF-modulated lightwave signals via an optical fiber. Lightwave-to-RF conversion is performed in a module containing a photodiode, RF circuitry, and a microstrip antenna element. Three different transmitting configurations at microwave frequencies were designed and tested: passive matching, matching with amplification, and an injection-locked oscillator. In each case, the only connections to the antenna modules were an optical fiber and dc bias lines. ¬© 1992 IEEE</t>
  </si>
  <si>
    <t>85-90</t>
  </si>
  <si>
    <t>60014313;60014313;60014313</t>
  </si>
  <si>
    <t>7801336843;7006061921;57211924426</t>
  </si>
  <si>
    <t>Svitak, Andrew J.;Pozar, David M.;Jackson, Robert W.</t>
  </si>
  <si>
    <t>Svitak A.</t>
  </si>
  <si>
    <t>Optically Fed Aperture-Coupled Microstrip Patch Antennas</t>
  </si>
  <si>
    <t>10.1109/8.123361</t>
  </si>
  <si>
    <t>2-s2.0-0026711716</t>
  </si>
  <si>
    <t>['performance comparable', 'paper reviews', 'optimized low', 'microwave frequencies', 'large arrays', 'integrated horn', 'integrated antenna', 'gain designs', 'experimental results', 'easily extended', 'dipole antenna', 'communication applications', '802 ghz']</t>
  </si>
  <si>
    <t>Antenna array | Horn antenna | Microwave antenna | Millimetric wave | Orthogonal polarization | Plane antenna</t>
  </si>
  <si>
    <t>This paper reviews the development of integrated horn antennas since their introduction in 1987. The integrated horn is fabricated by suspending a dipole antenna on a thin dielectric membrane in a pyramidal cavity etched in silicon. Recent progress resulted in optimized low and high-gain designs with single and double-polarizations for remote-sensing and communication applications. A fullwave analysis technique have resulted in an integrated antenna with performance comparable to that of waveguide-fed corrugated horn antennas. The integrated horn design can be easily extended to large arrays for imaging and phased array applications while still leaving plenty of room for the rf and w processing circuitry. Theoretical and experimental results at microwave frequencies and at 90, 240 and 802 GHz will be presented. ¬© 1992 Springer-Verlag.</t>
  </si>
  <si>
    <t>38-48</t>
  </si>
  <si>
    <t>Annales Des T√©l√©communications</t>
  </si>
  <si>
    <t>60025778;60031581</t>
  </si>
  <si>
    <t>7006384021;7102803490</t>
  </si>
  <si>
    <t>Rebeiz, Gabriel M.;Rutledge, David B.</t>
  </si>
  <si>
    <t>Pasadena;Ann Arbor</t>
  </si>
  <si>
    <t>California Institute of Technology;University of Michigan, Ann Arbor</t>
  </si>
  <si>
    <t>60031581;60025778</t>
  </si>
  <si>
    <t>Rebeiz G.</t>
  </si>
  <si>
    <t>Integrated horn antennas for millimeter-wave applications</t>
  </si>
  <si>
    <t>10.1007/BF02998725</t>
  </si>
  <si>
    <t>2-s2.0-0026711965</t>
  </si>
  <si>
    <t>['screens preserves', 'rectangular grid', 'property allows', 'projection method', 'plane wave', 'lensing component', 'investigate numerically', 'electromagnetic wave', 'diffraction structure', 'determine parameters', 'changed within']</t>
  </si>
  <si>
    <t>Using a projection method, we investigate numerically the problem of diffraction of an electromagnetic wave by a set of infinite planar metallic screens perforated by square apertures located at the vertices of a rectangular grid. The set of screens is embedded in an isotropic dielectric whose dielectric constant can be changed within the aperture by applying an external control signal. We determine parameters of the structure for which the set of screens preserves its transparency as the angle of incidence of a plane wave on the set ranges within a given angular sector. This property allows such a diffraction structure to be used as a lensing component for an electrically controlled antenna.</t>
  </si>
  <si>
    <t>63-69</t>
  </si>
  <si>
    <t>56269205600;7202384063</t>
  </si>
  <si>
    <t>Morozov, A. N.;Naumov, V. F.</t>
  </si>
  <si>
    <t>Morozov A.N.</t>
  </si>
  <si>
    <t>Diffraction of electromagnetic waves by a periodic system of coupled iris waveguides</t>
  </si>
  <si>
    <t>2-s2.0-0026715320</t>
  </si>
  <si>
    <t>['quadratic programming', 'optimization problem', 'noise ratio', 'methods compute']</t>
  </si>
  <si>
    <t>Results are presented for optimization for real antenna array excitation hampered by intense passive interference. The methods compute the optimization of spatial signal processing and temporal gain control techniques after reducing the optimization problem to a problem of quadratic programming. An estimate of the potentially attainable signal-to-noise ratio is determined.</t>
  </si>
  <si>
    <t>134-136</t>
  </si>
  <si>
    <t>Plyuzhnikov, A. D.</t>
  </si>
  <si>
    <t>Plyuzhnikov A.</t>
  </si>
  <si>
    <t>Analytic optimization of the excitation of an antenna array when observing radar signals against a passive interference</t>
  </si>
  <si>
    <t>2-s2.0-0026715714</t>
  </si>
  <si>
    <t>['¬© 1992', 'target cancellation', 'straight ahead', 'steady state', 'single jammer', 'rights reserved', 'reverberant environments', 'results show', 'practical system', 'performance degrades', 'paper evaluations', 'misaligned arrays', 'jim algorithm', 'jammer ratios', 'jammer ratio', 'ieee trans', 'hearing aids', 'evaluations employ', 'critical distance', 'computer simulations', 'cm spacing', 'cm broadside', 'broadside array', 'basic griffiths', 'antennas propag', 'alleviate problems', 'acoustical society']</t>
  </si>
  <si>
    <t>In this paper evaluations of a two-microphone adaptive beamforming system for hearing aids are presented. The system, based on the constrained adaptive beamformer described by Griffiths and Jim [IEEE Trans. Antennas Propag. AP-30, 27-34 (1982)], adapts to preserve target signals from straight ahead and to minimize jammer signals arriving from other directions. Modifications of the basic Griffiths-Jim algorithm are proposed to alleviate problems of target cancellation and misadjustment that arise in the presence of strong target signals. The evaluations employ both computer simulations and a real-time hardware implementation and are restricted to the case of a single jammer. Performance is measured by the spectrally weighted gain in the target-to-jammer ratio in the steady state. Results show that in environments with relatively little reverberation: (1) the modifications allow good performance even with misaligned arrays and high input target-to-jammer ratios; and (2) performance is better with a broadside array with 7-cm spacing between microphones than with a 26-cm broadside or a 7-cm endfire configuration. Performance degrades in reverberant environments; at the critical distance of a room, improvement with a practical system is limited to a few dB. ¬© 1992, Acoustical Society of America. All rights reserved.</t>
  </si>
  <si>
    <t>1662-1676</t>
  </si>
  <si>
    <t>60022195;60022195</t>
  </si>
  <si>
    <t>7402354164;7004231130</t>
  </si>
  <si>
    <t>Greenberg, Julie E.;Zurek, Patrick M.</t>
  </si>
  <si>
    <t>Cambridge</t>
  </si>
  <si>
    <t>Massachusetts Institute of Technology</t>
  </si>
  <si>
    <t>Greenberg J.</t>
  </si>
  <si>
    <t>Evaluation Of An Adaptive Beamforming Method For Hearing Aids</t>
  </si>
  <si>
    <t>10.1121/1.402446</t>
  </si>
  <si>
    <t>2-s2.0-0026716353</t>
  </si>
  <si>
    <t>['radiation field', 'quasistatic representation', 'coupling coefficient']</t>
  </si>
  <si>
    <t>We obtain a quasistatic representation for the field of a leaky slotline wave (LSW) in terms of the eigenfield of the structure and the radiation field and determine the coupling coefficient between two slotline structures for both fields. In the millimeter (mm) region we investigate mirror slotline radiators and show that the isolation between them is better than -(-112 ¬± 8) dB.</t>
  </si>
  <si>
    <t>57-65</t>
  </si>
  <si>
    <t>6603546004;7005559067</t>
  </si>
  <si>
    <t>Komar, G. I.;Shestopalov, V. P.</t>
  </si>
  <si>
    <t>Komar G.</t>
  </si>
  <si>
    <t>Longitudinal coupling between cylindrical and mirror slot radiators</t>
  </si>
  <si>
    <t>2-s2.0-0026716911</t>
  </si>
  <si>
    <t>['urinary retention', 'trilobar hyperplasia', 'treatment response', 'strong correlation', 'session consisted', 'range 58', 'range 5', 'range 43', 'range 42', 'range 40', 'range 3', 'range 25', 'new finding', 'minute treatment', 'minimum temperature', 'median lobe', 'mean number', 'mean duration', 'helical antenna', 'followup ranged', 'correlation existed', 'continuously monitored', '915 mhz', '90 years', '82 weeks', '78 %),', '73 years', '72 %)', '56 ).', '52 cc', '4 weeks', '31 weeks', '25 patients', '22 %)', '10 ).', '0c ).']</t>
  </si>
  <si>
    <t>hyperthermia | induced; prostatic hyperplasia; urinary retention</t>
  </si>
  <si>
    <t>From 1989 to 1990, 32 poor surgical risk patients with urinary retention were treated with transurethral microwave hyperthermia at the department of urology, University of Leuven in Belgium. Mean patient age was 73 years (range 58 to 90 years) and mean duration of retention was 4 weeks (range 3 to 12 weeks). Followup ranged from 13 to 82 weeks, with a mean of 31 weeks. Bilobar or trilobar hyperplasia was diagnosed in 25 patients (78%), while 7 (22%) had median lobe or median bar hypertrophy. The mean prostatic volume was 52 cc (range 25 to 150 cc). Transurethral microwave hyperthermia was given with a helical antenna at 915 MHz. once or twice per week. The mean number of transurethral microwave hyperthermia sessions was 8.9 (range 5 to 10). Each session consisted of a 60-minute treatment at a mean maximum temperature of 45.4C (range 43.7 to 47.2C), average temperature 43.9C (range 42.7 to 45.5C) and minimum temperature 42.0C (range 40.2 to 43.0C). The temperature was continuously monitored, including thermal mapping in all patients. Of the 25 patients who presented with bilobar or trilobar hyperplasia 18 (72%) were catheter-free for the duration of followup. Of the 7 median lobe or median bar patients 1 (14%) showed sufficient improvement to warrant catheter removal. This patient, however, had recurrent retention 4 months after transurethral microwave hyperthermia. In patients with bilobar and trilobar hyperplasia a strong correlation was observed among maximum temperature (p = 0.0006), average temperature (p = 0.0033) and treatment response. As expected, no such correlation existed between minimum temperature and response to treatment (p = 0.56). Our study has again demonstrated therapeutic activity in patients with benign prostatic hyperplasia treated with transurethral microwave hyperthermia. A new finding was a strong correlation between temperature and response.</t>
  </si>
  <si>
    <t>1558-1561</t>
  </si>
  <si>
    <t>Journal of Urology</t>
  </si>
  <si>
    <t>60015183;60015183;60015183;60015183;60015183;60015183</t>
  </si>
  <si>
    <t>7102038118;57216903923;7103159684;6602245909;7006549540;7006372174</t>
  </si>
  <si>
    <t>Baert, L.;Ameye, F.;Pike, M. C.;Willemen, P.;Astrahan, M. A.;Petrovich, Z.</t>
  </si>
  <si>
    <t>Los Angeles</t>
  </si>
  <si>
    <t>Keck School of Medicine of USC</t>
  </si>
  <si>
    <t>Baert L.</t>
  </si>
  <si>
    <t>Transurethral hyperthermia for benign prostatic hyperplasia patients with retention</t>
  </si>
  <si>
    <t>S0022534717376255</t>
  </si>
  <si>
    <t>10.1016/S0022-5347(17)37625-5</t>
  </si>
  <si>
    <t>2-s2.0-0026717951</t>
  </si>
  <si>
    <t>National Institute of Allergy and Infectious Diseases</t>
  </si>
  <si>
    <t>R37AI023253</t>
  </si>
  <si>
    <t>NIAID</t>
  </si>
  <si>
    <t>['pheromone blend', 'female moth', 'developing antennae', 'binding protein']</t>
  </si>
  <si>
    <t>Male-specific olfactory receptor neurons, dissociated from developing antennae of the moth Manduca sexta and grown in long-term primary cell culture, can respond to at least one component of the female moth's sex- pheromone blend with the opening of a nonspecific cation channel. This response does not require the coapplication of pheromone-binding protein.</t>
  </si>
  <si>
    <t>2523-2531</t>
  </si>
  <si>
    <t>Journal of Neuroscience</t>
  </si>
  <si>
    <t>60010065;60010065;60010065;60010065</t>
  </si>
  <si>
    <t>7003691160;57207544355;7006063364;7102653635</t>
  </si>
  <si>
    <t>Stengl, M.;Zufall, F.;Hatt, H.;Hildebrand, J. G.</t>
  </si>
  <si>
    <t>The University of Arizona</t>
  </si>
  <si>
    <t>Stengl M.</t>
  </si>
  <si>
    <t>Olfactory receptor neurons from antennae of developing male Manduca sexta respond to components of the species-specific sex pheromone in vitro</t>
  </si>
  <si>
    <t>10.1523/jneurosci.12-07-02523.1992</t>
  </si>
  <si>
    <t>2-s2.0-0026721025</t>
  </si>
  <si>
    <t>['representative applications', 'reference material', 'presented first', 'next discussed', 'free space', 'currently available', 'computational methods', 'computational issues', 'article concludes']</t>
  </si>
  <si>
    <t>An overview of computational methods for modeling the low-frequency electromagnetic characteristics of antennas is given here. Presented first is a brief analytical background that forms the basis for numerically solving low-frequency antenna problems using the method of moments. Next discussed are extensions to modeling perfectly conducting objects in free space, followed by a consideration of some computational issues that affect model accuracy, efficiency, and utility. The article concludes with a variety of representative applications to illustrate various aspects of modeling and capabilities that are currently available. A fairly extensive bibliography is included to suggest further reference material to the read. ¬© 1992 IEEE</t>
  </si>
  <si>
    <t>24-43</t>
  </si>
  <si>
    <t>60006164;60026175</t>
  </si>
  <si>
    <t>7404492537;7203060346</t>
  </si>
  <si>
    <t>Miller, Edmund K.;Burke, Gerald J.</t>
  </si>
  <si>
    <t>Livermore;Los Alamos</t>
  </si>
  <si>
    <t>Lawrence Livermore National Laboratory;Los Alamos National Laboratory</t>
  </si>
  <si>
    <t>60026175;60006164</t>
  </si>
  <si>
    <t>Miller E.</t>
  </si>
  <si>
    <t>Low-Frequency Computational Electromagnetics for Antenna Analysis</t>
  </si>
  <si>
    <t>10.1109/5.119565</t>
  </si>
  <si>
    <t>2-s2.0-0026727447</t>
  </si>
  <si>
    <t>['vlf transmitter', 'various polarizations', 'siple station', 'siple antenna', 'simplified model', 'received signals', 'received near', 'propagation paths', 'previous findings', 'natural whistlers', 'linear polarizations', 'lake mistissini', 'ground data', 'ducted signals', 'copyright 1992', 'antenna polarization', 'antenna coupling']</t>
  </si>
  <si>
    <t>Whistler mode waves of various polarizations were transmitted by the Siple Station, Antarctica, VLF transmitter and received near the geomagnetic conjugate point at Lake Mistissini, Quebec. Crossed 21‚Äêkm horizontal dipole antennas on top of the 2‚Äêkm‚Äêthick ice sheet were used to transmit 2‚Äê to 4‚ÄêkHz waves alternately with right‚Äêhand circular, left‚Äêhand circular, and linear polarizations. Excitation of a multiplicity of magnetospheric propagation paths and the received signal strength were observed to depend on the transmitter antenna polarization. Where whistler mode growth and emission triggering occurred, saturated peak values of received signals were independent of antenna polarization and initial injected power levels, in agreement with previous findings. Propagation paths of ducted Siple signals observed at Lake Mistissini were identified with propagation paths deduced from natural whistlers, from which the L shell values and equatorial number densities for the paths were calculated. A combination of L shell data and models of antenna coupling into the whistler mode may aid in the location of ducts. Dynamics Explorer 1 satellite recordings of unducted Siple signals showed trends similar to the ground data on ducted signals. The observations are discussed in the context of a simplified model of the coupling from the Siple antenna into the ionosphere, which provides reasonable agreement with observations. Copyright 1992 by the American Geophysical Union.</t>
  </si>
  <si>
    <t>31-46</t>
  </si>
  <si>
    <t>56581771500;7005372517;7006406824;7005146695</t>
  </si>
  <si>
    <t>Mielke, T. A.;Elkins, C. J.;Helliwell, R. A.;Inan, U. S.</t>
  </si>
  <si>
    <t>Mielke T.A.</t>
  </si>
  <si>
    <t>Excitation of whistler mode signals via injection of polarized VLF waves with the Siple transmitter</t>
  </si>
  <si>
    <t>10.1029/91RS02457</t>
  </si>
  <si>
    <t>2-s2.0-0026732356</t>
  </si>
  <si>
    <t>National Science Foundation</t>
  </si>
  <si>
    <t>NSF</t>
  </si>
  <si>
    <t>['¬© 1992', 'wavelength dependence', 'trapping process', 'temperature dependence', 'spectral types', 'spectral heterogeneity', 'single trap', 'several pseudo', 'rights reserved', 'reaction center', 'random arrangement', 'psi particles', 'protein matrix', 'phonon contribution', 'model hamiltonian', 'forster transport', 'energy transfer', 'energy lower', 'emission spectra', 'different temperatures', 'core antenna', 'considered via', 'calculated based', 'bottlenecks exist', 'biophysical society']</t>
  </si>
  <si>
    <t>In order to understand the organization of the PSI core antenna and to interpret results obtained from studies of the temperature and wavelength dependence of energy transfer and trapping in the PSI particles, we have constructed a model for PSI in which spectral heterogeneity is considered via a self-consistent approach based on Forster transport. The temperature dependence of the absorption and emission spectra of the individual Chl molecules in the protein matrix is calculated based on a model Hamiltonian which includes a phonon contribution. Time and wavelength resolved kinetics of PSI at different temperatures are investigated by means of two-dimensional lattice models. We conclude that wavelength-dependent fluorescence decay kinetics result only when two or more bottlenecks exist in the energy transfer and trapping process. A single trap or several pseudo-traps with spectrally identical environments do not lead to wavelength dependent decays. Simple funnel arrangements of the spectral types can be ruled out. At least one pigment with energy lower than the photochemical trap located close to the reaction center is required to produce the trends of the fluorescence lifetimes observed experimentally. The remainder of the core antenna is consistent with a random arrangement of spectral types. ¬© 1992, The Biophysical Society. All rights reserved.</t>
  </si>
  <si>
    <t>259-273</t>
  </si>
  <si>
    <t>60029278;60029278;60029278;60029278;60029278</t>
  </si>
  <si>
    <t>7401503719;7101826265;57202729085;56418787900;36936627600</t>
  </si>
  <si>
    <t>Jia, Y.;Jean, J. M.;Werst, M. M.;Chan, C. K.;Fleming, G. R.</t>
  </si>
  <si>
    <t>Jia Y.</t>
  </si>
  <si>
    <t>Simulations of the temperature dependence of energy transfer in the PSI core antenna</t>
  </si>
  <si>
    <t>S0006349592815898</t>
  </si>
  <si>
    <t>10.1016/S0006-3495(92)81589-8</t>
  </si>
  <si>
    <t>2-s2.0-0026734087</t>
  </si>
  <si>
    <t>['‚ äúfield', '‚ äúcurrent', 'utility illustrated', 'usually larger', 'treat part', 'review paper', 'performance characteristics', 'mm matrix', 'many situations', 'derived typically', 'another body']</t>
  </si>
  <si>
    <t>In many situations it is not sufficient to know the performance of an antenna in isolation, but instead it is necessary to know the performance characteristics of the antenna on, or in proximity to, another body or platform. This paper examines hybrid techniques which use the Method of Moments (MM) to treat part of the problem and some other method to account for the (usually larger) remainder. In the MM/Green‚Äôs function techniques, to the usual MM matrix is added another matrix, derived typically by some other method, that accounts for the normally larger part of the problem without increasing the order of the MM matrix. These techniques utilize electric fields in their formulation and are referred to as ‚Äúfield-based‚Äù hybrid techniques. The last two hybrid techniques considered in this review paper are ‚Äúcurrent-based‚Äù techniques. Both use the MM for a part of the platform, and use approximate current forms for the remainder of the platform. All these methods are reviewed and their utility illustrated by examples or by comparison to other methods. ¬© 1992 IEEE</t>
  </si>
  <si>
    <t>66-78</t>
  </si>
  <si>
    <t>Thiele, Gary A.</t>
  </si>
  <si>
    <t>Dayton</t>
  </si>
  <si>
    <t>University of Dayton</t>
  </si>
  <si>
    <t>Thiele G.</t>
  </si>
  <si>
    <t>Overview of Selected Hybrid Methods in Radiating System Analysis</t>
  </si>
  <si>
    <t>10.1109/5.119567</t>
  </si>
  <si>
    <t>2-s2.0-0026735374</t>
  </si>
  <si>
    <t>['special sections', 'recent past', 'performance definitions', 'next decade', 'decreasing budgets']</t>
  </si>
  <si>
    <t>A review of modern reflector theory and practice, with emphasis on the recent past. Included is a brief historical review and performance definitions for the nonspecialist. Special sections are devoted to shaped multiple reflectors, reflector surface metrology, and reflectors for the next decade and beyond. In spite of decreasing budgets for scientific, commercial, and military space programs, the 1990's promise to be a true Golden Age for the reflector antenna art. ¬© 1992 IEEE</t>
  </si>
  <si>
    <t>113-126</t>
  </si>
  <si>
    <t>Rusch, Willarda V.T.</t>
  </si>
  <si>
    <t>University of Southern California</t>
  </si>
  <si>
    <t>Rusch W.</t>
  </si>
  <si>
    <t>The Current State of the Reflector Antenna Art‚ÄîEntering the 1990‚Äôs</t>
  </si>
  <si>
    <t>10.1109/5.119571</t>
  </si>
  <si>
    <t>2-s2.0-0026735375</t>
  </si>
  <si>
    <t>['white gaussian', 'transformation process', 'strip within', 'statistical properties', 'space stationary', 'simple case', 'radiation pattern', 'possible source', 'noise characterization', 'measurement probe', 'lower bounds', 'given probability', 'full characterization', 'field noise', 'field facility', 'easily computed', 'desired probability', 'cylindrical near', 'compute upper', 'complete near', 'bounds define']</t>
  </si>
  <si>
    <t>A full characterization of the far-field noise obtained from cylindrical near to far field transformation, for a white Gaussian, space stationary, near-field noise is derived. A possible source for such noise is the receiver additive noise. The noise characterization is done by obtaining the autocorrelation of the far-field noise, which is shown to be easily computed during the transformation process. Even for this simple case, the far-field noise has complex behavior dependent of the measurement probe. Once the statistical properties of the far-field noise are determined, it is possible to compute upper and lower bounds for the radiation pattern for a given probability. These bounds define a strip within the radiation pattern is found with the desired probability. This may be used as part of a complete near-field error analysis of a particular cylindrical near-field facility. ¬© 1992 IEEE</t>
  </si>
  <si>
    <t>79-84</t>
  </si>
  <si>
    <t>60007592;60007592;60007592</t>
  </si>
  <si>
    <t>56883021900;7003898162;6701335577</t>
  </si>
  <si>
    <t>Romeu, Jordi;Jofre, Luis;Cardama, Angel</t>
  </si>
  <si>
    <t>Spain</t>
  </si>
  <si>
    <t>Barcelona</t>
  </si>
  <si>
    <t>Universitat Polit√®cnica de Catalunya</t>
  </si>
  <si>
    <t>Romeu J.</t>
  </si>
  <si>
    <t>Far-Field Errors Due to Random Noise in Cylindrical Near-Field Measurements</t>
  </si>
  <si>
    <t>10.1109/8.123360</t>
  </si>
  <si>
    <t>2-s2.0-0026735376</t>
  </si>
  <si>
    <t>['uhf bands', 'three methods', 'third method', 'step form', 'sight links', 'shf band', 'second method', 'preliminary planning', 'path profile', 'one method', 'new methods', 'multipath propagation', 'multipath fading', 'licensing purposes', 'earlier methods', 'detailed bases', 'also presented', 'also given']</t>
  </si>
  <si>
    <t>New methods are presented for predicting the signal fading distribution due to multipath propagation for the average worst month on VHF/UHF/SHF terrestrial line-of-sight links in Canada. One method for the deep fading range does not require detailed path profile information and is designed for preliminary planning or licensing purposes. A second method which does employ the path profile is intended for more detailed design purposes. A third method, complementary to the other two, is given for predicting the distribution in the shallow fading range. All three methods are presented in step-by-step form for ease for application. The detailed bases of the methods, and their relationship to earlier methods, are also presented. These methods are the first to employ refractivity gradient in the predictions and to cover the VHF/UHF bands in addition to the SHF band. Some guidance is also given to the designer on the path clearances required to minimize the effects of multipath fading.</t>
  </si>
  <si>
    <t>Canadian Journal of Electrical and Computer Engineering</t>
  </si>
  <si>
    <t>Jan</t>
  </si>
  <si>
    <t>60018714;60018714</t>
  </si>
  <si>
    <t>7402077690;7102467619</t>
  </si>
  <si>
    <t>Olsen, R. L.;Segal, B.</t>
  </si>
  <si>
    <t>Ottawa</t>
  </si>
  <si>
    <t>Communications Research Centre</t>
  </si>
  <si>
    <t>Olsen R.</t>
  </si>
  <si>
    <t>New techniques for predicting the multipath fading distribution on VHF/UHF/SHF terrestrial line-of-sight links in Canada</t>
  </si>
  <si>
    <t>10.1109/CJECE.1992.6593902</t>
  </si>
  <si>
    <t>2-s2.0-0026735411</t>
  </si>
  <si>
    <t>['te021 mode', 'scheme uses', 'receiving waveguide', 'power reradiated', 'opposite side', 'open resonator', 'mode detection', 'horn antenna', 'electromagnetic energy', 'close agreeent', 'cavity wall', 'cavity excitation', 'accomplished via', '10 ghz']</t>
  </si>
  <si>
    <t>Experiments have been conducted to characterize a gyrotron cavity designed to operate in the TE021 mode at 10 GHz. Cavity excitation was accomplished via a coupling hole introduced into the cavity wall and mode detection was carried out by means of two experimental arrangements. In the first, electromagnetic energy is coupled into a receiving waveguide through a small second hole drilled in the opposite side of the cavity. The other scheme uses a horn antenna to receive the power reradiated by the open resonator. Both schemes are discussed regarding mode detection, and measured data includes resonant frequency, loaded Q factor, axial electric field profile and farfield radiation pattern. Evaluation of the loaded Q factor is based on bandwidth measurements whereas standing-wave electric field profile is determined by using perturbation techniques. For several TE modes, close agreeent between theory and experiment is found. ¬© 1992 Plenum Publishing Corporation.</t>
  </si>
  <si>
    <t>91-104</t>
  </si>
  <si>
    <t>60012729;60012729;60012729;60012729</t>
  </si>
  <si>
    <t>7102781753;7103318266;7102707153;6603379584</t>
  </si>
  <si>
    <t>Castro, P. J.;Barroso, J. J.;Correa, R. A.;Nono, M. C.A.</t>
  </si>
  <si>
    <t>Brazil</t>
  </si>
  <si>
    <t>Sao Jose dos Campos</t>
  </si>
  <si>
    <t>Instituto Nacional de Pesquisas Espaciais</t>
  </si>
  <si>
    <t>Castro P.</t>
  </si>
  <si>
    <t>Cold tests of A 10-GHz gyrotron cavity</t>
  </si>
  <si>
    <t>10.1007/BF01011210</t>
  </si>
  <si>
    <t>2-s2.0-0026735453</t>
  </si>
  <si>
    <t>['wire parameters', 'nonresonant conditions', 'given frequency', 'electromagnetic waves']</t>
  </si>
  <si>
    <t>The wire parameters are calculated for the absorption of power from electromagnetic waves. The absorption of power is a maximum at a given frequency under nonresonant conditions.</t>
  </si>
  <si>
    <t>121-124</t>
  </si>
  <si>
    <t>Shevchenko, V. V.</t>
  </si>
  <si>
    <t>Shevchenko V.</t>
  </si>
  <si>
    <t>Absorption of electromagnetic waves by a thin wire</t>
  </si>
  <si>
    <t>2-s2.0-0026737138</t>
  </si>
  <si>
    <t>R01DK036714</t>
  </si>
  <si>
    <t>['¬© 1992', 'strikingly different', 'human serum', 'human plasma', 'human cbg', 'carbohydrate structure', 'carbohydrate composition', 'binding globulin']</t>
  </si>
  <si>
    <t>We have examined the carbohydrate composition of corticosteroid-binding globulin (CBG) obtained from rat and human serum. Rat CBG contained a carbohydrate composition that was strikingly different from that of human CBG. Like other glycoproteins that circulate in human plasma, human CBG had a carbohydrate composition that was consistent with the presence of biantennary and triantennary oligosaccharide structures. In contrast, the carbohydrate composition of rat CBG indicated the presence of more than one sialic acid residue per antenna. It is not clear whether rat CBG contains a carbohydrate structure with sialic acids attached to both galactose and N-acetylglucosamine on the same antenna, or a terminal disialylated structure (sialic acid linked Œ±2-8 to sialic acid). These structural variations may play a role in the interaction of CBG with its receptor. ¬© 1992.</t>
  </si>
  <si>
    <t>475-478</t>
  </si>
  <si>
    <t>Journal of Steroid Biochemistry and Molecular Biology</t>
  </si>
  <si>
    <t>60017777;60026273;60026273</t>
  </si>
  <si>
    <t>7004356571;7410317720;7006156036</t>
  </si>
  <si>
    <t>Blithe, Diana L.;Khan, M. Saeed;Rosner, William</t>
  </si>
  <si>
    <t>New York;Bethesda</t>
  </si>
  <si>
    <t>St. Luke's-Roosevelt Hospital Center;National Institute of Child Health and Human Development (NICHD)</t>
  </si>
  <si>
    <t>60026273;60017777</t>
  </si>
  <si>
    <t>Blithe D.</t>
  </si>
  <si>
    <t>Comparison of the carbohydrate composition of rat and human corticosteroid-binding globulin: Species specific glycosylation</t>
  </si>
  <si>
    <t>0960-0760(92)90259-L</t>
  </si>
  <si>
    <t>10.1016/0960-0760(92)90259-L</t>
  </si>
  <si>
    <t>2-s2.0-0026740518</t>
  </si>
  <si>
    <t>['¬© 1992', 'strain rcol', 'sole pigment', 'second strain', 'rights reserved', 'rhodobacter sphaeroides', 'reaction centers', 'protein complex', 'possesses assembled', 'photoheterotrophic growth', 'named rcol', 'named rclh11', 'linear dichroism', 'electrons derived', 'detergent solution', 'described previously', 'cytochrome b', 'circular dichroism', 'c1 complex']</t>
  </si>
  <si>
    <t>A strain of Rhodobacter sphaeroides has been constructed in which the photosynthetic reaction center is the sole pigment-protein complex. The strain, named RCOl, is capable of photoheterotrophic growth and possesses assembled and functional reaction centers which can undergo photochemical charge separation and are reduced by electrons derived from the cytochrome b/c1 complex. The circular dichroism and linear dichroism of reaction centers in membranes from strain RCOl are similar to those described previously for reaction centers isolated in detergent solution. A second strain, named RCLH11, which is devoid of the peripheral LH2 antenna complex has also been constructed. A description of the properties of these strains is presented. ¬© 1992, American Chemical Society. All rights reserved.</t>
  </si>
  <si>
    <t>4458-4465</t>
  </si>
  <si>
    <t>60001881;60001881;60008734;60008734</t>
  </si>
  <si>
    <t>8247663200;57210784376;7004878962;56784259800</t>
  </si>
  <si>
    <t>Jones, M. R.;Hunter, C. N.;Visschers, R. W.;Grondelle, R. van</t>
  </si>
  <si>
    <t>Jones M.R.</t>
  </si>
  <si>
    <t>Construction and Characterization of a Mutant of Rhodobacter Sphaeroides with the Reaction Center as the Sole Pigment-Protein Complex</t>
  </si>
  <si>
    <t>10.1021/bi00133a011</t>
  </si>
  <si>
    <t>2-s2.0-0026741627</t>
  </si>
  <si>
    <t>['plane beamwidths', 'known solutions', 'inherent characteristic', '8 resp', '50 percent', '40 deg']</t>
  </si>
  <si>
    <t>An array antenna differing from classical design rules is described. Dielectric primary radiators are used providing prebeamforming features by their inherent characteristic. A line of 1√ó5 radiators realizes E- and H-plane beamwidths of 8 resp. 40 deg. with an effective aperture equaling less than 50 percent of well-known solutions. An integrated power splitting network ensures equiphase excitation of the radiators. ¬© 1992 Plenum Publishing Corporation.</t>
  </si>
  <si>
    <t>55-64</t>
  </si>
  <si>
    <t>100327344;100327344</t>
  </si>
  <si>
    <t>7006052073;6603085877</t>
  </si>
  <si>
    <t>Bartels, Stefan;Holpp, Wolfgang</t>
  </si>
  <si>
    <t>Ulm</t>
  </si>
  <si>
    <t>Telefunken Systemtechnik</t>
  </si>
  <si>
    <t>Bartels S.</t>
  </si>
  <si>
    <t>A millimeterwave array antenna using dielectric radiators with pre-beamforming characteristics</t>
  </si>
  <si>
    <t>10.1007/BF01011207</t>
  </si>
  <si>
    <t>2-s2.0-0026743642</t>
  </si>
  <si>
    <t>Ohio State University</t>
  </si>
  <si>
    <t>OSU</t>
  </si>
  <si>
    <t>['tractable manner', 'reflector antennas', 'independent methods', 'hybrid scheme', 'host environment', 'highly efficient']</t>
  </si>
  <si>
    <t>A summary of various High Frequency techniques is presented for analyzing the electromagnetic (EM) radiation from antennas in the presence of their host environment. These techniques not only provide physical insight into antenna radiation mechanisms, but they are found to be highly efficient and accurate for treating a variety of practical antenna configurations. Examples to which these techniques have been applied include open-ended waveguide antennas, horn and reflector antennas, antennas on aircraft and spacecraft, etc. The accuracy of these techniques is established via numerical results which are compared with those based on other independent methods or with measurements. Furthermore, these High Frequency methods can be combined with other techniques, through a hybrid scheme, to solve an even greater class of problems than those which can be solved in an efficient and tractable manner by any one technique alone. ¬© 1992 IEEE</t>
  </si>
  <si>
    <t>44-65</t>
  </si>
  <si>
    <t>Pathak, Prabhakar H.</t>
  </si>
  <si>
    <t>Pathak P.</t>
  </si>
  <si>
    <t>High Frequency Techniques for Antenna Analysis</t>
  </si>
  <si>
    <t>10.1109/5.119566</t>
  </si>
  <si>
    <t>2-s2.0-0026743748</t>
  </si>
  <si>
    <t>['static antennas', 'signals received', 'radiation fields', 'quantitative representation', 'observation site', 'lightning activity', 'could estimate']</t>
  </si>
  <si>
    <t>We analyzed the changes of electrostatic field components based on signals received by the static antennas and the fieldmill. We clarified that they had a Maxwell-type energy distribution similar to the components of the radiation fields. Through this result we could estimate the scale of the lightning activity. Identification of the lightning activity based on changes of the electrostatic field components is effective for a quantitative representation of lightning activities near an observation site.</t>
  </si>
  <si>
    <t>63-68</t>
  </si>
  <si>
    <t>Electrical Engineering in Japan (English translation of Denki Gakkai Ronbunshi)</t>
  </si>
  <si>
    <t>60010742;60010742;60010742;60010742</t>
  </si>
  <si>
    <t>55453222600;7403123890;56500241100;7006109634</t>
  </si>
  <si>
    <t>Miyazaki, Tadaomi;Nishida, Yasushi;Kokubu, Satomi;Kawamata, Shuichiro</t>
  </si>
  <si>
    <t>Utsunomiya</t>
  </si>
  <si>
    <t>Utsunomiya University</t>
  </si>
  <si>
    <t>Miyazaki T.</t>
  </si>
  <si>
    <t>Relationship between the energy distribution of electrostatic field change and lightning activity</t>
  </si>
  <si>
    <t>2-s2.0-0026748030</t>
  </si>
  <si>
    <t>['synthesis processes', 'superdirective array', 'physical principles', 'linear arrays', 'associated patterns', 'array polynomial']</t>
  </si>
  <si>
    <t>Antenna array distributions and their associated patterns are now designed on physical principles, based on placement of zeros of the array polynomial. An overview of the synthesis processes is given. Robust and low Q distributions for linear arrays and circular planar arrays, that provide variable side lobe level pencil beam patterns, are treated in detail. Associated difference patterns are included. Individual side lobes or groups of side lobes may be adjusted in level. The same technique allows synthesis of an efficient shaped beam, with or without side lobe adjustment. Finally, the ultimate pencil beam array, the superdirective array, is evaluated. ¬© 1992 IEEE</t>
  </si>
  <si>
    <t>141-151</t>
  </si>
  <si>
    <t>Array Pattern Control and Synthesis</t>
  </si>
  <si>
    <t>10.1109/5.119573</t>
  </si>
  <si>
    <t>2-s2.0-0026748061</t>
  </si>
  <si>
    <t>CA 01169</t>
  </si>
  <si>
    <t>['¬© 1992', 'strong correlation', 'september 1990', 'pulmonary embolus', 'median survival', 'median follow', 'living patients', 'june 1987', 'interstitial thermoradiotherapy', 'ii study', 'administered immediately', 'actuarial survival', 'activity iodine', '92 weeks', '9 seizures', '71 years', '49 tumors', '48 patients', '47 weeks', '4 infections', '37 weeks', '3 melanomas', '3 gy', '18 months', '13 patients']</t>
  </si>
  <si>
    <t>Brain neoplasm | Glioma | Hyperthermia | Interstitial brachytherapy | Microwave | Radiation therapy</t>
  </si>
  <si>
    <t>In an attempt to improve local control and survival over those achieved with brain implant alone, a Phase I/II study of interstitial thermoradiotherapy was undertaken for recurrent malignant gliomas and recurrent solitary brain metastases. Between June 1987 and September 1990, 49 tumors in 48 patients were treated with thermoradiotherapy, including 26 glioblastoma multiforme (GM), 16 anaplastic astrocytomas (AA), 4 adenocarcinomas, and 3 melanomas. Patient age ranged from 18 to 71 years and Karnofsky Performance Status from 40 to 90. Stereotactically implanted catheters were used for both hyperthermia and brachytherapy. Hyperthermia was administered immediately before and after brachytherapy, heating as much of the tumor as possible to 42.5¬∞C for 30 min using helical coil microwave antennas. High-activity iodine-125 sources delivered tumor doses of 32.6 to 63.3 Gy. Complications included reversible neurologic changes in 13 patients, 9 seizures, 4 infections, 1 deep venous thrombosis with pulmonary embolus, and 1 scalp burn. Eighteen patients underwent reoperation for tumor and/or necrosis. Follow-up ranged from 9 to 166+ weeks. The median follow-up for living patients with GM and AA was 37 weeks and 92 weeks, respectively. Actuarial median survival was 47 weeks for patients with GM. For patients with AA, actuarial survival was 65% at 18 months and median survival has not yet been reached. Multivariate analysis showed a strong correlation between freedom from local tumor progression and "T90" temperature or minimum tumor temperature. Interstitial brain thermoradiotherapy is now being evaluated in a randomized Phase II trial for previously untreated GM. ¬© 1992.</t>
  </si>
  <si>
    <t>853-861</t>
  </si>
  <si>
    <t>60023691;60023691;60023691;60023691;60023691;60023691;60023691;60023691;60023691;60023691;60000321;60023691;60023691</t>
  </si>
  <si>
    <t>35408019300;7005586630;7005772755;7401766706;7102738132;35414202500;7003487797;7101956193;7005599160;7202706587;7006173788;35403340700;24502142300</t>
  </si>
  <si>
    <t>Sneed, Penny K.;Gutin, Philip H.;Stauffer, Paul R.;Phillips, Theodore L.;Prados, Michael D.;Weaver, Keith A.;Suen, Stuart;Lamb, Sharon A.;Ham, Brigid;Ahn, David K.;Lamborn, Kathleen;Larson, David A.;Wara, William M.</t>
  </si>
  <si>
    <t>San Francisco;Fremont</t>
  </si>
  <si>
    <t>University of California, San Francisco;Northern California Cancer Center</t>
  </si>
  <si>
    <t>60023691;60000321</t>
  </si>
  <si>
    <t>Sneed P.</t>
  </si>
  <si>
    <t>Thermoradiotherapy of recurrent malignant brain tumors</t>
  </si>
  <si>
    <t>0360-3016(92)90659-6</t>
  </si>
  <si>
    <t>10.1016/0360-3016(92)90659-6</t>
  </si>
  <si>
    <t>2-s2.0-0026750363</t>
  </si>
  <si>
    <t>['widespread use', 'technological advantages', 'slot emitters', 'slot antennas', 'second half', 'rigorous theory', 'new type', 'microwave band', 'metal screen', 'longitudinal slots', 'individual emitters', 'fundamental possibility', 'first considered', 'experimental method', 'equivalent circuits', 'closed resonator', 'build antennas', 'became obvious', 'approximate methods', 'also developed']</t>
  </si>
  <si>
    <t>Emission through a hole in a metal screen or wall of a closed resonator was first considered by Neyman, who proposed the idea of the fundamental possibility of using this effect to build antennas to a new type: diffraction. Slot antennas began to come into widespread use in the second half of the 1940s when the structural and technological advantages of slot emitters over dipoles (in the microwave band) became obvious. A television transmitter antenna in the form of an array of longitudinal slots, made in a vertically standing cylindrical tube and excited by a cable, was described as early as 1947. Waveguide-slot antennas also underwent a development then. Initially, the calculations of such antennas were performed by approximate methods: energy and equivalent circuits for a determination of the parameters of individual emitters by an experimental method. A rigorous theory was also developed at the same time. This paper reviews briefly important publications dealing with the theory and the design of diffraction-slot antennas.</t>
  </si>
  <si>
    <t>100-121</t>
  </si>
  <si>
    <t>7003805994;6603193828</t>
  </si>
  <si>
    <t>Fel'd, Ya N.;Benenson, L. S.</t>
  </si>
  <si>
    <t>Fel'd Y.</t>
  </si>
  <si>
    <t>Diffraction-slot antennas (review of theory and design methods)</t>
  </si>
  <si>
    <t>2-s2.0-0026755094</t>
  </si>
  <si>
    <t>['¬© 1992', 'whole bandwidth', 'trapping kinetics', 'temperature effects', 'temperature dependence', 'spectral heterogeneity', 'spectral bands', 'rights reserved', 'real structure', 'reaction center', 'quantitative fitting', 'qualitative agreement', 'picosecond time', 'photosynthetic bacteria', 'perhaps due', 'numerical integration', 'molecules bound', 'local heating', 'lattice model', 'inner structure', 'high temperatures', 'harvesting antenna', 'four bacteriochlorophyll', 'fluorescence kinetics', 'essential features', 'different inhomogeneities', 'core antenna', 'cooling effects', 'biophysical society', '40 nm', '4 k', '20 nm']</t>
  </si>
  <si>
    <t>The picosecond time-domain incoherent singlet excitation transfer and trapping kinetics in core antenna of photosynthetic bacteria are studied in case of low excitation intensities by numerical integration of the appropriate master equation in a wide temperature range of 4‚Äì300 K. The essential features of our two-dimensional-lattice model are as follows: F√∂rster excitation transfer theory, spectral heterogeneity of both the light-harvesting antenna and the reaction center, treatment of temperature effects through temperature dependence of spectral bands, inclusion of inner structure of the trap, and transition dipole moment orientation. The fluorescence kinetics is analyzed in terms of distributions of various kinetic components, and the influence of different inhomogeneities (orientational, spectral) is studied. A reasonably good agreement between theoretical and experimental fluorescence decay kinetics for purple photosynthetic bacterium Rhodospirillum rubrum is achieved at high temperatures by assuming relatively large antenna spectral inhomogeneity: 20 nm at the whole bandwidth of 40 nm. The mean residence time in the antenna lattice site (it is assumed to be the aggregate of four bacteriochlorophyll a molecules bound to proteins) is estimated to be ‚àº12 ps. At 4 K only qualitative agreement between model and experiment is gained. The failure of quantitative fitting is perhaps due to the lack of knowledge about the real structure of antenna or local heating and cooling effects not taken into account. ¬© 1992, The Biophysical Society. All rights reserved.</t>
  </si>
  <si>
    <t>879-896</t>
  </si>
  <si>
    <t>60068852;60068852</t>
  </si>
  <si>
    <t>7004251319;7005109792</t>
  </si>
  <si>
    <t>Pullerits, T√µnu;Freiberg, Arvi</t>
  </si>
  <si>
    <t>Pullerits T.</t>
  </si>
  <si>
    <t>Kinetic model of primary energy transfer and trapping in photosynthetic membranes</t>
  </si>
  <si>
    <t>S0006349592816880</t>
  </si>
  <si>
    <t>10.1016/S0006-3495(92)81688-0</t>
  </si>
  <si>
    <t>2-s2.0-0026757116</t>
  </si>
  <si>
    <t>['sensory hairs', 'sensillogenic epidermis', 'segmentally arranged', 'segmental primary', 'secondary indentations', 'second day', 'remaining time', 'probably driven', 'periphery towards', 'olfactory organ', 'nonsensillogenic regions', 'hairforming cells', 'final shape', 'feathered antenna', 'epidermal feet', 'epidermal cells', 'copyright1992 wileyliss', 'alternating sensillogenic', '1992 wileyliss']</t>
  </si>
  <si>
    <t>Antheraea polyphemus | Differential mitoses | Epidermal feet | Olfactory sensilla</t>
  </si>
  <si>
    <t>The olfactory organ of the silkmoth Antheraea polyhemus is the feathered antenna which carries about 70,000 olfactory sensilla in the male. It develops within 3 weeks from a leafshaped epidermal sac by means of segmental primary and secondary indentations which proceed from the periphery towards the centerline. During the first day postapolysis, the antennal epidermis differentiates into segmentally arranged, alternating sensillogenic and nonsensillogenic regions. Within the first 2 days postapolysis, the anlagen of olfactory sensilla arise from electrondense mother cells in the sensillogenic epidermis. The axons of the developing sensilla begin to form the primary innervation pattern during the second day. The sensilla develop approximately within the first 10 days to their final shape, while the indentations are completed during the same period of time. The indentations are most probably driven by long basal extensions of epidermal cells, the epidermal feet. Primary indentations follow the course of segmentally arranged tracheal bundles and form the segments of the antenna. The secondary indentations follow the course of the primary segmental nerves which are reconstructed by this process. During the remaining time of development, the cuticle of the antenna and the sensory hairs is secreted by the epidermal and the hairforming cells.1992 WileyLiss, Inc. Copyright1992 WileyLiss, Inc.</t>
  </si>
  <si>
    <t>351-371</t>
  </si>
  <si>
    <t>Keil, Thomas A.</t>
  </si>
  <si>
    <t>Keil T.</t>
  </si>
  <si>
    <t>Fine structure of a developing insect olfactory organ: Morphogenesis of the silkmoth antenna</t>
  </si>
  <si>
    <t>10.1002/jemt.1070220405</t>
  </si>
  <si>
    <t>2-s2.0-0026757397</t>
  </si>
  <si>
    <t>['similar characteristics', 'several set', 'sar profiles', 'sar ),', 'rights reserved', 'results show', 'quantitative measurements', 'qualitative localization', 'produce light', 'optic read', 'method described', 'major axis', 'led matrix', 'led dipoles', 'field strength', 'field probe', 'emitting diode', 'easily determined', 'complete two', 'aperture midplane']</t>
  </si>
  <si>
    <t>The utility of the light-emitting diode (LED) matrix, i.e. the qualitative localization of maxima and minima in the patterns of the specific absorption rate (SAR), can be extended to quantitative measurements by a method described. With the LED dipoles on the matrix representing light sources of similar characteristics, the minimal field strength necessary to produce light is a criterion which can be easily determined. From the power levels necessary to fulfil this criterion, relative SAR values have been calculated. The attenuation of field strength by the LED matrix has been measured by an additional dipole antenna with fibre-optic read-out, so that the calculated SAR profiles could be corrected for the relatively smaller attenuation near the edges. This technique has been tested for several set-ups in a 'Coaxial TEM applicator' and the resulting SAR profiles along the major axis of the aperture midplane were compared with SAR profiles determined using a single dipole E-field probe. Results show that, from a set of photographs at different power levels, SAR profiles can be constructed with limited accuracy along lines in any direction in the whole aperture midplane and by this the complete two-dimensional SAR pattern can be obtained. ¬© 1992 Informa UK Ltd All rights reserved: reproduction in whole or part not permitted.</t>
  </si>
  <si>
    <t>609-619</t>
  </si>
  <si>
    <t>60001157;60032724;60001157</t>
  </si>
  <si>
    <t>55697254300;57215373896;7201850878</t>
  </si>
  <si>
    <t>Schneider, C. J.;De Leeuw, A. A.C.;Van Dijk, J. D.P.</t>
  </si>
  <si>
    <t>Netherlands;Netherlands</t>
  </si>
  <si>
    <t>Utrecht;Amsterdam</t>
  </si>
  <si>
    <t>University Medical Center Utrecht;Amsterdam UMC - University of Amsterdam</t>
  </si>
  <si>
    <t>60032724;60001157</t>
  </si>
  <si>
    <t>Schneider C.J.</t>
  </si>
  <si>
    <t>Quantitative determination of SAR profiles from photographs of the light-emitting diode matrix</t>
  </si>
  <si>
    <t>10.3109/02656739209037996</t>
  </si>
  <si>
    <t>2-s2.0-0026759283</t>
  </si>
  <si>
    <t>['triangular array', 'totally nonfunctional', 'systolic array', 'remaining processors', 'realistic example', 'qr decomposition', 'processing flow', 'processing array', 'previously discussed', 'null depth', 'main beam', 'inherently graceful', 'graceful degradation', 'globally reconfigured', 'first time', 'degrade catastrophically', 'computed weights', 'component processors', 'available degrees', 'array processors', 'amplitude weights']</t>
  </si>
  <si>
    <t>The phase and amplitude weights of each element in an adaptive, digitally beamformed array antenna can be calculated by a systolic parallel processor. We propose that the entire weight calculation (both QR decomposition, previously discussed by Gentleman and Kung, and the back-substitutions, which we present here for the first time) be performed in a triangular array of processors. This has the highly desirable property of graceful degradation: the loss of one or more component processors does not cause the computed weights to degrade catastrophically. The loss of a processor in the systolic array merely reduces the numbe of available degrees of freedom. Moreover, the processing array does not need to be globally reconfigured; the functions of all the remaining processors are unaffected and their interconnections are undisturbed. We describe the processing flow in the systolic array, show how its degradation is inherently graceful, and present a realistic example of graceful degradation. The specific example demonstrates full null depth even when one processing element in the array is totally nonfunctional. This property is extensible to array processors with more than one failed element; null depth is preserved at the expense of degrees of freedom in shaping the main beam. ¬© 1992 IEEE</t>
  </si>
  <si>
    <t>305-315</t>
  </si>
  <si>
    <t>60004179;60024592</t>
  </si>
  <si>
    <t>6505883374;7101949721</t>
  </si>
  <si>
    <t>Heiligman, G. M.;Purdy, R. J.</t>
  </si>
  <si>
    <t>Lexington;Moffett Field</t>
  </si>
  <si>
    <t>Lincoln Laboratory;NASA Ames Research Center</t>
  </si>
  <si>
    <t>60024592;60004179</t>
  </si>
  <si>
    <t>Heiligman G.</t>
  </si>
  <si>
    <t>Graceful Degradation of an Adaptive Beamforming Processor</t>
  </si>
  <si>
    <t>10.1109/7.135455</t>
  </si>
  <si>
    <t>2-s2.0-0026762278</t>
  </si>
  <si>
    <t>['widely used', 'rigorous formulation', 'rectangular screen', 'mutual influence', 'formulation takes', 'electromagnetic radiation', 'electrical contact', 'antenna engineering']</t>
  </si>
  <si>
    <t>An approach is developed for radiation emission based on a rigorous formulation of the electromagnetic radiation between a symmetric dipole parallel to a rectangular screen. This arrangement for radiation is widely used in antenna engineering. The formulation takes into account the mutual influence of a linear symmetric dipole and a rectangular metallic sheet in the absence of electrical contact. The analysis is based on a method of successive approximations using numerical solutions. The current for the total symmetric dipole-rectangular screen system is found.</t>
  </si>
  <si>
    <t>125-127</t>
  </si>
  <si>
    <t>7007013967;6507959040</t>
  </si>
  <si>
    <t>Pimenov, Yu V.;Khod'Kov, D. A.</t>
  </si>
  <si>
    <t>Pimenov Y.</t>
  </si>
  <si>
    <t>Radiation of symmetric electric dipole oriented parallel to a rectangular screen</t>
  </si>
  <si>
    <t>2-s2.0-0026765267</t>
  </si>
  <si>
    <t>['turn achieves', 'scale aircraft', 'required size', 'range resolution', 'radar center', 'obtain two', 'noise ratio', 'modulated signal', 'mathematical modeling', 'linear frequency', 'large distances', 'inverse synthesis', 'high signal', 'high accuracy', 'effective bandwidth', 'dimensional image', 'azimuthal range', 'azimuthal measurements', '80 mhz', '10 cm']</t>
  </si>
  <si>
    <t>It is possible to obtain two-dimensional radio images at large distances when the signal coherence time is insufficient for inverse synthesis of the aperture of required size. To do so, a high signal-to-noise ratio must be achieved which in turn achieves a high range resolution and a high accuracy of azimuthal measurements. If several local target reflectors fall within the range resolution element, it is possible to determine the azimuth of their radar center and their azimuthal range. These ideas were tested by mathematical modeling. The generation of images of a large-scale aircraft with an effective bandwidth of a linear frequency-modulated signal of 80 MHz and a wavelength of 10 cm was examined for a high signal-to-noise ratio. In range resolution of luminous point elements, the two-dimensional image was generated with no distortion.</t>
  </si>
  <si>
    <t>131-132</t>
  </si>
  <si>
    <t>8369744900;57225769618;8369745100</t>
  </si>
  <si>
    <t>Leshchenko, S. P.;Gorshkov, S. A.;Shirman, Ya D.</t>
  </si>
  <si>
    <t>Leshchenko S.P.</t>
  </si>
  <si>
    <t>Principle of obtaining two-dimensional radio images when there is insufficient azimuthal resolution</t>
  </si>
  <si>
    <t>2-s2.0-0026765293</t>
  </si>
  <si>
    <t>['wider region', 'wide variety', 'transfer functions', 'theoretical limits', 'system design', 'probes developed', 'photonic probes', 'optic modulators', 'operating parameters', 'noise sources', 'nef ).', 'national institute', 'low signals', 'fabricating modulators', 'electromagnetic spectrum', 'dynamic ranges', 'appropriate antennas', '70 db', '103 times']</t>
  </si>
  <si>
    <t>We discuss the characteristics of photonic probes that give them the potential to measure pulsed electromagnetic fields more accurately than has been possible in the past. An overview of system design is presented with particular emphasis placed on the transfer functions of appropriate antennas and electro-optic modulators. Noise sources which limit the sensitivity to low signals are discussed and used to determine the noise equivalent field (NEF). The characteristics of some probes developed by the National Institute of Standards and Technology are presented. The NEF‚Äôs of these probes are about 0.1 V‚Ä¢ m~lHz1/2 and are about 103 times the theoretical limits. For a 1 Hz bandwidth their dynamic ranges are on the order of 70 dB. Optical guided wave technology holds considerable promise for fabricating modulators with a wide variety of operating parameters that can improve probe performance and extend their applications to a wider region of the electromagnetic spectrum. ¬© 1992 IEEE</t>
  </si>
  <si>
    <t>60023053;60023053</t>
  </si>
  <si>
    <t>35578175900;6603706572</t>
  </si>
  <si>
    <t>Kanda, Motohisa;Masterson, Keith D.</t>
  </si>
  <si>
    <t>Gaithersburg</t>
  </si>
  <si>
    <t>National Institute of Standards and Technology</t>
  </si>
  <si>
    <t>Kanda M.</t>
  </si>
  <si>
    <t>Optically Sensed EM-Field Probes for Pulsed Fields</t>
  </si>
  <si>
    <t>10.1109/5.119581</t>
  </si>
  <si>
    <t>2-s2.0-0026765584</t>
  </si>
  <si>
    <t>['¬© 1992', 'wide range', 'wide band', 'varying load', 'two systems', 'technique stems', 'recent years', 'pressure wave', 'present study', 'large bifurcations', 'input impedance', 'heart rate', 'good response', 'feeding medium', 'earlier publication', 'earlier model', 'considered small', 'body size', 'arterial system']</t>
  </si>
  <si>
    <t>arterial system | Non-uniform circulatory model | ohmic resistance</t>
  </si>
  <si>
    <t>In recent years, the technique of non-uniform transmission lines has been utilized in the synthesis of lines feeding antennae from transmitters, thereby maintaining matching over a wide band of frequencies and with varying load. For this reason, an electrical model based on that technique stems from the resemblance between the two systems: in both the feeding medium is non-uniform, and it is necessary to maintain a good response over a wide range of frequencies. Our non-uniform transmission line model of the arterial system, introduced in an earlier publication, supplies comprehensive answers to many questions dealing with the research into this system. Whereas in our earlier model the ohmic resistance R was considered small and not considered in the calculations, it is included in the present study. We have calculated the variation of the input impedance with the frequency and distance from the source, the effect of occluded main branches, augmentation of the pressure wave, the relationship between body size and heart rate and the matching of impedances at large bifurcations. We found that our calculated results agree very well with the quantitative results measured by other investigators in the field. ¬© 1992.</t>
  </si>
  <si>
    <t>390-396</t>
  </si>
  <si>
    <t>Journal of Biomedical Engineering</t>
  </si>
  <si>
    <t>60005681;60005681;60005681</t>
  </si>
  <si>
    <t>7007086293;57196766424;20835252900</t>
  </si>
  <si>
    <t>Einav, S.;Aharoni, S.;Manoach, M.</t>
  </si>
  <si>
    <t>Tel Aviv-Yafo</t>
  </si>
  <si>
    <t>Tel Aviv University</t>
  </si>
  <si>
    <t>Einav S.</t>
  </si>
  <si>
    <t>Pulse transmission and impedance characteristics of a non-uniform circulatory model</t>
  </si>
  <si>
    <t>014154259290084X</t>
  </si>
  <si>
    <t>10.1016/0141-5425(92)90084-X</t>
  </si>
  <si>
    <t>2-s2.0-0026767729</t>
  </si>
  <si>
    <t>Eunice Kennedy Shriver National Institute of Child Health and Human Development</t>
  </si>
  <si>
    <t>R01HD015587</t>
  </si>
  <si>
    <t>NICHD</t>
  </si>
  <si>
    <t>Drosophila gap gene | Homeodomain | Imaginal disc</t>
  </si>
  <si>
    <t>801-811</t>
  </si>
  <si>
    <t>Development</t>
  </si>
  <si>
    <t>60003269;60003269;60003269</t>
  </si>
  <si>
    <t>7005336776;7102932049;7102596360</t>
  </si>
  <si>
    <t>Wieschaus, E.;Perrimon, N.;Finkelstein, R.</t>
  </si>
  <si>
    <t>Princeton</t>
  </si>
  <si>
    <t>Princeton University</t>
  </si>
  <si>
    <t>Wieschaus E.</t>
  </si>
  <si>
    <t>Orthodenticle activity is required for the development of medial structures in the larval and adult epidermis of Drosophila</t>
  </si>
  <si>
    <t>2-s2.0-0026768132</t>
  </si>
  <si>
    <t>1167-1168</t>
  </si>
  <si>
    <t>2 I</t>
  </si>
  <si>
    <t>60018319;60018319;60018319</t>
  </si>
  <si>
    <t>6602147745;55730188800;7007128024</t>
  </si>
  <si>
    <t>Ceperley, P. H.;Kurosawa, M.;Ueha, S.</t>
  </si>
  <si>
    <t>Fairfax</t>
  </si>
  <si>
    <t>George Mason University</t>
  </si>
  <si>
    <t>Ceperley P.H.</t>
  </si>
  <si>
    <t>Comments on 'single-phase drive of a circular ultrasonic motor' [J. Acoust. Soc. Am. 90, 1723-1728 (1991)]</t>
  </si>
  <si>
    <t>10.1121/1.404043</t>
  </si>
  <si>
    <t>2-s2.0-0026775969</t>
  </si>
  <si>
    <t>['structural elements', 'sensory cells', 'outer part', 'opossum shrimps', 'olfactory function', 'morphological definition', 'juveniles ),', 'higher crustaceans', 'euphausid meganyctiphanes', 'essentially hoseshaped', 'enveloping cells', 'cuticular hair', 'copyright1992 wileyliss', 'aesthetascs problematic', '1992 wileyliss']</t>
  </si>
  <si>
    <t>Electron microscopy | Homology | Sensilla | Sexual dimorphism</t>
  </si>
  <si>
    <t>The structure of the aesthetascs has been investigated in the prawn Macrobrachium rosenbergii (larvae and juveniles), the opossum shrimp Neomysis integer, the euphausid Meganyctiphanes, and in the waterfleas Daphnia magna and D. longispina. The aesthetascs, that are thought to represent olfactory receptors, exhibit a considerable structural variation, ranging from the well known aesthetascs of higher crustaceans (lobster, crab, crayfish) to the corresponding sensilla found in the waterfleas and the males of opossum shrimps. The two following morphological characteristics of the aesthetascs are thought to indicate an olfactory function: the shape of the cuticular hair that is long and essentially hoseshaped, and the thin, loosely arranged cuticle of at least the outer part of the cuticular hair. The presence of other structural elements such as sensory cells, cilia, and enveloping cells are vital for the olfactory function, but the development is variable, which makes their use in the morphological definition of aesthetascs problematic.1992 WileyLiss, Inc. Copyright1992 WileyLiss, Inc.</t>
  </si>
  <si>
    <t>325-335</t>
  </si>
  <si>
    <t>60029170;60029170;60029170</t>
  </si>
  <si>
    <t>7006062747;7202519528;7003820911</t>
  </si>
  <si>
    <t>Hallberg, Eric;Johansson, Kjell U.I.;Elofsson, Rolf</t>
  </si>
  <si>
    <t>Lund</t>
  </si>
  <si>
    <t>Lunds Universitet</t>
  </si>
  <si>
    <t>Hallberg E.</t>
  </si>
  <si>
    <t>The aesthetasc concept: Structural variations of putative olfactory receptor cell complexes in crustacea</t>
  </si>
  <si>
    <t>10.1002/jemt.1070220403</t>
  </si>
  <si>
    <t>2-s2.0-0026779478</t>
  </si>
  <si>
    <t>['¬© 1992', 'used individually', 'tu heating', 'tu alone', 'tr applicators', 'tr alone', 'simultaneous tr', 'shifting phase', 'selectively enhanced', 'prostatic urethra', 'phase relationship', 'periurethral tissue', 'neither technique', 'mw antennas', 'much value', 'localized hyperthermia', 'individual antennas', 'ii trials', 'highest temperatures', 'either applicator', 'directional microwave', 'differ significantly', 'computer simulation', 'combined use', 'cap ).', 'applicator inserted', 'anterior prostate', '6 cm', '2 cm']</t>
  </si>
  <si>
    <t>Localized hyperthermia (HT) is presently under investigation as a treatment for benign prostatic hyperplasia and carcinoma of the prostate (CaP). One popular approach employs a transrectal (TR) device, a directional microwave (MW) applicator inserted into the rectum and aimed at the prostate. Alternatively, in the transurethral (TU) technique, a symmetrically radiating MW antenna is placed directly within the prostatic urethra. Used individually, TR applicators are capable of effectively heating (&gt;42¬∞C) the prostate up to 2 cm from the rectum, whereas TU applicators selectively heat the periurethral tissue with effective radial penetration of about 0.6 cm. Neither technique is of much value in heating the anterior prostate. In general, the highest temperatures are produced in the tissue immediately adjacent to the surface of intracavitary microwave devices. However, when MW antennas are used in arrays, the resulting heating pattern can differ significantly from that of the individual antennas. Heating at depth can be selectively enhanced and "steered" by adjusting the phase relationship between the devices. Prostatic temperature profiles were measured in 6 patients treated with TR alone, TU alone, and simultaneous TR and TU heating. In the combined treatments different phase relationships between the antennas were applied. We found that a higher temperture could be produced in the center of the prostate than on the surface of either applicator for certain phase relationships, and that the temperature profiles could be changed by shifting phase. The rseults of the measurements are in agreement with those of a computer simulation. Based on the above data we feel the combined use of T U and TR hyperthermia may be justified in Phase I-II trials for patients with locally advanced CaP. ¬© 1992.</t>
  </si>
  <si>
    <t>300-307</t>
  </si>
  <si>
    <t>Urology</t>
  </si>
  <si>
    <t>60015183-60031069-60027012;60015183-60031069-60027012;60015183-60031069-60027012;60015183-60031069-60027012;60015183-60031069-60027012;60015183-60031069-60027012;60015183-60031069-60027012</t>
  </si>
  <si>
    <t>6602849831;7006549540;57216903923;7006112481;7102038118;6506495449;7006372174</t>
  </si>
  <si>
    <t>Debicki, P.;Astrahan, M. A.;Ameye, F.;Oyen, R.;Baert, L.;Haczewski, A.;Petrovich, Z.</t>
  </si>
  <si>
    <t>Belgium;Poland;United States</t>
  </si>
  <si>
    <t>3000 Leuven;Gdansk;Los Angeles</t>
  </si>
  <si>
    <t>KU Leuven‚Äì University Hospital Leuven;Gda≈Ñsk University of Technology;Keck School of Medicine of USC</t>
  </si>
  <si>
    <t>60031069;60027012;60015183</t>
  </si>
  <si>
    <t>Debicki P.</t>
  </si>
  <si>
    <t>Temperature steering in prostate by simultaneous transurethral and transrectal hyperthermia</t>
  </si>
  <si>
    <t>0090-4295(92)90376-8</t>
  </si>
  <si>
    <t>10.1016/0090-4295(92)90376-8</t>
  </si>
  <si>
    <t>2-s2.0-0026783203</t>
  </si>
  <si>
    <t>['wasm however', 'two systems', 'th immunoreactivity', 'th antiserum', 'substantial superposition', 'subesophageal ganglion', 'phormia terraenovae', 'optic lobe', 'neurons reacting', 'neurons homologous', 'modulatory functions', 'lobula plate', 'immunoreactive processes', 'immunoreactive neurons', 'hair processes', 'ha immunoreactivity', 'glomerular neuropil', 'blowfly neurons', 'bilateral pairs', 'bilateral clusters', 'antennal lobes', 'also mapped', '18 ha']</t>
  </si>
  <si>
    <t>Dopamine | Drosophila melanogaster, Phormia terraenovae, Calliphora erythrocephala (Insecta) | Histamine | Immunocytochemistry | Insect nervous system | Tyrosine hydroxylase</t>
  </si>
  <si>
    <t>The distribution and morphology of neurons reacting with antisera against dopamine (DA), tyrosine hydroxylase (TH) and histamine (HA) were analyzed in the blowflies Calliphora erythrocephala and Phormia terraenovae. TH-immunoreactive (THIR) and HA-immunoreactive (HAIR) neurons were also mapped in the fruitfly Drosophila melanogaster. The antisera against DA and TH specifically labeled the same neurons in the blowflies. About 300 neurons displayed DA immunoreactivity (DAIR) and THIR in the brain and subesophageal ganglion of the blowflies. Most of these neurons were located in bilateral clusters; some were distributed as bilateral pairs, and two ventral unpaired median (VUM) neurons were seen in the subesophageal ganglion. Immunoreactive processes were found in all compartments of the mushroom bodies except the calyces, in all divisions of the central body complex, in the medulla, lobula and lobula plate of the optic lobe, and in non-glomerular neuropil of protocerebrum, tritocerebrum and the subesophageal ganglion. No DA or TH immunoreactivity was seen in the antennal lobes. In Drosophila, neurons homologous to the blowfly neurons were detected with the TH antiserum. In Phormia and Drosophila, 18 HA-immunoreactive neurons were located in the protocerebrum and 2 in the subesophageal ganglion. The HAIR neurons arborized extensively, but except for processes in the lobula, all HAIR processes were seen in non-glomerular neuropil. The deuto- and tritocerebrum was devoid of HAIR processes. Double labeling experiments demonstrated that TH and HA immunoreactivity was not colocalized in any neuron. In some regions there wasm however, substantial superposition between the two systems. The morphology of the extensively arborizing aminergic neurons described suggests that they have modulatory functions in the brain and subesophageal ganglion. ¬© 1992 Springer-Verlag.</t>
  </si>
  <si>
    <t>147-167</t>
  </si>
  <si>
    <t>60028378;60002997</t>
  </si>
  <si>
    <t>7004648516;7006369008</t>
  </si>
  <si>
    <t>N√§ssel, D. R.;Elekes, K.</t>
  </si>
  <si>
    <t>Sweden;Hungary</t>
  </si>
  <si>
    <t>Stockholm;Tihany</t>
  </si>
  <si>
    <t>Stockholms universitet;Balaton Limnological Research Institute</t>
  </si>
  <si>
    <t>N√§ssel D.R.</t>
  </si>
  <si>
    <t>Aminergic neurons in the brain of blowflies and Drosophila: dopamine- and tyrosine hydroxylase-immunoreactive neurons and their relationship with putative histaminergic neurons</t>
  </si>
  <si>
    <t>10.1007/BF00318701</t>
  </si>
  <si>
    <t>2-s2.0-0026790115</t>
  </si>
  <si>
    <t>['vertical velocities', 'vertical motion', 'two side', 'temperature measurements', 'profiler measurements', 'also shown', 'accurately remove', 'accurately account']</t>
  </si>
  <si>
    <t>Vertical velocities were observed with two side-by-side wind profilers at Platteville, Colorado. Many of the observations reveal strong wave motion, probably mountain lee waves, that sometimes caused vertical velocity changes of several meters per second in less than an hour. It is demonstrated that, under these conditions, hourly averages cannot always be used to accurately account for the effects of vertical motion on the profiler measurements. It is also shown that it is impossible to accurately remove the effects of vertical motion from the horizontal wind component estimates. The Radio Acoustic Sounding System (RASS) temperature measurements, however, are not affected by the small spatial scales because those measurements are made on the same vertical antenna beam as the vertical velocity measurements. -from Authors</t>
  </si>
  <si>
    <t>193-209</t>
  </si>
  <si>
    <t>;;;;</t>
  </si>
  <si>
    <t>7401436950;6602472568;55071201300;7005591218;57225894640</t>
  </si>
  <si>
    <t>Weber, B. L.;Wuertz, D. B.;Law, D. C.;Frisch, A. S.;Brown, J. M.</t>
  </si>
  <si>
    <t>Weber B.L.</t>
  </si>
  <si>
    <t>Effects of small-scale vertical motion on radar measurements of wind and temperature profiles</t>
  </si>
  <si>
    <t>10.1175/1520-0426(1992)009&lt;0193:EOSSVM&gt;2.0.CO;2</t>
  </si>
  <si>
    <t>2-s2.0-0026803923</t>
  </si>
  <si>
    <t>['space vehicles', 'process industry', 'pressure regulators', 'pneumatic equipment', 'operating temperatures', 'motors used', 'included repairs', 'flange sealant', 'fastening systems', 'end frames', 'deploying antennae', 'connector housings', 'chosen ahead', 'bonding laminations', 'b .)', '55 degreesc', '150 degreesc']</t>
  </si>
  <si>
    <t>Applications where adhesives have been chosen ahead of other fastening systems are reviewed. These included repairs in space to motors for deploying antennae on space vehicles, bonding laminations, sealing of end frames to housings and connectors to connector housings on motors used in the process industry, and for bonding in the manufacture of pressure regulators for pneumatic equipment. A flange sealant is found the most appropriate for sealing fan motors which can then be used in extreme weather condtions where operating temperatures can range from -55 degreesC to 150 degreesC. (P.J.B.)</t>
  </si>
  <si>
    <t>21-22</t>
  </si>
  <si>
    <t>DPA DESIGN, PRODUCTS &amp; APPLICATIONS</t>
  </si>
  <si>
    <t>Adhesives deserve consideration</t>
  </si>
  <si>
    <t>2-s2.0-0026807758</t>
  </si>
  <si>
    <t>DAAL03-89-K-0073</t>
  </si>
  <si>
    <t>['slotted aloha', 'slot allow', 'delay performance', 'contending packets', 'automatically steering', 'array resolution', 'adaptive array', '2 ].', '1 ],']</t>
  </si>
  <si>
    <t>The use of an adaptive antenna array is presented as a means to improve the performance of a slotted ALOHA packet radio network. An adaptive array creates a strong capture effect at a packet radio terminal by automatically steering the receive antenna pattern toward one packet and nulling other contending packets in a slot. A special code preamble and randomized arrival times within each slot allow the adaptive array to lock onto one packet in each slot. The throughput and delay performance of a network with an adaptive array is computed by applying the standard Markov chain analysis of slotted ALOHA [1], [2]. It is shown that throughput levels comparable to CSMA are attainable with an adaptive array without the need for stations to be able to hear each other. The performance depends primarily on the number of adaptive array nulls, the array resolution, and the length of the randomization interval within each slot. ¬© 1992 IEEE</t>
  </si>
  <si>
    <t>292-300</t>
  </si>
  <si>
    <t>16141609500;35611381200</t>
  </si>
  <si>
    <t>Ward, James;Compton, R. T.</t>
  </si>
  <si>
    <t>Ward J.</t>
  </si>
  <si>
    <t>Improving the Performance of a Slotted ALOHA Packet Radio Network with an Adaptive Array</t>
  </si>
  <si>
    <t>10.1109/26.129191</t>
  </si>
  <si>
    <t>2-s2.0-0026811535</t>
  </si>
  <si>
    <t>['several wavelengths', 'results show', 'profound result', 'polarization discrimination', 'mobile moves', 'microwave region', 'experiments using', 'cp antennas', '3 ghz']</t>
  </si>
  <si>
    <t>This paper presents results of experiments using a variety of antennas inside several buildings. Path loss models are presented for the 1.3 GHz and 4.0 GHz bands, and indicate little difference in indoor path loss throughout the low-microwave region. Results show that line-of-sight (LOS) channels offer significantly more cross-polarization discrimination than obstructed (OBS) channels. A profound result is that directional circularly polarized (CP) antennas always reduce rms delay spread when compared to omnidirectional and directional linearly polarized (LP) antennas in LOS. The variation of rms delay spread as a mobile moves over several wavelengths is also greatly reduced when CP antennas are used. ¬© 1992 IEEE</t>
  </si>
  <si>
    <t>240-245</t>
  </si>
  <si>
    <t>60027090;60027090</t>
  </si>
  <si>
    <t>7006091503;6505830821</t>
  </si>
  <si>
    <t>Rappaport, Theodore S.;Hawbaker, Dwayne A.</t>
  </si>
  <si>
    <t>Blacksburg</t>
  </si>
  <si>
    <t>Virginia Polytechnic Institute and State University</t>
  </si>
  <si>
    <t>Rappaport T.</t>
  </si>
  <si>
    <t>Wide-Band Microwave Propagation Parameters Using Circular and Linear Polarized Antennas for Indoor Wireless Channels</t>
  </si>
  <si>
    <t>10.1109/26.129185</t>
  </si>
  <si>
    <t>2-s2.0-0026813586</t>
  </si>
  <si>
    <t>['rights reserved', 'results indicate', 'rdgb function', 'olfactory response', 'olfactory physiology', 'normal response', 'linked mutation', 'gene required', 'electrophysiological recordings', 'drosophila isolated', 'delayed return', 'adult flies']</t>
  </si>
  <si>
    <t>Antenna | Behavior | Degeneration | Physiology | Retina | Transduction</t>
  </si>
  <si>
    <t>otal (ota = olfactory trap abnormal), an X-linked mutation of Drosophila isolated by virtue of abnormal olfactory behavior, is shown to be an allele of rdgB (retinal degeneration B), a gene required for normal visual system physiology. rdgB function is shown to be necessary for olfactory response of both adult flies and larvae, which have distinct olfactory systems. Electrophysiological recordings from the adult antenna indicate that rdgB is required for normal response in the peripheral olfactory system: some rdgB mutants show a delayed return to the resting potential following stimulation with ethyl acetate vapor. These results indicate that rdgB is required for both visual and olfactory physiology, and they suggest that visual and olfactory transduction may share at least one common molecular step in Drosophila. ¬© 1992 Informa UK Ltd All rights reserved: reproduction in whole or part not permitted.</t>
  </si>
  <si>
    <t>Journal of Neurogenetics</t>
  </si>
  <si>
    <t>60005455;60005455;60005455</t>
  </si>
  <si>
    <t>7004626990;6602075982;7402114946</t>
  </si>
  <si>
    <t>Woodard, Craig;Alcorta, Esther;Carlson, John</t>
  </si>
  <si>
    <t>Woodard C.</t>
  </si>
  <si>
    <t>The rdgb gene of drosophila: A link between vision and olfaction</t>
  </si>
  <si>
    <t>10.3109/01677069209167269</t>
  </si>
  <si>
    <t>2-s2.0-0026813763</t>
  </si>
  <si>
    <t>['space diversity', 'southern california', 'small signal', 'method used', 'measured data', 'may also', 'depend upon', 'angle diversity']</t>
  </si>
  <si>
    <t>Space diversity and angle diversity experimental data have been collected over a three year period, using 64 QAM radios, on the terrestrial microwave radio hop between Salton and Brawley in southern California. Both measured data and simulations have shown that the performance of angle diversity systems depends upon the direction of transmission on the path as well as the polarization of the signal. While this may also be true for space diversity, the effects of a finite spatial correlation length and a small signal-to-noise ratio significantly reduce the sensitivity of space diversity to the direction of propagation on this path. Additionally, the performance of angle diversity is shown to depend upon the method used to implement angle diversity. ¬© 1992 IEEE</t>
  </si>
  <si>
    <t>440-454</t>
  </si>
  <si>
    <t>60021378;60021378;60021378</t>
  </si>
  <si>
    <t>7003869932;7202398556;7402826309</t>
  </si>
  <si>
    <t>Alley, Gary D.;Bianchi, Charles H.;Robinson, Willard A.</t>
  </si>
  <si>
    <t>Murray</t>
  </si>
  <si>
    <t>Nokia Bell Labs</t>
  </si>
  <si>
    <t>Alley G.D.</t>
  </si>
  <si>
    <t>Angle Diversity and Space Diversity Experiments on the Salton/Brawley Hop</t>
  </si>
  <si>
    <t>10.1109/26.129206</t>
  </si>
  <si>
    <t>2-s2.0-0026813857</t>
  </si>
  <si>
    <t>['solubilized molecule', 'polymeric pseudophase', 'polymer pseudophase', 'photosensitized oxidation', 'perylene solubilized', 'higher content', 'greater concentration', 'efficient photocatalyst', 'distribution coefficients', 'dissolved oxygen', 'carbazole chromophores', 'aqueous solution', 'absorbing light']</t>
  </si>
  <si>
    <t>antenna effect | distribution coefficient | photocatalytic activity | poly(sodium styrene sulfonate‚Äìco‚ÄìN‚Äìvinylcarbazole) | poly[sodium styrene sulfonate‚Äìco‚ÄìN‚Äì(acryloyloxyhexyl)carbazole] | solubilization</t>
  </si>
  <si>
    <t>Two new antenna polyelectrolytes, poly(sodium styrenesulfonate‚Äêco‚ÄêN‚Äêvinylcarbazole) (PSSS‚ÄìVCz) and poly[sodium styrenesulfonate‚Äêco‚ÄêN‚Äê(acryloyloxyhexyl)carbazole](PSSS‚ÄìAHCz) have been synthesized. Both polymers were found to solubilize large hydrophobic compounds such as perylene in aqueous solution, but PSSS‚ÄìAHCz was much more efficient than PSSS‚ÄìVCz. The distribution coefficients of perylene between the polymer pseudophase and water was determined to be (2.9 ¬± 0.1) √ó 106 and (4.0 ¬± 0.2) √ó 104 in PSSS‚ÄìAHCz and PSSS‚ÄìVCz, respectively. The greater solubilizing ability of PSSS‚ÄìAHCz is attributed to the higher content of hydrophobic monomer units in the polymer. Both copolymers displayed photocatalytic activity, absorbing light in the UV‚Äêvisible spectral region. Energy can then be transferred to a solubilized molecule or dissolved oxygen and induce photochemical reactions. The model reaction used in this study was the photosensitized oxidation of perylene solubilized in aqueous polymer solutions. PSSS‚ÄìAHCz was found to be a much more efficient photocatalyst than PSSS‚ÄìVCz. The enhanced photocatalytic activity of PSSS‚ÄìAHCz is attributed to the greater concentration of carbazole chromophores, the higher local concentration of probe in the polymeric pseudophase and possibly to the elimination of the low‚Äêenergy excimer. Copyright ¬© 1992 John Wiley &amp; Sons, Inc.</t>
  </si>
  <si>
    <t>271-277</t>
  </si>
  <si>
    <t>0887624X</t>
  </si>
  <si>
    <t>Journal of Polymer Science Part A: Polymer Chemistry</t>
  </si>
  <si>
    <t>60016849;60016849;60016849;60016849</t>
  </si>
  <si>
    <t>7004369519;15121540400;57197488624;7102379256</t>
  </si>
  <si>
    <t>Nowakowska, M.;White, B.;Vogt, S.;Guillet, J. E.</t>
  </si>
  <si>
    <t>Toronto</t>
  </si>
  <si>
    <t>University of Toronto</t>
  </si>
  <si>
    <t>Nowakowska M.</t>
  </si>
  <si>
    <t>Studies of the antenna effect in polymer molecules. XVII. Synthesis and photocatalytic activity of poly(sodium styrenesulfonate‚Äêco‚ÄêN‚Äêvinylcarbazole) and poly[sodium styrenesulfonate‚Äêco‚ÄêN‚Äê(acryloyloxyhexyl)carbazole]</t>
  </si>
  <si>
    <t>10.1002/pola.1992.080300211</t>
  </si>
  <si>
    <t>2-s2.0-0026815491</t>
  </si>
  <si>
    <t>T32CA009067</t>
  </si>
  <si>
    <t>['water indicates', 'transverse electric', 'tangential components', 'radiators may', 'radiated power', 'microstrip antennas', 'low normal', 'limited control', 'hyperthermia heating', 'field ratios', 'field probe', 'field measurements', 'dipole e', 'automatic three', 'appropriate orientation', 'amplitude adjustment', '915 mhz']</t>
  </si>
  <si>
    <t>A rectangular microstrip antenna radiator is investigated for its near-zone radiation characteristics in water. Calculations of a cavity model theory are compared with the electric-field measurements of a miniature nonperturbing diode-dipole E-field probe whose 3 mm tip was positioned by an automatic three-axis scanning system. These comparisons have implications for the use of microstrip antennas in a multielement microwave hyperthermia applicator. Half-wavelength rectangular microstrip patches were designed to radiate in water at 915 MHz. Both low (Œµr = 10) and high (Œµr = 85) dielectric constant substrates were tested. Normal and tangential components of the near-zone radiated electric field were discriminated by appropriate orientation of the E-field probe. Low normal to transverse electric-field ratios at 3.0 cm depth indicate that the radiators may be useful for hyperthermia heating with an intervening water bolus. Electric-field pattern addition from a three-element linear array of these elements in water indicates that phase and amplitude adjustment can achieve some limited control over the distribution of radiated power. ¬© 1992 IEEE</t>
  </si>
  <si>
    <t>146-153</t>
  </si>
  <si>
    <t>IEEE Transactions on Biomedical Engineering</t>
  </si>
  <si>
    <t>60007082;60021032;60000745</t>
  </si>
  <si>
    <t>57196971416;7202081356;7005342618</t>
  </si>
  <si>
    <t>Underwood, Harold R.;Peterson, Andrew F.;Magin, Richard L.</t>
  </si>
  <si>
    <t>Atlanta;Wheaton;Urbana</t>
  </si>
  <si>
    <t>Georgia Institute of Technology;Wheaton College - Illinois;University of Illinois Urbana-Champaign</t>
  </si>
  <si>
    <t>60021032;60007082;60000745</t>
  </si>
  <si>
    <t>Underwood H.</t>
  </si>
  <si>
    <t>Electric-Field Distribution Near Rectangular Microstrip Radiators for Hyperthermia Heating: Theory Versus Experiment in Water</t>
  </si>
  <si>
    <t>10.1109/10.121645</t>
  </si>
  <si>
    <t>2-s2.0-0026816512</t>
  </si>
  <si>
    <t>['¬© 1992', 'technique places', 'rights reserved', 'electrical engineers', 'array elements', 'arbitrary targets']</t>
  </si>
  <si>
    <t>Radar | Signal processing | Sonar</t>
  </si>
  <si>
    <t>An algorithm is proposed that uses a broadside phased array to profile any number of arbitrary targets as a function of bearing. The technique places no restriction on either the number or location of the array elements. ¬© 1992, The Institution of Electrical Engineers. All rights reserved.</t>
  </si>
  <si>
    <t>358-360</t>
  </si>
  <si>
    <t>60016218;60016218;60016218</t>
  </si>
  <si>
    <t>7202176331;6602178171;57194933981</t>
  </si>
  <si>
    <t>Willis, A. J.;De Mello Koch, R.;Nicolson, J.</t>
  </si>
  <si>
    <t>South Africa</t>
  </si>
  <si>
    <t>Johannesburg</t>
  </si>
  <si>
    <t>University of the Witwatersrand, Johannesburg</t>
  </si>
  <si>
    <t>Willis A.</t>
  </si>
  <si>
    <t>Minimum norm target estimation algorithm for phased array radar</t>
  </si>
  <si>
    <t>10.1049/el:19920224</t>
  </si>
  <si>
    <t>2-s2.0-0026817491</t>
  </si>
  <si>
    <t>['¬© 1992', 'rights reserved', 'phase retrieval', 'partial constraint', 'field intensity', 'field facilities', 'far fields', 'electrical engineers', 'data scans', 'complex aperture', 'close together']</t>
  </si>
  <si>
    <t>Antenna radiation patterns | Antennas</t>
  </si>
  <si>
    <t>The complex aperture and far fields of a millimetre wave reflector are determined by phase retrieval from the near-field intensity and a partial constraint. The data scans are close together and provide comprehensive metrology suitable for near-field facilities. ¬© 1992, The Institution of Electrical Engineers. All rights reserved.</t>
  </si>
  <si>
    <t>454-455</t>
  </si>
  <si>
    <t>60001881;60001881;60001881</t>
  </si>
  <si>
    <t>7403369332;7202111442;6603451186</t>
  </si>
  <si>
    <t>Anderson, A. P.;Cheung, Y. D.;Junkin, G.</t>
  </si>
  <si>
    <t>Sheffield</t>
  </si>
  <si>
    <t>The University of Sheffield</t>
  </si>
  <si>
    <t>Anderson A.</t>
  </si>
  <si>
    <t>Phase retrieval near-field metrology of unknown apertures</t>
  </si>
  <si>
    <t>10.1049/el:19920286</t>
  </si>
  <si>
    <t>2-s2.0-0026817496</t>
  </si>
  <si>
    <t>['unique detector', 'theoretical predictions', 'monitoring instrumentation', 'measured results', 'leads connecting', 'investigated ranging', 'interdigitated capacitor', 'good agreement', '230 ghz']</t>
  </si>
  <si>
    <t>Gain and field pattern measurements at 230 GHz are reported for strip dipole antennas on finite-thickness substrates without ground planes. Four substrate thicknesses are investigated ranging from 0.25 A to 1.53 A (A = wavelength in substrate material). Measured results are in good agreement with theoretical predictions. A unique detector/low-pass filter design, composed of a bolometer and an interdigitated capacitor, is used to eliminate the distortion of the measured field patterns caused by the reception of the leads connecting the antenna with the monitoring instrumentation. ¬© 1992 IEEE</t>
  </si>
  <si>
    <t>79-81</t>
  </si>
  <si>
    <t>60019647;60019647</t>
  </si>
  <si>
    <t>6701840697;7406739047</t>
  </si>
  <si>
    <t>Gouker, Mark A.;Smith, Glenn S.</t>
  </si>
  <si>
    <t>Atlanta</t>
  </si>
  <si>
    <t>Georgia Institute of Technology</t>
  </si>
  <si>
    <t>Gouker M.</t>
  </si>
  <si>
    <t>Measurements of Strip Dipole Antennas on Finite-Thickness Substrates at 230 GHz</t>
  </si>
  <si>
    <t>10.1109/75.122417</t>
  </si>
  <si>
    <t>2-s2.0-0026817736</t>
  </si>
  <si>
    <t>['¬© 1992', 'two stages', 'steering vector', 'steering error', 'rights reserved', 'residual power', 'first stage', 'electrical engineers', 'capon beamformer', 'array beamforming', 'approach consists']</t>
  </si>
  <si>
    <t>Adaptive antennas | Antenna arrays</t>
  </si>
  <si>
    <t>A simple and yet effective approach is presented for array beamforming in the presence of steering error. This approach consists of two stages. The first stage is the Capon beamformer. The second stage maximises the residual power in the vicinity of the look direction using an iterative first order Taylor series approximation of the steering vector for estimating the steering error. ¬© 1992, The Institution of Electrical Engineers. All rights reserved.</t>
  </si>
  <si>
    <t>413-414</t>
  </si>
  <si>
    <t>60005510;60003196</t>
  </si>
  <si>
    <t>7102842938;7101727343</t>
  </si>
  <si>
    <t>Er, M. H.;Ng, B. C.</t>
  </si>
  <si>
    <t>Singapore;Singapore</t>
  </si>
  <si>
    <t>Singapore City;Singapore</t>
  </si>
  <si>
    <t>Nanyang Technological University;DSO National Laboratories</t>
  </si>
  <si>
    <t>Er M.</t>
  </si>
  <si>
    <t>Simple and effective approach to array beamforming in presence of steering error</t>
  </si>
  <si>
    <t>10.1049/el:19920259</t>
  </si>
  <si>
    <t>2-s2.0-0026817786</t>
  </si>
  <si>
    <t>['used directly', 'spatially shifted', 'simple preprocessing', 'one zero', 'obtained directly', 'new algorithm', 'mœ ±,', 'mœ ±', 'multiplexed manner', 'much faster', 'lms algorithm', 'implementation complexity', 'finding routine', 'external environment', 'eigenvalue spread', 'directional sources', 'controlling zeros', 'adaptively updated', '1 elements']</t>
  </si>
  <si>
    <t>A fast zero tracking algorithm for resolving coherent sources in power inversion adaptive arrays is investigated. To resolve M directional sources with a maximum coherent group size of MŒ±, the original M + 1 element power inversion array is augmented by MŒ± - 1 elements to result in a total of MŒ± identical but spatially shifted M + 1 element arrays. After performing some simple preprocessing, the M controlling zeros in these MŒ± arrays are adaptively updated in a time-multiplexed manner by using the LMS algorithm to minimise the spatially averaged output power to track the external environment. Since only one zero is adjusted at any instant, the new algorithm has almost the same implementation complexity as when the LMS algorithm is used directly. However, rather than having to use a root-finding routine, the directions of the sources can be obtained directly from the zeros being updated in the new algorithm. Also, with the same asymptotic time constant for all the zeros, the new algorithm can be much faster than the conventional LMS algorithm, especially under situations where the eigenvalue spread of the element covariance matrix is large.</t>
  </si>
  <si>
    <t>45-52</t>
  </si>
  <si>
    <t>IEE Proceedings, Part I: Communications, Speech and Vision</t>
  </si>
  <si>
    <t>Feb</t>
  </si>
  <si>
    <t>Ko, C. C.</t>
  </si>
  <si>
    <t>Singapore</t>
  </si>
  <si>
    <t>Singapore City</t>
  </si>
  <si>
    <t>National University of Singapore</t>
  </si>
  <si>
    <t>Ko C.</t>
  </si>
  <si>
    <t>Resolution of coherent sources in power inversion arrays with a fast zero tracking algorithm</t>
  </si>
  <si>
    <t>10.1049/ip-i-2.1992.0007</t>
  </si>
  <si>
    <t>2-s2.0-0026817804</t>
  </si>
  <si>
    <t>86-03586</t>
  </si>
  <si>
    <t>['¬© 1992', 'states 1', 'state 2', 'state 1', 'slower decay', 'resolved fluorescence', 'ps2 peak', 'photosystem 2', 'photosystem 1', 'peripheral antenna', 'ochromonas danica', 'higher peak', 'former reveals', 'excitation energy', 'evidence suggests', 'emission amplitude', 'dependent redistribution', 'dependent changes', 'decay curves', 'dark adapted', '77 k']</t>
  </si>
  <si>
    <t>Three physiological states brought about by different preillumination conditions in Ochromonas danica (state 1, state 2, and dark adapted) have been investigated using steady-state and time-resolved fluorescence at 77 K. The former reveals that the photosystem 1 (PS1) emission amplitude is the same in states 1 and 2. The photosystem 2 (PS2) emission amplitude depends on preillumination, state 1 having a higher peak than state 2 and dark adapted cells. Emission decay curves from PS1 are independent of preillumination, while decay curves from PS2 are identical for state-2 and dark adapted cells (1/e time 310 ps), state 1 showing a slower decay (1/e time 390 ps). No evidence suggests a preillumination-dependent redistribution of excitation energy from PS2 to PS1. Variation in the amplitude of a long-lifetime component appears to be sufficient to explain the state-dependent changes in emission of the PS2 peak. This is consistent with the hypothesis that some peripheral antenna is energetically decoupling without redistributing the excitation energy upon the state 2 to state 1 transition, causing increased emission in the 670-700 nm region. ¬© 1992.</t>
  </si>
  <si>
    <t>99-109</t>
  </si>
  <si>
    <t>Journal of Luminescence</t>
  </si>
  <si>
    <t>60027165-60011460;60027165-60011460;60007590-60011460;60007590-60011460</t>
  </si>
  <si>
    <t>6507793785;7202010339;7103115116;7005845761</t>
  </si>
  <si>
    <t>Hwang-Schweitzer, Robert H.;Knox, Robert S.;Gibbs, Pam B.;Biggins, John</t>
  </si>
  <si>
    <t>Rochester;Providence;Rochester</t>
  </si>
  <si>
    <t>University of Rochester;Brown University;University of Rochester Laboratory for Laser Energetics</t>
  </si>
  <si>
    <t>60027165;60011460;60007590</t>
  </si>
  <si>
    <t>Hwang-Schweitzer R.</t>
  </si>
  <si>
    <t>Fluorescence studies of photoregulation in the chrysophyte Ochromonas danica</t>
  </si>
  <si>
    <t>10.1016/0022-2313(92)90022-2</t>
  </si>
  <si>
    <t>2-s2.0-0026817861</t>
  </si>
  <si>
    <t>['two examples', 'suitable geometry', 'mmic ).', 'millimeter wavelengths', 'input impedance', 'first involving', 'experimental results', 'electrical thickness', 'dielectric substrate', 'design problems', 'antenna may', 'antenna designed', 'analytical method']</t>
  </si>
  <si>
    <t>A solution to the problem of radiation by a narrow metal strip antenna contiguous with the edge of a dielectric substrate is presented where the substrate has parameters such that its electrical thickness is appreciable. Such an antenna may be useful at millimeter wavelengths as an integrated phased array element forming a part of a monolithic microwave integrated circuit (MMIC). A suitable geometry for this application is illustrated and an efficient computational procedure developed. Comparisons with experimental results for the input impedance and far-field radiation show excellent agreement. The influence of the dielectric substrate on the performance of an antenna designed to operate at approximately 60 GHz is then discussed. Two examples, the first involving the analysis of a co-planar strip transmission line fed antenna and the second involving impedance matching and control of cross-polarized radiation using a folded strip dipole, are given to illustrate practical applications of the analytical method to design problems. ¬© 1992 IEEE</t>
  </si>
  <si>
    <t>134-140</t>
  </si>
  <si>
    <t>60009512;60009512;60009512</t>
  </si>
  <si>
    <t>7101609897;7401891327;22982787500</t>
  </si>
  <si>
    <t>Parfitt, Andrew J.;Griffin, Donald W.;Cole, Peter H.</t>
  </si>
  <si>
    <t>Australia</t>
  </si>
  <si>
    <t>Adelaide</t>
  </si>
  <si>
    <t>The University of Adelaide</t>
  </si>
  <si>
    <t>Parfitt A.J.</t>
  </si>
  <si>
    <t>On the Modeling of Metal Strip Antennas Contiguous with the Edge of Electrically Thick Finite Size Dielectric Substrates</t>
  </si>
  <si>
    <t>10.1109/8.127396</t>
  </si>
  <si>
    <t>2-s2.0-0026817907</t>
  </si>
  <si>
    <t>Basic Energy Sciences</t>
  </si>
  <si>
    <t>BES</t>
  </si>
  <si>
    <t>['¬© 1992', 'rotational axis', 'polarized time', 'phycocyanin trimer', 'photosynthetic antennae', 'oriented samples', 'often ambiguous', 'illustrated using', 'conclusive assignments', 'chromoprotein exhibits', 'chromophore architecture']</t>
  </si>
  <si>
    <t>Isotropic and polarized time-resolved fluorescence spectroscopy of randomly oriented photosynthetic antennae can yield considerable information about their electronic excitation transport (EET) dynamics. However, the assignment of observed lifetime components to specific EET steps is often ambiguous, even when detailed theoretical predictions are available for the EET transition rates (e.g. in antennae with minimal exciton coupling). We demonstrate in this paper that more conclusive assignments can be made using time-dependent polarized fluorescence profiles in oriented samples of photosynthetic antennae, provided that the chromophore architecture in the chromoprotein exhibits a rotational axis of symmetry. This procedure is illustrated using the example of the extensively studied C-phycocyanin trimer from the blue-green photosynthetic bacterium Mastigocladus laminosus. ¬© 1992.</t>
  </si>
  <si>
    <t>29-38</t>
  </si>
  <si>
    <t>60008023;60008023</t>
  </si>
  <si>
    <t>7007181446;57193129444</t>
  </si>
  <si>
    <t>van Amerongen, Herbert;Struve, Walter S.</t>
  </si>
  <si>
    <t>Ames</t>
  </si>
  <si>
    <t>Ames Laboratory</t>
  </si>
  <si>
    <t>van Amerongen H.</t>
  </si>
  <si>
    <t>Dynamic and structural implications of polarized fluorescence spectroscopy in oriented uniaxial photosynthetic antennae. Application to C-phycocyanin from Mastigocladus laminosus</t>
  </si>
  <si>
    <t>10.1016/0022-2313(92)90016-3</t>
  </si>
  <si>
    <t>2-s2.0-0026817930</t>
  </si>
  <si>
    <t>['space domain', 'pure polarization', 'method used', 'longitudinal strips', 'investigate analytically', 'fundamental mode', 'field distribution', 'discuss dispersion', 'characteristic impedance', 'antenna circuitry', '2 ].']</t>
  </si>
  <si>
    <t>We investigate analytically and experimentally the properties of mig (microstrip inset guide) [1], highlighting its features with respect to microstrip and its applications to antenna circuitry. The method used in the analysis is the transverse resonance diffraction (TRD) method in the space domain [2]. We discuss dispersion of the first three modes, field distribution, characteristic impedance and losses of the fundamental mode. Finally, we report the experimental antenna characteristics of an array of longitudinal strips, designed as a cascade of mig sections alternate to idg (inset dielectric guide) sections, showing good gain input match and pure polarization. ¬© 1992 IEEE</t>
  </si>
  <si>
    <t>272-278</t>
  </si>
  <si>
    <t>56253019800;7006658144;24479405400</t>
  </si>
  <si>
    <t>Rozzi, Tullio;Morini, Antonio;Gerini, Giampiero</t>
  </si>
  <si>
    <t>Analysis and Applications of ‚ÄúMicrostrip-Loaded Inset Dielectric Waveguide‚Äù (Mig)</t>
  </si>
  <si>
    <t>10.1109/22.120099</t>
  </si>
  <si>
    <t>2-s2.0-0026818055</t>
  </si>
  <si>
    <t>['ppon algorithm', 'partial phase', 'multiple jammers', 'field pattern', 'experimental patterns', 'employs five', 'desired directions']</t>
  </si>
  <si>
    <t>A partial phase-only nulling (PPON) algorithm has been developed and evaluated on a 496-element monopulse phased array antenna system which employs five-bit phase shifters. By using this PPON algorithm, nulls in the far-field pattern can be steered to the desired directions for a phased array equipped with low-resolution phase shifters to perform simultaneous nulling in the sum and two difference patterns in the environment of multiple jammers. Simulated and experimental patterns are illustrated. ¬© 1992 IEEE</t>
  </si>
  <si>
    <t>121-125</t>
  </si>
  <si>
    <t>7403319741;7403580375;7403166392</t>
  </si>
  <si>
    <t>Chang, Dau Chyrh;Ho, Ko Tai;Hung, Chia I.</t>
  </si>
  <si>
    <t>Chang D.</t>
  </si>
  <si>
    <t>Partial Adaptive Nulling on a Monopulse Phased Array Antenna System</t>
  </si>
  <si>
    <t>10.1109/8.127394</t>
  </si>
  <si>
    <t>2-s2.0-0026818193</t>
  </si>
  <si>
    <t>['used consequently', 'tailoring bi', 'special cases', 'reciprocal chiral', 'rayleigh rule', 'orientation distribution', 'numerical illustrations', 'nonreciprocal nonchiral', 'natural extension', 'isotropic spheres', 'isotropic mixtures', 'isotropic materials', 'generalized maxwell', 'general bi', 'garnett formulae', 'essential information', 'engineering problem', 'ellipsoidal inclusions', 'dielectric case', 'constitutive relations', 'also presented', 'allowed also']</t>
  </si>
  <si>
    <t>Bi-isotropic heterogeneous media are analyzed. Bi- isotropic materials are characterized by four scalar parameters in the constitutive relations: permittivity, permeability, chirality, and nonreciprocity, and these contain the reciprocal chiral (Pasteur) medium and nonreciprocal nonchiral (Tellegen) medium as special cases. The polarizabilities of general bi-isotropic spheres and ellipsoids are derived, and these results are used consequently in the analysis of bi-isotropic mixtures. The generalized Maxwell-Garnett formulae are derived for mixtures with spherical or ellipsoidal inclusions in isotropic background medium. The ellipsoids are allowed also to have any orientation distribution. Rayleigh mixing rules are also presented and they are seen to be a natural extension of the Rayleigh rule in the dielectric case. Numerical illustrations are performed that show the effect of shape, amount, and nature of inclusions on the bi-isotropic mixture parameters; this is essential information in the engineering problem of tailoring bi-isotropic composite materials. ¬© 1992 IEEE</t>
  </si>
  <si>
    <t>188-197</t>
  </si>
  <si>
    <t>Sihvola, Ari H.</t>
  </si>
  <si>
    <t>Aalto University</t>
  </si>
  <si>
    <t>Sihvola A.H.</t>
  </si>
  <si>
    <t>Bi-isotropic Mixtures</t>
  </si>
  <si>
    <t>10.1109/8.127403</t>
  </si>
  <si>
    <t>2-s2.0-0026818194</t>
  </si>
  <si>
    <t>['‚ äê', 'wiley company', 'triband applications', 'tm polarizations', 'kevlar honeycomb', 'inc .,', 'good agreement', 'e .,', 'dsl fss', '45 ¬∞', '4 ghz']</t>
  </si>
  <si>
    <t>filters | Frequency selective surface | integrated circuits | polarizations</t>
  </si>
  <si>
    <t>A single‚Äêscreen double‚Äêsquare‚Äêloop (DSL) frequency selective surface (FSS) has been developed and tested for triband applications (i.e., to reflect the X‚Äêband and to pass the S‚Äê and Ku‚Äêband waves). Good agreement between predicted and measured transmission performance is obtained for the DSL FSS on a 0.001‚Äêin.‚Äêthick Kapton with/without a flat Kevlar honeycomb sandwich panel. It is found that this single‚Äêscreen DSL FSS with/without the Kevlar honeycomb has a resonant frequency near 8.4 GHz for incident angle steered from normal to 45¬∞ and for both TE and TM polarizations. Copyright ¬© 1992 Wiley Periodicals, Inc., A Wiley Company</t>
  </si>
  <si>
    <t>56-59</t>
  </si>
  <si>
    <t>Wu, T. K.</t>
  </si>
  <si>
    <t>Pasadena</t>
  </si>
  <si>
    <t>Jet Propulsion Laboratory</t>
  </si>
  <si>
    <t>Wu T.</t>
  </si>
  <si>
    <t>Single‚Äêscreen triband fss with double‚Äêsquare‚Äêloop elements</t>
  </si>
  <si>
    <t>10.1002/mop.4650050203</t>
  </si>
  <si>
    <t>2-s2.0-0026818436</t>
  </si>
  <si>
    <t>['weather conditions', 'tuning procedure', 'systematically tuning', 'results showing', 'radiation pattern', 'paper addresses', 'many applications', 'large size', 'experimental results', 'enclosed aperture', 'elliptic shape', 'electromagnetic performance', 'dielectric seams', 'conductive wires', 'also included']</t>
  </si>
  <si>
    <t>Typically, large radar antennas are covered with radomes in order to protect them from weather conditions and to enable them to operate continuously without loss of preci-sion. Due to their large size, the radomes are assembled from many panels connected together forming joints or seams. In many applications the panels are type-A sandwiches that are optimized for minimum transmission loss over moderately narrow bandwidths. The seams and joints in a sandwich radome introduce scattering effects that can degrade the overall electromagnetic performance of the radome. Tuning the dielectric seams with conductive wires and optimizing their geometry is, therefore, crucial to enhancing the electromagnetic performance of the radome. This paper addresses the problem of systematically tuning the dielectric seams and presents both numerical and experimental results to illustrate the tuning procedure. Also included in the paper are results showing the effect of the tuning of the radome on the radiation pattern of an enclosed aperture of circular or elliptic shape. ¬© 1992 IEEE</t>
  </si>
  <si>
    <t>126-133</t>
  </si>
  <si>
    <t>60000745;60000745</t>
  </si>
  <si>
    <t>7004045654;6602932202</t>
  </si>
  <si>
    <t>Shavit, Reuven;Smolski, Adam P.</t>
  </si>
  <si>
    <t>Shavit R.</t>
  </si>
  <si>
    <t>Scattering Analysis of High Performance Large Sandwich Radomes</t>
  </si>
  <si>
    <t>10.1109/8.127395</t>
  </si>
  <si>
    <t>2-s2.0-0026818691</t>
  </si>
  <si>
    <t>['technique uses', 'reflector vertex', 'reflector surface', 'practical results', 'larger antennas', 'anechoic environment', 'aimed primarily']</t>
  </si>
  <si>
    <t>The simulation and practical results of a short range microwave holographic-technique for the measurement of reflector antenna surface profile are presented. The technique uses a linearly scanned transmit/receive CW probe located on-axis at approximately two focal lengths from the reflector vertex. A compact plane polar data set is obtained and used to reconstruct the surface profile error map. A comparison is made between the microwave measurement technique and a more traditional mechanical measurement of the reflector surface. It is shown that synthetic aperture holographic principles can be employed in a non-anechoic environment. The method is aimed primarily at reflectors up to 5 m in diameter, but with suitable scanning systems it can be applied equally well to larger antennas.</t>
  </si>
  <si>
    <t>91-97</t>
  </si>
  <si>
    <t>0950107X</t>
  </si>
  <si>
    <t>IEE Proceedings H: Microwaves, Antennas and Propagation</t>
  </si>
  <si>
    <t>Grattan, C. L.</t>
  </si>
  <si>
    <t>Grattan C.</t>
  </si>
  <si>
    <t>Compact-scan, plane-polar microwave holographic technique for reflector antenna profile measurement</t>
  </si>
  <si>
    <t>10.1049/ip-h-2.1992.0015</t>
  </si>
  <si>
    <t>2-s2.0-0026818837</t>
  </si>
  <si>
    <t>['transmission loss', 'transform techniques', 'random medium', 'propagation model', 'model represents', 'model predictions', 'mean field', 'experimental data', 'discrete scatterers', 'antenna height']</t>
  </si>
  <si>
    <t>A forest-propagation model has been developed which includes the effects of trunks, branches, leaves and the ground. This model represents the forest as a planar, stratified, anisotropic, discrete, random medium, bounded above by air and below by ground. The mean field of the propagating-wave has been obtained by recognising that the ensemble of discrete scatterers can be replaced by an equivalent continuous medium characterised by a linear dyadic permittivity. Fourier-transform techniques have been employed to generalise the model so that it accommodates arbitrarily modulated waveforms. Comparison of the model predictions with experimental data are presented for typical forest parameters. The paper also discusses predicted values of transmission loss as they relate to distance, antenna height, frequency, polarisation and biophysical forest parameters.</t>
  </si>
  <si>
    <t>72-78</t>
  </si>
  <si>
    <t>Seker, S. S.</t>
  </si>
  <si>
    <t>The George Washington University</t>
  </si>
  <si>
    <t>Seker S.</t>
  </si>
  <si>
    <t>VHF/UHF radiowave propagation through forests. Modelling and experimental observations</t>
  </si>
  <si>
    <t>10.1049/ip-h-2.1992.0012</t>
  </si>
  <si>
    <t>2-s2.0-0026818838</t>
  </si>
  <si>
    <t>['woodward synthesis', 'special case', 'nonlinear arrays', 'general method', 'design technique', 'also presented']</t>
  </si>
  <si>
    <t>A general method of antenna pattern synthesis using weighted least squares is presented. The special case of linear equal spaced arrays is analysed, and three design examples are given. This design technique is compared with Woodward synthesis and with the method of Orchard, Elliott and Stern. An example using unequal spacing is also presented. The method can also be used on nonlinear arrays, for arrays with different element patterns on each element, and for near-field pattern synthesis.</t>
  </si>
  <si>
    <t>7201821965;6603930263</t>
  </si>
  <si>
    <t>Carlson, B. D.;Willner, D.</t>
  </si>
  <si>
    <t>Carlson B.</t>
  </si>
  <si>
    <t>Antenna pattern synthesis using weighted least squares</t>
  </si>
  <si>
    <t>10.1049/ip-h-2.1992.0003</t>
  </si>
  <si>
    <t>2-s2.0-0026818890</t>
  </si>
  <si>
    <t>['wiley company', 'tracking characteristics', 'system using', 'studied extensively', 'stable communication', 'square detection', 'spectral width', 'spectral spread', 'signal light', 'sending satellite', 'phase noise', 'optical heterodyne', 'optical beam', 'laser diode', 'inc .,', 'electrical noise', 'electric characteristics', 'detection efficiency', 'constantly tracks', 'background light', 'affected strongly']</t>
  </si>
  <si>
    <t>In optical intersatellite communication, a high‚Äêprecision antenna directivity is required for stable communication with a sharp optical beam. The antenna directive accuracy is affected strongly by the performance of the spatial tracking system which constantly tracks the direction of arrival of the optical beam sent by the sending satellite. The tracking system using an optical heterodyne detection to detect the angle of arrival of the optical beam has an advantage over the direct detection system in that its sensitivity is high and it is tolerant to the background light. Recently, a number of systems using laser diodes as the source have been studied extensively. Although the detection efficiency has been studied in the case where the effect of the electrical noise in the tracking signal detection circuit and the electric field distributions of the signal light and the local oscillator light are taken into account, no study has been carried out on the effect of the phase noise of the laser diode (LD) on the tracking characteristics. In this paper, the electric characteristics are studied for the tracking signal detection circuit using the optical heterodyne/square detection. The effect of the spectral spread by the phase noise of the LD on the spatial tracking system is studied. The relationship is found between the spectral width of the intermediate frequency signal and the bandwidth of the intermediate frequency bandpass filter which minimizes the effect of the phase noise of the LD. Further, the characteristics are compared with those of the system using the direct detection method. Copyright ¬© 1992 Wiley Periodicals, Inc., A Wiley Company</t>
  </si>
  <si>
    <t>94-103</t>
  </si>
  <si>
    <t>60001271-117293221;60001271-117293681;60001271-117293221</t>
  </si>
  <si>
    <t>7403195671;35597328200;7102202752</t>
  </si>
  <si>
    <t>Goto, Koji;Araki, Ken'Ichi;Yasukawa, Koji</t>
  </si>
  <si>
    <t>Japan;;</t>
  </si>
  <si>
    <t>Kyoto;;</t>
  </si>
  <si>
    <t>Advanced Telecommunications Research Institute International (ATR);Ministry of Post and Telecommunication;KDD Research Laboratory</t>
  </si>
  <si>
    <t>60001271;117293681;117293221</t>
  </si>
  <si>
    <t>Goto K.</t>
  </si>
  <si>
    <t>Influence of laser diode phase noise on optical heterodyne spatial tracking systems</t>
  </si>
  <si>
    <t>10.1002/ecja.4410750209</t>
  </si>
  <si>
    <t>2-s2.0-0026819013</t>
  </si>
  <si>
    <t>['¬© 1992', 'rights reserved', 'remote sensing', 'preferred choice', 'manufacturing techniques', 'electrical engineers', 'corrugated horns', 'corrugated horn', 'briefly discussed']</t>
  </si>
  <si>
    <t>The corrugated horn has become the preferred choice of antenna for use in high-performance reflector antennas for communications, radar and remote sensing. The principles and attributes of corrugated horns are explained. The analysis, design and manufacturing techniques and types of horns in use are briefly discussed. ¬© 1992, The Institution of Electrical Engineers. All rights reserved.</t>
  </si>
  <si>
    <t>Electronics and Communication Engineering Journal</t>
  </si>
  <si>
    <t>Olver, A. D.</t>
  </si>
  <si>
    <t>London</t>
  </si>
  <si>
    <t>Queen Mary University of London</t>
  </si>
  <si>
    <t>Olver A.D.</t>
  </si>
  <si>
    <t>Corrugated horns</t>
  </si>
  <si>
    <t>10.1049/ecej:19920004</t>
  </si>
  <si>
    <t>2-s2.0-0026819073</t>
  </si>
  <si>
    <t>['two stages', 'longer true', 'localization procedure', 'first one', 'different scenarios', 'ar signals', 'additional information']</t>
  </si>
  <si>
    <t>Unique localization owf multiple sources by antenna arrays requires that the number of sensors be greater than the number of sources. When additional information is given this is no longer true. In this correspondence we assume that the signals‚Äô structure is of autoregressive (AR) type. We present a localization procedure which consists of two stages: in the first one the coefficients of the AR signals are estimated, and in the second the directions of arrival are estimated. Simulation results demonstrate the performance of the algorithm under different scenarios. ¬© 1992 IEEE</t>
  </si>
  <si>
    <t>484-487</t>
  </si>
  <si>
    <t>1053587X</t>
  </si>
  <si>
    <t>IEEE Transactions on Signal Processing</t>
  </si>
  <si>
    <t>Ziskind, Ilan</t>
  </si>
  <si>
    <t>Newark</t>
  </si>
  <si>
    <t>New Jersey Institute of Technology</t>
  </si>
  <si>
    <t>Ziskind I.</t>
  </si>
  <si>
    <t>Localization of Narrow-Band Autoregressive Sources by Passive Sensor Arrays</t>
  </si>
  <si>
    <t>10.1109/78.124969</t>
  </si>
  <si>
    <t>2-s2.0-0026819121</t>
  </si>
  <si>
    <t>['‚ äúsmall', 'yielding elastically', 'year study', 'whose velocity', 'university departments', 'square forces', 'spectral analysis', 'sensitive receivers', 'scientific papers', 'satellite communication', 'radiation detectors', 'principal contributor', 'planets mars', 'mechanical origin', 'maxwell developed', 'maxwell deduced', 'many branches', 'johannes kepler', 'internal inverse', 'image construction', 'galileo galilei', 'finite velocity', 'especially computation', 'electromagnetic wave', 'electromagnetic relations', 'electromagnetic field', 'electrical engineering', 'dynamical theory', 'could calculate', 'astronomical observation', 'astronomical instrumentation']</t>
  </si>
  <si>
    <t>Maxwell‚Äôs Equations, which are at the core of all electrical engineering, are indebted to observations of Mars, Jupiter and Saturn. Maxwell‚Äôs opus entitled On a Dynamical Theory of the Electromagnetic Field (Scientific Papers, vol. 1, pp. 526‚Äì597) explains how the electromagnetic relations were derived in terms of a medium with ‚Äúsmall but real density‚Äù and with the capability of yielding elastically, but the mechanical origin to which the curl and div equations trace back is a surprise to many engineering students. Maxwell developed his ability to deal with waves by starting his career with a four-year study of the rings of Saturn, which constitute a rare, elastic medium subject to internal inverse-square forces. Applying the laws of motion, extracted by Newton from the legacy of Galileo Galilei (1564‚Äì1642) and Johannes Kepler (1571‚Äì1630), especially the work on Mars, Maxwell deduced that electricity and magnetism should combine to support what he called an electromagnetic wave, whose velocity in that medium he could calculate. Meanwhile, observations of Jupiter‚Äôs satellites revealed that light has a finite velocity. Knowing this value, Maxwell was then able to propose that light itself might be electromagnetic. These foundations of modern electrical engineering thus rest firmly on astronomical observation of the planets Mars, Jupiter and Saturn. Astronomy has continued to feed into many branches of electrical engineering, especially computation, antennas, sensitive receivers, noise, telemetry, satellite communication, spectral analysis, and other topics; conversely, electrical engineering has been a principal contributor to astronomical instrumentation, radio telescope design, radiation detectors, image construction and computation. How to enhance electrical engineering training by reference to history, knowledge of which can expand one‚Äôs alertness as to where new electrical developments may come from, needs to be discussed in university departments. ¬© 1992 IEEE</t>
  </si>
  <si>
    <t>230-237</t>
  </si>
  <si>
    <t>Bracewell, Ronald N.</t>
  </si>
  <si>
    <t>Stanford</t>
  </si>
  <si>
    <t>STAR Lab</t>
  </si>
  <si>
    <t>Bracewell R.N.</t>
  </si>
  <si>
    <t>Planetary Influences on Electrical Engineering</t>
  </si>
  <si>
    <t>10.1109/5.123292</t>
  </si>
  <si>
    <t>2-s2.0-0026819313</t>
  </si>
  <si>
    <t>['wiley company', 'radiation properties', 'presented using', 'inc .,', 'important differences', 'future applications']</t>
  </si>
  <si>
    <t>Fresnel‚Äêzone plate antenna | Kirchhoff diffraction theory | parabolic reflector antenna | vectorial radiation pattern</t>
  </si>
  <si>
    <t>An analysis of the radiation properties of the Fresnel‚Äêzone plate antenna (FZPA) and the parabolic reflector antenna (PRA) is presented using the Kirchhoff diffraction theory. Expressions are derived for the vectorial far‚Äêfield radiation patterns of both antennas. Some computed co‚Äê and cross‚Äêpolar patterns are shown. The most important differences between the radiation properties of the FZPA and PRA are revealed and discussed. The results of the analysis give good insight into future applications of the FZPA. Copyright ¬© 1992 Wiley Periodicals, Inc., A Wiley Company</t>
  </si>
  <si>
    <t>49-56</t>
  </si>
  <si>
    <t>60032882;60032882</t>
  </si>
  <si>
    <t>6507551457;7003821814</t>
  </si>
  <si>
    <t>Leyten, L.;Herben, M. H.A.J.</t>
  </si>
  <si>
    <t>Eindhoven</t>
  </si>
  <si>
    <t>Technische Universiteit Eindhoven</t>
  </si>
  <si>
    <t>Leyten L.</t>
  </si>
  <si>
    <t>Vectorial far‚Äêfield analysis of the fresnel‚Äêzone plate antenna: A comparison with the parabolic reflector antenna</t>
  </si>
  <si>
    <t>10.1002/mop.4650050202</t>
  </si>
  <si>
    <t>2-s2.0-0026819738</t>
  </si>
  <si>
    <t>['¬© 1992', 'wheeler criteria', 'small antennas', 'rights reserved', 'recent papers', 'expected efficiency', 'electrical engineers', 'conventional manner', 'bandwidth limitations', 'alternative explanation']</t>
  </si>
  <si>
    <t>Recent papers have described the 'crossed field antenna', and have offered an explanation of its properties in terms of 'Poynting vector synthesis'. In this Letter the antenna is analysed in a more conventional manner, providing an alternative explanation of its operatipn. The importance of the alternative is its compatibility with the Wheeler criteria for electrically small antennas. Extrapolation to very small antennas then encounters the expected efficiency-bandwidth limitations. ¬© 1992, The Institution of Electrical Engineers. All rights reserved.</t>
  </si>
  <si>
    <t>360-361</t>
  </si>
  <si>
    <t>Smith, M. S.</t>
  </si>
  <si>
    <t>Nortel Networks</t>
  </si>
  <si>
    <t>Smith M.</t>
  </si>
  <si>
    <t>Conventional explanation for ‚Äòcrossed field antenna‚Äô</t>
  </si>
  <si>
    <t>10.1049/el:19920225</t>
  </si>
  <si>
    <t>2-s2.0-0026819797</t>
  </si>
  <si>
    <t>Army Research Office</t>
  </si>
  <si>
    <t>ARO</t>
  </si>
  <si>
    <t>['two varactor', 'two types', 'small size', 'power output', 'notch antenna', 'low cost', 'locking gain', 'locking experiments', 'locking bandwidth', 'gunn device', 'frequency tuning', 'experimental results', 'excellent performance', 'cpw resonator', 'coplanar waveguide', 'configurations exhibit', 'broadside configuration', 'bias tuning', 'achieved well', '8 dbm', '6 ghz', '5 dbm', '33 ghz', '30 mhz', '30 db', '2 ghz']</t>
  </si>
  <si>
    <t>A Gunn device has been integrated with two types of active planar notch antennas. The first type uses a coplanar waveguide (CPW) resonator and a stepped-notch antenna with bias tuning to achieve a bandwidth of 275 MHz centered at 9.33 GHz with a power output of 14.2 + 1.5 dBm. The second type uses a CPW resonator with a varactor for frequency tuning to achieve a bandwidth of over 1.3 GHz centered at 9.6 GHz with a power output of 14.5 ¬± 0.8 dBm. This is equivalent to over 14% electronic tuning bandwidth. Both configurations exhibit a very clean and stable output signal. A theoretical circuit model was developed to facilitate the design. The model agrees well with experimental results. Injection-locking experiments on the second configuration show a locking gain of 30 dB with a locking bandwidth of 30 MHz at 10.2 GHz. Power combining experiments of two varactor-tuned CPW active notch antenna elements in a broadside configuration have achieved well over 70% combining efficiency throughout the wide tuning range. The circuits have advantages of small size, low cost, and excellent performance. ¬© 1992 IEEE</t>
  </si>
  <si>
    <t>323-328</t>
  </si>
  <si>
    <t>115669349;60020547;60020547</t>
  </si>
  <si>
    <t>7402580085;7103239494;7404879378</t>
  </si>
  <si>
    <t>Navarro, Julio A.;Shu, Yong Hui;Chang, Kai</t>
  </si>
  <si>
    <t>United States;Switzerland</t>
  </si>
  <si>
    <t>College Station;</t>
  </si>
  <si>
    <t>Texas A&amp;M University;IL</t>
  </si>
  <si>
    <t>60020547;115669349</t>
  </si>
  <si>
    <t>Navarro J.</t>
  </si>
  <si>
    <t>Broadband Electronically Tunable Planar Active Radiating Elements and Spatial Power Combiners using Notch Antennas</t>
  </si>
  <si>
    <t>10.1109/22.120105</t>
  </si>
  <si>
    <t>2-s2.0-0026819879</t>
  </si>
  <si>
    <t>IEEE Antennas and Propagation Magazine</t>
  </si>
  <si>
    <t>60025778;60025778;60025778;60025778;60025778</t>
  </si>
  <si>
    <t>7006384021;56246062600;6602531547;7004469751;36985970700</t>
  </si>
  <si>
    <t>Rebeiz, Gabriel M.;Katehi, Linda P.B.;Ali-Ahmad, Walid Y.;Eleftheriades, George V.;Ling, Curtis C.</t>
  </si>
  <si>
    <t>Integrated Horn Antennas for Millimeter-Wave Applications</t>
  </si>
  <si>
    <t>10.1109/74.125884</t>
  </si>
  <si>
    <t>2-s2.0-0026819892</t>
  </si>
  <si>
    <t>['sophisticated 32', 'single source', 'sampling gain', 'results presented', 'parameter estimation', 'paper presents', 'online adjustment', 'novel method', 'nonredundant arrays', 'narrowband applications', 'minimum redundancy', 'measurement space', 'inverse methods', 'information available', 'important aspects', 'different kinds', 'different conditions', 'case study', 'array span', 'also reviewed']</t>
  </si>
  <si>
    <t>The paper presents an overview of some important aspects of array signal processing in the context of narrowband applications. Inverse methods for solving the array signal processing problem are reviewed. Two case studies are presented, to illustrate the various issues discussed here. The first case study presents a comparison of various array signal processing algorithms; computer simulated data are used to conduct this study. The second study relates to the angle-of-arrival estimation problem in a low-angle tracking radar environment; the results presented for this case study are based on experimental data obtained by means of a sophisticated 32-element array system. Different kinds of nonuniformly spaced linear arrays are also reviewed, with particular attention given to minimum redundancy and nonredundant arrays. The tradeoffs; namely, array span and sampling gain that decide the choice of one nonuniform configuration over another, are discussed. To aid in this study, the well known Cramer-Rao lower bound (CRLB) and the newly developed Weiss-Weinstein lower bound (WWLB) are computed for the simple and yet informative case of a single source under different conditions. A novel method for the adaptive (online) control of the measurement space (and therefore the amount of information available for parameter estimation) is described. This method incorporates use of the CRLB as a component in online adjustment of the system. The paper also includes real-time processing considerations, and a review of calibration array techniques.</t>
  </si>
  <si>
    <t>0956375X</t>
  </si>
  <si>
    <t>IEE Proceedings, Part F: Radar and Signal Processing</t>
  </si>
  <si>
    <t>60031828;60031828;60031828;60031828</t>
  </si>
  <si>
    <t>7101764513;26645120100;6602107891;6602500606</t>
  </si>
  <si>
    <t>Haykin, S.;Reilly, J. P.;Kezys, V.;Vertatschitsch, E.</t>
  </si>
  <si>
    <t>Hamilton</t>
  </si>
  <si>
    <t>McMaster University</t>
  </si>
  <si>
    <t>Haykin S.</t>
  </si>
  <si>
    <t>Some aspects of array signal processing</t>
  </si>
  <si>
    <t>10.1049/ip-f-2.1992.0001</t>
  </si>
  <si>
    <t>2-s2.0-0026819912</t>
  </si>
  <si>
    <t>['successfully designed', 'shaped reflectors', 'reflector surface', 'radiation pattern', 'previous study', 'polarization characteristics', 'onboard antennas', 'onboard antenna', 'feederlink antennas', 'downlink antenna']</t>
  </si>
  <si>
    <t>For future direct broadcasting satellites in Japan, precisely contoured beam antennas will be required for onboard antennas. Single shaped reflector antennas are suitable for that purpose, since they do not need complex feed networks. However, in a previous study, discontinuities in the reflector surface were observed. The problem of the discontinuity is circumvented in this paper and the shaped reflectors are successfully designed to produce contoured beams for covering the Japanese islands respectively for the downlink and feederlink antennas. The downlink antenna is fabricated, and the radiation pattern is verified by measurement. The radiation pattern meets the radio regulations imposed on the onboard antenna, such as sidelobe and cross-polarization characteristics. ¬© 1992 IEEE</t>
  </si>
  <si>
    <t>178-187</t>
  </si>
  <si>
    <t>115667939;115667939;115667939</t>
  </si>
  <si>
    <t>6701717991;7402596897;7005418157</t>
  </si>
  <si>
    <t>Shogen, Kazuyoshi;Nishida, Hayato;Toyama, Noboru</t>
  </si>
  <si>
    <t>Toyko</t>
  </si>
  <si>
    <t>Single Shaped Reflector Antennas for Broadcasting Satellites</t>
  </si>
  <si>
    <t>10.1109/8.127402</t>
  </si>
  <si>
    <t>2-s2.0-0026819916</t>
  </si>
  <si>
    <t>['slot type', 'shaped slots', 'scan plane', 'radiation characteristics', 'phased arrays', 'moments solution', 'half wavelength', 'fit entirely', 'element spacing', 'computed results', 'broad wall']</t>
  </si>
  <si>
    <t>I-shaped slots will fit entirely on the rectangular waveguide narrow wall without wrapping onto the broad wall. This slot type is suitable for single plane scan-phased arrays where element spacing, in the scan plane, is equal to or less than one-half wavelength. The method of moments solution for the I-slot is presented. Comparison of computed results with measured data illustrates the validity of this solution. To facilitate future designs, the waveguide scattering parameters and the radiation characteristics of 1-slots are included. ¬© 1992 IEEE</t>
  </si>
  <si>
    <t>224-228</t>
  </si>
  <si>
    <t>60015272;60015272</t>
  </si>
  <si>
    <t>7102630816;6504279084</t>
  </si>
  <si>
    <t>Yee, Hung Yuet;Stellitano, Patrick</t>
  </si>
  <si>
    <t>Texas Instruments</t>
  </si>
  <si>
    <t>Yee H.</t>
  </si>
  <si>
    <t>I-Slot Characteristics</t>
  </si>
  <si>
    <t>10.1109/8.127407</t>
  </si>
  <si>
    <t>2-s2.0-0026819917</t>
  </si>
  <si>
    <t>DMB 8803626</t>
  </si>
  <si>
    <t>['¬© 1992', 'volmer analysis', 'rapid transfer', 'quantitative analysis', 'qualitative description', 'primary effects', 'photochemical yield', 'nq cannot', 'isolated photosystem', 'hydroxy naphthoquinone', 'fluorescence quenching', 'finite time', 'exogenous acceptors', 'excited state', 'equally applicable', 'electron transport', 'efficient quenching', 'effective rate', 'data support', 'coupled system', 'core complex', '90 %.']</t>
  </si>
  <si>
    <t>We present an investigation of the effects of 5-hydroxy naphthoquinone (5-OH-NQ) on fluorescence and photochemical yield in detergent-isolated photosystem I (PS I) core antenna complexes using the Stern-Volmer analysis. The primary effects of 5-OH-NQ are to quench excited antenna chlorophylls and to decrease the effective rate of electron transport to exogenous acceptors. Quenching by 5-OH-NQ is static in nature, consistent with rapid transfer of the excited state among antenna pigments. We demonstrate that the Stern-Volmer analysis is equally applicable to measurements of fluorescence or photochemical yield in antenna/reaction center complexes. Comparison of fluorescence and photochemical data gives nearly identical binding constants for 5-OH-NQ (8√ó103M-1) indicating that the quinone is quenching excited states only on pigments that are coupled to P700. The Stern-Volmer intercepts predict that quenching of photochemistry is 100% efficient while fluorescence quenching is only 90%. Such a difference is expected in a coupled system of pigments in which a finite time is required for migration of the excited state to the quinone quenching site(s). Computer simulations show that the efficient quenching of antenna excited states by 5-OH-NQ cannot be accounted for by a single quenching site per PS I complex; at least one quinone bound per four chlorophylls is required. Although these data support a qualitative description of delocalized excited states in the PS I core complex, the number of quinone binding sites prohibits a more quantitative analysis. ¬© 1992.</t>
  </si>
  <si>
    <t>79-89</t>
  </si>
  <si>
    <t>60007776;60007776;60007776</t>
  </si>
  <si>
    <t>7601451502;6701713249;57213437301</t>
  </si>
  <si>
    <t>Lee, James W.;Zipfel, Warren;Owens, Thomas G.</t>
  </si>
  <si>
    <t>Ithaca</t>
  </si>
  <si>
    <t>Cornell University</t>
  </si>
  <si>
    <t>Lee J.</t>
  </si>
  <si>
    <t>Quenching of chlorophyll excited states in photosystem I by quinones. Stern-Volmer analysis of fluorescence and photochemical yield</t>
  </si>
  <si>
    <t>002223139290020A</t>
  </si>
  <si>
    <t>10.1016/0022-2313(92)90020-A</t>
  </si>
  <si>
    <t>2-s2.0-0026819980</t>
  </si>
  <si>
    <t>['¬© 1992', 'three dimensions', 'rights reserved', 'revolution using', 'ray tracing', 'prolate ellipsoid', 'electrical engineers', 'analytical surface']</t>
  </si>
  <si>
    <t>Antennas | Mathematical techniques</t>
  </si>
  <si>
    <t>An analytical surface-ray tracing has been carried out for the prolate ellipsoid of revolution using a novel geodesic constant method. This method yields closed form expressions for all the ray-geometric parameters required for the UTD mutual coupling calculations for the antennas located arbitrarily in three dimensions, on the ellipsoid of revolution. ¬© 1992, The Institution of Electrical Engineers. All rights reserved.</t>
  </si>
  <si>
    <t>367-369</t>
  </si>
  <si>
    <t>60026851;60026851;60014097</t>
  </si>
  <si>
    <t>7101680121;35449666300;23392064600</t>
  </si>
  <si>
    <t>Jha, R. M.;Edwards, D. J.;Bhakthavathsalam, R.</t>
  </si>
  <si>
    <t>United Kingdom;India</t>
  </si>
  <si>
    <t>Oxford;Bengaluru</t>
  </si>
  <si>
    <t>University of Oxford;Indian Institute of Science</t>
  </si>
  <si>
    <t>60026851;60014097</t>
  </si>
  <si>
    <t>Jha R.</t>
  </si>
  <si>
    <t>Surface-ray tracing solution of ellipsoid of revolution for UTD mutual coupling applications</t>
  </si>
  <si>
    <t>10.1049/el:19920230</t>
  </si>
  <si>
    <t>2-s2.0-0026820129</t>
  </si>
  <si>
    <t>Schweizerischer Nationalfonds zur F√∂rderung der Wissenschaftlichen Forschung</t>
  </si>
  <si>
    <t>SNF</t>
  </si>
  <si>
    <t>['well described', 'validated applying', 'software package', 'plane phantom', 'numerical simulations', 'numerical model', 'mainly proportional', 'interaction mechanism', 'input power', 'incident h', 'heterogeneous tissues', 'formula given', 'exclusion clause', 'direct contradiction', 'dipole antennas', 'arbitrary shape', 'antenna current', 'ansi c95', 'another consequence', 'additionally checked', '300 mhz', '1982 standard']</t>
  </si>
  <si>
    <t>The energy absorption mechanism in the close near field of dipole antennas is studied by numerical simulations. All computations are performed and validated applying the three-dimensional multiple multipole (3DMMP) software package. The numerical model of the plane phantom is additionally checked by accurate as possible experimental measurements. For the plane phantom, the interaction mechanism can be well described by H-field induced surface currents. The spatial peak specific absorption rate (SAR) can be approximated within 3 dB by a formula given here based on the incident H-field or antenna current and on the conductivity and permittivity of the tissue. It is further shown that these findings can be generalized to heterogeneous tissues and larger biological bodies of arbitrary shape for frequencies above 300 MHz. The SAR is found to be mainly proportional to the square of the incident H-field, which implies that in the close near field, the spatial peak SAR is related to the antenna current and not to the input power. Another consequence of this study is that the exclusion clause of the ANSI C95.1-1982 standard for low-power communication equipment must be revised because it is in direct contradiction with the basic peak SAR limits. ¬© 1992 IEEE</t>
  </si>
  <si>
    <t>IEEE Transactions on Vehicular Technology</t>
  </si>
  <si>
    <t>60025858;60024590</t>
  </si>
  <si>
    <t>7003283774;7004723242</t>
  </si>
  <si>
    <t>Kuster, Niels;Balzano, Quirino</t>
  </si>
  <si>
    <t>Switzerland;United States</t>
  </si>
  <si>
    <t>Zurich ZH,;Schaumburg</t>
  </si>
  <si>
    <t>ETH Zurich;Motorola</t>
  </si>
  <si>
    <t>Kuster N.</t>
  </si>
  <si>
    <t>Energy Absorption Mechanism by Biological Bodies in the Near Field of Dipole Antennas Above 300 MHz</t>
  </si>
  <si>
    <t>10.1109/25.120141</t>
  </si>
  <si>
    <t>2-s2.0-0026820422</t>
  </si>
  <si>
    <t>['waves received', 'vehicle positions', 'vehicle position', 'two sets', 'precise estimation', 'position error', 'multipath environments', 'measuring angle', 'buildings near', 'building reflection']</t>
  </si>
  <si>
    <t>Vehicle positions in multipathenvironments are estimated from the angle of arrival of waves received by multibeam antennas installed at two base stations. The estimated root mean square (rms) position error is about 350 m. This can be reduced to about 200 m by using two kinds of processes: The averaging of time series data and the averaging of two sets of data. The position estimate error is caused by reflections from buildings near the vehicles, and a large error exceeding 500 m is caused by reflections from high buildings located some distance from the vehicles. Precise estimation of vehicle position in multipath environments by measuring angle-of-arrival (AOA) is difficult because of building reflection. ¬© 1992 IEEE</t>
  </si>
  <si>
    <t>;60025555;60025555;60025555;60025555</t>
  </si>
  <si>
    <t>7005540034;7102730225;6507387731;6603932679;6602131146</t>
  </si>
  <si>
    <t>Sakagami, Shuji;Aoyama, Shigeru;Kuboi, Kiyoshi;Shirota, Shizuo;Akeyama, Akira</t>
  </si>
  <si>
    <t>Nippon Telegraph and Telephone Corporation</t>
  </si>
  <si>
    <t>Sakagami S.</t>
  </si>
  <si>
    <t>Vehicle Position Estimates by Multibeam Antennas in Multipath Environments</t>
  </si>
  <si>
    <t>10.1109/25.120146</t>
  </si>
  <si>
    <t>2-s2.0-0026820423</t>
  </si>
  <si>
    <t>36-39</t>
  </si>
  <si>
    <t>IEEE Potentials</t>
  </si>
  <si>
    <t>Lindenmeier, Heinz K.</t>
  </si>
  <si>
    <t>Lindenmeier H.</t>
  </si>
  <si>
    <t>Multi antenna scanning a low cost method to improve mobile FM reception</t>
  </si>
  <si>
    <t>10.1109/45.127700</t>
  </si>
  <si>
    <t>2-s2.0-0026820490</t>
  </si>
  <si>
    <t>['wiley company', 'results indicate', 'patch antenna', 'microstrip line', 'inc .,', 'feeding approaches', 'electromagnetic coupling', 'cpw feed', 'coplanar waveguides', 'aperture coupled']</t>
  </si>
  <si>
    <t>aperture‚Äêcoupled microstrip patch antennas | Coplanar waveguide | proximity‚Äêcoupled microstrip patch antennas</t>
  </si>
  <si>
    <t>Electromagnetic coupling between coplanar waveguides (CPW) and microstrip patch antennas has been investigated for two feed configurations: (1) direct aperture‚Äêcoupled feeding of a patch antenna by a CPW feed, and (2) proximity‚Äêcoupled feeding of a patch antenna by a microstrip line which is aperture coupled to a CPW feed. Results indicate that both feeding approaches are feasible and yield high coupling efficiency. Copyright ¬© 1992 Wiley Periodicals, Inc., A Wiley Company</t>
  </si>
  <si>
    <t>60-62</t>
  </si>
  <si>
    <t>60026717;60026717;60026717</t>
  </si>
  <si>
    <t>7202166511;24522606100;6506487516</t>
  </si>
  <si>
    <t>Simons, Ralnee N.;Lee, Richard Q.;Lindamood, Glenn R.</t>
  </si>
  <si>
    <t>Cleveland</t>
  </si>
  <si>
    <t>NASA Glenn Research Center</t>
  </si>
  <si>
    <t>Simons R.</t>
  </si>
  <si>
    <t>Electromagnetic coupling between coplanar waveguide and microstrip antennas</t>
  </si>
  <si>
    <t>10.1002/mop.4650050204</t>
  </si>
  <si>
    <t>2-s2.0-0026820559</t>
  </si>
  <si>
    <t>['transformation matrix', 'technique uses', 'symmetric eigenvectors', 'partial adaptivity', 'paper presents', 'new approach', 'main beam', 'interference field', 'cancellation beam', 'approach allows', 'adaptive dimension']</t>
  </si>
  <si>
    <t>The paper presents a new approach to the design of a uniform linear array with partial adaptivity. The technique uses the symmetric and skew-symmetric eigenvectors of a certain symmetric Toeplitz matrix to form the fixed weighting vector for the main beam and the transformation matrix for the cancellation beam. This approach allows the adaptive dimension of the processor to be reduced to about half of that of the full processor without prior knowledge of the interference field. Eigendecomposition is performed on matrices of dimensions that are half that of the number of elements. Numerical results show that the new approach is effective in designing partially adaptive uniform linear arrays.</t>
  </si>
  <si>
    <t>25-30</t>
  </si>
  <si>
    <t>60005510;60005510</t>
  </si>
  <si>
    <t>Nanyang Technological University</t>
  </si>
  <si>
    <t>Linear antenna array design with partial adaptivity</t>
  </si>
  <si>
    <t>10.1049/ip-h-2.1992.0005</t>
  </si>
  <si>
    <t>2-s2.0-0026820605</t>
  </si>
  <si>
    <t>['wave mode', 'transverse electromagnetic', 'results demonstrate', 'rectangular waveguide', 'radiating slots', 'one side', 'excited via', 'coupling slots', 'antenna efficiency']</t>
  </si>
  <si>
    <t>A novel planar antenna in which radiating slots are arrayed on one side of a square parallel plate waveguide and coupling slots occupy the other side is proposed. The antenna is excited via the coupling slots by a rectangular waveguide. In order to suppress unwanted reflections and to assure the purity of the transverse electromagnetic (TEM) traveling-wave mode in the parallel plate waveguide, all the slots are arrayed in pairs. An X-band model antenna was fabricated, and uniform aperture illumination was demonstrated with 48% antenna efficiency. These results demonstrate the feasibility of antennas of this type. ¬© 1992 IEEE</t>
  </si>
  <si>
    <t>218-223</t>
  </si>
  <si>
    <t>60031126;60031126;60031126</t>
  </si>
  <si>
    <t>7006899159;35495699200;7201747933</t>
  </si>
  <si>
    <t>Hirokawa, Jiro;Ando, Makoto;Goto, Naohisa</t>
  </si>
  <si>
    <t>Tokyo Institute of Technology</t>
  </si>
  <si>
    <t>Hirokawa J.</t>
  </si>
  <si>
    <t>Waveguide-Fed Parallel Plate Slot Array Antenna</t>
  </si>
  <si>
    <t>10.1109/8.127406</t>
  </si>
  <si>
    <t>2-s2.0-0026820645</t>
  </si>
  <si>
    <t>['wiley company', 'tracking receiver', 'six times', 'significantly degraded', 'rf sensor', 'present method', 'output end', 'obtained pattern', 'multihorn approach', 'monopulse pattern', 'monopulse horn', 'inc .,', 'focal point', 'difference pattern', 'conventional method', 'aperture diameter', 'antenna due', 'adverse condition', '350 wavelengths']</t>
  </si>
  <si>
    <t>To improve the accuracy of the beam‚Äêpointing direction of the satellite‚Äêborne antenna, it is effective to attach an accurate RF sensor to such an antenna. On the other hand, it is not possible to place a monopulse horn for the RF sensor at the focal point of the antenna due to the use of the multihorn approach in the communication signal horn. Often the monopulse pattern is significantly degraded. In this paper, a method is presented for forming a desired monopulse pattern even under such an adverse condition. The least‚Äêsquare method is used for determination of the amount of adjustment for the amplitude and phase for each horn. It is shown that the type of tracking receiver is related to the evaluation of the obtained pattern. At the same time, the tracking receiver is related to the evaluation of the obtained pattern. At the same time, the tracking receiver is modeled and a pattern evaluation method is proposed by observing the angular detection error at the output end of the tracking receiver. As an example, the present method is applied to the RF sensor displaced by six times the 3‚ÄêdB beamwidth in an antenna with an aperture diameter of 350 wavelengths. It is found that a monopulse pattern is acquired with distortions as small as those for an RF sensor on the focal point and the angular detection error is about one‚Äêfourth the results in the conventional method if three constraint points on the difference pattern are chosen. Copyright ¬© 1992 Wiley Periodicals, Inc., A Wiley Company</t>
  </si>
  <si>
    <t>82-93</t>
  </si>
  <si>
    <t>Ueno, Kenji</t>
  </si>
  <si>
    <t>Ueno K.</t>
  </si>
  <si>
    <t>Monopulse pattern‚Äêforming method for an off‚Äêfocus RF sensor</t>
  </si>
  <si>
    <t>10.1002/ecja.4410750208</t>
  </si>
  <si>
    <t>2-s2.0-0026820752</t>
  </si>
  <si>
    <t>['varying w', 'independent phase', 'frequencies w', 'dynamic range', 'changing w', 'carrier fixed', 'antenna carrier', '&lt;/ inf', '9 db', '60 mhz', '6 db', '2 mhz']</t>
  </si>
  <si>
    <t>An acoustooptic phased array antenna beamformer with independent phase and carrier control capability is experimentally demonstrated using single sideband signals with frequencies w&lt;inf&gt;c&lt;/inf&gt; + w&lt;inf&gt;o&lt;/inf&gt; and w&lt;inf&gt;c&lt;/inf&gt; w&lt;inf&gt;o&lt;/inf&gt; to drive the two acoustooptic devices, respectively. Varying w&lt;inf&gt;c&lt;/inf&gt; controls the antenna carrier (2w&lt;inf&gt;c&lt;/inf&gt;), while changing w&lt;inf&gt;o&lt;/inf&gt; only effects the phase. 0‚Äì2 x phase control is achieved using 0‚Äì340 kHz change in w &lt;inf&gt;o&lt;/inf&gt;, with the carrier fixed at 120 MHz using w&lt;inf&gt;c&lt;/inf&gt; = 60 MHz. A dynamic range of 66.6 dB at 2 MHz and carrier-to-noise of 126.9 dB/Hz at 2 MHz is measured. This beamformer can provide wide antenna tunable bandwidth and intrapulse beam forming. ¬© 1992 IEEE</t>
  </si>
  <si>
    <t>177-179</t>
  </si>
  <si>
    <t>Riza, Nabeel A.</t>
  </si>
  <si>
    <t>Niskayuna</t>
  </si>
  <si>
    <t>GE Global Research</t>
  </si>
  <si>
    <t>Riza N.</t>
  </si>
  <si>
    <t>An Acoustooptic Phased Array Antenna Beamformer with Independent Phase and Carrier Control Using Single Sideband Signals</t>
  </si>
  <si>
    <t>10.1109/68.122353</t>
  </si>
  <si>
    <t>2-s2.0-0026820798</t>
  </si>
  <si>
    <t>['¬© 1992', 'statistically efficient', 'source location', 'sensor noise', 'recently proposed', 'linear operations', 'linear method', 'first step', 'eigenvalue method', 'computational standpoint', 'computational advantage', 'array processing', 'array increases', 'also discussed']</t>
  </si>
  <si>
    <t>asymptotical statistical analysis | Cram√©r-Rao bound | Monte-Carlo simulation | noise power estimation | Sensor arrays | source location</t>
  </si>
  <si>
    <t>This paper analyses two methods for estimating the power of sensor noise in array processing: the so-called 'eigenvalue method' and (the generalization of) a 'linear method' recently proposed in the literature. The eigenvalue method is proved to be statistically efficient. The linear method is shown to be more efficient than the eigenvalue method from the computational standpoint, but less efficient statistically. As the number of sensors in the array increases, the computational advantage of the linear method increases, but its statistical efficiency decreases. Some applications of the noise power estimates considered in this paper are also discussed. In particular, it is shown that the 'linear method' can be utilized as a first step in a procedure for source location, based on linear operations only. ¬© 1992.</t>
  </si>
  <si>
    <t>205-220</t>
  </si>
  <si>
    <t>Signal Processing</t>
  </si>
  <si>
    <t>60003161;60003858;60044940</t>
  </si>
  <si>
    <t>36040796700;7101761664;24327551400</t>
  </si>
  <si>
    <t>Stoica, Petre;S√∂derstr√∂m, Torsten;≈†imonyt, Virginija</t>
  </si>
  <si>
    <t>Lithuania;Sweden;Romania</t>
  </si>
  <si>
    <t>Vilnius;Uppsala;Bucuresti</t>
  </si>
  <si>
    <t>Lithuanian Academy of Sciences;Uppsala Universitet;University Politehnica of Bucharest</t>
  </si>
  <si>
    <t>60044940;60003858;60003161</t>
  </si>
  <si>
    <t>Stoica P.</t>
  </si>
  <si>
    <t>On estimating the noise power in array processing</t>
  </si>
  <si>
    <t>016516849290131F</t>
  </si>
  <si>
    <t>10.1016/0165-1684(92)90131-F</t>
  </si>
  <si>
    <t>2-s2.0-0026820806</t>
  </si>
  <si>
    <t>['wavenumber k', 'nonintegrable singularity', 'integration w', 'infinite series', 'hankel functions', 'fast algorithm', 'distort slightly', 'circumferential slot', 'avoid k', 'aperture admittance']</t>
  </si>
  <si>
    <t>A circumferential slot in an infinitely long cylinder is considered when fed with a tangential electric field. Parseval's theorem, in which Fourier integrals appear, is used to express the aperture admittance as the integral from zero to infinity of an infinite series. Recognizing that the first two terms of this infinite series have a nonintegrable singularity when the variable of integration w is equal to the wavenumber k, we distort slightly the contour of integration to avoid k. The terms of the infinite series are then approximated when w is close to k. A combination of numerical and analytical schemes employing both large and small argument approximations of Hankel functions is used to perform the integration. It has been found that these integration schemes work very well, and a simple and fast algorithm has resulted. ¬© 1992 IEEE</t>
  </si>
  <si>
    <t>240-244</t>
  </si>
  <si>
    <t>60030551;60030551</t>
  </si>
  <si>
    <t>6603344924;7201653432</t>
  </si>
  <si>
    <t>Papatheodorou, Stilianos;Harrington, Roger F.</t>
  </si>
  <si>
    <t>Syracuse</t>
  </si>
  <si>
    <t>Syracuse University</t>
  </si>
  <si>
    <t>Papatheodorou S.</t>
  </si>
  <si>
    <t>The Aperture Admittance of a Circumferential Slot in a Circular Cylinder</t>
  </si>
  <si>
    <t>10.1109/8.127411</t>
  </si>
  <si>
    <t>2-s2.0-0026820884</t>
  </si>
  <si>
    <t>['small sizes', 'slot design', 'much simpler', 'layered rlsas', 'layered rlsa', 'conventional rlsas']</t>
  </si>
  <si>
    <t>A radial-line slot antenna (RLSA) is a high-efficiency planar array. A double-layered radial line and uniform slot length have been adopted in conventional RLSAs. A single-layered RLSA is much simpler in structure, but the slot length must be varied to synthesise uniform aperture illumination. The authors propose theoretical methods for the slot design. The paper presents excellent characteristics of single-layered RLSAs of small sizes (0.25-0.60 m diameter) and confirms the design. These are now commercialised for 12 GHz band DBS reception.</t>
  </si>
  <si>
    <t>79-83</t>
  </si>
  <si>
    <t>60031126;60031126;60031126;60031126</t>
  </si>
  <si>
    <t>7408117894;35481283400;35495699200;7201747933</t>
  </si>
  <si>
    <t>Takahashi, M.;Takada, J.;Ando, M.;Goto, N.</t>
  </si>
  <si>
    <t>Takahashi M.</t>
  </si>
  <si>
    <t>Characteristics of small-aperture, single-layered, radial-line slot antennas</t>
  </si>
  <si>
    <t>10.1049/ip-h-2.1992.0013</t>
  </si>
  <si>
    <t>2-s2.0-0026820935</t>
  </si>
  <si>
    <t>['¬© 1992', 'time tail', 'special pair', 'side benefit', 'reduced rcs', 'readily included', 'reaction center', 'rc models', 'rc model', 'rc ),', 'previously thought', 'picosecond kinetics', 'photosynthetic membranes', 'photosynthetic bacteria', 'one nearest', 'new model', 'molecules within', 'large fraction', 'increase typically', 'hopping excitons', 'exponential lifetime', 'exponential decay', 'exciton trapping', 'exciton migration', 'excitation decay', 'equal values', 'electron transport', 'earlier models', 'assumed monocoordinate', 'assumed isocoordinate', 'antenna sites', '2 %),', '1 ],']</t>
  </si>
  <si>
    <t>A model of exciton migration and trapping in photosynthetic membranes is presented that differs from earlier models of hopping excitons on lattices. In the new model, the trap, which is the special pair of chlorophyll (Chl) molecules within the reaction center (RC), is assumed monocoordinate, i.e. to have but one nearest-neighboring antenna lattice site; in earlier models, the trap is assumed isocoordinate with the antenna sites. In this monocoordinate-RC model, which it is argued is more realistic at least for some of the photosynthetic bacteria, antenna Chl excitation energy decays more slowly than in the isocoordinate-RC models, for equal values of parameters. The principal exponential decay lifetime is predicted to increase typically by a factor of 2-3. However, in the analysis of an experiment on the picosecond kinetics of excitation decay in Rps. viridis [1], where the exponential lifetime is fixed by the measurement, one is forced to conclude the opposite, i.e. unknown F√∂rster parameters must be larger than previously thought, in fact approaching theoretical maximum values. As a side benefit of the relatively simpler calculation for the monocoordinate-RC model, coupling of the exciton trapping to the first two steps of electron transport in the RC has been readily included in the equations. This yields a bi-exponential decay in which the second exponential component, describable as a long-time tail of small amplitude ({most positive}0.2%), can nonetheless be responsible for a large fraction of the total quantum yield, at least in a system with pre-reduced RCs. The utility of this result for the analysis of delayed flourescence experiments is discussed. ¬© 1992.</t>
  </si>
  <si>
    <t>139-147</t>
  </si>
  <si>
    <t>Pearlstein, Robert M.</t>
  </si>
  <si>
    <t>Indianapolis</t>
  </si>
  <si>
    <t>Indiana University-Purdue University Indianapolis</t>
  </si>
  <si>
    <t>Pearlstein R.M.</t>
  </si>
  <si>
    <t>Kinetics of exciton trapping by monocoordinate reaction centers</t>
  </si>
  <si>
    <t>10.1016/0022-2313(92)90026-6</t>
  </si>
  <si>
    <t>2-s2.0-0026820988</t>
  </si>
  <si>
    <t>['àú3 db', 'wiley company', 'placing holes', 'much larger', 'lens diameter', 'inc .,', 'hole size', 'drilling holes', 'dielectric lens']</t>
  </si>
  <si>
    <t>Dielectric lens | gain | Luneburg lens</t>
  </si>
  <si>
    <t>The dielectric lens for an ideal focusing effect requires a continuously varying dielectric constant. In this article, the varying dielectric constant is simulated by drilling holes in the lens. The gain improves significantly (Àú3 dB) by placing holes in the lens when the lens diameter is much larger than the wavelength (&gt;10 Œª) but the hole size is small (&lt;0.25 Œª). Copyright ¬© 1992 Wiley Periodicals, Inc., A Wiley Company</t>
  </si>
  <si>
    <t>92-94</t>
  </si>
  <si>
    <t>60017536;60000745;60025576;60025576</t>
  </si>
  <si>
    <t>7410158021;7601396617;57214688446;7004988657</t>
  </si>
  <si>
    <t>Lee, C. S.;Lee, S. W.;Davis, R.;Tsui, J.</t>
  </si>
  <si>
    <t>Dayton;Dallas;Urbana</t>
  </si>
  <si>
    <t>Wright-Patterson AFB;Southern Methodist University;University of Illinois Urbana-Champaign</t>
  </si>
  <si>
    <t>60025576;60017536;60000745</t>
  </si>
  <si>
    <t>Lee C.S.</t>
  </si>
  <si>
    <t>Perforated dielectric lens</t>
  </si>
  <si>
    <t>10.1002/mop.4650050214</t>
  </si>
  <si>
    <t>2-s2.0-0026821048</t>
  </si>
  <si>
    <t>['¬© 1992', 'testing functions', 'tangential fields', 'surface current', 'rights reserved', 'numerical results', 'iterative method', 'electrical engineers', 'convergence rate', 'conjugate gradient']</t>
  </si>
  <si>
    <t>Antenna arrays | Frequency selective surfaces</t>
  </si>
  <si>
    <t>A technique to improve the convergence rate of the conjugate gradient-fast Fourier transform (CG-FFT) iterative method is presented. Rooftop basis functions are used to expand the surface current and pulse testing functions to weight the tangential fields. Numerical results are shown for a finite dipole array and compared with a conventional formulation using delta basis and testing functions. ¬© 1992, The Institution of Electrical Engineers. All rights reserved.</t>
  </si>
  <si>
    <t>506-508</t>
  </si>
  <si>
    <t>60000891;60000891</t>
  </si>
  <si>
    <t>6701852001;35562114200</t>
  </si>
  <si>
    <t>Stylianou, A.;Vardaxoglou, J. C.</t>
  </si>
  <si>
    <t>Loughborough</t>
  </si>
  <si>
    <t>Loughborough University</t>
  </si>
  <si>
    <t>Stylianou A.</t>
  </si>
  <si>
    <t>Moderate conjugate gradient FFT method for rapid convergence in analysing finite FSSs</t>
  </si>
  <si>
    <t>10.1049/el:19920319</t>
  </si>
  <si>
    <t>2-s2.0-0026821160</t>
  </si>
  <si>
    <t>['¬© 1992', 'wide variety', 'wave characteristics', 'wall sections', 'versatile technique', 'structures composed', 'scattering problems', 'rights reserved', 'practical problems', 'physical principles', 'function testing', 'electric field', 'dielectric regions']</t>
  </si>
  <si>
    <t>A versatile technique is described for obtaining the full-wave characteristics of structures composed of conductors and dielectrics. It involves the replacement of the dielectric regions by an equivalent interlocking array of thin-wall sections, to which are then attributed appropriate surface impedances. Through the use of a two-dimensional rooftop current representation and line-function testing of the electric field, matrix equations appropriate for propagation, radiation, and scattering problems are generated and solved. In this paper, we concentrate on the physical principles, and demonstrate the usefulness of the approach by solving a wide variety of practical problems. ¬© 1992, IEEE. All rights reserved.</t>
  </si>
  <si>
    <t>17-25</t>
  </si>
  <si>
    <t>Rubin, Barry J.</t>
  </si>
  <si>
    <t>Yorktown Heights</t>
  </si>
  <si>
    <t>IBM Thomas J. Watson Research Center</t>
  </si>
  <si>
    <t>Rubin B.J.</t>
  </si>
  <si>
    <t>General Solution for Propagation, Radiation and Scattering in Arbitrary 3D Inhomogeneous Structures</t>
  </si>
  <si>
    <t>10.1109/74.125885</t>
  </si>
  <si>
    <t>2-s2.0-0026821244</t>
  </si>
  <si>
    <t>47-49</t>
  </si>
  <si>
    <t>57189501138;7102497136</t>
  </si>
  <si>
    <t>Schrank, Hal;Love, Allan</t>
  </si>
  <si>
    <t>Schrank H.</t>
  </si>
  <si>
    <t>Central Blocking in Symmetrical Cassegrain Reflectors</t>
  </si>
  <si>
    <t>10.1109/74.125897</t>
  </si>
  <si>
    <t>2-s2.0-0026821245</t>
  </si>
  <si>
    <t>['tangential component', 'radiation patterns', 'magnetic field', 'fields everywhere', 'characteristic modes', 'aperture region']</t>
  </si>
  <si>
    <t>A characteristic mode theory for slots in a circular conducting cylinder is given for calculating the characteristic magnetic currents, the equivalent magnetic current, the radiation patterns, and the fields everywhere (especially in the aperture region) of an infinitely long thin perfectly conducting cylinder with an infinitely long slot. The characteristic modes are obtained from the solution of an eigenvalue equation representing the continuity of the tangential component of the magnetic field in the slot. ¬© 1992 IEEE</t>
  </si>
  <si>
    <t>156-161</t>
  </si>
  <si>
    <t>60068761-60030551;60068761</t>
  </si>
  <si>
    <t>7006586247;7006960314</t>
  </si>
  <si>
    <t>El-Hajj, Ali;Kabalan, Karim Y.</t>
  </si>
  <si>
    <t>Lebanon;United States</t>
  </si>
  <si>
    <t>Beirut;Syracuse</t>
  </si>
  <si>
    <t>American University of Beirut;Syracuse University</t>
  </si>
  <si>
    <t>60068761;60030551</t>
  </si>
  <si>
    <t>El-Hajj A.</t>
  </si>
  <si>
    <t>Characteristic Modes of a Slot in a Conducting Cylinder and Their Use for Penetration and Scattering, TE case</t>
  </si>
  <si>
    <t>10.1109/8.127399</t>
  </si>
  <si>
    <t>2-s2.0-0026821373</t>
  </si>
  <si>
    <t>['wiley company', 'radiation pattern', 'parallel cases', 'numerical results', 'inc .,', 'arbitrary direction']</t>
  </si>
  <si>
    <t>Dipole radiation | grounded chiral slab | radiation pattern</t>
  </si>
  <si>
    <t>Radiation of an electric dipole located along an arbitrary direction in the presence of a grounded chiral slab is investigated using matrix analysis in conjunction with Fourier‚Äêtransform techniques. Numerical results of the radiation pattern of such a structure are plotted both for vertical and parallel cases. Copyright ¬© 1992 Wiley Periodicals, Inc., A Wiley Company</t>
  </si>
  <si>
    <t>60005465;60005465</t>
  </si>
  <si>
    <t>7402806145;8636377100</t>
  </si>
  <si>
    <t>Cheng, Dajun;Xue, Liangjin</t>
  </si>
  <si>
    <t>Chengdu</t>
  </si>
  <si>
    <t>University of Electronic Science and Technology of China</t>
  </si>
  <si>
    <t>Cheng D.</t>
  </si>
  <si>
    <t>Dipole radiation in the presence of a grounded chiral slab</t>
  </si>
  <si>
    <t>10.1002/mop.4650050206</t>
  </si>
  <si>
    <t>2-s2.0-0026821385</t>
  </si>
  <si>
    <t>['work frequency', 'various parameters', 'system made', 'results obtained', 'precise determination', 'microstrip patches', 'hertz dipole', 'given number', 'given circuit', 'generalising green', 'excellent agreement', 'even 1024', 'dielectric constant', 'antenna cells', 'already published']</t>
  </si>
  <si>
    <t>In generalising Green's, function approach based on the Hertz dipole a precise determination of the electromagnetic field generated by a system made up of any given number of microstrip patches is provided. The interaction of the number of elements (circuit theory), and the influence of various parameters (work frequency, dielectric constant and thickness, length and width of patches and antenna cells, the number and spacing of the plates etc.) are taken into account. The results obtained in the case of one or two microstrip patch antenna are in excellent agreement with those already published. Examples of antenna electromagnetic field radiation patterns in rectangular multimicrostrip elements up to 512 (32 √ó 16) and even 1024 (32 √ó 32) in a given circuit are presented.</t>
  </si>
  <si>
    <t>59-64</t>
  </si>
  <si>
    <t>60070928;60070928;60070928</t>
  </si>
  <si>
    <t>55920867000;6505609226;6504757226</t>
  </si>
  <si>
    <t>Tonye, E.;Temdenou, J. B.;Ntonme, J.</t>
  </si>
  <si>
    <t>Cameroon</t>
  </si>
  <si>
    <t>Yaounde</t>
  </si>
  <si>
    <t>Universit√© de Yaound√© I</t>
  </si>
  <si>
    <t>Tonye E.</t>
  </si>
  <si>
    <t>Computer simulation of multimicrostrip patches antenna problem</t>
  </si>
  <si>
    <t>10.1049/ip-h-2.1992.0010</t>
  </si>
  <si>
    <t>2-s2.0-0026821426</t>
  </si>
  <si>
    <t>['wiley company', 'truncated plane', 'sufficiently trapped', 'smaller near', 'single mode', 'radiation pattern', 'present method', 'phase distribution', 'optical source', 'one propagating', 'inc .,', 'fourier transformed', 'electromagnetic field', 'cross section', 'computation time', 'complicated geometries', 'center axis', 'boundary conditions', 'becomes possible', 'analyzed theoretically', '2 ],']</t>
  </si>
  <si>
    <t>It is difficult to operate a single‚Äêlayered dielectric waveguide for the millimeter‚Äêwave frequency range in a single mode with a small dielectric loss while the electromagnetic field is sufficiently trapped in the guide. On the other hand, this becomes possible in a two‚Äêlayered dielectric waveguide if the dimensions of the core and the clad are appropriately well chosen. In this paper, the electric field distributions of the amplitude and phase on the truncated plane and the radiation pattern of a two‚Äêlayered dielectric rod antenna with a rectangular cross section are analyzed theoretically. By the ‚Äúgeneralized effective dielectric constant method‚Äù [2], the electromagnetic field distribution on the truncated plane of the waveguide cross section is derived. The boundary conditions at the discontinuity are Fourier transformed in the x and y directions. The results are multiplied to compute the electromagnetic field distributions. In comparison with the two‚Äêdimensional Fourier transformation, this method has an advantage in that the computation time is shorter and the method can be applied to more complicated geometries. The results are compared with the assumption that the electromagnetic field on the cross section is identical to the one propagating in the waveguide. As for the electromagnetic amplitude distribution, the discontinuities of the electric field amplitude distributions are smaller at the boundary between the core and the clad in the present method. In regard to the phase distribution, the variation of the phase is smaller near the center axis so that the effect on the radiation pattern is negligible. The present method can be applied to analyze the problem of the discontinuities and truncations of a multilayered dielectric waveguide in the millimeter‚Äêwave and submillimeter‚Äêwaves and of the radiation from an optical source. Copyright ¬© 1992 Wiley Periodicals, Inc., A Wiley Company</t>
  </si>
  <si>
    <t>104-116</t>
  </si>
  <si>
    <t>60031293;100321479;60023462;60023462</t>
  </si>
  <si>
    <t>7004903386;7403126501;36795759800;7005649601</t>
  </si>
  <si>
    <t>Marumoto, Tsunehisa;Kuroda, Michiko;Kasai, Yutaka;Soejima, Teruzane</t>
  </si>
  <si>
    <t>Tokyo;Tokyo;Hachioji</t>
  </si>
  <si>
    <t>NEC Corporation;Waseda University;Tokyo Engineering University</t>
  </si>
  <si>
    <t>60031293;60023462;100321479</t>
  </si>
  <si>
    <t>Marumoto T.</t>
  </si>
  <si>
    <t>The radiation field from the dielectric‚Äêrod antenna with two‚Äêlayered, rectangular cross section</t>
  </si>
  <si>
    <t>10.1002/ecja.4410750210</t>
  </si>
  <si>
    <t>2-s2.0-0026821506</t>
  </si>
  <si>
    <t>['work investigates', 'vary linearly', 'transmit mode', 'reference signal', 'phase shifters', 'phase error', 'phase detector', 'microwave frequencies', 'locked loops', 'linear array', 'four monopoles', '5 ghz', '180 ¬∞']</t>
  </si>
  <si>
    <t>The work investigates the use of phase-locked loops (PLLs) as phase shifters in the control of a phased antenna array. The phase error of a PLL can be altered by adding a DC offset voltage to the output of the phase detector. If a digital phase detector with its inherently linear response is used, then the phase error, and hence the relative phase shift, will vary linearly with applied control voltage. Such phase shifters can act on their own at VHF or they can provide an IF reference signal to a mixer to create a linear phase shifter at microwave frequencies. Four prototype phase shifters, fed in series, have been built, driving a linear array of four monopoles, in transmit mode at 1.5 GHz. By use of a single common control voltage, a single main beam can be swept through 180¬∞ with an accuracy of better than ¬±2¬∞ within the range ¬±70¬∞.</t>
  </si>
  <si>
    <t>31-37</t>
  </si>
  <si>
    <t>101013616;101013616</t>
  </si>
  <si>
    <t>7102646794;35087329300</t>
  </si>
  <si>
    <t>Houghton, A. W.;Brennan, P. V.</t>
  </si>
  <si>
    <t>Plymouth</t>
  </si>
  <si>
    <t>Manadon</t>
  </si>
  <si>
    <t>Houghton A.</t>
  </si>
  <si>
    <t>Phased array control using phase-locked-loop phase shifters</t>
  </si>
  <si>
    <t>10.1049/ip-h-2.1992.0006</t>
  </si>
  <si>
    <t>2-s2.0-0026821548</t>
  </si>
  <si>
    <t>['wiley company', 'wavelength dependency', 'turning point', 'shadow region', 'reflection boundary', 'inflected surface', 'inc .,', 'frequency increases', 'field near']</t>
  </si>
  <si>
    <t>Antennas | diffraction | microwave | reflector | scattering</t>
  </si>
  <si>
    <t>Using diffracted‚Äêfield formulas the slope of the field is evaluated at the reflection boundary of an edge‚Äêinduced shadow. Retaining high‚Äêfrequency terms the wavelength dependency is (Œª)‚àí1/2. Using a formula for the field near the turning point of an inflected surface the slope of the field at the reflection boundary is evaluated. Retaining high‚Äêfrequency terms, the wavelength dependency is (Œª)‚àí5/6 in this case. That is, the shadow for the surface‚Äêcurvature‚Äêinduced case gets sharper nearly twice as fast as for the edge‚Äêinduced case as the frequency increases. This slope is a measure of spillover into the shadow region. Copyright ¬© 1992 Wiley Periodicals, Inc., A Wiley Company</t>
  </si>
  <si>
    <t>81-86</t>
  </si>
  <si>
    <t>60026914;60029311</t>
  </si>
  <si>
    <t>7003556018;7005574913</t>
  </si>
  <si>
    <t>Rahnavard, M. H.;Rusch, W. V.T.</t>
  </si>
  <si>
    <t>United States;Iran</t>
  </si>
  <si>
    <t>Los Angeles;Shiraz</t>
  </si>
  <si>
    <t>University of Southern California;Shiraz University</t>
  </si>
  <si>
    <t>60029311;60026914</t>
  </si>
  <si>
    <t>Rahnavard M.</t>
  </si>
  <si>
    <t>Comparison of the slope of the field at the reflection boundary of an edge‚Äêinduced and surface‚Äêcurvature‚Äêinduced microwave shadows</t>
  </si>
  <si>
    <t>10.1002/mop.4650050211</t>
  </si>
  <si>
    <t>2-s2.0-0026821660</t>
  </si>
  <si>
    <t>['wave communication', 'symmetric patterns', 'significant improvement', 'radar systems', 'polarization level', 'performance comparable', 'multimode quasi', 'integrated dipole', 'beam launcher', 'antenna provides', '97 %,', '91 ghz', '7 db', '20 db']</t>
  </si>
  <si>
    <t>A multimode quasi-integrated dipole-fed horn antenna is presented with a performance comparable to that of waveguide-fed corrugated horn antennas. The antenna has been designed using fullwave analysis and has been fabricated and tested at 91 GHz. The horn has a gain of 20 dB with very symmetric patterns, a Gaussian coupling efficiency of 97%, and a cross-polarization level of -22.7 dB. This antenna provides a significant improvement in integrated antenna designs and is suitable for millimeter-wave communication and radar systems and as a Gaussian-beam launcher in quasi-optical receiver systems. ¬© 1992 IEEE</t>
  </si>
  <si>
    <t>73-75</t>
  </si>
  <si>
    <t>7004469751;6602531547;7006384021</t>
  </si>
  <si>
    <t>Eleftheriades, George V.;Ali-Ahmad, Walid Y.;Rebeiz, Gabriel M.</t>
  </si>
  <si>
    <t>Eleftheriades G.</t>
  </si>
  <si>
    <t>A 20-dB Quasi-Integrated Horn Antenna</t>
  </si>
  <si>
    <t>10.1109/75.122415</t>
  </si>
  <si>
    <t>2-s2.0-0026821704</t>
  </si>
  <si>
    <t>DIR-9104322</t>
  </si>
  <si>
    <t>['¬© 1992', 'zag structure', 'structural arrangement', 'solvent conditions', 'reaction center', 'predominantly two', 'pigment interactions', 'observed absorption', 'e pigments', 'dimensional zig', 'dimensional aggregate', 'bacteriochlorophyll c', 'aggregate size', 'absorption spectra']</t>
  </si>
  <si>
    <t>Evidence strongly suggests that the bacteriochlorophyll c, d, or e pigments in the chlorosome of green photosynthetic bacteria exist in a highly aggregated state, where pigment-pigment interactions are thought to dominate in determining the structural arrangement of the pigments. We have calculated the absorption spectra and fluorescence quantum yields based upon a number of proposed geometrical configurations of the in vivo and in vitro BChl aggregates as a function of aggregate size. In addition, the time-resolved fluorescence measurements are discussed and rationalized in terms of sequential energy transfer with average rate constant resulting in eventual energy flow from chlorosome to reaction center. We suggest that the observed absorption and fluorescence data result from the formation of a two-dimensional zig-zag and/or one-dimensional aggregate in vitro depending upon the solvent conditions, and a predominantly two-dimensional zig-zag structure in vivo. ¬© 1992.</t>
  </si>
  <si>
    <t>51-66</t>
  </si>
  <si>
    <t>60003892;60003892;60003892</t>
  </si>
  <si>
    <t>7005426483;26652143300;57203046340</t>
  </si>
  <si>
    <t>Alden, R. G.;Lin, S. H.;Blankenship, R. E.</t>
  </si>
  <si>
    <t>Alden R.G.</t>
  </si>
  <si>
    <t>Theory of spectroscopy and energy transfer of oligomeric pigments in chlorosome antennas of green photosynthetic bacteria</t>
  </si>
  <si>
    <t>10.1016/0022-2313(92)90018-5</t>
  </si>
  <si>
    <t>2-s2.0-0026821735</t>
  </si>
  <si>
    <t>ECS-8552868</t>
  </si>
  <si>
    <t>['thermally coupled', 'tellurium detectors', 'te detector', 'possible use', 'planar antenna', 'performance appears', 'load elements', 'f noise', 'composite microbolometer', '120 v']</t>
  </si>
  <si>
    <t>A composite microbolometer has been constructed for possible use as a broad band submillimeter radiation detector. Theory, fabrication, and measurement of these devices are discussed, and a finite element thermal model is introduced. Our devices utilize nichrome load elements which can be impedance-matched to a planar antenna. The load elements are thermally coupled to tellurium detectors. We achieved room temperature responsivities of 120 V/W, and noise equivalent powers (NEP) as low as 6.7 x 10&lt;inf&gt;-9&lt;/inf&gt; W/‚àöHz. Performance appears to be limited by 1/f noise in the Te detector. ¬© 1992 IEEE</t>
  </si>
  <si>
    <t>196-201</t>
  </si>
  <si>
    <t>60011754;60013372</t>
  </si>
  <si>
    <t>7006258203;7006694199</t>
  </si>
  <si>
    <t>Wentworth, Stuart M.;Neikirk, Dean P.</t>
  </si>
  <si>
    <t>Austin;Auburn</t>
  </si>
  <si>
    <t>The University of Texas at Austin;Auburn University</t>
  </si>
  <si>
    <t>60013372;60011754</t>
  </si>
  <si>
    <t>Wentworth S.</t>
  </si>
  <si>
    <t>Composite Microbolometers with Tellurium Detector Elements</t>
  </si>
  <si>
    <t>10.1109/22.120090</t>
  </si>
  <si>
    <t>2-s2.0-0026821834</t>
  </si>
  <si>
    <t>['total amount', 'radiation characteristics', 'power coupled', 'polarized lobes', 'plane arrays', 'phase center', 'maximum value', 'maximum efficiency', 'maximum coupling', 'limited horn', 'hermite modes', 'diagonal horns', 'diagonal horn', 'corrugated horn', 'beamwidth horn', 'aperture efficiency', 'also demonstrated', '84 %,', '81 %,', '5 %.']</t>
  </si>
  <si>
    <t>The radiation characteristics of diagonal horns are investigated by means of Gaussian-Hermite modes. It is shown that, for reasonably long horns, the beamwidths in the principal and 45¬∞ planes are equal to within 10%, and all sidelobes are below ‚Äî15 dB. It is also demonstrated that the phase center of a diffraction-limited horn is close to the aperture, whereas the phase center of a constant-beamwidth horn is behind the throat. The maximum coupling to the lowest order copolar Gaussian mode is 84%, and the total amount of power coupled into the cross-polarized lobes is 9.5%. More significantly, the aperture efficiency of a Cassegrain antenna fed by a diagonal horn has a maximum value of 81%, which compares with 87% for a corrugated horn. The maximum efficiency is achieved when the aperture of a diffraction-limited horn is placed at a confocal tertiary focus, although a secondary focus gives an aperture efficiency that is only 10% lower, suggesting that diagonal horns are suitable for focal-plane arrays. ¬© 1992 IEEE</t>
  </si>
  <si>
    <t>198-206</t>
  </si>
  <si>
    <t>60121115-60029024</t>
  </si>
  <si>
    <t>Withington, Stafford</t>
  </si>
  <si>
    <t>United Kingdom;Ireland</t>
  </si>
  <si>
    <t>Cambridge;Maynooth</t>
  </si>
  <si>
    <t>Department of Physics;St Patrick's College, Maynooth</t>
  </si>
  <si>
    <t>60121115;60029024</t>
  </si>
  <si>
    <t>Withington S.</t>
  </si>
  <si>
    <t>Analysis of Diagonal Horns Through Gaussian-Hermite Modes</t>
  </si>
  <si>
    <t>10.1109/8.127404</t>
  </si>
  <si>
    <t>2-s2.0-0026821865</t>
  </si>
  <si>
    <t>['wiley company', 'theoretical method', 'return loss', 'radiation pattern', 'open end', 'microstrip patch', 'inc .,', 'experimental results', 'computed theoretically', 'capacitive gap', 'antenna characteristics']</t>
  </si>
  <si>
    <t>Antenna theory | gap coupling | Microstrip patch antenna array</t>
  </si>
  <si>
    <t>The purpose of this article is to present a theoretical method for analyzing an E‚Äêplane gap‚Äêcoupled rectangular microstrip array antenna which consists of one center‚Äêfed patch and several parasitic elements by use of the transmission‚Äêline model and the equivalent circuit parameters for the capacitive gap between microstrip patch and the open end of the patch. Antenna characteristics such as radiation pattern and return loss are computed theoretically and compared with experimental results for illustrating the usefulness of this method. Copyright ¬© 1992 Wiley Periodicals, Inc., A Wiley Company</t>
  </si>
  <si>
    <t>88-92</t>
  </si>
  <si>
    <t>60012704;60012704;60012704</t>
  </si>
  <si>
    <t>7404469777;7004176659;7501510759</t>
  </si>
  <si>
    <t>Cho, Young Ki;Hwang, Oon Ha;Lee, Kwang Eok</t>
  </si>
  <si>
    <t>South Korea</t>
  </si>
  <si>
    <t>Daegu</t>
  </si>
  <si>
    <t>Kyungpook National University</t>
  </si>
  <si>
    <t>Cho Y.</t>
  </si>
  <si>
    <t>Theoretical and experimental study on the linear microstrip patch antenna array technique using e‚Äêplane gap coupling</t>
  </si>
  <si>
    <t>10.1002/mop.4650050213</t>
  </si>
  <si>
    <t>2-s2.0-0026821870</t>
  </si>
  <si>
    <t>['¬© 1992', 'transmission band', 'rights reserved', 'passband loss', 'main source', 'inverse relationship', 'frequency responses', 'electrical engineers', 'dielectric layers', '6db width', '25 %.']</t>
  </si>
  <si>
    <t>Antennas | Frequency selective surfaces</t>
  </si>
  <si>
    <t>Measurements of the transmission/frequency responses of slot arrays embedded centrally in dielectric layers of various thicknesses show an inverse relationship between the 6dB width of the transmission band and passband loss. For Œµr = 4.6, tan Œ¥ = 002 the losses exceed 1 dB for bandwidths below about 25%. A computer model identifies absorption in the dielectric as the main source of the loss. ¬© 1992, The Institution of Electrical Engineers. All rights reserved.</t>
  </si>
  <si>
    <t>60010818;60010818</t>
  </si>
  <si>
    <t>7103342300;7201840709</t>
  </si>
  <si>
    <t>Callaghan, P.;Parker, E. A.</t>
  </si>
  <si>
    <t>Canterbury</t>
  </si>
  <si>
    <t>University of Kent</t>
  </si>
  <si>
    <t>Callaghan P.</t>
  </si>
  <si>
    <t>Loss-bandwidth product for frequency selective surfaces</t>
  </si>
  <si>
    <t>10.1049/el:19920228</t>
  </si>
  <si>
    <t>2-s2.0-0026821933</t>
  </si>
  <si>
    <t>['unity amplitude', 'supported dipole', 'sufficient accuracy', 'scattering process', 'scattering pattern', 'scattering approach', 'scattered field', 'reflector antenna', 'polar level', 'plane wave', 'mutual coupling', 'improved method', 'existing methods', 'disk feed', 'copolar sidelobes', 'blockage caused', 'also including', 'accurately predicted', 'accurate way']</t>
  </si>
  <si>
    <t>An improved method for accurately analysing symmetrical primary-fed reflector antennas is presented. The method, which is referred to as the multiple-scattering approach, takes into account the blockage caused by the feed in a very accurate way by also including the mutual coupling between the feed and the reflector. The coupling is treated as a multiple-scattering process. It is expressed in terms of the scattering pattern of the feed, which is the scattered field when the feed is excited by a plane wave with unity amplitude. To validate the method, a reflector antenna with a self-supported dipole-disk feed is investigated. The gain, the copolar sidelobes and the cross-polar level are much more accurately predicted by the multiple-scattering approach than by existing methods, provided that the scattering pattern of the feed can be determined with sufficient accuracy.</t>
  </si>
  <si>
    <t>65-71</t>
  </si>
  <si>
    <t>Moldsvor, A.;Kildal, P. S.</t>
  </si>
  <si>
    <t>Systematic approach to control feed scattering and multiple reflections in symmetrical primary-fed reflector antennas</t>
  </si>
  <si>
    <t>10.1049/ip-h-2.1992.0011</t>
  </si>
  <si>
    <t>2-s2.0-0026822041</t>
  </si>
  <si>
    <t>['¬© 1991', 'tradeoff study', 'thermal design', 'temperature requirements', 'right reserved', 'performance must', 'paper describes', 'electrical characteristics', 'complicated structure', 'antenna system', 'antenna conducted', 'american institute']</t>
  </si>
  <si>
    <t>A large deployable antenna for a communication satellite requires sophisticated thermal control to satisfy the temperature requirements for electrical characteristics, and its performance must be confirmed by a thermal balance test. The results of a tradeoff study of the thermal control method for an antenna Conducted in an effort to meet temperature requirement demands indicate that the thermal design of an antenna system can be accomplished by using passive thermal control techniques and heaters in spite of the large and complicated structure. Antenna system thermal balance tests are limited by the volume of the space simulation chamber. To overcome this problem, we introduce a two-step thermal design verification method consisting of component level tests and a whole antenna system level test. This paper describes the thermal control method, the thermal design verification method, and the predicted antenna temperatures in a geostationary orbit obtained from the verified thermal analytical model. ¬© 1991 by the American Institute of Aeronautics and Astronautics, Inc. All right reserved.</t>
  </si>
  <si>
    <t>271-278</t>
  </si>
  <si>
    <t>March-April 1992</t>
  </si>
  <si>
    <t>60025555-117807089;60025555;60025555</t>
  </si>
  <si>
    <t>7103117186;7404396996;55689069300</t>
  </si>
  <si>
    <t>Tsunoda, H.;Nakajima, K.;Miyasaka, A.</t>
  </si>
  <si>
    <t>Tokyo;</t>
  </si>
  <si>
    <t>Nippon Telegraph and Telephone Corporation;Satellite Communication Systems Laboratory</t>
  </si>
  <si>
    <t>60025555;117807089</t>
  </si>
  <si>
    <t>Tsunoda H.</t>
  </si>
  <si>
    <t>Thermal design verification of a large deployable antenna for a communications satellite</t>
  </si>
  <si>
    <t>10.2514/3.26345</t>
  </si>
  <si>
    <t>2-s2.0-0026822792</t>
  </si>
  <si>
    <t>['third section', 'single source', 'examples show', 'common point', 'antenna currents', 'also given']</t>
  </si>
  <si>
    <t>A Method for feeding antenna arrays is presented. Each element of the array is connected with transmission line sections. The first two sections are connected to a common point where the voltage from both sections is the same. The common point is connected with a new transmission line which is also doing the same with the third section. The procedure is continued until the last common point will be connected to a single source. A formulation for the antenna currents as a function of the frequency is also given. Some examples show the applicability of the method. ¬© 1992 IEEE</t>
  </si>
  <si>
    <t>27-32</t>
  </si>
  <si>
    <t>IEEE Transactions on Broadcasting</t>
  </si>
  <si>
    <t>60011510;60015331;60015331</t>
  </si>
  <si>
    <t>6507380553;7801457553;7005683394</t>
  </si>
  <si>
    <t>Mertzianidis, Costas;Diamandi, Ioanna;Sahalos, John N.</t>
  </si>
  <si>
    <t>Thessaloniki;Kavala</t>
  </si>
  <si>
    <t>Aristotle University of Thessaloniki;Eastern Macedonia and Thrace Institute of Technology</t>
  </si>
  <si>
    <t>60015331;60011510</t>
  </si>
  <si>
    <t>Mertzianidis C.</t>
  </si>
  <si>
    <t>A voltage-matching method for feeding antenna arrays</t>
  </si>
  <si>
    <t>10.1109/11.127423</t>
  </si>
  <si>
    <t>2-s2.0-0026823948</t>
  </si>
  <si>
    <t>['¬© 1992', 'rights reserved', 'results indicate', 'properly spaced', 'investigated experimentally', 'gain characteristics', 'electrical engineers', '6 db']</t>
  </si>
  <si>
    <t>Antenna radiation patterns | Antennas | Dielectric and dielectric devices | Resonators</t>
  </si>
  <si>
    <t>The gain characteristics of a dielectric resonator loaded coaxial probe fed circular waveguide antenna (DRLWA) with overlaying parasitic discs have been investigated experimentally. Results indicate that, when properly spaced, the overlays can enhance the gain by more than 6 dB. ¬© 1992, The Institution of Electrical Engineers. All rights reserved.</t>
  </si>
  <si>
    <t>541-542</t>
  </si>
  <si>
    <t>60020850;60020850</t>
  </si>
  <si>
    <t>14010150800;56990449800</t>
  </si>
  <si>
    <t>Hakkak, M.;Ameri, H.</t>
  </si>
  <si>
    <t>Iran</t>
  </si>
  <si>
    <t>Tehran</t>
  </si>
  <si>
    <t>Iran Telecommunication Research Center, Tehran</t>
  </si>
  <si>
    <t>Hakkak M.</t>
  </si>
  <si>
    <t>Gain enhancement of dielectric resonator loaded waveguide antennas with dielectric overlays</t>
  </si>
  <si>
    <t>10.1049/el:19920341</t>
  </si>
  <si>
    <t>2-s2.0-0026823966</t>
  </si>
  <si>
    <t>['¬© 1992', 'rights reserved', 'indoor picocells', 'electrical engineers', '42 ghz']</t>
  </si>
  <si>
    <t>Horn antennas | Radiowave propagation</t>
  </si>
  <si>
    <t>A method is presented for dimensioning biconical horn antennas which give a near uniform coverage within a picocell. This method is applied to the synthesis of a pair of millimetre-wave biconical horn antennas for operation in indoor picocells. Results of cell coverage measurements at 42 GHz are given. ¬© 1992, The Institution of Electrical Engineers. All rights reserved.</t>
  </si>
  <si>
    <t>679-681</t>
  </si>
  <si>
    <t>16415286000;56796612000</t>
  </si>
  <si>
    <t>Smulders, P. F.M.;Wagemans, A. G.</t>
  </si>
  <si>
    <t>Smulders P.</t>
  </si>
  <si>
    <t>Millimetre-wave biconical horn antennas for near uniform coverage in indoor picocells</t>
  </si>
  <si>
    <t>10.1049/el:19920429</t>
  </si>
  <si>
    <t>2-s2.0-0026824994</t>
  </si>
  <si>
    <t>['vertical velocity', 'velocity obtained', 'two terms', 'turbulent motions', 'time domain', 'several authors', 'recently pointed', 'power spectrum', 'possible advantages', 'normally analysed', 'mean wind', 'linear function', 'gaussian model', 'frequency domain', 'fourier transforms', 'evaluated analytically', 'equivalent analysis', 'doppler interferometry', 'cross spectrum', 'correlation techniques', 'correlation functions', 'correlation analysis', 'copyright 1992', 'computational scheme', 'broadening due', 'apparent velocity', 'analysis equivalent']</t>
  </si>
  <si>
    <t>Data from spaced‚Äêantenna experiments are normally analysed by correlation techniques in the time domain, but several authors have recently pointed out that an equivalent analysis can be carried out in the frequency domain. To explore any possible advantages of such a procedure, we assume Gaussian forms for the correlation functions so that their Fourier transforms can be evaluated analytically. The power spectrum is shown to be a convolution of two terms, one of which represents ‚Äúbeam broadening‚Äù due to the mean wind, and the other represents the broadening due to turbulent motions. The cross spectrum has a phase which is a linear function of frequency, the slope of which is related to the ‚Äúapparent velocity‚Äù of correlation analysis. If this same cross‚Äêspectral phase is interpreted by the method of Doppler interferometry, the velocity obtained is also the apparent velocity. The Gaussian model is extended to include the effects of vertical velocity and of scatter which is centered off zenith. A computational scheme is presented in which an analysis equivalent to conventional ‚Äúfull correlation analysis‚Äù is carried out entirely in the frequency domain. The method is illustrated using data from Adelaide. Copyright 1992 by the American Geophysical Union.</t>
  </si>
  <si>
    <t>117-129</t>
  </si>
  <si>
    <t>7103327130;7202620125</t>
  </si>
  <si>
    <t>Briggs, B. H.;Vincent, R. A.</t>
  </si>
  <si>
    <t>Briggs B.</t>
  </si>
  <si>
    <t>Spaced‚Äêantenna analysis in the frequency domain</t>
  </si>
  <si>
    <t>10.1029/91RS03051</t>
  </si>
  <si>
    <t>2-s2.0-0026825238</t>
  </si>
  <si>
    <t>['¬© 1992', 'tuning range', 'rights reserved', 'matching structure', 'lower frequency', 'impedance characteristic', 'electrical engineers', 'control resonance', 'antenna incorporates', '520 mhz', '5 ghz']</t>
  </si>
  <si>
    <t>Antennas | Microstrip | Varactors</t>
  </si>
  <si>
    <t>A dual frequency microstrip rectangular patch antenna resonating at frequencies 520 MHz and 2.5 GHz is presented. This antenna incorporates a matching structure to improve the impedance characteristic at one resonance frequency and uses symmetrically positioned varactor diodes to control resonance at a lower frequency. The use of varactor diodes also provides the benefit of a broad tuning range at the lower resonance frequency. A tuning range of 32% at 520 MHz was measured. ¬© 1992, The Institution of Electrical Engineers. All rights reserved.</t>
  </si>
  <si>
    <t>606-607</t>
  </si>
  <si>
    <t>60031004;60031004</t>
  </si>
  <si>
    <t>35478779700;6603921864</t>
  </si>
  <si>
    <t>Waterhouse, R. B.;Shuley, N. V.</t>
  </si>
  <si>
    <t>Brisbane</t>
  </si>
  <si>
    <t>The University of Queensland</t>
  </si>
  <si>
    <t>Waterhouse R.</t>
  </si>
  <si>
    <t>Dual frequency microstrip rectangular patches</t>
  </si>
  <si>
    <t>10.1049/el:19920382</t>
  </si>
  <si>
    <t>2-s2.0-0026825242</t>
  </si>
  <si>
    <t>['‚ äúsliding', 'similar disturbances', 'result suggests', 'recovering virtually', 'parameter estimator', 'obtained directly', 'noise ratio', 'loss resulting', 'element array', 'combining weights', 'combining loss', 'channel using', 'averaging times', 'atmospheric effects', 'array feeds', 'array feed', '1 db']</t>
  </si>
  <si>
    <t>A real-time digital signal combining system for use with array feeds is proposed. The combining system attempts to compensate for signal-to-noise ratio (SNR) loss resulting from antenna deformations induced by gravitational and atmospheric effects. The combining weights are obtained directly from the observed residual carrier samples in each channel using a ‚Äúsliding-window‚Äù implementation of a maximum-likelihood (ML) parameter estimator. It is shown that with averaging times of about 0.1 s, combining loss for a seven-element array can be limited to about 0.1 dB in a realistic operational environment. This result suggests that the real-time combining system proposed here is capable of recovering virtually all of the signal power captured by the array feed, even in the presence of severe wind gusts and similar disturbances. ¬© 1992 IEEE</t>
  </si>
  <si>
    <t>604-615</t>
  </si>
  <si>
    <t>60009037;60009037;60009037</t>
  </si>
  <si>
    <t>6603728073;6602294308;35575895300</t>
  </si>
  <si>
    <t>Vilnrotter, Victor A.;Rodemich, Eugene R.;Dolinar, Samuel J.</t>
  </si>
  <si>
    <t>Vilnrotter V.</t>
  </si>
  <si>
    <t>Real-Time Combining of Residual Carrier Array Signals Using ML Weight Estimates</t>
  </si>
  <si>
    <t>10.1109/26.135731</t>
  </si>
  <si>
    <t>2-s2.0-0026826860</t>
  </si>
  <si>
    <t>['¬© 1992', 'twin waveguides', 'reverse bias', 'pn junction', 'optical branch', 'optical beam', 'japan society', 'applied physics', '10 v', '0 degree']</t>
  </si>
  <si>
    <t>Electrooptic effect | GaAIAs gaas | Oac | Optical branch | Optical scanner | Semiconductor waveguide</t>
  </si>
  <si>
    <t>An optical beam scanner integrated with two phased array waveguides is fabricated. The optical beam scanner consists of twin GaAIAs GaAs waveguides which are integrated with an optical branch for optical power distribution to the twin waveguides. The optical beam can be deflected about 1.0 degree by applying a reverse bias of 10 V to the pn junction in one of the waveguides. ¬© 1992 The Japan Society of Applied Physics.</t>
  </si>
  <si>
    <t>807-808</t>
  </si>
  <si>
    <t>3R</t>
  </si>
  <si>
    <t>Japanese Journal of Applied Physics</t>
  </si>
  <si>
    <t>60009824;60009824;60009824;60009824;60031126;60031126;60031126</t>
  </si>
  <si>
    <t>6603889405;7201518548;57215759927;55471615900;7202935621;55456948100;7202898800</t>
  </si>
  <si>
    <t>Moriki, Kazunori;Ohnishi, Yoshihumi;Katoh, Hisayuki;Inoue, Toshihiro;Sakaguchi, Takahiro;Hattori, Takeo;Iga, Kenichi</t>
  </si>
  <si>
    <t>Tokyo;Tokyo</t>
  </si>
  <si>
    <t>Tokyo Institute of Technology;Tokyo City University</t>
  </si>
  <si>
    <t>60031126;60009824</t>
  </si>
  <si>
    <t>Moriki K.</t>
  </si>
  <si>
    <t>Gaaias gaas optical beam scanner using phased array waveguides</t>
  </si>
  <si>
    <t>10.1143/JJAP.31.807</t>
  </si>
  <si>
    <t>2-s2.0-0026827261</t>
  </si>
  <si>
    <t>['turbulence component', 'spectral measurements', 'spectra occur', 'sometimes observed', 'signals scattered', 'separated peaks', 'scattering volume', 'narrow layers', 'layers cause', 'large enough', 'incoherent scatter', 'first time', 'enhanced backscatter', 'dominant one', 'copyright 1992', 'altitudes well', 'abrupt shear', '70 km', '68 km', '224 mhz']</t>
  </si>
  <si>
    <t>Spectral measurements of signals scattered from altitudes well below 70 km have for the first time been obtained with the EISCAT 224‚ÄêMHz radar. Observations with the antenna pointing away from the vertical at times show spectral power distributions departing markedly from those expected from collision‚Äêdominated incoherent scatter theory. Separated peaks in the spectra occur in regions of abrupt shear in the velocity of the neutral wind within the scattering volume. Anomalously large backscattered power levels are sometimes observed in the vicinity of such shears at altitudes near 68 km. It is unlikely that these echoes are due to incoherent (Thomson) scatter. Instead, it is proposed that the abrupt velocity shears develop neutral turbulence in narrow layers and that these layers cause the enhanced backscatter. Calculations of the expected backscatter power levels at 224 MHz for incoherent scatter and for turbulence scatter show that the turbulence component can be the dominant one at heights below about 68 km if the potential refractive index gradient and the turbulence energy dissipation rates are large enough. Copyright 1992 by the American Geophysical Union.</t>
  </si>
  <si>
    <t>97-107</t>
  </si>
  <si>
    <t>7003915908;7005243495;7003907481;23166780300</t>
  </si>
  <si>
    <t>Collis, P. N.;Rietveld, M. T.;R√∂ttger, J.;Hocking, W. K.</t>
  </si>
  <si>
    <t>Collis P.</t>
  </si>
  <si>
    <t>Turbulence scattering layers in the middle‚Äêmesosphere observed by the EISCAT 224‚ÄêMHz radar</t>
  </si>
  <si>
    <t>10.1029/91RS02963</t>
  </si>
  <si>
    <t>2-s2.0-0026827459</t>
  </si>
  <si>
    <t>['volume scattering', 'various aspects', 'spectral width', 'physical model', 'model predictions', 'copyright 1992', 'characteristic length', 'autocorrelation functions', 'aspect sensitivity']</t>
  </si>
  <si>
    <t>The spaced antenna method for VHF/UHF radar applications is discussed for the general observational configurations including the off‚Äêzenith observational mode. On the basis of the assumptions of ‚Äúlocally frozen‚Äêin‚Äù and volume scattering a physical model is constructed. Cross‚Äêcorrelation and autocorrelation functions are derived and applied for the discussion of the various aspects of the full correlation analysis. Spectral width, aspect sensitivity, and characteristic length are compared for different echo mechanisms in this paper. Some observational results based on the model predictions will be discussed. Copyright 1992 by the American Geophysical Union.</t>
  </si>
  <si>
    <t>131-144</t>
  </si>
  <si>
    <t>7403224755;26643441900</t>
  </si>
  <si>
    <t>Pan, C. J.;Liu, C. H.</t>
  </si>
  <si>
    <t>Pan C.</t>
  </si>
  <si>
    <t>A model for oblique spaced antenna technique for mesosphere‚Äêstratosphere‚Äêtroposphere radars and its applications</t>
  </si>
  <si>
    <t>10.1029/91RS02115</t>
  </si>
  <si>
    <t>2-s2.0-0026828334</t>
  </si>
  <si>
    <t>['¬© 1992', 'usual parameters', 'theoretical results', 'rights reserved', 'reflection coefficient', 'radiation pattern', 'nonlossy dielectric', 'input impedance', 'good agreement', 'experimental results', 'experimental measurements', 'electrical engineers', 'dielectric losses']</t>
  </si>
  <si>
    <t>Dielectric losses | Microstrip antennas</t>
  </si>
  <si>
    <t>A frequency dependent complex permittivity is used to describe the dielectric losses of a microstrip patch antenna. The theoretical and experimental results for the usual parameters (input impedance, reflection coefficient and radiation pattern) of a rectangular microstrip patch are compared for a lossy and a nonlossy dielectric. Good agreement is obtained between the experimental measurements and theoretical results when the dielectric losses are considered. ¬© 1992, The Institution of Electrical Engineers. All rights reserved.</t>
  </si>
  <si>
    <t>539-541</t>
  </si>
  <si>
    <t>60008447;60008447;60008447</t>
  </si>
  <si>
    <t>7004401310;7004363654;7006402070</t>
  </si>
  <si>
    <t>Leveque, Ph;Reineix, A.;Jecko, B.</t>
  </si>
  <si>
    <t>Limoges</t>
  </si>
  <si>
    <t>Universite de Limoges</t>
  </si>
  <si>
    <t>Leveque P.</t>
  </si>
  <si>
    <t>Modelling of dielectric losses in microstrip patch antennas: Application of FDTD method</t>
  </si>
  <si>
    <t>10.1049/el:19920340</t>
  </si>
  <si>
    <t>2-s2.0-0026829068</t>
  </si>
  <si>
    <t>['two examples', 'steady state', 'results obtained', 'radiating structure', 'mode expansion', 'mode amplitudes', 'harmonic stimulation', 'frequency response', 'fourier analysis', 'filter characteristics', 'every frequency', 'different modelling', 'corrugated horn', 'convolution technique', 'calculated either', 'broadband characteristics', 'boundary conditions', 'adequate postprocessing']</t>
  </si>
  <si>
    <t>By adequate postprocessing it is possible to extract many frequency domain results out of sampled time domain data. For the calculation of far field patterns in the frequency domain one needs to determine the harmonic field amplitudes near the radiating structure. This is accomplished by a time domain calculation with time harmonic excitation sources. As an example the far field pattern of a corrugated horn is calculated and compared with results obtained by a mode matching method. Differences between both results can be explained by different modelling of the structure. Boundary conditions and mode amplitudes for the calculation of filter characteristics are performed by mode expansion and a convolution technique. These modes are calculated by solving the 2D waveguide eigenvalue problem. The frequency response can be calculated either for every frequency by harmonic stimulation until steady state is reached, or by pulse stimulation together with Fourier analysis. Two examples are presented to demonstrate the advantages of both methods. Broadband characteristics of a commercially available hyperthermia treatment set are calculated by the same pulse stimulation technique together with CW SAR patterns. The influence of a surrounding Faraday cage is investigated. Treatment frequencies close to the cage resonances lead to significant effects.¬© 1992 IEEE</t>
  </si>
  <si>
    <t>1797-1800</t>
  </si>
  <si>
    <t>IEEE Transactions on Magnetics</t>
  </si>
  <si>
    <t>60011226;60011226;60011226</t>
  </si>
  <si>
    <t>6603544872;6701446833;7006068674</t>
  </si>
  <si>
    <t>Dehler, M.;Dohlus, M.;Weiland, T.</t>
  </si>
  <si>
    <t>Darmstadt</t>
  </si>
  <si>
    <t>Technische Universit√§t Darmstadt</t>
  </si>
  <si>
    <t>Dehler M.</t>
  </si>
  <si>
    <t>Calculation of frequency domain parameters by time domain methods</t>
  </si>
  <si>
    <t>10.1109/20.124055</t>
  </si>
  <si>
    <t>2-s2.0-0026829267</t>
  </si>
  <si>
    <t>['trailing edge', 'technique involves', 'successfully implemented', 'spatial variations', 'residual level', 'relatively narrow', 'range resolve', 'quite successful', 'probing pulse', 'plasma density', 'paper describes', 'order within', 'new method', 'model fitting', 'inherent sensitivity', 'incoherent scatter', 'high latitudes', 'general applicability', 'copyright 1992', '72 km']</t>
  </si>
  <si>
    <t>This paper describes a model of the physical interactions involved in incoherent scatter that result in specific plasma line spectral shapes as a function of range and frequency. This model is quite successful in duplicating the naturally occurring plasma line spectra observed at high latitudes. Moreover, the inherent sensitivity of the data collection method suggests a much more general applicability. For example, we will demonstrate a sensitivity of the method to plasma density irregularities in the medium that rivals or exceeds that possible with radio wave scintillation techniques. Unlike height‚Äêintegrated scintillation measurements, however, this new method can range resolve the fluctuations in plasma density. We are able to determine the altitude of the F layer peak to an accuracy of ‚àº ¬± 1 km even with a probing pulse of 72 km in length. Our density fluctuation measurements indicate a residual level of ‚àº 1% fluctuations after a linear‚Äêtemporal trend is removed. This indicates spatial variations in plasma density of this order within our relatively narrow (0.5¬∞) antenna beam. These spatial variations are enhanced during periods when the F layer peak cutoff frequency is decreasing. Such behavior is consistent with increased plasma structure on the trailing edge of F region plasma blobs. Our technique involves not only model fitting but also a data collection method that minimizes range smearing. This data collection mode has already been successfully implemented at the Sondrestrom, Greenland, incoherent scatter radar facility. Copyright 1992 by the American Geophysical Union.</t>
  </si>
  <si>
    <t>221-230</t>
  </si>
  <si>
    <t>6603271110;6602859254</t>
  </si>
  <si>
    <t>Heinselman, C. J.;Vickrey, J. F.</t>
  </si>
  <si>
    <t>Heinselman C.</t>
  </si>
  <si>
    <t>On the spectral analysis and interpretation of incoherent scatter plasma line echoes</t>
  </si>
  <si>
    <t>10.1029/92RS00060</t>
  </si>
  <si>
    <t>2-s2.0-0026829510</t>
  </si>
  <si>
    <t>['¬© 1992', 'second approach', 'rights reserved', 'radiation patterns', 'measured results', 'first approach', 'finite cpw', 'electromagnetically coupled', 'electrical engineers', 'couple power', 'coplanar waveguide', 'air bridge']</t>
  </si>
  <si>
    <t>Antenna feeders | Slot antennas | Waveguides</t>
  </si>
  <si>
    <t>Two new techniques for exciting a linearly tapered slot antenna (LTSA) with coplanar waveguide (CPW) are introduced. In the first approach, an air bridge is used to couple power from a CPW to an LTSA. In the second approach, power is electromagnetically coupled from a finite CPW (FCPW) to an LTSA. Measured results at 18 GHz show excellent return loss and radiation patterns. ¬© 1992, The Institution of Electrical Engineers. All rights reserved.</t>
  </si>
  <si>
    <t>620-621</t>
  </si>
  <si>
    <t>7202166511;24522606100;7006385851</t>
  </si>
  <si>
    <t>Simons, R. N.;Lee, R. Q.;Perl, T. D.</t>
  </si>
  <si>
    <t>New techniques for exciting linearly tapered slot antennas with coplanar waveguide</t>
  </si>
  <si>
    <t>10.1049/el:19920391</t>
  </si>
  <si>
    <t>2-s2.0-0026829862</t>
  </si>
  <si>
    <t>['¬© 1992', 'tm11 mode', 'substrate thicknesses', 'substrate permittivities', 'studied using', 'rights reserved', 'resonance frequencies', 'electrical engineers', 'crosspolarisation level', 'crosspolarisation characteristics', 'cavity model']</t>
  </si>
  <si>
    <t>Antennas | Polarisation</t>
  </si>
  <si>
    <t>The crosspolarisation characteristics of coaxially fed microstrip patch antennas are studied using the cavity model. Numerical results showing the variation of crosspolarisation level for different feed positions, substrate thicknesses, substrate permittivities and resonance frequencies are given when the antenna is excited in the TM11 mode. ¬© 1992, The Institution of Electrical Engineers. All rights reserved.</t>
  </si>
  <si>
    <t>587-589</t>
  </si>
  <si>
    <t>60021624;60013983;60002798</t>
  </si>
  <si>
    <t>7501501369;55510527400;7202539484</t>
  </si>
  <si>
    <t>Lee, K. F.;Luk, K. M.;Tam, P. Y.</t>
  </si>
  <si>
    <t>United States;Hong Kong;Hong Kong</t>
  </si>
  <si>
    <t>Toledo;Kowloon;Hong Kong</t>
  </si>
  <si>
    <t>The University of Toledo;City University of Hong Kong;Chinese University of Hong Kong</t>
  </si>
  <si>
    <t>Lee K.F.</t>
  </si>
  <si>
    <t>Crosspolarisation characteristics of circular patch antennas</t>
  </si>
  <si>
    <t>10.1049/el:19920370</t>
  </si>
  <si>
    <t>2-s2.0-0026830172</t>
  </si>
  <si>
    <t>['¬© 1992', 'rights reserved', 'numerically determined', 'fed slots', 'electrical engineers', 'compared successfully', 'cohn analysis', 'attenuation coefficient']</t>
  </si>
  <si>
    <t>Antennas | Modelling | Slot antennas</t>
  </si>
  <si>
    <t>A model of the printed linear slot antenna using the lossy transmission line method is presented. The Cohn analysis is used to determine the characteristics of the slotline. The attenuation coefficient is numerically determined. Theoretical input impedances of offset-fed slots are compared successfully with experimental results given by other authors. ¬© 1992, The Institution of Electrical Engineers. All rights reserved.</t>
  </si>
  <si>
    <t>598-601</t>
  </si>
  <si>
    <t>60030553;60030553</t>
  </si>
  <si>
    <t>7003723658;7202044329</t>
  </si>
  <si>
    <t>Himdi, M.;Daniel, J. P.</t>
  </si>
  <si>
    <t>Rennes</t>
  </si>
  <si>
    <t>Universite de Rennes 1</t>
  </si>
  <si>
    <t>Himdi M.</t>
  </si>
  <si>
    <t>Analysis of printed linear slot antenna using lossy transmission line model</t>
  </si>
  <si>
    <t>10.1049/el:19920377</t>
  </si>
  <si>
    <t>2-s2.0-0026832104</t>
  </si>
  <si>
    <t>['significant portion', 'paper describes', 'new equipment', 'hdtv transmitter', 'greater detail', 'gradual introduction']</t>
  </si>
  <si>
    <t>The paper describes a method of gradual introduction of simulcast Digital Spectrum-Compatible (DSC-) HDTV broadcasting, deferring a significant portion of the investment in new equipment. Starting with a DSC-HDTV transmitter and antenna, all currently used NTSC equipment continues to serve with the addition of an NTSC/DSC-HDTV Scan Converter: the Upconverter. This unit is described in greater detail. ¬© 1992 IEEE</t>
  </si>
  <si>
    <t>60074719;60074719;115668157</t>
  </si>
  <si>
    <t>57198611053;6603148701;7601384610</t>
  </si>
  <si>
    <t>Jones, Gary A.;Snopko, Paul A.;Kim, Jong G.</t>
  </si>
  <si>
    <t>Lincolnshire;</t>
  </si>
  <si>
    <t>Zenith Electronics Corporation;Goldstar Co., Ltd</t>
  </si>
  <si>
    <t>60074719;115668157</t>
  </si>
  <si>
    <t>Jones G.</t>
  </si>
  <si>
    <t>DSC-HDTV broadcasting with upconnerted NTSC video</t>
  </si>
  <si>
    <t>10.1109/11.127420</t>
  </si>
  <si>
    <t>2-s2.0-0026832166</t>
  </si>
  <si>
    <t>National Institute of Environmental Health Sciences</t>
  </si>
  <si>
    <t>R01ES003329</t>
  </si>
  <si>
    <t>NIEHS</t>
  </si>
  <si>
    <t>['various dipoles', 'slightly higher', 'seated tumors', 'sar distributions', 'phased array', 'noted parameters', 'human body', 'focus energy', 'dimensional models', 'considerable improvement', 'complex inhomogeneous', 'calculations indicate', 'bearing regions']</t>
  </si>
  <si>
    <t>We have used the finite-difference time domain (FDTD) method to calculate the SAR distributions from an annular-phased array of eight dipole antennas coupled through water ‚Äúboluses‚Äù in anatomically based three-dimensional models of the human body. We evaluated the effect of tapered bolus chambers, frequency (100‚Äì120 MHz), dipole length (17‚Äì 30 cm), and phase and amplitude of power to the various dipoles on the ability to focus energy in the region of deep-seated tumors in the prostate and the liver. Assuming tumor conductivity and permittivity to be similar or slightly higher than surrounding normal tissues, calculations indicate that adjustment of the noted parameters should result in considerable improvement in focusing of SAR distributions in tumor-bearing regions. If such calculations can be shown to correctly predict empirical measurements from complex inhomogeneous (although not necessarily anatomically correct) phantoms, they may be useful for hyperthermia treatment planning based on patient-specific anatomic models. ¬© 1992 IEEE</t>
  </si>
  <si>
    <t>209-216</t>
  </si>
  <si>
    <t>60025488;60025488</t>
  </si>
  <si>
    <t>7501884137;7103082601</t>
  </si>
  <si>
    <t>Chen, Jin Yuan;Gandhi, Om P.</t>
  </si>
  <si>
    <t>Chen J.Y.</t>
  </si>
  <si>
    <t>Numerical Simulation of Annular-Phased Arrays of Dipoles for Hyperthermia of Deep-Seated Tumors</t>
  </si>
  <si>
    <t>10.1109/10.125005</t>
  </si>
  <si>
    <t>2-s2.0-0026832766</t>
  </si>
  <si>
    <t>['unnecessary constraint', 'reference point', 'phase responses', 'phase constraint', 'notational convenience', 'new set', 'new method', 'major drawback', 'magnitude response', 'generally made', 'efficient algorithms', 'easily result', 'direct sequence', 'clearly undesirable', 'beamformer response', 'beamformer performance']</t>
  </si>
  <si>
    <t>A new set of first- and second-order derivative constraints is presented which can be used in minimum variance beamformers to achieve flat main beam responses. Efficient algorithms are derived for the implementation of these constraints. In contrast to conventional derivative constraint methods which constrain both the magnitude (power) and phase responses of the beamformer, the new method only constrains the magnitude response. The unnecessary constraint on the phase is a major drawback to the conventional methods since it causes the beamformer performance to vary with the particular spatial reference point used to define the array element positions. This phenomenon is clearly undesirable because the choice of a reference point is generally made for notational convenience. As a direct sequence of the phase constraint, an inappropriately chosen reference point can easily result in a beamformer response which has undesirably high sidelobes. The problem is avoided, however, through the use of phase-independent derivative constraints as given in this paper. ¬© 1992 IEEE</t>
  </si>
  <si>
    <t>285-294</t>
  </si>
  <si>
    <t>Tseng, Ching Yih</t>
  </si>
  <si>
    <t>Tseng C.</t>
  </si>
  <si>
    <t>Minimum Variance Beamforming with Phase-Independent Derivative Constraints</t>
  </si>
  <si>
    <t>10.1109/8.135471</t>
  </si>
  <si>
    <t>2-s2.0-0026834746</t>
  </si>
  <si>
    <t>['wavenumber k', 'two terminals', 'two polynomials', 'systematic approach', 'somewhat beyond', 'scalar potentials', 'power series', 'numerical results', 'node currents', 'linear equations', 'linear antenna', 'like powers', 'k leads', 'input impedance', 'input admittance', 'impedance representation', 'impedance matrix', 'good agreement', 'first resonance', 'feed current', 'explicit function', 'equating coefficients', 'end pieces', 'characterizes coupling', 'assembled structure']</t>
  </si>
  <si>
    <t>A frequency-dependent analytical expression for the input impedance of a thin wire antenna is obtained using diakoptic theory. The linear antenna is diakopted into electrically short segments where each segment is treated as a component with two terminals (except for end pieces, which have only one terminal). An impedance matrix is found which characterizes coupling between all segments. By expanding the free space Green‚Äôs function in a power series in wavenumber k, each entry in the resultant impedance matrix is obtained as an explicit function of frequency. Enforcement of the continuity of currents and equality of scalar potentials at the nodes of the diakopted antenna reduces the impedance representation into a system of linear equations for the node currents of the assembled structure. By solving for the feed current the input admittance is found as a ratio of two polynomials in wavenumber k. A more systematic approach for the solution of the input admittance is achieved by expanding both the unknown current vector and the Green‚Äôs function in power series in k. Equating coefficients of like powers in k leads to a numerically efficient algorithm which is used to determine the input admittance as a function of frequency. Numerical results are compared with the input impedance obtained from a conventional integral equation solution; good agreement is observed, up to and somewhat beyond the first resonance. ¬© 1992 IEEE</t>
  </si>
  <si>
    <t>245-250</t>
  </si>
  <si>
    <t>60022904;60022904</t>
  </si>
  <si>
    <t>6603635368;7103068795</t>
  </si>
  <si>
    <t>Niver, Edip;Whitman, Gerald M.</t>
  </si>
  <si>
    <t>Niver E.</t>
  </si>
  <si>
    <t>Frequency Characterization of a Thin Linear Antenna Using Diakoptic Antenna Theory</t>
  </si>
  <si>
    <t>10.1109/8.135464</t>
  </si>
  <si>
    <t>2-s2.0-0026834748</t>
  </si>
  <si>
    <t>['wiley company', 'propagation factor', 'promising features', 'input impedence', 'inc .,', 'highly affected', 'different lengths', 'complex nature', 'beam direction', 'antenna parameters']</t>
  </si>
  <si>
    <t>Antenna | antenna parameters | cylindrical structures | leaky‚Äêwave | microstrip</t>
  </si>
  <si>
    <t>Antenna parameters of microstrip leaky‚Äêwave antennas are highly affected by the complex nature of the propagation factor. Beam direction, beamwidth, gain, side‚Äêlobe level, efficency, and input impedence for different lengths and linewidths are investigated. The antenna showed good performance and promising features. Efficiency up to 90%, ‚Äì 18‚ÄêdB side‚Äêlobe level, 9‚ÄêdB gain, and 20¬∞ beamwidth can be obtained. Copyright ¬© 1992 Wiley Periodicals, Inc., A Wiley Company</t>
  </si>
  <si>
    <t>130-135</t>
  </si>
  <si>
    <t>60032320;60005916;60032320;60032320</t>
  </si>
  <si>
    <t>6603110328;7004005810;7004104005;6506867066</t>
  </si>
  <si>
    <t>Mitkees, A. A.;Abdallah, E. A.;Hamdy, S. M.;Elsohly, A. A.</t>
  </si>
  <si>
    <t>Egypt;Egypt</t>
  </si>
  <si>
    <t>Cairo;Cairo</t>
  </si>
  <si>
    <t>Military Technical College, Cairo;Electronics Research Institute of Cairo</t>
  </si>
  <si>
    <t>60032320;60005916</t>
  </si>
  <si>
    <t>Mitkees A.</t>
  </si>
  <si>
    <t>Characteristic features of a leaky‚Äêwave microstrip antenna on cylindrical surfaces</t>
  </si>
  <si>
    <t>10.1002/mop.4650050311</t>
  </si>
  <si>
    <t>2-s2.0-0026834939</t>
  </si>
  <si>
    <t>['wiley company', 'observation points', 'matrix analysis', 'magnetic types', 'investigated using', 'inc .,', 'excited sources', 'em radiation']</t>
  </si>
  <si>
    <t>Elementary dipole sources | Fourier transformation techniques | matrix analysis | stratified chiral media</t>
  </si>
  <si>
    <t>EM radiation of the arbitrarily oriented elementary dipole sources, both electric and magnetic types, embedded in stratified chiral media is investigated using the matrix analysis, in conjunction with the Fourier transformation techniques for the observation points not near the excited sources. Copyright ¬© 1992 Wiley Periodicals, Inc., A Wiley Company</t>
  </si>
  <si>
    <t>135-138</t>
  </si>
  <si>
    <t>60005465;60005465;60005465</t>
  </si>
  <si>
    <t>7402806145;55492673100;8636377100</t>
  </si>
  <si>
    <t>Cheng, Dajun;Cheng, Jihua;Xue, Liangjin</t>
  </si>
  <si>
    <t>Radiation of elementary dipole sources in stratified chiral media</t>
  </si>
  <si>
    <t>10.1002/mop.4650050312</t>
  </si>
  <si>
    <t>2-s2.0-0026834940</t>
  </si>
  <si>
    <t>['virtually bandlimited', 'rigorous sampling', 'reconstruction theorem', 'receiving antenna', 'polar coordinates', 'near field', 'incident field', 'far fields', 'antenna theory']</t>
  </si>
  <si>
    <t>A probe-corrected vector transmission formula and a rigorous sampling-reconstruction theorem for near-field antenna measurements in plane-polar coordinates are derived from three fundamental theorems of antenna theory: the mutual coupling function between two antennas satisfies the homogeneous wave equation; a receiving antenna can be represented as a differentiator of the incident field; and the mutual coupling function is virtually bandlimited. The rigorous sampling equations are applied to compute the far fields of a circular-aperture antenna sampled in the near field at half-wavelength radial spacing. ¬© 1992 IEEE.</t>
  </si>
  <si>
    <t>304-312</t>
  </si>
  <si>
    <t>Yaghjian, Arthur D.</t>
  </si>
  <si>
    <t>Yaghjian A.</t>
  </si>
  <si>
    <t>Antenna Coupling and Near-Field Sampling in Plane-Polar Coordinates</t>
  </si>
  <si>
    <t>10.1109/8.135473</t>
  </si>
  <si>
    <t>2-s2.0-0026835438</t>
  </si>
  <si>
    <t>['transverse electromagnetic', 'small hole', 'radial waveguide', 'normal direction', 'maximum value', 'frequency band', 'feed wire', 'beam radiated', '7 ghz', '0 ghz']</t>
  </si>
  <si>
    <t>A low-profile array antenna composed of 2-turn 4¬∞ pitch angle helices is designed for a frequency band of 11.7 GHz to 12.0 GHz. The feed wire of each helix is inserted into a radial waveguide through a small hole and excited by a traveling wave flowing in the transverse electromagnetic (TEM) mode between the two parallel plates of the waveguide. The measured aperture efficiency shows a maximum value of 77% for a beam radiated in the normal direction and 69% for a 30¬∞ beam tilt. ¬© 1992 IEEE</t>
  </si>
  <si>
    <t>279-284</t>
  </si>
  <si>
    <t>60030526;60030526;60030526;60030526;60030526</t>
  </si>
  <si>
    <t>55633340100;55437889300;7401508960;7003298527;56405174700</t>
  </si>
  <si>
    <t>Nakano, Hisamatsu;Takeda, Haruo;Kitamura, Yorihiro;Mimaki, Hiroaki;Yamauchi, Junji</t>
  </si>
  <si>
    <t>Hosei University</t>
  </si>
  <si>
    <t>Nakano H.</t>
  </si>
  <si>
    <t>Low-Profile Helical Array Antenna Fed from a Radial Waveguide</t>
  </si>
  <si>
    <t>10.1109/8.135470</t>
  </si>
  <si>
    <t>2-s2.0-0026835439</t>
  </si>
  <si>
    <t>['¬© 1991', 'width application', 'translate pulse', 'space antenna', 'rights reserved', 'pointing control', 'paper presents', 'linear time', 'intensity equivalence', 'including stability', 'external input', 'dynamic performances', 'american institute', 'aerospace applications']</t>
  </si>
  <si>
    <t>This paper presents a method to translate pulse-amplitude modulated discrete controls, for which many design algorithms exist, into pulse-width modulated controls extensively used in aerospace applications. Assuming that a discrete control law is available for a linear time-invariant multivariable system, the conditions for an approximate equivalent pulse-width application of the inputs are developed. The approximation is based on pulse, i.e., amplitude duration, intensity equivalence, and on the evaluation of an optimum firing delay that maintains, independently from the control and external input, the dynamic performances of the system, including stability. A simple numerical example on a second-order system points out the benefits and drawbacks of the method, which is then applied to a typical complex aerospace design problem, i.e., shape and pointing control of a space antenna. ¬© 1991 by the American Institute of Aeronautics and Astronautics, Inc. All rights reserved.</t>
  </si>
  <si>
    <t>461-467</t>
  </si>
  <si>
    <t>60023256;60023256</t>
  </si>
  <si>
    <t>6603707482;35280308300</t>
  </si>
  <si>
    <t>Bernelli-Zazzera, Franco;Mantegazza, Paolo</t>
  </si>
  <si>
    <t>Milan</t>
  </si>
  <si>
    <t>Politecnico di Milano</t>
  </si>
  <si>
    <t>Bernelli-Zazzera F.</t>
  </si>
  <si>
    <t>Pulse-width equivalent to pulse-amplitude discrete control of linear systems</t>
  </si>
  <si>
    <t>10.2514/3.20858</t>
  </si>
  <si>
    <t>2-s2.0-0026835847</t>
  </si>
  <si>
    <t>['twist reflector', 'theoretical analysis', 'presented showing', 'polarizer properties', 'periodic cell', 'periodic array', 'numerical results', 'ground plane', 'grating structure', 'grating acts', 'efficiently converting', 'dielectric substrate', 'blazed grating', 'also presented', 'also outlined']</t>
  </si>
  <si>
    <t>A frequency-scanned reflection grating (blazed grating) with polarizer properties is investigated. The grating structure considered consists of a periodic array of double-dipole elements etched on a dielectric substrate and placed over a ground plane. The two dipoles within a periodic cell are displaced and tilted from each other. Numerical results are presented showing that this grating structure can be designed to have the property of efficiently converting the power of an incident linear polarized wave into a circular polarized diffracted wave. A design is also outlined where the grating acts as a twist reflector, converting an incident linear polarized transverse electric (TE) wave into the first-order diffracted transverse magnetic (TM) wave. The theoretical analysis is based on Floquet‚Äôs theorem and the method of moments. Experimental results verifying the numerical results are also presented. ¬© 1992 IEEE</t>
  </si>
  <si>
    <t>331-334</t>
  </si>
  <si>
    <t>60000502-60000990;60000990</t>
  </si>
  <si>
    <t>57188535248;7101988263</t>
  </si>
  <si>
    <t>Johansson, F. Stefan;Kildal, Per Simon</t>
  </si>
  <si>
    <t>Sweden;Sweden</t>
  </si>
  <si>
    <t>Gothenburg;Stockholm</t>
  </si>
  <si>
    <t>Chalmers University of Technology;Ericsson Radio Systems AB</t>
  </si>
  <si>
    <t>60000990;60000502</t>
  </si>
  <si>
    <t>Johansson F.</t>
  </si>
  <si>
    <t>Frequency-Scanned Reflection Gratings with Integrated Polarizer</t>
  </si>
  <si>
    <t>10.1109/8.135477</t>
  </si>
  <si>
    <t>2-s2.0-0026836053</t>
  </si>
  <si>
    <t>['wiley company', 'theoretical results', 'return loss', 'inc .,', 'good agreement', 'experimental data', 'equivalent circuit', 'emc antennas', 'electromagnetically coupled']</t>
  </si>
  <si>
    <t>antenna feed | electromagnetical coupling | Patch antennas</t>
  </si>
  <si>
    <t>Equivalent circuit of an electromagnetically coupled (EMC) rectangular patch antenna is obtained using reciprocity. Theoretical results for the return loss are in good agreement with the experimental data. The model is simple both conceptually and computationally, and can be used to predict the performance of EMC antennas. Copyright ¬© 1992 Wiley Periodicals, Inc., A Wiley Company</t>
  </si>
  <si>
    <t>115-118</t>
  </si>
  <si>
    <t>60015186;60030821</t>
  </si>
  <si>
    <t>7006035284;7402673635</t>
  </si>
  <si>
    <t>Karmakar, Nemal C.;Bhattacharyya, A.</t>
  </si>
  <si>
    <t>United States;Canada</t>
  </si>
  <si>
    <t>Chicago;Saskatoon</t>
  </si>
  <si>
    <t>Boeing Corporation;University of Saskatchewan</t>
  </si>
  <si>
    <t>60030821;60015186</t>
  </si>
  <si>
    <t>Karmakar N.</t>
  </si>
  <si>
    <t>Electromagnetically coupled patch antenna‚Äîtheoretical and experimental investigations</t>
  </si>
  <si>
    <t>10.1002/mop.4650050306</t>
  </si>
  <si>
    <t>2-s2.0-0026836991</t>
  </si>
  <si>
    <t>['theodolite tracker', 'paper describes', 'new technique', 'measurements according', 'key elements', 'different receivers', 'considered together', 'bus equipment', 'antenna installations']</t>
  </si>
  <si>
    <t>This paper describes the key elements of a non-commercial computerized flight inspection system designed for testing of basic air navigation ground facilities. Choice of proper power supply, connection of different receivers, their characteristics, antenna installations and data processing algorithms are discussed in detail. Aircraft ground tracking techniques are considered together with achievable positioning uncertainty. It is shown that a simple B ASIC-programmed controller together with IEEE-488-bus equipment and a theodolite tracker can provide a basis for measurements according to ICAO Annex 10 requirements. A new technique for measuring two frequency ILS-installations with a combination of communication test receivers is illustrated. ¬© 1992 IEEE</t>
  </si>
  <si>
    <t>IEEE Aerospace and Electronic Systems Magazine</t>
  </si>
  <si>
    <t>Eskelinen, Pekka</t>
  </si>
  <si>
    <t>Kotka</t>
  </si>
  <si>
    <t>Kotka Inst of Technology</t>
  </si>
  <si>
    <t>Eskelinen P.</t>
  </si>
  <si>
    <t>A Computerized Flight Inspection System</t>
  </si>
  <si>
    <t>10.1109/62.141895</t>
  </si>
  <si>
    <t>2-s2.0-0026837298</t>
  </si>
  <si>
    <t>['tm1 time', 'thin conducting', 'subcell model', 'solution space', 'restriction leads', 'practical problem', 'phase shift', 'normal restriction', 'harmonic excitations', 'good agreement', 'fdtd results', 'exact results', 'difference time', 'corresponding reduction', 'accurate measurements']</t>
  </si>
  <si>
    <t>A subcell model is presented for including thin material sheets in the finite-difference time-domain (FDTD) method. The subcell model removes the normal restriction which sets the spatial grid increment at least as small as the smallest physical feature in the solution space. Removing this restriction leads to greatly reduced storage requirements and a corresponding reduction in the number of time steps needed. The subcell model is verified by comparison with the exact results for the loss and phase shift for a parallel plate waveguide loaded with a thin material sheet. Specifically, thin conducting as well as thin dielectric sheets are investigated for both TEM and TM1 time-harmonic excitations of the waveguide. The FDTD results are in very good agreement with the exact results. Finally, the subcell model is used in the analysis of a practical problem-a resistively loaded monopole antenna formed from a thin-walled conducting tube. The FDTD results are compared with accurate measurements for this antenna, and, again, the two are in very good agreement. ¬© 1992 IEEE</t>
  </si>
  <si>
    <t>323-330</t>
  </si>
  <si>
    <t>60021032;60021032</t>
  </si>
  <si>
    <t>7201842082;7406739047</t>
  </si>
  <si>
    <t>Maloney, James G.;Smith, Glenn S.</t>
  </si>
  <si>
    <t>Maloney J.</t>
  </si>
  <si>
    <t>The Efficient Modeling of Thin Material Sheets in the Finite-Difference Time-Domain (FDTD) Method</t>
  </si>
  <si>
    <t>10.1109/8.135475</t>
  </si>
  <si>
    <t>2-s2.0-0026837573</t>
  </si>
  <si>
    <t>['updated occasionally', 'steady state', 'spatially filtering', 'source locations', 'new algorithm', 'natural process', 'lms algorithm', 'individually tracked', 'implementation complexity', 'different sources', 'adaptive array']</t>
  </si>
  <si>
    <t>A new algorithm for spatially filtering out, enhancing, and tracking individual directional sources in an adaptive array is proposed and investigated. In this algorithm, the sources are separated by using an adaptive beamformer whose outputs are processed by employing the LMS algorithm to track distinct sources individually. From the LMS weights employed, the source locations can be estimated and whenever significant changes in these are detected, the beamformer is updated so that its outputs will be due to different sources in the steady state. With this algorithm, the problems of look direction errors in look-direction constrained arrays and of large signal power in power inversion arrays are eliminated, and the enhancement of multiple moving sources becomes a natural process. Further-more, because the sources are individually tracked and the beamformer is only updated occasionally, the algorithm possesses fast tracking behavior, and its implementation complexity is comparable to that of beamformer-based adaptive arrays using the LMS algorithm. ¬© 1992 IEEE</t>
  </si>
  <si>
    <t>261-267</t>
  </si>
  <si>
    <t>60017161;60017161;60017161</t>
  </si>
  <si>
    <t>7202596473;7005101794;36915109500</t>
  </si>
  <si>
    <t>Ko, C. C.;Chin, Francois;Foo, S. S.</t>
  </si>
  <si>
    <t>An Adaptive Algorithm for Separating and Tracking Multiple Directional Sources in Linear Arrays</t>
  </si>
  <si>
    <t>10.1109/8.135467</t>
  </si>
  <si>
    <t>2-s2.0-0026837574</t>
  </si>
  <si>
    <t>['wiley company', 'resonant resistance', 'resonant frequency', 'numerical results', 'numerical analysis', 'minor changes', 'main effect', 'input impedance', 'inc .,', 'impedance bandwidth', 'dielectric cover']</t>
  </si>
  <si>
    <t>Impedance | microstrip | patch antenna | superstate</t>
  </si>
  <si>
    <t>A theoretical and numerical analysis of the rectangular microstrip antenna with a dielectric cover is presented. Numerical results on input impedance are given, showing that the main effect of the dielectric cover is to reduce the resonant frequency, with only minor changes in the resonant resistance and the impedance bandwidth. Copyright ¬© 1992 Wiley Periodicals, Inc., A Wiley Company</t>
  </si>
  <si>
    <t>123-125</t>
  </si>
  <si>
    <t>60029306;60021624</t>
  </si>
  <si>
    <t>7402099663;7501501369</t>
  </si>
  <si>
    <t>Fan, Zhibo;Lee, Kai‚ÄêFong ‚ÄêF</t>
  </si>
  <si>
    <t>China;United States</t>
  </si>
  <si>
    <t>Wuhan;Toledo</t>
  </si>
  <si>
    <t>Wuhan University;The University of Toledo</t>
  </si>
  <si>
    <t>Fan Z.</t>
  </si>
  <si>
    <t>Input impedance of rectangular microstrip antennas with a dielectric cover</t>
  </si>
  <si>
    <t>10.1002/mop.4650050308</t>
  </si>
  <si>
    <t>2-s2.0-0026837855</t>
  </si>
  <si>
    <t>F49620-89-C-0049DEF</t>
  </si>
  <si>
    <t>['¬© 1991', 'varying terms', 'varying configuration', 'rigid platform', 'rights reserved', 'relatively small', 'preselected lines', 'order time', 'numerical example', 'mission consists', 'inertial space', 'given number', 'elastic vibration', 'american institute']</t>
  </si>
  <si>
    <t>This paper is concerned with the dynamics and control of systems with time-varying configuration, such as maneuvering articulated flexible spacecraft. The mathematical model consists of a rigid platform and a given number of retargeting flexible antennas. The mission consists of maneuvering the antennas so as to coincide with preselected lines of sight while stabilizing the platform in an inertial space and suppressing the elastic vibration of the antennas. A perturbation technique permits the derivation of a new control law for systems with time-varying configuration, in which the time-varying terms are relatively small. According to the proposed perturbation method, the control gains consist of zero-order time-invariant gains obtained from the solution of a matrix algebraic Riccati equation, which are valid both during and after the maneuver, and higher-order time-varying gains obtained from the solution of matrix differential Lyapunov equations, which are valid only during the maneuver. The approach is illustrated by means of a numerical example. ¬© 1991 by the American Institute of Aeronautics and Astronautics, Inc. All rights reserved.</t>
  </si>
  <si>
    <t>314-324</t>
  </si>
  <si>
    <t>7004373066;7006129131</t>
  </si>
  <si>
    <t>Meirovitch, Leonard;Kwak, Moon Kyu</t>
  </si>
  <si>
    <t>Meirovitch L.</t>
  </si>
  <si>
    <t>Control of flexible spacecraft with time-varying configuration</t>
  </si>
  <si>
    <t>10.2514/3.20839</t>
  </si>
  <si>
    <t>2-s2.0-0026838235</t>
  </si>
  <si>
    <t>['wiley company', 'radiation pattern', 'radiation coupling', 'mutual coupling', 'microstrip line', 'measured values', 'large number', 'inc .,', 'high speed', 'feed line', 'emc dipole', 'electromagnetically coupled', 'dynamic analysis', 'dipole array', 'approximate methods', 'accurate evaluation']</t>
  </si>
  <si>
    <t>In the computer‚Äêaided design of an electromagnetically coupled (EMC) dipole array, approximate methods are very important for high‚Äêspeed and accurate evaluation of mutual coupling between the feed line and the dipole or in between the dipoles. In this paper, using the approximate moments method which is based on equivalent permittivity determined by quasi‚Äêstatic analysis of a microstrip line, the EMC dipole array is analyzed and methods of evaluating various characteristics are studied. Moreover, the validity of this method is confirmed by comparing the results for the open end conductance of the microstrip line, the equivalent shunt impedance of the EMC dipole and the radiation pattern of the seven‚Äêelement EMC Chebyshev array, with the measured values and with the exact values obtained by full‚Äêwave analysis. With the help of this method, the dynamic analysis, which includes the radiation coupling, can be performed with high speed. Thus, this method is effective to analyze the EMC dipole array with a large number of elements. Copyright ¬© 1992 Wiley Periodicals, Inc., A Wiley Company</t>
  </si>
  <si>
    <t>106-114</t>
  </si>
  <si>
    <t>60008107;60008107</t>
  </si>
  <si>
    <t>7003938202;6603101773</t>
  </si>
  <si>
    <t>Kominami, Masanobu;Yakuwa, Naoki</t>
  </si>
  <si>
    <t>Sakai</t>
  </si>
  <si>
    <t>Osaka Prefecture University</t>
  </si>
  <si>
    <t>Kominami M.</t>
  </si>
  <si>
    <t>An approximate solution of electromagnetically coupling microstrip dipole arrays</t>
  </si>
  <si>
    <t>10.1002/ecja.4410750311</t>
  </si>
  <si>
    <t>2-s2.0-0026838362</t>
  </si>
  <si>
    <t>['¬© 1992', 'wave dipole', 'time due', 'spectral bandwidth', 'reflected one', 'phenomenon may', 'interpreted easily', 'frequency domain', 'filtering effect', 'dipole antenna', 'dependent current', 'current along']</t>
  </si>
  <si>
    <t>The behavior of the radiated electric field from a half-wave dipole in free space excited by a single-cycle sinusoidal voltage is studied. The zero-order approximate solution for the current along the antenna in the frequency domain is used, so that the time-dependent current as well as the radiated electric field can be calculated and interpreted easily. Under a suitable matched condition, the time dependent current along each half-section of the dipole is made up of a current pulse traveling from the feed-point and a reflected one from the end-point. However, the radiated electric field consists of five overlapping signals exhibiting that radiation takes place only from the discontinuities of the dipole antenna. Both current and the radiated electric field are extended in time due to the reflection of current from the end-points of the dipole antenna. It appears that the spectral bandwidth of the radiated electric field is narrower than that of the exciting voltage pulse. This phenomenon may be due to the filtering effect of the half-wave dipole. ¬© 1992.</t>
  </si>
  <si>
    <t>259-271</t>
  </si>
  <si>
    <t>Transient radiation of a single-cycle sinusoidal pulse from a thin dipole</t>
  </si>
  <si>
    <t>0016-0032(92)90032-C</t>
  </si>
  <si>
    <t>10.1016/0016-0032(92)90032-C</t>
  </si>
  <si>
    <t>2-s2.0-0026838624</t>
  </si>
  <si>
    <t>['varying devices', 'unit cell', 'therefore applicable', 'surfaces supported', 'source frequency', 'reflected power', 'periodic surface', 'periodic problem', 'method predicts', 'lossy conductors', 'load location', 'dielectric layers', 'analysis uses']</t>
  </si>
  <si>
    <t>The loading of a periodic surface with time-varying negative resistance diodes is discussed. The method predicts the transmitted and reflected power at the source frequency and the harmonic frequencies generated by the time-varying devices. The analysis uses an equivalent circuit representation at the load location in the unit cell, which is derived from the moment method solution of the periodic problem. It is therefore applicable to all angles of incidence, arbitrarily shaped surfaces, arbitrarily placed loading, lossy conductors, and surfaces supported by dielectric layers. ¬© 1992 IEEE</t>
  </si>
  <si>
    <t>251-256</t>
  </si>
  <si>
    <t>60009037-60015481-60000745</t>
  </si>
  <si>
    <t>Epp, Larry W.</t>
  </si>
  <si>
    <t>Seattle;Pasadena;Urbana</t>
  </si>
  <si>
    <t>University of Washington;Jet Propulsion Laboratory;University of Illinois Urbana-Champaign</t>
  </si>
  <si>
    <t>60015481;60009037;60000745</t>
  </si>
  <si>
    <t>Epp L.W.</t>
  </si>
  <si>
    <t>Periodic Structures with Time-Varying Loads</t>
  </si>
  <si>
    <t>10.1109/8.135465</t>
  </si>
  <si>
    <t>2-s2.0-0026838862</t>
  </si>
  <si>
    <t>['weights across', 'varying environment', 'time determined', 'time applications', 'snr ).', 'rapid time', 'particularly attractive', 'output signal', 'order runge', 'optimal pattern', 'novel hopfield', 'noise ratio', 'main disadvantage', 'linear array', 'kutta simulation', 'energy function', 'conventional techniques', 'computation time', 'circuit operates', 'array weights', 'analog circuit', '10 elements', '1 ns']</t>
  </si>
  <si>
    <t>A Hopfield-type neural network approach which leads to an analog circuit for implementing the real-time adaptive antenna array is presented. An optimal pattern of the array can be steered by updating the weights across the array in order to maximize the output signal-to-noise ratio (SNR). Further-more, it is shown that the problem of adjusting the array weights can be characterized as a constrained quadratic nonlinear programming. Practically, the adjustment of settings is required to respond to a rapid time-varying environment. Many numerical algorithms have been developed for solving such problems using digital computers. The main disadvantage of these algorithms is that they generally converge slowly. To tackle this difficulty, a neural analog circuit solution is particularly attractive in real-time applications with minimization of a cost function subject to constraints. A novel Hopfield-type neural net with a number of graded-response neurons designed to perform the constrained quadratic nonlinear programming would lead to such a solution in a time determined by RC time constants, not by algorithmic time complexity. The constrained quadratic programming neural net has associated it with an energy function which the net always seeks to minimize. A fourth-order Runge-Kutta simulation is conducted to verify the performance of the proposed analog circuit. It shows that the circuit operates at a much higher speed than conventional techniques and the computation time of solving a linear array of 10 elements is about 0.1 ns for RC = 5 x 10-9. ¬© 1992 IEEE</t>
  </si>
  <si>
    <t>313-322</t>
  </si>
  <si>
    <t>60012370;60012370;60012370</t>
  </si>
  <si>
    <t>7403573252;55501098400;55477589100</t>
  </si>
  <si>
    <t>Chang, Po Rong;Yang, Wen Hao;Chan, Kuan Kin</t>
  </si>
  <si>
    <t>Taiwan</t>
  </si>
  <si>
    <t>Hsinchu</t>
  </si>
  <si>
    <t>National Chiao Tung University</t>
  </si>
  <si>
    <t>Chang P.R.</t>
  </si>
  <si>
    <t>A Neural Network Approach to MVDR Beamforming Problem</t>
  </si>
  <si>
    <t>10.1109/8.135474</t>
  </si>
  <si>
    <t>2-s2.0-0026839204</t>
  </si>
  <si>
    <t>['wavelength monopole', 'third configuration', 'staircase approximation', 'radiation patterns', 'many applications', 'ground planes', 'geometrical theory', 'flared parts', 'first antenna', 'fdtd technique', 'fdtd method', 'extensive research', 'difference time', 'critical step', 'composite material', 'aperture antennas', 'antenna surface', 'alternate suggestions']</t>
  </si>
  <si>
    <t>Although there has been extensive research and many applications of the finite-difference time-domain (FDTD) method to electromagnetic scattering problems, little has been reported toward applying this method to model antenna radiation. Here the FDTD method is used to model and predict the radiation patterns of wire and aperture antennas of three basic configurations. A critical step in each is the modeling of the feed. Alternate suggestions are made and some are implemented. The first antenna is a quarter-wavelength monopole and the second is a waveguide aperture antenna. In both cases the antenna is mounted on ground planes, either perfectly conducting or of composite material. The results obtained using the FDTD technique are compared with results obtained using the geometrical theory of diffraction (GTD) and measurements. The third configuration of interest is a pyramidal horn antenna. To model the flared parts of the horn, a staircase approximation was applied to the antenna surface. The computed radiation patterns compared well with measurements. ¬© 1992 IEEE</t>
  </si>
  <si>
    <t>334-340</t>
  </si>
  <si>
    <t>60003892;60003892</t>
  </si>
  <si>
    <t>6701682267;35583458100</t>
  </si>
  <si>
    <t>Tirkas, Panayiotis A.;Balanis, Constantine A.</t>
  </si>
  <si>
    <t>Tirkas P.</t>
  </si>
  <si>
    <t>Finite-Difference Time-Domain Method for Antenna Radiation</t>
  </si>
  <si>
    <t>10.1109/8.135478</t>
  </si>
  <si>
    <t>2-s2.0-0026839274</t>
  </si>
  <si>
    <t>['two times', 'tracking behavior', 'tracking algorithm', 'relative performance', 'output powers', 'one algorithm', 'new algorithm', 'multiplexed manner', 'latter improves', 'implementation complexity', 'global optimum', 'former adjusting', 'even though', 'directly available', 'complexity zero', 'algorithm implements']</t>
  </si>
  <si>
    <t>A low-complexity zero-tracking algorithm with fast and guaranteed convergence behavior is proposed and investigated. The algorithm implements a zero-tracking algorithm and a least mean square (LMS) weight update algorithm in parallel, with the former adjusting the zeros of the array in a time-multiplexed manner to achieve fast asymptotic and tracking behavior, while the latter improves the initial transient behavior of the algorithm and guarantees its convergence to the global optimum. By comparing their output powers, the relative performance of the two component algorithms are monitored, and re-initialization of one algorithm by the other may occur periodically. This renders the new algorithm to have both fast and guaranteed convergence behavior, even though the zeros are directly available and the implementation complexity is only about two times that for the conventional LMS algorithm. ¬© 1992 IEEE</t>
  </si>
  <si>
    <t>345-349</t>
  </si>
  <si>
    <t>60017161;60017161</t>
  </si>
  <si>
    <t>7202596473;6506220011</t>
  </si>
  <si>
    <t>Ko, C. C.;Bachl, R.</t>
  </si>
  <si>
    <t>Adaptive Zero-Tracking Complemented by LMS Weight Update for Guaranteed Convergence</t>
  </si>
  <si>
    <t>10.1109/8.135480</t>
  </si>
  <si>
    <t>2-s2.0-0026839367</t>
  </si>
  <si>
    <t>['wire dipole', 'wiley company', 'sequence leading', 'rigorous treatment', 'particular problem', 'medium chirality', 'latter problem', 'infinite medium', 'inc .,', 'free space', 'either side', 'cases studied']</t>
  </si>
  <si>
    <t>chiral medium | numerical method | Wire dipoles</t>
  </si>
  <si>
    <t>Extension and application of the NEC (numerical electromagnetics code) thin‚Äêwire model to a wire dipole in an infinite chiral medium and vertically oriented near an interface between a free space and a chiral half space is described. This particular problem was chosen as one in a sequence leading to a capability for modeling wire antennas and scatterers of arbitrary geometry located on either side of, or penetrating such an interface. Results are presented as a function of medium chirality for the dipole in an infinite medium and as a function of chirality and height for the half‚Äêspace problem. An approximation for the latter problem which uses the reflection‚Äêcoefficient approximation (RCA) is compared with the rigorous treatment and found to produce acceptable results for the cases studied. Copyright ¬© 1992 Wiley Periodicals, Inc., A Wiley Company</t>
  </si>
  <si>
    <t>101-107</t>
  </si>
  <si>
    <t>60002162;60026175;60006164</t>
  </si>
  <si>
    <t>7402672382;7203060346;7404492537</t>
  </si>
  <si>
    <t>Bhattacharyya, Asoke K.;Burke, Gerald J.;Miller, Edmund K.</t>
  </si>
  <si>
    <t>Livermore;Los Alamos;Las Cruces</t>
  </si>
  <si>
    <t>Lawrence Livermore National Laboratory;Los Alamos National Laboratory;New Mexico State University</t>
  </si>
  <si>
    <t>60026175;60006164;60002162</t>
  </si>
  <si>
    <t>Bhattacharyya A.K.</t>
  </si>
  <si>
    <t>Modeling wire dipoles in an infinite chiral medium and vertically oriented near a chiral half space</t>
  </si>
  <si>
    <t>10.1002/mop.4650050303</t>
  </si>
  <si>
    <t>2-s2.0-0026839668</t>
  </si>
  <si>
    <t>['simulation methods', 'sigma 60', 'method used', 'measured data', 'homogeneous phantoms', 'fdtd method', 'computer simulation']</t>
  </si>
  <si>
    <t>Computer simulation is being used to plan patient treatments for deep regional hyperthermia in the Sigma 60 applicator of the BSD-2000 Hyperthermia System. The method used is the finite difference time-domain (FDTD) method. Like all simulation methods, confirmation of the accuracy via measured data is important. Until now, most such measurements in the Sigma 60 were done with homogeneous phantoms. A new phantom using both muscle and fat equivalent material has been constructed, presenting a more challenging simulation problem to the FDTD method. The description of the phantom and the results of comparisons between simulated and measured data are presented. ¬© 1992 IEEE</t>
  </si>
  <si>
    <t>600-604</t>
  </si>
  <si>
    <t>60032838;60024978;60024978</t>
  </si>
  <si>
    <t>7402474146;55326689200;57220382046</t>
  </si>
  <si>
    <t>Sullivan, Dennis M.;Buechler, Dale;Gibbs, Frederic A.</t>
  </si>
  <si>
    <t>Stanford;Salt Lake City</t>
  </si>
  <si>
    <t>Stanford University School of Medicine;University of Utah School of Medicine</t>
  </si>
  <si>
    <t>60032838;60024978</t>
  </si>
  <si>
    <t>Sullivan D.M.</t>
  </si>
  <si>
    <t>Comparison of Measured and Simulated Data in an Annular Phased Array Using an Inhomogeneous Phantom</t>
  </si>
  <si>
    <t>10.1109/22.121744</t>
  </si>
  <si>
    <t>2-s2.0-0026840055</t>
  </si>
  <si>
    <t>['œé ¬∞', 'various forest', 'polarized ers', 'plant biomass', 'mimics ).', 'image obtained', 'forest stands', 'dynamic range', 'date observation', 'covered soils', 'calibrated relative', 'calibrated ers', 'band vv', '1991 along', '1 tonne', '1 sar', '1 data']</t>
  </si>
  <si>
    <t>In this paper we examine an image obtained by the C-band VV-polarized ERS-1 SAR with respect to potential land applications. A scene obtained near noon on Aug. 15, 1991 along the U.S.-Canadian border near Sault Ste. Marie is calibrated relative to an array of trihedral corner reflectors and active radar calibrators distributed across the swath. Extensive contemporaneous ground observations of forest stands are used to predict œÉ¬∞ at the time of the SAR overpass using a first-order vector radiative transfer model (MIMICS). These predictions generally agree with the calibrated ERS-1 data to within 1 dB. It is demonstrated that the dynamic range of œÉ¬∞ is sufficient to perform limited discrimination of various forest and grassland communities even for a single-date observation. Furthermore, it is demonstrated that retrieval of near-surface soil moisture is feasible for grass-covered soils when plant biomass is less than 1 tonne/ha. ¬© 1992 IEEE</t>
  </si>
  <si>
    <t>203-211</t>
  </si>
  <si>
    <t>60025778-60016536;60025778-60016536;60025778-60016536;60025778-60016536;60025778-60016536</t>
  </si>
  <si>
    <t>57024545700;7102976999;35585913500;7103159953;7003330829</t>
  </si>
  <si>
    <t>Dobson, M. Craig;Pierce, Leland;Sarabandi, Kamal;Ulaby, Fawwaz T.;Sharik, Terry</t>
  </si>
  <si>
    <t>Ann Arbor;Houghton</t>
  </si>
  <si>
    <t>University of Michigan, Ann Arbor;Michigan Technological University</t>
  </si>
  <si>
    <t>60025778;60016536</t>
  </si>
  <si>
    <t>Dobson M.</t>
  </si>
  <si>
    <t>Preliminary Analysis of ERS-1 SAR for Forest Ecosystem Studies</t>
  </si>
  <si>
    <t>10.1109/36.134071</t>
  </si>
  <si>
    <t>2-s2.0-0026840173</t>
  </si>
  <si>
    <t>['water areas', 'swath width', 'spacebased three', 'main features', 'frame mode', 'common antenna', 'also employment']</t>
  </si>
  <si>
    <t>The project of a spacebased three-frequency band SAR designed for obtaining radar images of the Earth's ground and water areas for exploring natural resources and solving ecological problems is considered. The main features of the project are application of the frame mode of operation for widening the swath width and also employment of the common antenna for all three wavelength bands. ¬© 1992 IEEE</t>
  </si>
  <si>
    <t>115913743;115913743</t>
  </si>
  <si>
    <t>6602678516;6602951848</t>
  </si>
  <si>
    <t>Misezhnikov, G. S.;Shteinshleiger, V. B.</t>
  </si>
  <si>
    <t>Research and Production Amalgamation VEGA-M</t>
  </si>
  <si>
    <t>Misezhnikov G.S.</t>
  </si>
  <si>
    <t>SAR Looks at Planet Earth: On the Project of a Spacebased Three-Frequency Band Synthetic Aperture Radar (SAR) for Exploring Natural Resources of the Earth and Solving Ecological Problems</t>
  </si>
  <si>
    <t>10.1109/62.141894</t>
  </si>
  <si>
    <t>2-s2.0-0026840182</t>
  </si>
  <si>
    <t>['square error', 'optimum weights', 'noise ratio', 'interference rejection', 'high interference', 'formulation results', 'desired response', 'correspondence presents', 'controlled mean', 'chebyshev technique', 'basic idea', 'array response', 'antenna pattern']</t>
  </si>
  <si>
    <t>This correspondence presents a technique for synthesizing an antenna pattern with a controlled mean-square sidelobe level and a smallest possible beamwidth. The basic idea is to minimize the mean-square error between the array response and the desired response over a mainlobe width subject to a mean-square sidelobe constraint. This formulation results in a quadratically constrained minimization problem. This correspondence presents an efficient numerical technique to obtain the optimum weights. Numerical results showed that under high interference-to-white-noise ratio, the new design approach performs better, on the average, than the Chebyshev technique, in terms of interference rejection. ¬© 1992 IEEE</t>
  </si>
  <si>
    <t>977-981</t>
  </si>
  <si>
    <t>Er, M. H.</t>
  </si>
  <si>
    <t>Array Pattern Synthesis with a Controlled Mean-Square Sidelobe Level</t>
  </si>
  <si>
    <t>10.1109/78.127971</t>
  </si>
  <si>
    <t>2-s2.0-0026840897</t>
  </si>
  <si>
    <t>['treated statistically', 'structural distortions', 'standard deviation', 'scan direction', 'random errors', 'planar phased', 'performance improvement', 'peak response', 'operating wavelength', 'mechanical errors', 'large antennas', 'finite rate', 'exceed 1', 'element position', 'element modules', 'distortion reveal', 'detailed calculations', 'based radars', 'average directivity', 'array antennas', 'antenna performance']</t>
  </si>
  <si>
    <t>The performance of planar phased-array antennas with mechanical errors was investigated. Errors in array element positions as a result of structural distortions are considered as deterministic and predictable. Detailed calculations for two assumed modes of distortion reveal that their effects on antenna performance are the loss of peak response in the scan direction and the broadening of the mainlobe. while the far-out sidelobe structure remains relatively intact For large antennas, performance improvement can be expected by suitable phase compensation Performance of antennas with random errors in their element positions must be treated statistically. Expressions of average directivity and sidelobe level corresponding to arbitrary error magnitudes in element position, amplitude and phase of excitation as well as finite rate of failure of element modules were derived and verified by direct numerical calculations from the antenna directivity pattern. For a planar phased-array antenna typical for space-based radars, the standard deviation of element position errors must not exceed 1% of the operating wavelength in order to maintain a-10 dBi sidelobe level. ¬© 1992 IEEE.</t>
  </si>
  <si>
    <t>535-545</t>
  </si>
  <si>
    <t>Wang, H. S.C.</t>
  </si>
  <si>
    <t>El Segundo</t>
  </si>
  <si>
    <t>Aerospace Corporation, USA</t>
  </si>
  <si>
    <t>Wang H.S.C.</t>
  </si>
  <si>
    <t>Performance of Phased-Array Antennas with Mechanical Errors</t>
  </si>
  <si>
    <t>10.1109/7.144579</t>
  </si>
  <si>
    <t>2-s2.0-0026841725</t>
  </si>
  <si>
    <t>['unit radiator', 'slot arrangement', 'serious reflection', 'normal operation', 'linear polarization', 'high gain', 'first report', 'experiments confirm', 'conventional ones', 'antenna return', 'antenna efficiency', 'also attractive', '10 db']</t>
  </si>
  <si>
    <t>A radial line slot antenna (RLSA) is a high gain and high efficiency planar antenna. Circularly polarized RLSA (CP-RLSA) has realized the highest antenna efficiency of 85% for 60 cmœï DBS antenna. A linearly polarized RLSA (LP-RLSA) is also attractive for applications of various subscriber radio systems. However, the slot arrangement for linear polarization gives rise to serious reflection from slots, which disturbs the normal antenna operation. A new slot design of LP-RLSA is presented where reflection cancelling slots are added to the conventional ones; four slots form one slot set as a unit radiator of linear polarization. The experiments confirm the design: the antenna return-loss is improved from -2 to -10 dB. The antenna efficiency of 48 and 54% are measured for 400 and 600 mmœï antennas, respectively. This is the first report of the normal operation of LP-RLSA‚Äôs. ¬© 1992 IEEE</t>
  </si>
  <si>
    <t>433-438</t>
  </si>
  <si>
    <t>35481283400;35495699200;7201747933</t>
  </si>
  <si>
    <t>Takada, Jun ichi;Ando, Makoto;Goto, Naohisa</t>
  </si>
  <si>
    <t>Takada J.</t>
  </si>
  <si>
    <t>A Reflection Cancelling Slot Set in a Linearly Polarized Radial Line Slot Antenna</t>
  </si>
  <si>
    <t>10.1109/8.138845</t>
  </si>
  <si>
    <t>2-s2.0-0026842595</t>
  </si>
  <si>
    <t>['various parameters', 'output power', 'optimum value', 'numerical results', 'convergence rate', 'coherent situations', 'autocovariance matrix', 'adaptive weights']</t>
  </si>
  <si>
    <t>The convergence rate for the adaptive weights to reach the optimum value in an adaptive array system depends on the eigenvalue spread ratio of the autocovariance matrix. In this communication, we investigate how the eigenvalue spread ratio in a generalized sidelobe canceller (GSC) is affected by the various parameters. Furthermore, expressions are derived for the output power of GSC in coherent situations. The numerical results are included. ¬© 1992 IEEE</t>
  </si>
  <si>
    <t>465-468</t>
  </si>
  <si>
    <t>60016912;60016912;60016912</t>
  </si>
  <si>
    <t>7409318470;7006947969;55286771200</t>
  </si>
  <si>
    <t>Kim, Ki Man;Cha, Il Whan;Youn, Dae Hee</t>
  </si>
  <si>
    <t>Seoul</t>
  </si>
  <si>
    <t>Yonsei University</t>
  </si>
  <si>
    <t>Kim K.</t>
  </si>
  <si>
    <t>On the Performance of the Generalized Sidelobe Canceller in Coherent Situations</t>
  </si>
  <si>
    <t>10.1109/8.138853</t>
  </si>
  <si>
    <t>2-s2.0-0026842721</t>
  </si>
  <si>
    <t>['traditional designs', 'previous approaches', 'numerical models', 'multilayered substrates', 'high degree', 'grounded slab', 'fed cavity', 'covered slots', 'backed slots', 'avoid costly', 'attractive approach', 'array element']</t>
  </si>
  <si>
    <t>The use of strip-fed cavity-backed slots is an attractive approach for compact conformal antenna arrays. This configuration also offers greater potential than traditional designs for additional antenna functions demanded by today‚Äôs high performance system requirements. As with previous approaches, it is desirable to avoid costly, time-consuming empirical design techniques, which in turn requires highly accurate analytic/numerical models. A full-wave integral equation analysis is presented, which by using the dyadic Green‚Äôs functions for multilayered substrates, models this array element with a high degree of accuracy. Using a previously presented Green‚Äôs function for a grounded slab, the analysis also accounts for dielectric-covered slots. Comparisons are made with measurements to validate the results. ¬© 1992 IEEE</t>
  </si>
  <si>
    <t>405-413</t>
  </si>
  <si>
    <t>60023201;60025778;60032995;60032995</t>
  </si>
  <si>
    <t>6701693684;56246062600;6601983968;7102449895</t>
  </si>
  <si>
    <t>VandenBerg, Norman L.;Katehi, Linda P.B.;Lick, Jeffrey A.;Mooney, Gregory T.</t>
  </si>
  <si>
    <t>Morris Plains;Ann Arbor;Ann Arbor</t>
  </si>
  <si>
    <t>Honeywell International Inc.;University of Michigan, Ann Arbor;Altarum Institute</t>
  </si>
  <si>
    <t>60032995;60025778;60023201</t>
  </si>
  <si>
    <t>VandenBerg N.</t>
  </si>
  <si>
    <t>Characterization of Strip-Fed Cavity-Backed Slots</t>
  </si>
  <si>
    <t>10.1109/8.138842</t>
  </si>
  <si>
    <t>2-s2.0-0026842722</t>
  </si>
  <si>
    <t>['valued surfaces', 'two triangles', 'three dimensions', 'systematic sequence', 'scattering patterns', 'plotting antenna', 'implicit removal', 'hidden lines', 'extra computation', 'algorithm exploits']</t>
  </si>
  <si>
    <t>An algorithm is presented for plotting antenna and scattering patterns in three dimensions. The algorithm exploits the property of single-valued surfaces to allow the implicit removal of hidden lines with virtually no extra computation. This reduces the processing time significantly over that required by more general plotting methods. The algorithm is based on finding a systematic sequence to draw the plot from back to front as a collection of quadrilaterals. Each quadrilateral can be broken into two triangles, which allows a simple contour filling scheme to be incorporated into the algorithm. ¬© 1992 IEEE</t>
  </si>
  <si>
    <t>453-456</t>
  </si>
  <si>
    <t>Peters, Timothy J.</t>
  </si>
  <si>
    <t>Peters T.</t>
  </si>
  <si>
    <t>A Fast Algorithm for Plotting and Contour Filling Radiation Patterns in Three Dimensions</t>
  </si>
  <si>
    <t>10.1109/8.138850</t>
  </si>
  <si>
    <t>2-s2.0-0026843226</t>
  </si>
  <si>
    <t>['unit circle', 'transformed data', 'measurements z', 'large enough', 'experimental results', 'elevation angles', 'azimuth equal', '&gt;‚ äû']</t>
  </si>
  <si>
    <t>The problem of estimating the directions of arrivals of narrowband plane waves imping on a uniform circular array with M identical sensors uniformly distributed around a circle is considered. It is shown that if the number of sensors M is large enough then a reordering of the inverse discrete Fourier transform of the sensor outputs yields a sequence of measurements z(q) = LAnfq(2nR sin &lt;¬£‚Äû/X) exp (‚Äìfq0‚Äû) where (4‚Äû and &lt;t&gt;‚Äû are the azimuth and elevation angles of arrival of the nth plane wave, respectively. For each candidate elevation angle &lt;t&gt;‚Äû this sequence is processed using ROOT MUSIC or any other modern line spectral estimation technique as if it came from a uniform linear array. Any root estimated via ROOT MUSIC which is on or close to the unit circle then indicates the presence of a source at the elevation under consideration and an azimuth equal to the phase of the root. Experimental results are provided to demonstrate the advantages of processing the transformed data. ¬© 1992 IEEE</t>
  </si>
  <si>
    <t>1008-1011</t>
  </si>
  <si>
    <t>60029445;60029445</t>
  </si>
  <si>
    <t>7005761262;7401528247</t>
  </si>
  <si>
    <t>Tewfik, A. H.;Hong, W.</t>
  </si>
  <si>
    <t>Minneapolis</t>
  </si>
  <si>
    <t>University of Minnesota Twin Cities</t>
  </si>
  <si>
    <t>Tewfik A.</t>
  </si>
  <si>
    <t>On the Application of Uniform Linear Array Bearing Estimation Techniques to Uniform Circular Arrays</t>
  </si>
  <si>
    <t>10.1109/78.127980</t>
  </si>
  <si>
    <t>2-s2.0-0026843271</t>
  </si>
  <si>
    <t>['theoretical methods', 'phase center', 'paraxial approximation', 'novel modifications', 'gaussian beam', 'corrugated horn', 'calculated accurately', 'also discussed']</t>
  </si>
  <si>
    <t>The accuracy of a multimode Gaussian beam is discussed. Novel modifications are given to the conventional Gaussian beam formulation derived using the paraxial approximation. With the modifications the field can be calculated accurately with the Gaussian beam. Modified multimode Gaussian beam techniques are used for calculation of the beam of a corrugated horn. Phase and amplitude patterns given by this method are compared with measurements and other theoretical methods, namely Huygens‚Äô principle and the modal matching technique. The meaning of the phase and phase center is also discussed. ¬© 1992 IEEE</t>
  </si>
  <si>
    <t>391-398</t>
  </si>
  <si>
    <t>Tuovinen, Jussi</t>
  </si>
  <si>
    <t>University of Massachusetts</t>
  </si>
  <si>
    <t>Tuovinen J.</t>
  </si>
  <si>
    <t>Accuracy of a Gaussian Beam</t>
  </si>
  <si>
    <t>10.1109/8.138840</t>
  </si>
  <si>
    <t>2-s2.0-0026844083</t>
  </si>
  <si>
    <t>['theoretical analysis', 'resonant frequency', 'radiation pattern', 'quality factor', 'patch antenna', 'numerical results', 'microstrip antennas', 'input impedance', 'general geometry']</t>
  </si>
  <si>
    <t>A theoretical analysis of microstrip antennas on conical conducting surfaces is presented. The resonant frequency, input impedance, radiation pattern, quality factor and efficiency are obtained for a general geometry. Numerical results for a patch antenna with a cone angle Œ∏O = 33.88¬∞ operating in the fundamental TM01 mode are shown. ¬© 1992 IEEE</t>
  </si>
  <si>
    <t>460-463</t>
  </si>
  <si>
    <t>60029570;60029570</t>
  </si>
  <si>
    <t>6602432734;7004822283</t>
  </si>
  <si>
    <t>Descardeci, Jose Ricardo;Giarola, Attilio Jose</t>
  </si>
  <si>
    <t>Campinas</t>
  </si>
  <si>
    <t>Universidade Estadual de Campinas</t>
  </si>
  <si>
    <t>Descardeci J.</t>
  </si>
  <si>
    <t>Microstrip Antenna on a Conical Surface</t>
  </si>
  <si>
    <t>10.1109/8.138851</t>
  </si>
  <si>
    <t>2-s2.0-0026844250</t>
  </si>
  <si>
    <t>['weight errors', 'systolic implementations', 'systolic implementation', 'schmidt orthogonalization', 'readily applicable', 'excellent performance', 'analog weights', 'also presented']</t>
  </si>
  <si>
    <t>The Gram-Schmidt orthogonalization (GSO) algorithm has excellent numerical performance and is readily applicable to systolic implementations such as in a field of adaptive cancellation systems. A modified GSO algorithm for a fully adaptive array Is proposed and computer simulations show that the proposed algorithm gives superior performance. A systolic implementation of the proposed GSO algorithm for fully adaptive array is presented. A feedback mode GSO algorithm for use with analog weights is also presented and has been shown to have excellent performance in the presence of weight errors. ¬© 1992 IEEE.</t>
  </si>
  <si>
    <t>324-334</t>
  </si>
  <si>
    <t>;;60009254</t>
  </si>
  <si>
    <t>7409750852;6602176521;7005954292</t>
  </si>
  <si>
    <t>Liu, Hulin;Stockmann, Peter H.;Ghafoor, Arif</t>
  </si>
  <si>
    <t>West Lafayette</t>
  </si>
  <si>
    <t>Purdue University</t>
  </si>
  <si>
    <t>Liu H.</t>
  </si>
  <si>
    <t>Application of Gram-Schmidt Algorithm to Fully Adaptive Arrays</t>
  </si>
  <si>
    <t>10.1109/7.144558</t>
  </si>
  <si>
    <t>2-s2.0-0026846211</t>
  </si>
  <si>
    <t>['variational approach', 'suitable norm', 'stationary points', 'predetermined function', 'optimization approach', 'negative gradient', 'lagrange multipliers', 'iteration step', 'integral expression', 'input voltage', 'input terminals', 'feed voltage', 'far zone', 'dipole antenna', 'dimensional search', 'differential equation', 'current induced', 'costate equations', 'costate equation', 'close match', 'calculated waveforms', 'augmented functional']</t>
  </si>
  <si>
    <t>An optimization approach is presented for the problem of constructing the time-dependent voltage waveform at the input terminals of a dipole antenna such that the radiated electric field waveform at the far zone is equal to a predetermined function of time. This problem is treated as an optimal control problem where the control is the voltage at the input terminals of the dipole antenna and the functional to be minimized is a suitable norm of the difference of the required and calculated far zone electric field amplitudes. The feed voltage and the current induced on the antenna are related by Pocklington‚Äôs integro-differential equation, which will be called the state equation throughout this paper. In addition, the current induced on the antenna is related to the far zone electric field by an integral expression. The problem is formulated as a constrained optimization problem where the constraint is Pocklington‚Äôs equation. Using the method of Lagrange multipliers we obtain the augmented functional, and the problem is reduced to finding the stationary points of the augmented functional. A variational approach is used to find the conditions for optimality, yielding the costate equation which is the adjoint of Pocklington‚Äôs integro-differential equation. The problem is solved by the steepest descent method where the state and costate equations are solved by the time domain finite element method at each iteration step. The one-dimensional search at each step is carried out in the direction of the negative gradient with respect to the input voltage. A suitable stopping criterion is chosen to terminate the iterations. Numerical results show a close match between required and calculated waveforms. ¬© 1992 IEEE</t>
  </si>
  <si>
    <t>414-421</t>
  </si>
  <si>
    <t>60004305;60004305</t>
  </si>
  <si>
    <t>57001249400;7004156299</t>
  </si>
  <si>
    <t>Onder, Mehmet;Kuzuoglu, Mustafa</t>
  </si>
  <si>
    <t>Ankara</t>
  </si>
  <si>
    <t>Middle East Technical University (METU)</t>
  </si>
  <si>
    <t>Onder M.</t>
  </si>
  <si>
    <t>Optimal Control of the Feed Voltage of a Dipole Antenna</t>
  </si>
  <si>
    <t>10.1109/8.138843</t>
  </si>
  <si>
    <t>2-s2.0-0026846580</t>
  </si>
  <si>
    <t>['vlf ).', 'surface impedance', 'simple model', 'relative importance', 'receiving antennas', 'radial distance', 'mutual impedance', 'low frequencies', 'large compared', 'island center', 'ionosphere waveguide', 'height profile', 'electromagnetic waves']</t>
  </si>
  <si>
    <t>Adopting a simple model, a formulation is presented for the scattering from a circular island surrounded by an otherwise smooth sea. Both the surface impedance and the height profile of the island are functions of the radial distance. Employing the electromagnetic compensation theorem, an expression for the mutual impedance between two small ground based vertical antennas is derived. To simplify the analysis these antennas are assumed to be located at distances that are large compared with the radius of the island. It is shown that the relative importance of the surface impedance and the height profile will depend on the scattering angle subtended, at the island center, by the directions to the source and receiving antennas. The results are relevant to the propagation of electromagnetic waves in the earth-ionosphere waveguide at very low frequencies (VLF). ¬© 1992 IEEE</t>
  </si>
  <si>
    <t>439-442</t>
  </si>
  <si>
    <t>Low Frequency Electromagnetic Scattering from an Island</t>
  </si>
  <si>
    <t>10.1109/8.138846</t>
  </si>
  <si>
    <t>2-s2.0-0026846719</t>
  </si>
  <si>
    <t>['thus avoiding', 'spatial smoothing', 'proposed technique', 'perfectly correlated', 'extensive simulations', 'doa estimates', 'array interpolation']</t>
  </si>
  <si>
    <t>The problem of estimating the directions of arrival (DOAs) of signals, some of which may be perfectly correlated, is considered. A computationally efficient estimation algorithm which combines the ideas of spatial smoothing and array interpolation is derived. In one of its forms the proposed algorithm uses the root-MUSIC (root multiple signal classification) technique to compute the DOA estimates, thus avoiding the search procedure associated with the conventional MUSIC algorithm. The proposed technique can be applied to arbitrary array geometries and a general signal covariance matrix. The performance of the algorithm was evaluated by extensive simulations, and compared with the Cramer Rao lower bound for the DOA estimates. ¬© 1992 IEEE.</t>
  </si>
  <si>
    <t>574-587</t>
  </si>
  <si>
    <t>60022880;60005681</t>
  </si>
  <si>
    <t>7102972288;7402247592</t>
  </si>
  <si>
    <t>Friedlander, Benjamin;Weiss, Anthony J.</t>
  </si>
  <si>
    <t>United States;Israel</t>
  </si>
  <si>
    <t>South Portland;Tel Aviv-Yafo</t>
  </si>
  <si>
    <t>Fairchild Semiconductor Corporation;Tel Aviv University</t>
  </si>
  <si>
    <t>Friedlander B.</t>
  </si>
  <si>
    <t>Direction Finding Using Spatial Smoothing With Interpolated Arrays</t>
  </si>
  <si>
    <t>10.1109/7.144583</t>
  </si>
  <si>
    <t>2-s2.0-0026847396</t>
  </si>
  <si>
    <t>['short ranges', 'perform well', 'paper analyzes', 'meteor trails', 'long ranges', 'illumination pattern', 'different ranges', 'compare performance', 'antenna configurations']</t>
  </si>
  <si>
    <t>This paper analyzes the performance of meteor burst communication at different ranges for a number of antenna configurations. Characteristics of ideal antenna patterns for short- and long-range meteor scatter communication are described. An ideal antenna configuration matches its illumination pattern to the spatial arrival pattern of meteor trails. The analysis is used to compare performance of several commonly used antenna configurations. It will be demonstrated that the characteristics of antennas which perform well at short ranges are different than those that perform well at long ranges. ¬© 1992 IEEE</t>
  </si>
  <si>
    <t>491-496</t>
  </si>
  <si>
    <t>IEEE Journal on Selected Areas in Communications</t>
  </si>
  <si>
    <t>Weitzen, Jay A.</t>
  </si>
  <si>
    <t>Lowell</t>
  </si>
  <si>
    <t>University of Massachusetts Lowell</t>
  </si>
  <si>
    <t>Weitzen J.</t>
  </si>
  <si>
    <t>Performance of Short- and Long-Range Meteor Burst Communication Systems with Different Antennas</t>
  </si>
  <si>
    <t>10.1109/49.127770</t>
  </si>
  <si>
    <t>2-s2.0-0026847762</t>
  </si>
  <si>
    <t>['useful sense', 'superdirectivity ratio', 'source norm', 'procedure described', 'power pattern', 'discrete frequencies', 'artificial parameters', 'arbitrary number']</t>
  </si>
  <si>
    <t>The pattern synthesis technique described here is unique in that it allows the power pattern to be optimized in a very useful sense over the desired operating band of the array. This is an improvement over previous techniques involving constraints on such artificial parameters as source norm and superdirectivity ratio which do not, in fact, ensure a useful pattern bandwidth. The procedure described here provides minimum mean square error over an arbitrary number of discrete frequencies. ¬© 1992 IEEE</t>
  </si>
  <si>
    <t>463-465</t>
  </si>
  <si>
    <t>Strickland, Peter C.</t>
  </si>
  <si>
    <t>Strickland P.</t>
  </si>
  <si>
    <t>A Least Mean Square Error Synthesis with Pattern Constraints at Multiple Frequencies</t>
  </si>
  <si>
    <t>10.1109/8.138852</t>
  </si>
  <si>
    <t>2-s2.0-0026848055</t>
  </si>
  <si>
    <t>['wind distortions', 'somewhat ameliorated', 'smaller f', 'sine condition', 'shaped reflectors', 'several characteristics', 'scanning properties', 'power spillover', 'potential advantage', 'pencil beam', 'obtained herein', 'improving gain', 'improved scanning', 'high gain', 'gregorian ),', 'graphically illustrated', 'gain loss', 'examined herein', 'dual offset', 'circularly symmetric', 'beamwidths increasing', 'axial translation', 'also used', 'adjustable panels', 'added cost']</t>
  </si>
  <si>
    <t>Several characteristics of dual offset (DOSR) and symmetric shaped reflectors are examined herein. While shaped reflectors have the potential advantage of superior gain relative to conic section reflectors (Cassegrain and Gregorian), this advantage is obtained only at the cost of substantially reduced beam scanning capability. The added cost of manufacturing a shaped reflector antenna, particularly a doubly curved surface for the DOSR, can be somewhat ameliorated if adjustable panels, which may be necessary for correction of gravity and wind distortions, are also used for improving gain by shaping. This aspect of DOSR is examined herein. The scanning properties of shaped reflectors, both offset and circularly symmetric, are examined and compared to conic section scanning characteristics. Scanning of the pencil beam is obtained herein by lateral and axial translation of a single point source feed. The feed is kept pointed toward the center of the subreflector. The effects of power spillover and aperture phase error as a function beam scanning is examined for several different types of large reflector designs including DOSR, circularly symmetric large f/D and smaller f/D dual reflector antenna systems. It is graphically illustrated that the Abbe-sine condition for improved scanning of an optical system cannot, inherently, be satisfied in a dual-shaped reflector system that is shaped for high gain and low feed spillover. The gain loss, with scanning, of a high gain shaped reflector pair is demonstrated to be due to both aperture phase error loss and power spillover loss. Cassegrain and Gregorian reflector pairs, on the other hand, are scan limited primarily by aperture phase error‚Äîthe maximum scan limit in beamwidths increasing with frequency. ¬© 1992 IEEE</t>
  </si>
  <si>
    <t>422-432</t>
  </si>
  <si>
    <t>60009037;60009037;60009037;60024185</t>
  </si>
  <si>
    <t>7003293983;6602972160;7003977774;7801614327</t>
  </si>
  <si>
    <t>Galindo-Israel, Victor;Veruttipong, Watt;Imbriale, William A.;Norrod, Roger D.</t>
  </si>
  <si>
    <t>Charlottesville;Pasadena</t>
  </si>
  <si>
    <t>National Radio Astronomy Observatory;Jet Propulsion Laboratory</t>
  </si>
  <si>
    <t>60024185;60009037</t>
  </si>
  <si>
    <t>Galindo-Israel V.</t>
  </si>
  <si>
    <t>Scanning Properties of Large Dual-Shaped Offset and Symmetric Reflector Antennas</t>
  </si>
  <si>
    <t>10.1109/8.138844</t>
  </si>
  <si>
    <t>2-s2.0-0026848243</t>
  </si>
  <si>
    <t>['¬© 1992', 'several cases', 'second step', 'radiation properties', 'radiation patterns', 'numerical results', 'monopole antenna', 'integral equation', 'input impedances', 'first place', 'excitation simplifies', 'current distribution', 'axial symmetry']</t>
  </si>
  <si>
    <t>Radiation from a monopole antenna placed over an infinite size perfect conductivity ground plane and covered by a finite height dielectric cylinder is examined. The axial symmetry of the structure and of the excitation simplifies the analysis. A two step approach is applied to determine the radiation properties of the monopole antenna. In the first place, the radiation from an elementary annular current source embedded inside the finite height dielectric cylinder is determined. After determining the Green's function, in the second step, an integral equation on the monopole antenna source is solved by Galerkin's technique to compute the current distribution. Input impedances and radiation patterns are derived in terms of the current distribution on the monopole antenna. Numerical results are presented for several cases. ¬© 1992 by Hemisphere Publishing Corporation.</t>
  </si>
  <si>
    <t>185-216</t>
  </si>
  <si>
    <t>April-June 1992</t>
  </si>
  <si>
    <t>60002947;60002947;60002947</t>
  </si>
  <si>
    <t>35571264900;7003690777;7102355233</t>
  </si>
  <si>
    <t>Kaklamani, D. I.;Capsalis, C. N.;Uzunoglu, N. K.</t>
  </si>
  <si>
    <t>Greece</t>
  </si>
  <si>
    <t>Athens</t>
  </si>
  <si>
    <t>National Technical University of Athens</t>
  </si>
  <si>
    <t>Kaklamani D.</t>
  </si>
  <si>
    <t>Radiation from a monopole antenna covered by a finite height dielectric cylinder</t>
  </si>
  <si>
    <t>10.1080/02726349208908308</t>
  </si>
  <si>
    <t>2-s2.0-0026850161</t>
  </si>
  <si>
    <t>['¬© 1992', 'stacked array', 'rights reserved', 'radiation property', 'novel design', 'filter consists', 'filter acts', 'electrical engineers', 'beam shaper']</t>
  </si>
  <si>
    <t>Antenna radiation patterns | Microwave filters</t>
  </si>
  <si>
    <t>A novel design for a passive microwave filter is presented. The filter consists of a stacked array of low loss dielectric layers, whose permittivity profile alters in a near sinusoidal manner. The radiation property of the filter is investigated for both co- and crosspolarisation and it is shown that the filter acts as an apodiser and a beam shaper. ¬© 1992, The Institution of Electrical Engineers. All rights reserved.</t>
  </si>
  <si>
    <t>827-828</t>
  </si>
  <si>
    <t>56209571400;55723630000</t>
  </si>
  <si>
    <t>Chandran, S.;Smith, P. R.</t>
  </si>
  <si>
    <t>Chandran S.</t>
  </si>
  <si>
    <t>Passive filter for increasing directivity in dual polarisation antenna systems</t>
  </si>
  <si>
    <t>10.1049/el:19920523</t>
  </si>
  <si>
    <t>2-s2.0-0026850412</t>
  </si>
  <si>
    <t>['wiley company', 'sample case', 'reflection coefficients', 'procedure developed', 'inc .,', 'general procedure', 'experimental results']</t>
  </si>
  <si>
    <t>A general procedure for design and analysis of a Rotman‚Äêtype beam‚Äêforming lens using 2‚Äêdimensional field analysis is proposed. Evaluation of reflection coefficients, coupling between ports, main beam direction, 3‚ÄêdB beam width and side lobe level are described. The results for a sample case are in agreement with the experimental results. The procedure developed is suitable for CAD implementation leading to optimization of Rotman lens layout configuration. Copyright ¬© 1992 Wiley Periodicals, Inc., A Wiley Company</t>
  </si>
  <si>
    <t>90-97</t>
  </si>
  <si>
    <t>International Journal of Microwave and Millimeter‚ÄêWave Computer‚ÄêAided Engineering</t>
  </si>
  <si>
    <t>60000221;60000221;60000221;60025209;60025209</t>
  </si>
  <si>
    <t>7403231935;7402592343;55474128700;7201835542;57191004595</t>
  </si>
  <si>
    <t>Sharma, P. C.;Gupta, K. C.;Tsai, C. M.;Bruce, J. D.;Presnell, R.</t>
  </si>
  <si>
    <t>Los Angeles;Boulder</t>
  </si>
  <si>
    <t>Northrop Grumman corporation;University of Colorado Boulder</t>
  </si>
  <si>
    <t>60025209;60000221</t>
  </si>
  <si>
    <t>Sharma P.</t>
  </si>
  <si>
    <t>Two‚Äêdimensional field analysis for CAD of Rotman‚Äêtype beam‚Äêforming lenses</t>
  </si>
  <si>
    <t>10.1002/mmce.4570020205</t>
  </si>
  <si>
    <t>2-s2.0-0026850441</t>
  </si>
  <si>
    <t>['¬© 1992', 'wave voltage', 'thin substrate', 'rights reserved', 'optical response', 'optic ti', 'near optical', 'electrical engineers', '5 db']</t>
  </si>
  <si>
    <t>Electro-optics | Optical modulation</t>
  </si>
  <si>
    <t>A 5 V half-wave voltage (VœÄ) electro-optic Ti: LiNbO3 intensity modulator with a - 7.5 dB (electrical) optical response at 40GHz is demonstrated at 1.3¬µm. A thick electrode structure is used in conjunction with a thin substrate to achieve a near optical-microwave phase match and a broadband electrical response. ¬© 1992, The Institution of Electrical Engineers. All rights reserved.</t>
  </si>
  <si>
    <t>826-827</t>
  </si>
  <si>
    <t>60027271;60027271;60027271;60027271;60027271</t>
  </si>
  <si>
    <t>35586242100;7003503940;7201423901;6602959344;6602558824</t>
  </si>
  <si>
    <t>Gopalakrishnan, G. K.;Bulmer, C. H.;Burns, W. K.;McElhanon, R. W.;Greenblatt, A. S.</t>
  </si>
  <si>
    <t>Gopalakrishnan G.</t>
  </si>
  <si>
    <t>40 GHz, low half-wave voltage Ti:LiNbO&lt;inf&gt;3&lt;/inf&gt; intensity modulator</t>
  </si>
  <si>
    <t>10.1049/el:19920522</t>
  </si>
  <si>
    <t>2-s2.0-0026850515</t>
  </si>
  <si>
    <t>27-29</t>
  </si>
  <si>
    <t>Goto, Naohisa</t>
  </si>
  <si>
    <t>Goto N.</t>
  </si>
  <si>
    <t>The impact of mobile radio communications</t>
  </si>
  <si>
    <t>10.1109/74.134306</t>
  </si>
  <si>
    <t>2-s2.0-0026851160</t>
  </si>
  <si>
    <t>['ground plane', 'design example', '2 ghz']</t>
  </si>
  <si>
    <t>A simple, single fed structure consisting of a pair of crossed dipoles connected to two angular branches which easily produces circular polarisation is proposed. This antenna, with a director, placed over a ground plane is analysed and a design example is realised and measured at 2 GHz.</t>
  </si>
  <si>
    <t>157-158</t>
  </si>
  <si>
    <t>Apr</t>
  </si>
  <si>
    <t>60008435;60008435</t>
  </si>
  <si>
    <t>6602507778;57080648800</t>
  </si>
  <si>
    <t>Maamria, K.;Nakamura, T.</t>
  </si>
  <si>
    <t>Sendai</t>
  </si>
  <si>
    <t>Tohoku University</t>
  </si>
  <si>
    <t>Maamria K.</t>
  </si>
  <si>
    <t>Simple antenna for circular polarisation</t>
  </si>
  <si>
    <t>10.1049/ip-h-2.1992.0029</t>
  </si>
  <si>
    <t>2-s2.0-0026851295</t>
  </si>
  <si>
    <t>['¬© 1992', 'space environments', 'rights reserved', 'reflector antennas', 'omnidirectional antennas', 'microwave antennas', 'microstrip antennas', 'measurement methods', 'dichroic surfaces', 'diagnostic techniques', 'development activities', 'cassegrain antennas', 'article gives', 'array antennas', 'antenna research', 'also discussed']</t>
  </si>
  <si>
    <t>This article gives an overview of the antenna research and development activities at Ericsson Radar Electronics AB, in Molndal, Sweden. The article covers different types of microwave antennas, such as twist-Cassegrain antennas, shaped-reflector antennas, microstrip antennas, dichroic surfaces, slotted-waveguide-array antennas, omnidirectional antennas, and electronically-steered-array antennas. Measurement methods, such as near-field and diagnostic techniques, are also discussed. The applications are for radar and microwave communication systems, for use in ground, naval, airborne, and space environments. ¬© 1992, IEEE. All rights reserved.</t>
  </si>
  <si>
    <t>Dahlsjo, Olof</t>
  </si>
  <si>
    <t>Stockholm</t>
  </si>
  <si>
    <t>Ericsson Radio Systems AB</t>
  </si>
  <si>
    <t>Dahlsjo O.</t>
  </si>
  <si>
    <t>Antenna research and development at ericsson</t>
  </si>
  <si>
    <t>10.1109/74.134304</t>
  </si>
  <si>
    <t>2-s2.0-0026851514</t>
  </si>
  <si>
    <t>['wiley company', 'tm polarizations', 'strip gratings', 'specular reflections', 'perfect blazing', 'inc .,', 'conducting surfaces', 'conducting surface', 'article presents', 'also provided']</t>
  </si>
  <si>
    <t>Electromagnetic waves | radar cross section | reflection grating | scattering</t>
  </si>
  <si>
    <t>Conventional corrugated surfaces and strip gratings are used for eliminating specular reflections from a conducting surface for TE or TM polarization waves. This article presents the development of a dual slant strip grating for the elimination of specular reflections from conducting surfaces for both TE and TM polarizations, with an enhancement in bandwidth. Perfect blazing for n= ‚Äê1 spectral order is also provided by the system. Copyright ¬© 1992 Wiley Periodicals, Inc., A Wiley Company</t>
  </si>
  <si>
    <t>171-174</t>
  </si>
  <si>
    <t>60031544;60031544;60031544;60031544;60031544</t>
  </si>
  <si>
    <t>57191000672;6508095680;7005956560;57218539158;56259735900</t>
  </si>
  <si>
    <t>Wilson Gomez, L.;Ajaikumar, V.;Jose, K. A.;Mohanan, P.;Nair, K. G.</t>
  </si>
  <si>
    <t>India</t>
  </si>
  <si>
    <t>Kochi</t>
  </si>
  <si>
    <t>Cochin University of Science and Technology</t>
  </si>
  <si>
    <t>Wilson Gomez L.</t>
  </si>
  <si>
    <t>A broadband dual slant strip grating for elimination of specular reflection of em waves</t>
  </si>
  <si>
    <t>10.1002/mop.4650050408</t>
  </si>
  <si>
    <t>2-s2.0-0026851583</t>
  </si>
  <si>
    <t>['various wide', 'various options', 'utilising phased', 'track direction', 'technological limitations', 'technological implementation', 'swath modes', 'paper deals', 'overall performance', 'nonconventional modes', 'ground coverage', 'conceptual performance', 'array antennas']</t>
  </si>
  <si>
    <t>For a conventional spaceborne SAR, the amount of ground coverage in the across-track direction is limited by fundamental SAR operating constraints as well as technological limitations. If wider swath coverage is required, then nonconventional modes of SAR operation must be considered. In the paper, the general SAR swath widening problem is summarised and various wide-swath modes are described. The paper deals with conceptual performance, as opposed to technological implementation, and concentrates on systems that exploit the beam-forming versatility made possible by utilising phased-array antennas. The various options are compared with respect to overall performance and suggestions are made as to system selection given different performance requirements.</t>
  </si>
  <si>
    <t>122-135</t>
  </si>
  <si>
    <t>60030127;60030127</t>
  </si>
  <si>
    <t>7006863241;56420608100</t>
  </si>
  <si>
    <t>Currie, A.;Brown, M. A.</t>
  </si>
  <si>
    <t>Coventry</t>
  </si>
  <si>
    <t>Telent plc</t>
  </si>
  <si>
    <t>Currie A.</t>
  </si>
  <si>
    <t>Wide-swath SAR</t>
  </si>
  <si>
    <t>10.1049/ip-f-2.1992.0016</t>
  </si>
  <si>
    <t>2-s2.0-0026852145</t>
  </si>
  <si>
    <t>0-1-331-5252-777</t>
  </si>
  <si>
    <t>['tm0m mode', 'omnidirectional pattern', 'francis ltd', 'experimental results', 'close agreement']</t>
  </si>
  <si>
    <t>A circular patch antenna with TM0m mode for omnidirectional pattern has been analysed and fabricated at 2-35 GHz using G-10 glass epoxy material. A VSWR of 1-62 and an efficiency of 87% has been achieved. A close agreement between theoretical and experimental results has been obtained. ¬© 1992 Taylor &amp; Francis Ltd.</t>
  </si>
  <si>
    <t>651-658</t>
  </si>
  <si>
    <t>International Journal of Electronics</t>
  </si>
  <si>
    <t>60001769;60001769;115938108</t>
  </si>
  <si>
    <t>7404163948;7004480712;57196676768</t>
  </si>
  <si>
    <t>Yu, Lukang;Rawat, Banmali;Williamson, M.</t>
  </si>
  <si>
    <t>Reno;Salem</t>
  </si>
  <si>
    <t>University of Nevada, Reno;UPS/II Morrow, Inc.</t>
  </si>
  <si>
    <t>60001769;115938108</t>
  </si>
  <si>
    <t>Yu L.</t>
  </si>
  <si>
    <t>Analysis and design of an omnidirectional circular microstrip antenna for mobile communications</t>
  </si>
  <si>
    <t>10.1080/00207219208925605</t>
  </si>
  <si>
    <t>2-s2.0-0026852405</t>
  </si>
  <si>
    <t>['square fitting', 'relies upon', 'recently proposed', 'probe effect', 'measured data', 'measured amplitude', 'local minima', 'general knowledge', 'field far', 'explicitly worked', 'difficulties related', 'cylindrical scanning', 'also discussed']</t>
  </si>
  <si>
    <t>A near-field far-field transformation technique involving the amplitude of the measured data has been recently proposed. It requires two sets of near-zone amplitude measurements and relies upon a mean-square fitting of the measured amplitude by an iterative projection algorithm. In the paper the method is applied to the case of cylindrical scanning, for which all the details are explicitly worked out. Furthermore the probe effect is accounted for and the relative correction procedure is considered. The relevance of a rough phase estimate and/or a general knowledge of the source is also discussed to overcome the difficulties related to the presence of local minima which can trap the procedure. Numerical examples validating the effectiveness of the technique are provided.</t>
  </si>
  <si>
    <t>143-148</t>
  </si>
  <si>
    <t>60017293;60017293;60017293;60017293</t>
  </si>
  <si>
    <t>7006499276;7103082097;56963446400;7005281565</t>
  </si>
  <si>
    <t>Bucci, O. M.;D'Elia, G.;Leone, G.;Pierri, R.</t>
  </si>
  <si>
    <t>Naples</t>
  </si>
  <si>
    <t>Universit√† degli Studi di Napoli Federico II</t>
  </si>
  <si>
    <t>Bucci O.M.</t>
  </si>
  <si>
    <t>Far-field computation from amplitude near-field data on two surfaces. Cylindrical case</t>
  </si>
  <si>
    <t>10.1049/ip-h-2.1992.0027</t>
  </si>
  <si>
    <t>2-s2.0-0026852484</t>
  </si>
  <si>
    <t>['raypath parameters', 'plane reflector', 'passive repeater', 'multipath propagation', 'main ray', 'hop show', 'arrival variation']</t>
  </si>
  <si>
    <t>Effects of multipath propagation on a digital radio hop employing a plane reflector as a passive repeater were analysed by using a ray tracing method. The calculations of raypath parameters on the hop show that a large-aperture plane reflector increases attenuation fading due to the main ray's angle-of-arrival variation by its sharp radiation pattern, and it can reduce dispersive fading. A digital transmission experiment on a reflector-equipped hop showed that plane reflectors could be used for small-capacity digital microwave systems.</t>
  </si>
  <si>
    <t>176-180</t>
  </si>
  <si>
    <t>60002366;60002366;60002366</t>
  </si>
  <si>
    <t>7005796576;57207377103;7103196782</t>
  </si>
  <si>
    <t>Serizawa, Y.;Watanabe, Y.;Takeshita, S.</t>
  </si>
  <si>
    <t>Central Research Institute of Electric Power Industry</t>
  </si>
  <si>
    <t>Serizawa Y.</t>
  </si>
  <si>
    <t>Multipath propagation effects on digital radio equipped with a plane reflector repeater</t>
  </si>
  <si>
    <t>10.1049/ip-i-2.1992.0026</t>
  </si>
  <si>
    <t>2-s2.0-0026852707</t>
  </si>
  <si>
    <t>['¬© 1992', 'rights reserved', 'large errors', 'electrical engineers', 'calculated dimensions', 'approximate expressions', 'accurate expression']</t>
  </si>
  <si>
    <t>Antennas | Waveguide antennas</t>
  </si>
  <si>
    <t>The calculation of the dimensions of pyramidal waveguide horns is shown to be dependent on approximate expressions which lead to large errors in the calculated dimensions of low and medium gain horns. A more accurate expression is derived. ¬© 1992, The Institution of Electrical Engineers. All rights reserved.</t>
  </si>
  <si>
    <t>879-881</t>
  </si>
  <si>
    <t>Hawkins, D. C.</t>
  </si>
  <si>
    <t>Leominster</t>
  </si>
  <si>
    <t>Q-par Angus Ltd.</t>
  </si>
  <si>
    <t>Hawkins D.</t>
  </si>
  <si>
    <t>Improvements to synthesis of waveguide horns</t>
  </si>
  <si>
    <t>10.1049/el:19920555</t>
  </si>
  <si>
    <t>2-s2.0-0026852832</t>
  </si>
  <si>
    <t>['unaided eye', 'test condition', 'supporting structures', 'sufficient provided', 'stabilization requirements', 'sensor parameters', 'results indicate', 'reliably detected', 'oasys ).', 'night vision', 'model range', 'determine field', 'detect obstacles', 'army communications', 'adequate stabilization', 'acceptable provided', '400 meters', '200 meters', '17 ft']</t>
  </si>
  <si>
    <t>Tactical helicopters face unique dangers during nap-of-the-earth (NOE) and contour flight operations. Wires, antennas, and their supporting structures are not reliably detected by the unaided eye or pilot night vision systems. The ability to detect obstacles and provide pilot warnings in time to make a controlled avoidance maneuver will greatly enhance survivability. A study was conducted by McDonnell Douglas Helicopter Company (MDHC) for the U.S. Army Communications and Electronics Command Center for Night Vision and Electro-Optics (C2NVEO), Ft. Belvoir, Virginia, to determine Field of View (FOV), Frame Time (FT), slewing, and stabilization requirements for an effective helicopter Obstacle Avoidance System (OASYS). Four sensor configurations differing in the above parameters were tested at two model ranges (200 meters, or 656.17 ft, and 400 meters, or 1312.34 ft). The results indicate that, for the test condition: 1) a 6 deg vertical √ó 8 deg horizontal FOV is unacceptable, 2) a 200m model range is insufficient, 3) a FOV as small as 20 deg vertical √ó 30 deg horizontal can be acceptable provided there is adequate stabilization, FT, and model range, and 4) that a 400m model range is sufficient provided the sensor parameters (FOV, FT, slewing and stabilization) are adequate.</t>
  </si>
  <si>
    <t>Journal of the American Helicopter Society</t>
  </si>
  <si>
    <t>60018784;60018784;60018784;60018784;60018784</t>
  </si>
  <si>
    <t>6506044689;7005698949;7003274471;7102539817;36962406100</t>
  </si>
  <si>
    <t>Cerchie, Pamela;Shipley, Brian;Aust, Randall;Wasson, James;Reago, Donald</t>
  </si>
  <si>
    <t>Mesa</t>
  </si>
  <si>
    <t>McDonnell Douglas Helicopter Co</t>
  </si>
  <si>
    <t>Cerchie P.</t>
  </si>
  <si>
    <t>Manned simulation results concerning design parameters for an effective obstacle avoidance system (OASYS)</t>
  </si>
  <si>
    <t>10.4050/jahs.37.2.3</t>
  </si>
  <si>
    <t>2-s2.0-0026853636</t>
  </si>
  <si>
    <t>['waveguide sizes', 'walled horn', 'open waveguide', 'including radiation', 'far field', 'dielectric material', 'characteristic equation', 'attenuation introduced', 'aperture efficiency']</t>
  </si>
  <si>
    <t>A numerical parametric study is presented, of a circularly polarised square hard horn realised by dielectric-filled longitudinal corrugations. The horn is analysed as an open waveguide. The attenuation introduced by losses in the dielectric material is calculated from the characteristic equation of the modified TE10 mode. The far field, including radiation from the walls, is found from the electric vector potential. The attenuation, aperture efficiency and crosspolar sidelobe level are presented for different dielectric linings and waveguide sizes, and are compared with the performance of the smooth-walled horn.</t>
  </si>
  <si>
    <t>139-142</t>
  </si>
  <si>
    <t>60027012;60027012</t>
  </si>
  <si>
    <t>6602652703;7101988263</t>
  </si>
  <si>
    <t>Zieniutycz, W.;Kildal, P. S.</t>
  </si>
  <si>
    <t>Gdansk</t>
  </si>
  <si>
    <t>Gda≈Ñsk University of Technology</t>
  </si>
  <si>
    <t>Zieniutycz W.</t>
  </si>
  <si>
    <t>Study of wall region and dielectric losses in a square hard horn</t>
  </si>
  <si>
    <t>10.1049/ip-h-2.1992.0026</t>
  </si>
  <si>
    <t>2-s2.0-0026854053</t>
  </si>
  <si>
    <t>['outer region', 'inner region', 'highly reflecting', 'higher band', 'experimental study', 'equal beamwidths', 'compound reflector']</t>
  </si>
  <si>
    <t>The results of an experimental study of two compound parabolic reflector antennas are reported. The reflectors were designed to have equal beamwidths at two separate frequency bands. The inner region of the reflector was formed as a conducting metallic surface; the outer region was a frequency-selective surface designed to be highly reflecting at the lower frequency band, and transmitting at the higher band. The performance of the compound reflector is compared with that of an equivalent wholly metallic paraboloid.</t>
  </si>
  <si>
    <t>60010818;60010818;60010818</t>
  </si>
  <si>
    <t>57010564900;56020461500;7201840709</t>
  </si>
  <si>
    <t>Lee, C. K.;Langley, R. J.;Parker, E. A.</t>
  </si>
  <si>
    <t>Lee C.</t>
  </si>
  <si>
    <t>Compound reflector antennas</t>
  </si>
  <si>
    <t>10.1049/ip-h-2.1992.0025</t>
  </si>
  <si>
    <t>2-s2.0-0026854125</t>
  </si>
  <si>
    <t>['wind pressure', 'wiley company', 'wave incident', 'wave bending', 'vertical planes', 'reflector structure', 'reflector gain', 'reception points', 'radiation pattern', 'radiation characteristics', 'proposed structure', 'passive reflector', 'paper proposes', 'large structure', 'inc .,', 'element reflectors', 'displaced slightly', 'direct line', 'connect transmission', 'bent due']</t>
  </si>
  <si>
    <t>angle of arrival | atmospheric refractive index | fading reduction | Passive reflector | radiation pattern | wave bending</t>
  </si>
  <si>
    <t>A passive reflector is used as a simple repeater system to connect transmission and reception points with no direct line of sight. When the wavelength is short and the reflector has a large structure, the radiation characteristics of the reflector exhibit sharp variations. A phenomenon such as fading is introduced when the direction of the wave incident on the reflector is bent due to a change of the atmospheric refractive index or the angle of arrival varies due to the vibration of reflector by wind pressure. This paper proposes a reflector structure which is made from element reflectors whose positions are displaced slightly and the depth of nulls in the radiation pattern appearing in horizontal and vertical planes can be reduced. Moreover, the radiation pattern of the proposed structure and its relationship with the position of element reflectors and the reflector gain are clarified. The experiments were performed at the reflector repeater stations where the received electric field fluctuations occurred quite frequently and the wave bending was confirmed by the measured field fluctuations. Moreover, by making the reflector structure as proposed here, the field fluctuation width may be suppressed and the validity of this method is demonstrated. Copyright ¬© 1992 Wiley Periodicals, Inc., A Wiley Company</t>
  </si>
  <si>
    <t>108-116</t>
  </si>
  <si>
    <t>Komai, Tomohiro</t>
  </si>
  <si>
    <t>Information and Systems Department</t>
  </si>
  <si>
    <t>Komai T.</t>
  </si>
  <si>
    <t>Passive reflector to reduce fading due to angle‚Äêof‚Äêarrival variation on microwave links</t>
  </si>
  <si>
    <t>10.1002/ecja.4410750410</t>
  </si>
  <si>
    <t>2-s2.0-0026854391</t>
  </si>
  <si>
    <t>['series gap', 'performance characteristics', 'investigated experimentally', 'grounded cpw', 'feeding technique', 'coplanar wave']</t>
  </si>
  <si>
    <t>The performance characteristics of a coplanar wave- guide (CPW) aperture-coupled microstrip patch antenna was investigated experimentally. A grounded CPW with a series gap in the center strip conductor was used to couple microwave power to the antenna through an aperture in the common ground plane. Results indicate good coupling efficiency and confirms the feasibility of this feeding technique. ¬© 1992 IEEE</t>
  </si>
  <si>
    <t>138-139</t>
  </si>
  <si>
    <t>60026717;60026717</t>
  </si>
  <si>
    <t>24522606100;7202166511</t>
  </si>
  <si>
    <t>Lee, Richard Q.;Simons, Rainee N.</t>
  </si>
  <si>
    <t>Lee R.</t>
  </si>
  <si>
    <t>Coplanar Waveguide Aperture-Coupled Microstrip Patch Antenna</t>
  </si>
  <si>
    <t>10.1109/75.129441</t>
  </si>
  <si>
    <t>2-s2.0-0026854627</t>
  </si>
  <si>
    <t>['widely used', 'well known', 'rectangular patch', 'measured values', 'efficient procedure', 'edge ).', 'current parallel', 'current normal', 'correct singularities']</t>
  </si>
  <si>
    <t>The technique of solving integral equations describing a microstrip antenna structure using the method of moments is well known and widely used. In the paper an efficient procedure is given to determine subsectional edge expansion functions (SEEFs) containing the correct singularities of the currents at the edges of a rectangular patch (both the current parallel to and the current normal to an edge). It is proven that the use of these SEEFs considerably improves the convergence of the calculated resonant frequency. For one configuration calculated results are compared with measured values.</t>
  </si>
  <si>
    <t>159-164</t>
  </si>
  <si>
    <t>60025063;60025063</t>
  </si>
  <si>
    <t>7005545716;7003998197</t>
  </si>
  <si>
    <t>Vandenbosch, G. A.E.;Van de Capelle, A. R.</t>
  </si>
  <si>
    <t>3000 Leuven</t>
  </si>
  <si>
    <t>KU Leuven</t>
  </si>
  <si>
    <t>Vandenbosch G.</t>
  </si>
  <si>
    <t>Use of subsectional edge expansion functions (SEEFs) to analyse rectangular microstrip antennas with the method of moments</t>
  </si>
  <si>
    <t>10.1049/ip-h-2.1992.0030</t>
  </si>
  <si>
    <t>2-s2.0-0026854668</t>
  </si>
  <si>
    <t>18-26</t>
  </si>
  <si>
    <t>60025555;115993541</t>
  </si>
  <si>
    <t>35564404500;7005154210</t>
  </si>
  <si>
    <t>Kagoshima, Kenichi;Shiokawa, Takayasu</t>
  </si>
  <si>
    <t>Nippon Telegraph and Telephone Corporation;Yr&amp;gt;r&amp;gt; Laboratories</t>
  </si>
  <si>
    <t>Kagoshima K.</t>
  </si>
  <si>
    <t>Recent activities in antennas and propagation in japan</t>
  </si>
  <si>
    <t>10.1109/74.134305</t>
  </si>
  <si>
    <t>2-s2.0-0026854692</t>
  </si>
  <si>
    <t>['thin film', 'tennas operating', 'superconducting four', 'superconducting antennas', 'superconducting antenna', 'lanthanum aluminate', 'gold antenna', 'experimental performance', 'evaporated gold', 'efficiency measurements', 'antennas show', '70 k', '5 db', '40 k', '30 ghz', '2 db']</t>
  </si>
  <si>
    <t>Superconducting four-element microstrip array an- tennas operating at 30 GHz have been designed and fabricated on a lanthanum aluminate (LaAlo3) substrates. The experimental performance of these thin film Y-Ba-Cu-O superconducting antennas is compared with that of identical antenna patterned with evaporated gold. Efficiency measurements of these antennas show an improvement of 2 dB at 70 K and as much as 3.5 dB at 40 K in the superconducting antenna over the gold antenna. ¬© 1992 IEEE</t>
  </si>
  <si>
    <t>143-145</t>
  </si>
  <si>
    <t>60000305-60026717-60026280;60000305-60026280;60026280</t>
  </si>
  <si>
    <t>7201417483;6603757979;56917448900</t>
  </si>
  <si>
    <t>Richard, M. A.;Claspy, P. C.;Koepf, G.</t>
  </si>
  <si>
    <t>Cleveland;Broomfield;Cleveland</t>
  </si>
  <si>
    <t>NASA Glenn Research Center;Ball Corporation;Case Western Reserve University</t>
  </si>
  <si>
    <t>60026717;60026280;60000305</t>
  </si>
  <si>
    <t>Richard M.</t>
  </si>
  <si>
    <t>Performance of a Four-Element Ka-Band High-Temperature Superconducting Microstrip Antenna</t>
  </si>
  <si>
    <t>10.1109/75.129442</t>
  </si>
  <si>
    <t>2-s2.0-0026854705</t>
  </si>
  <si>
    <t>['wiley company', 'thereby validating', 'theory behind', 'signal received', 'signal consisting', 'proposed canceller', 'operational principles', 'main antenna', 'interference signal', 'interference cannot', 'inc .,', 'extracted signal', 'experiment using', 'desired signal', 'conventional cancellers', 'ch 3600', 'cancelled using', 'auxiliary antenna', '17 db']</t>
  </si>
  <si>
    <t>16‚ÄêQAM signal | interference cancellation techniques | Interference cancellers | reinjection‚Äêtype interference canceller | variable‚Äêamplitude circuit | variable‚Äêphase circuit</t>
  </si>
  <si>
    <t>In conventional interference cancellers, an auxiliary antenna has been used to obtain only an interference signal whose amplitude and phase was then adjusted to cancel out the interference in the signal received by the main antenna. In fact, however, conditions under which an auxiliary antenna can be used to receive such an interference signal necessary for cancellation are limited; and in all other cases, interference cannot be cancelled. In the interference canceller proposed in this paper, a signal consisting of the desired and the interference signal is received by both the main antenna and the auxiliary antenna, and the interference signal is extracted from the received signal using both antennas; interference is then cancelled using this extracted signal. First, the theory behind the operation of this canceller is presented and its configuration is described. Then the results of an experiment using a 16‚ÄêQAM signal as the desired signal and an FM (CH 3600) signal as the interference signal are presented. An improvement of about 17 dB has been obtained with regard to interference which cannot be cancelled out by conventional cancellers, thereby validating the operational principles of the proposed canceller. Copyright ¬© 1992 Wiley Periodicals, Inc., A Wiley Company</t>
  </si>
  <si>
    <t>85-97</t>
  </si>
  <si>
    <t>100429537;100429537;60025555</t>
  </si>
  <si>
    <t>55704949500;7202678052;7006165177</t>
  </si>
  <si>
    <t>Watanabe, Kazuji;Murase, Takehiro;Matsue, Hideaki</t>
  </si>
  <si>
    <t>Tokyo;Yokosuka</t>
  </si>
  <si>
    <t>Nippon Telegraph and Telephone Corporation;Yokosuka Electr. Communicat. Lab. Nippon Telegraph Telephone Public Corp.</t>
  </si>
  <si>
    <t>60025555;100429537</t>
  </si>
  <si>
    <t>Watanabe K.</t>
  </si>
  <si>
    <t>Extraction and reinjection‚Äêtype interference canceller</t>
  </si>
  <si>
    <t>10.1002/ecja.4410750509</t>
  </si>
  <si>
    <t>2-s2.0-0026855008</t>
  </si>
  <si>
    <t>U.S. Department of Energy</t>
  </si>
  <si>
    <t>USDOE</t>
  </si>
  <si>
    <t>['small fractions', 'power incident', 'output power', 'mode converter', 'linear uptaper', 'francis ltd', 'far field', 'experimentally demonstrated', '2 mode']</t>
  </si>
  <si>
    <t>A mode converter for whispering gallery mode gyrotrons has been designed and experimentally demonstrated. Experiments were performed on a megawatt power level, 3¬µs pulsed gyrotron operating in the TE16,2,1 whispering gallery mode at 146GHz. The gyrotron cavity employs a non-linear uptaper to minimize radial mode conversion. About 99% of the output power is in the TE16,2 mode. The quasi-optical converter consists of a helically cut Vlasov-type waveguide launcher and a reflector. The doubly curved reflector, designed using geometric optics and vector diffraction theory, was built to focus the full radiation pattern to a small, gaussian-like focal spot. Of the power incident in the TE16,2 mode, 96% is directed by the launcher and reflector to a gaussian-like focal spot in the far field. Small fractions of other modes were found to form distinct focal spots in the far field. Analysis of the power in the other focal spots allows for a good quantitative measurement of gyrotron output mode content, potentially on a single shot basis. ¬© 1992 Taylor &amp; Francis Ltd.</t>
  </si>
  <si>
    <t>1093-1102</t>
  </si>
  <si>
    <t>60022195;60022195;60022195;60022195;60024592</t>
  </si>
  <si>
    <t>55108378000;36474557300;57191783563;7005160662;57197699504</t>
  </si>
  <si>
    <t>Blank, M.;Casey, J. A.;Kreischer, K. E.;Temkin, R. J.;Price, T.</t>
  </si>
  <si>
    <t>Lexington;Cambridge</t>
  </si>
  <si>
    <t>Lincoln Laboratory;Massachusetts Institute of Technology</t>
  </si>
  <si>
    <t>60024592;60022195</t>
  </si>
  <si>
    <t>Blank M.</t>
  </si>
  <si>
    <t>Experimental study of a high efficiency quasi-optical mode converter for whispering gaUery mode gyrotrons</t>
  </si>
  <si>
    <t>10.1080/00207219208925635</t>
  </si>
  <si>
    <t>2-s2.0-0026855425</t>
  </si>
  <si>
    <t>['telemetry signal', 'substantially enhanced', 'source location', 'signal selectivity', 'selective algorithms', 'performance capabilities', 'passively locating', 'particular signal', 'part paper', 'part ii', 'new class', 'multiple interferers', 'interfering signals', 'highly tolerant', 'essentially eliminated', 'correlation algorithms', 'computational complexity', 'communi cations', 'background theory']</t>
  </si>
  <si>
    <t>For the problem of estimating time difference of arrival (TDOA) of radio waves impinging on a pair of antennas for the purpose of passively locating the source of a communi cations or telemetry signal in the presence of interfering signals and noise, a new class of signal-selective algorithms that are highly tolerant to interference and noise is introduced. In part I of this two-part paper, the background theory of cyclosta tionary signals is presented and applied to the design of various new TDOA methods. In this part II, algorithmic implementa tions are described and their performance capabilities are as sessed by analysis and simulation. By virtue of the fact that the multiple-signal resolution problem is essentially eliminated by the signal selectivity of the algorithms, two performance ad vantages are gained: 1) the practicality of source location with relatively closely spaced antennas is substantially enhanced, and 2) the problem of sorting through multiple TDOA estimates, resulting from multiple interferers, for the estimate corre sponding to a particular signal of interest is eliminated. These new algorithms exhibit their signal selectivity regardless of the extent of temporal, spectral, or spatial overlap among received signals. It is only required that the signal of interest have a known (or measurable) analog carrier frequency or digital keying rate that is distinct from those of all interfering signals. Yet the computational complexity of these algorithms is no more than that of conventional generalized cross-correlation algorithms. ¬© 1992 IEEE</t>
  </si>
  <si>
    <t>1185-1197</t>
  </si>
  <si>
    <t>101348348;60014439</t>
  </si>
  <si>
    <t>7501967834;7202841195</t>
  </si>
  <si>
    <t>Chen, Chih Kang;Gardner, William A.</t>
  </si>
  <si>
    <t>Davis;Palo Alto</t>
  </si>
  <si>
    <t>University of California, Davis;Silicon Engines</t>
  </si>
  <si>
    <t>60014439;101348348</t>
  </si>
  <si>
    <t>Chen C.</t>
  </si>
  <si>
    <t>Signal-selective time-difference-of-arrival estimation for passive location of man-made signal sources in highly corruptive environments, Part II: Algorithms and performance</t>
  </si>
  <si>
    <t>10.1109/78.134480</t>
  </si>
  <si>
    <t>2-s2.0-0026855630</t>
  </si>
  <si>
    <t>['telemetry signal', 'substantially enhanced', 'signal selectivity', 'selective algorithms', 'performance capabilities', 'passively locating', 'particular signal', 'part paper', 'part ii', 'new class', 'multiple interferers', 'many applications', 'interfering signals', 'highly tolerant', 'estimate corresponding', 'essentially eliminated', 'difference measurements', 'cyclostationary signals', 'correlation algorithms', 'computational complexity', 'background theory', 'algorithmic implementations']</t>
  </si>
  <si>
    <t>For the problem of estimating time difference of arrival (TDOA) of radio waves impinging on a pair of antennas for the purpose of passively locating the source of a communications or telemetry signal in the presence of interfering signals and noise, a new class of signal-selective algorithms that is highly tolerant to interference and noise is introduced. In part I of this two-part paper, the background theory of cyclostationary signals is presented and applied to the design of various new TDOA methods. In part II, algorithmic implementations are described and their performance capabilities are assessed by analysis and simulation. By virtue of the fact that the multiple-signal resolution problem is essentially eliminated in many applications by the signal selectivity of the algorithms, two performance advantages are gained: 1) the practicality of source location based on time-difference measurements with relatively closely spaced antennas is substantially enhanced, and 2) the problem of sorting through multiple TDOA estimates, resulting from multiple interferers, for the estimate corresponding to a particular signal of interest is eliminated. These new algorithms exhibit their signal selectivity regardless of the extent of temporal, spectral, or spatial overlap among received signals. It is only required that the signal of interest have a known (or measurable) analog carrier frequency or digital keying rate that is distinct from those of all interfering signals. Yet the computational complexity of these algorithms is comparable to that of conventional generalized cross-correlation algorithms. ¬© 1992 IEEE</t>
  </si>
  <si>
    <t>1168-1184</t>
  </si>
  <si>
    <t>7202841195;7501967834</t>
  </si>
  <si>
    <t>Gardner, William A.;Chen, Chih Kang</t>
  </si>
  <si>
    <t>Gardner W.</t>
  </si>
  <si>
    <t>Signal-selective time-difference-of-arrival estimation for passive location of man-made signal sources in highly corruptive environments, Part I: Theory and method</t>
  </si>
  <si>
    <t>10.1109/78.134479</t>
  </si>
  <si>
    <t>2-s2.0-0026857357</t>
  </si>
  <si>
    <t>['¬© sin', 'transmitter diversity', 'transmitted simultaneously', 'simple receivers', 'phase sweeping', 'phase modulated', 'one antenna', 'linear ).', 'kbps transmission', 'f ).', 'experimental results', 'digital transmission', 'differential detection', 'codeword length', 'channel coding', 'bits interleaving', 'bit length', 'bit interleaving', 'bit depth', 'analysis shows', '70 hz']</t>
  </si>
  <si>
    <t>A two-branch phase sweeping transmitter diversity scheme that can produce forced fast fading at the receiver is proposed for improving the effect of channel coding on bit error rate (BER) performance in very slow multipath fading environments. While the proposed transmitter diversity requires two transmit antennas, a single receive antenna can be used. Hence, it is most applicable for digital paging systems that require very simple receivers. The digital modulated signal is transmitted simultaneously from the two spatially separated antennas, with the carrier for one antenna being phase modulated by the phase sweeping function (f). Two sweeping functions are considered: n(t) = A¬© sin(27r/f) (sinusoidal) and 2nfjjt (linear). An analysis shows that when bit interleaving of m-bit depth is used, it is required that A¬© &gt; n and mnfgT &gt; 1/2 (sinusoidal) or &gt; x1 (linear) where n is the codeword length of the error correction code and T is the bit length of the digital transmission. When 32-kbps transmission with m = 10-bits interleaving and BCH (23,12) error correction code (n = 23) are used, fH = 70 Hz is sufficient for the sinusoidal phase sweeping function. Therefore, bandwidth expansion due to phase sweeping is negligible. Experimental results on transmitter diversity with the sinusoidal phase sweeping function are presented for 32 kbps quarternary differential phase shift keying (QDPSK) with differential detection. ¬© 1992 IEEE</t>
  </si>
  <si>
    <t>170-176</t>
  </si>
  <si>
    <t>60025555;60025555;60025555</t>
  </si>
  <si>
    <t>56966667300;7103400688;55245356600</t>
  </si>
  <si>
    <t>Hiroike, Akira;Adachi, Fumiyuki;Nakajima, Nobuo</t>
  </si>
  <si>
    <t>Hiroike A.</t>
  </si>
  <si>
    <t>Combined Effects of Phase Sweeping Transmitter Diversity and Channel Coding</t>
  </si>
  <si>
    <t>10.1109/25.142775</t>
  </si>
  <si>
    <t>2-s2.0-0026858401</t>
  </si>
  <si>
    <t>['wiley company', 'small antenna', 'moment method', 'mobile communication', 'matching posts', 'inc .,', 'experimental data', 'dk method', 'current distribution', 'computational amount', 'complex configuration', 'become smaller', 'antenna needs', 'analysis results', 'analysis methods']</t>
  </si>
  <si>
    <t>current distribution | Diakoptic method | disk‚Äêloaded mono‚Äêpole antenna | input impedance | matching post | moment method | planar antenna | small antenna</t>
  </si>
  <si>
    <t>As equipment becomes smaller and lighter, the antenna needs to become smaller and planarized. One of the analysis methods for the small antenna with a complex configuration is the Diakoptic (DK) method which is a type of moment method. By means of the DK method, an analysis is carried out for a disk‚Äêloaded monopole antenna (DLA) with matching posts which is a planar antenna suitable for mobile communication. In the analysis, the current distribution on the disk is approximated with a single current distribution function to reduce the computational amount and time. The effectiveness of the analysis is demonstrated by comparing the analysis results for the cases with one and two matching posts with the experimental data. Copyright ¬© 1992 Wiley Periodicals, Inc., A Wiley Company</t>
  </si>
  <si>
    <t>110-115</t>
  </si>
  <si>
    <t>60018279;60018279;60018279</t>
  </si>
  <si>
    <t>55419691800;7402657600;7004160110</t>
  </si>
  <si>
    <t>Endo, Kazuo;Arai, Hiroyuki;Toki, Masahiro</t>
  </si>
  <si>
    <t>Yokohama</t>
  </si>
  <si>
    <t>Yokohama National University</t>
  </si>
  <si>
    <t>Endo K.</t>
  </si>
  <si>
    <t>Analysis of disk‚Äêloaded antenna with matching posts by diakoptic theory</t>
  </si>
  <si>
    <t>10.1002/ecja.4410750511</t>
  </si>
  <si>
    <t>2-s2.0-0026858726</t>
  </si>
  <si>
    <t>['¬© 1991', 'time dependence', 'thermal properties', 'structure materials', 'solar geometry', 'series provide', 'second objective', 'reliable measure', 'principal components', 'orbital motion', 'natural space', 'linear combination', 'geosynchronous radiometer', 'first objective', 'field performance', 'directly related', 'dependent components', 'controls variables', 'control system', 'bessel series', 'basis vectors', 'arbitrary polarizations', 'american institute']</t>
  </si>
  <si>
    <t>The objective of this paper is to develop a control system design method that 1) recognizes the time dependence of the thermal distortion due to orbital motion and 2) controls variables that are directly related to far-field performance for Earth-pointing space antennas. The first objective is accomplished by expanding the distortion into principal components that are orthogonal in space and time. Actuator strokes become a linear combination of the time-dependent components. The spatial components provide a natural space in which to determine the optimal actuator locations and act as basis vectors for extrapolating sensor measurements to the entire antenna surface. The approach for the second objective is to expand the far zone electric field in a Zernike-Bessel series. The coefficients of this series provide a reliable measure of far-field performance and a natural cost function for designing the control system. The method accommodates tapered feeds and arbitrary polarizations. Simulations are performed for a geosynchronous radiometer to determine the effectiveness of the control system under variations in solar geometry, structure materials, and thermal properties. ¬© 1991 by the American Institute of Aeronautics and Astronautics, Inc.</t>
  </si>
  <si>
    <t>605-614</t>
  </si>
  <si>
    <t>60000854;60007652</t>
  </si>
  <si>
    <t>57203646078;7407188811</t>
  </si>
  <si>
    <t>Tolson, Robert H.;Huang, Jen Kuang</t>
  </si>
  <si>
    <t>Norfolk;Hampton</t>
  </si>
  <si>
    <t>Old Dominion University;NASA Langley Research Center</t>
  </si>
  <si>
    <t>60007652;60000854</t>
  </si>
  <si>
    <t>Tolson R.H.</t>
  </si>
  <si>
    <t>Integrated control of thermally distorted large space antennas</t>
  </si>
  <si>
    <t>10.2514/3.20881</t>
  </si>
  <si>
    <t>2-s2.0-0026858891</t>
  </si>
  <si>
    <t>['using simple', 'spatial domain', 'single precision', 'resonant frequencies', 'reflection coefficients', 'moments applied', 'moment matrix', 'microstrip structures', 'microstrip patches', 'linear systems', 'exploiting symmetries', 'basis functions', 'arbitrary shapes']</t>
  </si>
  <si>
    <t>The analysis of stacked, microstrip patches for dual-frequency antenna applications is performed by the method of moments applied in the spatial domain and using simple, subsectional, basis functions. The moment matrix is filled, and solved, quickly by exploiting symmetries and performing all computations in four-byte, single precision. The use of subsectional bases enables applications to microstrip structures of arbitrary shapes. Resonant frequencies and reflection coefficients of two stacked patches are well-predicted by linear systems of surprisingly low order. ¬© 1992 IEEE</t>
  </si>
  <si>
    <t>185-187</t>
  </si>
  <si>
    <t>60016005;60016005;60026338</t>
  </si>
  <si>
    <t>36742761600;7102757439;35566584200</t>
  </si>
  <si>
    <t>Couture, Serge;Beal, John C.;Antar, Yahia M.M.</t>
  </si>
  <si>
    <t>Canada;Canada</t>
  </si>
  <si>
    <t>Kingston;Kingston</t>
  </si>
  <si>
    <t>Royal Military College of Canada;Queen‚Äôs University</t>
  </si>
  <si>
    <t>60026338;60016005</t>
  </si>
  <si>
    <t>Couture S.</t>
  </si>
  <si>
    <t>Analysis of Dual-Frequency Stacked Patch Antennas Using Subsectional Bases</t>
  </si>
  <si>
    <t>10.1109/75.134349</t>
  </si>
  <si>
    <t>2-s2.0-0026858980</t>
  </si>
  <si>
    <t>['usual fashion', 'significantly reduced', 'scattering response', 'resonant behavior', 'properly biased', 'patch element', 'microstrip antenna', 'mechanism allows', 'interrogating radar', 'frequencies corresponding', 'ferrite substrate', 'cutoff state', 'calculated results', 'array system', 'antenna operates']</t>
  </si>
  <si>
    <t>It is shown that the radar cross section of a microstrip antenna can be significantly reduced over a broad frequency range by using a ferrite substrate biased to a cutoff state. When unbiased, the antenna operates in its usual fashion, with relatively large RCS peaks at frequencies corresponding to the resonances of the patch element. When the ferrite substrate is properly biased, the antenna element becomes effectively short-circuited, resulting in the elimination of the resonant behavior of the scattering response of the patch, and a reduction of 20‚Äì40 dB in its RCS. This mechanism allows the implementation of a microstrip antenna or array system that can be switched to an ‚Äúoff‚Äù state, where it will be much less visible to an interrogating radar. Calculated results are obtained from a full-wave moment method solution for the RCS of a microstrip antenna on a normally biased ferrite substrate. ¬© 1992 IEEE</t>
  </si>
  <si>
    <t>196-198</t>
  </si>
  <si>
    <t>RCS Reduction for a Microstrip Antenna Using a Normally Biased Ferrite Substrate</t>
  </si>
  <si>
    <t>10.1109/75.134353</t>
  </si>
  <si>
    <t>2-s2.0-0026861464</t>
  </si>
  <si>
    <t>['¬© 1992', 'viscous dissipation', 'thermally developing', 'significantly increased', 'shear thinning', 'reynolds number', 'results indicate', 'often encountered', 'nusselt number', 'newtonian fluids', 'integral part', 'inelastic non', 'hydrodynamically developed', 'heated surface', 'heat transfer', 'governing equations', 'friction factor', 'examined via', 'electronics coldplate', 'e .,', 'coldplates used', 'carreau equation', 'brinkman number', 'axial distance']</t>
  </si>
  <si>
    <t>The present note delineates the effect of duct aspect ratio on the heat transfer characteristics for laminar forced convection of inelastic non-Newtonian fluids in a nonuniformly heated rectangular duct, which is an integral part of an electronics coldplate, where the flow is hydrodynamically developed but thermally developing as often encountered in coldplates used in the cooling of phased array radar. The governing equations are solved by a finite volume method. The effects of shear thinning, given by the Carreau equation, and the viscous dissipation, characterized by the Brinkman number, are examined via the the friction factor, the Nusselt number, and the bulk fluid temperature for duct aspect ratios ranging from 1. to 0.2. The results indicate that when viscous dissipation is present, the heat transfer from the heated surface of the duct is not significantly increased as the aspect ratio decrease (i.e., the area of heat transfer increases); however, with a decreasing duct aspect ratio the rate of increase of the bulk fluid temperature with axial distance is significant. Also, the product of the Fanning friction factor and the Reynolds number will not be significantly increased with decreasing aspect ratio for a shear thinning fluid. Consequently, the use of a duct aspect ratio near 1 will provide the best overall design for cooling ducts used in electronics coldplate heat removal systems when the flow is hydrodynamically developed and thermally developing. ¬© 1992.</t>
  </si>
  <si>
    <t>311-325</t>
  </si>
  <si>
    <t>International Communications in Heat and Mass Transfer</t>
  </si>
  <si>
    <t>May 1992/June 1992</t>
  </si>
  <si>
    <t>60014662;60014662;60014662-60013959</t>
  </si>
  <si>
    <t>6602725328;7404469877;7101685321</t>
  </si>
  <si>
    <t>Gingrich, William K.;Cho, Young I.;Shyy, Wei</t>
  </si>
  <si>
    <t>Philadelphia;Gainesville</t>
  </si>
  <si>
    <t>Drexel University;University of Florida</t>
  </si>
  <si>
    <t>60014662;60013959</t>
  </si>
  <si>
    <t>Gingrich W.</t>
  </si>
  <si>
    <t>Effect of aspect ratio on laminar heat transfer behavior of a non-Newtonian fluid in an electronics coldplate</t>
  </si>
  <si>
    <t>0735-1933(92)90078-V</t>
  </si>
  <si>
    <t>10.1016/0735-1933(92)90078-V</t>
  </si>
  <si>
    <t>2-s2.0-0026861668</t>
  </si>
  <si>
    <t>['waveguide due', 'radiation loss', 'mounting diodes', 'millimeter wave', 'little worse', 'insular guide', 'diode mount', 'dielectric guides', 'antenna applications']</t>
  </si>
  <si>
    <t>Inset dielectric guide (IDG) is an alternative to dielectric guides such as Image or Insular Guide for millimeter wave and antenna applications. Antennas, bends, and couplers in IDG have already been examined showing good characteristics, but the problem of mounting diodes in IDG has not previously been addressed. A simple detector diode mount is examined and its performance in IDG is compared to that achieved when the same diode is mounted in a rectangular metal waveguide. Performance in IDG is good, if a little worse than in waveguide due to some radiation loss from the diode mount. ¬© 1992 IEEE</t>
  </si>
  <si>
    <t>168-170</t>
  </si>
  <si>
    <t>60030480;60030480;60031624</t>
  </si>
  <si>
    <t>7004068328;56253019800;56628525500</t>
  </si>
  <si>
    <t>Pennock, S. R.;Rozzi, T.;DiFilippo, A.</t>
  </si>
  <si>
    <t>Italy;United Kingdom</t>
  </si>
  <si>
    <t>Ancona;Bath</t>
  </si>
  <si>
    <t>Universit√† Politecnica delle Marche;University of Bath</t>
  </si>
  <si>
    <t>60031624;60030480</t>
  </si>
  <si>
    <t>Pennock S.R.</t>
  </si>
  <si>
    <t>Inset Dielectric Guide Mounting of a Detector Diode</t>
  </si>
  <si>
    <t>10.1109/75.134343</t>
  </si>
  <si>
    <t>2-s2.0-0026861864</t>
  </si>
  <si>
    <t>['two antennas', 'shift qdpsk', 'power ratio', 'gain degradations', 'fading correlation', 'delay spread', 'cochannel interference']</t>
  </si>
  <si>
    <t>The diversity gain degradations due to fading correlation and unequal average power are investigated for practical, two-branch postdetection selection diversity reception. The average bit error rate (BER) of œÄ/4-shift QDPSK is theoretically analyzed taking into account additive white Gaussian noise (AWGN), cochannel interference, and multipath channel delay spread; exact diversity gain degradations are calculated. This paper also presents very simple and useful approximate expressions for the gain degradations. When the fading correlation and the power ratio between the two antennas are given by h&lt;inf&gt;12&lt;/inf&gt;(| h&lt;inf&gt;12&lt;/inf&gt; |‚â¶1) and q (‚â¶1), respectively, the total gain degradation is D = 51og{q(l - |h&lt;inf&gt;12&lt;/inf&gt;|&lt;sup&gt;2&lt;/sup&gt;)} dB if the errors are caused by AWGN, while it is 51og{2q(l ‚Äî |h&lt;inf&gt;12&lt;/inf&gt;|&lt;sup&gt;2&lt;/sup&gt;)/(1 + q&lt;sup&gt;2&lt;/sup&gt;)} dB if cochannel interference and delay spread are the cause of errors. ¬© 1992 IEEE</t>
  </si>
  <si>
    <t>199-210</t>
  </si>
  <si>
    <t>7103400688;57203438477;56843426800</t>
  </si>
  <si>
    <t>Adachi, Fumiyuki;Ohno, Koji;Ikura, Masaharu</t>
  </si>
  <si>
    <t>Adachi F.</t>
  </si>
  <si>
    <t>Postdetection Selection Diversity Reception with Correlated, Unequal Average Power Rayleigh Fading Signals for œÄ/4-Shift QDPSK Mobile Radio</t>
  </si>
  <si>
    <t>10.1109/25.142778</t>
  </si>
  <si>
    <t>2-s2.0-0026862175</t>
  </si>
  <si>
    <t>['sidelobe power', 'relatively broadband', 'radiation emitted', 'open end', 'negative portion', 'method uses', 'francis ltd', 'electric field', 'axis component']</t>
  </si>
  <si>
    <t>A means is described to increase the on-axis component of the far-field energy pattern of radiation emitted from the open end of a circular waveguide containing a high order TE1n gyrotron mode. While the sidelobe power is higher than that of some other approaches, this technique is relatively broadband and compact, and should be easy to fabricate. The method uses a phase-plate at the output of the waveguide to rectify the negative portion(s) of the electric field of the circular TE mode in the waveguide. ¬© 1992 Taylor &amp; Francis Ltd.</t>
  </si>
  <si>
    <t>1119-1125</t>
  </si>
  <si>
    <t>60027271-60018319;60027271</t>
  </si>
  <si>
    <t>22973932100;57207904682</t>
  </si>
  <si>
    <t>Black, W. Murray;Gold, Steven H.</t>
  </si>
  <si>
    <t>Washington, D.C.;Fairfax</t>
  </si>
  <si>
    <t>Naval Research Laboratory;George Mason University</t>
  </si>
  <si>
    <t>60027271;60018319</t>
  </si>
  <si>
    <t>Black W.</t>
  </si>
  <si>
    <t>A phase-plate mode transducer for TE&lt;inf&gt;1n&lt;/inf&gt; gyrotron modes</t>
  </si>
  <si>
    <t>10.1080/00207219208925637</t>
  </si>
  <si>
    <t>2-s2.0-0026862954</t>
  </si>
  <si>
    <t>['¬© 1991', 'thermal environment', 'surface coatings', 'surface accuracy', 'sun result', 'strongly influenced', 'spacecraft relative', 'slow rotation', 'shadow cast', 'science monitoring', 'reflector surface', 'multilayer insulation', 'long exposure', 'cooling conditions', 'american institute']</t>
  </si>
  <si>
    <t>The effects of the geosynchronous thermal environment on the surface accuracy of a tetrahedral-truss support structure for a high-frequency microwave antenna concept for Earth-science monitoring have been studied. The thermal environment and the slow rotation of the spacecraft relative to the Sun result in long exposure to both heating and cooling conditions and, consequently, in severe temperature extremes. Resulting transient temperatures ranged from 150 to -180 ¬∞C and were strongly influenced by the shadow cast by the reflector surface. The use of truss element surface coatings achieved mixed success in alleviating thermal problems. Multilayer insulation or a Sun shield worked best in reducing surface distortions, but the distortions still exceeded the required surface accuracy. Surface accuracy requirements could only be met by customization of surface coatings and element expansion characteristics. ¬© 1991 by the American Institute of Aeronautics and Astronautics, Inc.</t>
  </si>
  <si>
    <t>386-393</t>
  </si>
  <si>
    <t>60000854;60000854;60000854;60025209</t>
  </si>
  <si>
    <t>7201823759;6506239928;7403912081;6701921444</t>
  </si>
  <si>
    <t>Farmer, Jeffery T.;Wahls, Deborah M.;Wright, Robert L.;Tahernia, A. Louis</t>
  </si>
  <si>
    <t>Los Angeles;Hampton</t>
  </si>
  <si>
    <t>Northrop Grumman corporation;NASA Langley Research Center</t>
  </si>
  <si>
    <t>60025209;60000854</t>
  </si>
  <si>
    <t>Farmer J.</t>
  </si>
  <si>
    <t>Thermal distortion analysis of an antenna-support truss in geosynchronous orbit</t>
  </si>
  <si>
    <t>10.2514/3.26363</t>
  </si>
  <si>
    <t>2-s2.0-0026865764</t>
  </si>
  <si>
    <t>Research Institute, Georgia Institute of Technology</t>
  </si>
  <si>
    <t>DAAL-03-90-C-0004</t>
  </si>
  <si>
    <t>GTRI</t>
  </si>
  <si>
    <t>['zone plate', 'wave integrated', 'wave frequencies', 'unique feature', 'plate antenna', 'optical design', 'opposite side', 'one side', 'new type', 'moderate gains', 'measured results', 'geometrical parameters', 'focal length', 'easily scaled', 'dielectric substrate', 'desired gain', 'design graphs', 'circuit zone', 'circuit antenna', 'axis gain', 'antennas described', '230 ghz', '20 db']</t>
  </si>
  <si>
    <t>A new type of millimeter-wave integrated-circuit antenna is investigated. The antenna is based on a quasi-optical design and consists of a Fresnel zone plate on one side of a dielectric substrate and a resonant strip dipole antenna at the focus of the zone plate on the opposite side of the substrate. The unique feature of this design is that all of the components are made using simple integrated-circuit fabrication techniques: thin film metal depositions on planar dielectric substrates. Another unusual feature of this design is the short focal length of the zone plate; the focal length/diameter (f/d) for the zone plates studied ranges from 0.1 to 0.5. The antennas described are for a frequency of 230 GHz (Œª0= 1.3 mm); however, the design is easily scaled to other millimeter-wave or sub-millimeter-wave frequencies. Measured results are reported for four different focal length zone plates. Moderate gains, above 20 dB, are obtained. A theory is developed which predicts the on-axis gain, beamwidth, and side lobe levels. Design graphs are given to aid in the selection of the geometrical parameters to achieve a desired gain from the integrated-circuit zone-plate antenna. ¬© 1992 IEEE</t>
  </si>
  <si>
    <t>968-977</t>
  </si>
  <si>
    <t>60022195-60019647;60019647</t>
  </si>
  <si>
    <t>Cambridge;Atlanta</t>
  </si>
  <si>
    <t>Massachusetts Institute of Technology;Georgia Institute of Technology</t>
  </si>
  <si>
    <t>60022195;60019647</t>
  </si>
  <si>
    <t>A Millimeter-Wave Integrated-Circuit Antenna Based on the Fresnel Zone Plate</t>
  </si>
  <si>
    <t>10.1109/22.137405</t>
  </si>
  <si>
    <t>2-s2.0-0026866123</t>
  </si>
  <si>
    <t>['several geometries', 'perpendicularly coupled', 'paper describes', 'general analysis', 'experimental results', 'examples include', 'different feedlines', 'analytical results', 'analysis used']</t>
  </si>
  <si>
    <t>This part of the paper describes the application of the general analysis of Part I to several practical geometries of multilayer/multifeed printed antennas. These examples include a dual-feed circularly polarized geometry; a stacked patch geometry; a stripline-aperture coupled geometry with a radome; an open-end proximity coupled patch; and dipole and slot geometries inclined or perpendicularly coupled to different feedlines. Features of the selected geometries cover many practical aspects of multilayer integrated phased arrays. Experimental results for several geometries are compared with the analytical results to demonstrate the accuracy and versatility of the analysis used. Various design considerations for the use of these multilayered printed antenna geometries in integrated phased array applications are discussed. ¬© 1992 IEEE</t>
  </si>
  <si>
    <t>482-491</t>
  </si>
  <si>
    <t>;60014313</t>
  </si>
  <si>
    <t>7201995024;7006061921</t>
  </si>
  <si>
    <t>Das, Nirod K.;Pozar, David M.</t>
  </si>
  <si>
    <t>Das N.K.</t>
  </si>
  <si>
    <t>Multiport Scattering Analysis of General Multilayered Printed Antennas Fed by Multiple Feed Ports: Part II‚ÄîApplications</t>
  </si>
  <si>
    <t>10.1109/8.142622</t>
  </si>
  <si>
    <t>2-s2.0-0026866203</t>
  </si>
  <si>
    <t>['square array', 'invariance properties', 'incoming narrow', 'crossed dipoles', 'band signals']</t>
  </si>
  <si>
    <t>It is shown how the ESPRIT algorithm may be used with a square array of crossed dipoles to estimate both the two-dimensional arrival angles and the polarizations of incoming narrow-band signals. The ESPRIT algorithm exploits the invariance properties of such an array so that both angle and polarization estimates may be computed. Some typical examples showing the use of this approach are presented. ¬© 1992 IEEE</t>
  </si>
  <si>
    <t>550-555</t>
  </si>
  <si>
    <t>7410065637;35611381200</t>
  </si>
  <si>
    <t>Li, Jian;Compton, R. T.</t>
  </si>
  <si>
    <t>Li J.</t>
  </si>
  <si>
    <t>Two-Dimensional Angle and Polarization Estimation Using the ESPRIT Algorithm</t>
  </si>
  <si>
    <t>10.1109/8.142630</t>
  </si>
  <si>
    <t>2-s2.0-0026866418</t>
  </si>
  <si>
    <t>['watson formulas', 'transition region', 'satisfactory criterion', 'proper branches', 'olver formulas', 'numerical viewpoint', 'nonuniform formulas', 'far apart', 'debye formulas', 'complex functions', 'communication examines', 'close together', 'asymptotic representations']</t>
  </si>
  <si>
    <t>This communication examines the use of Olver's uniform asymptotic expansions to compute Hankel functions of complex argument z and complex order u. Emphasis is placed on how to choose the proper branches in evaluation of the complex functions in the asymptotic representations. Comparison is made with the nonuniform formulas of Debye and Watson. The Debye formulas are valid when z and v are far apart, and the Watson formulas are valid when z and v are close together. The fact that the Olver formulas are uniform is important from a numerical viewpoint, because a satisfactory criterion for deciding when to switch between the Debye and Watson formulas is not available. Validation is by the comparison with two nonasymptotic methods: 1) direct numerical integration of the Sommerfeld integral representation of H&lt;inf&gt;v&lt;/inf&gt;&lt;sup&gt;(1)&lt;/sup&gt;(z), and 2) the code of Goldstein et al. at New York University, which is based on recursion. It is verified that the Olver formulas are considerably more accurate than the Debye or Watson formulas, especially in the transition region. ¬© 1992 IEEE</t>
  </si>
  <si>
    <t>569-578</t>
  </si>
  <si>
    <t>Paknys, Robert</t>
  </si>
  <si>
    <t>Montreal</t>
  </si>
  <si>
    <t>Concordia University</t>
  </si>
  <si>
    <t>Paknys R.</t>
  </si>
  <si>
    <t>Evaluation of Hankel Functions with Complex Argument and Complex Order</t>
  </si>
  <si>
    <t>10.1109/8.142635</t>
  </si>
  <si>
    <t>2-s2.0-0026866469</t>
  </si>
  <si>
    <t>['wiley company', 'omni variation', 'inc .,', 'horizontal plane', 'frequency band', 'element incorporated', 'cophase condition']</t>
  </si>
  <si>
    <t>array pattern | omnidirectional | strip line | Tapered slot antenna</t>
  </si>
  <si>
    <t>Horizontally polarized omnidirectional characteristics in planes of arrays have been achieved with a 32 element circular array. The element incorporated is a printed circuit tapered slot radiator in a strip‚Äêline configuration. This array was excited in cophase condition and was evaluated over the 6‚Äì18‚ÄêGHz frequency band. It was observed that the omni variation in the horizontal plane is within ¬±3 dB over the frequency band. Copyright ¬© 1992 Wiley Periodicals, Inc., A Wiley Company</t>
  </si>
  <si>
    <t>246-249</t>
  </si>
  <si>
    <t>60015465;60015465;60008721</t>
  </si>
  <si>
    <t>7201897087;57210533617;7005770188</t>
  </si>
  <si>
    <t>Misra, V. C.;Pal, Ram;Dey, K. K.</t>
  </si>
  <si>
    <t>Dehradun;Varanasi</t>
  </si>
  <si>
    <t>Defence Research and Development Organisation India;Banaras Hindu University</t>
  </si>
  <si>
    <t>60015465;60008721</t>
  </si>
  <si>
    <t>Misra V.</t>
  </si>
  <si>
    <t>Broadband horizontally polarized omni antenna</t>
  </si>
  <si>
    <t>10.1002/mop.4650050514</t>
  </si>
  <si>
    <t>2-s2.0-0026866470</t>
  </si>
  <si>
    <t>['wiley company', 'measured results', 'inc .,', 'improve isolation', 'dual polarization', 'axial ratio']</t>
  </si>
  <si>
    <t>dual circular polarization | Microstrip antenna | microstrip array</t>
  </si>
  <si>
    <t>Sequentially rotated feeding improves the axial ratio and input VSWR bandwidths of circularly polarized arrays. However, when dual polarization is wanted, the method is shown not to improve isolation, as is the case for dual linearly polarized arrays. This deficiency is overcome by squinting the beam. Measured results for a small array confirm this and computations for large arrays indicate performance capabilities. Copyright ¬© 1992 Wiley Periodicals, Inc., A Wiley Company</t>
  </si>
  <si>
    <t>236-239</t>
  </si>
  <si>
    <t>Hall, P. S.</t>
  </si>
  <si>
    <t>Swindon</t>
  </si>
  <si>
    <t>Defence College of Management and Technology</t>
  </si>
  <si>
    <t>Hall P.</t>
  </si>
  <si>
    <t>Dual circularly polarized sequentially rotated microstrip array with high isolation</t>
  </si>
  <si>
    <t>10.1002/mop.4650050511</t>
  </si>
  <si>
    <t>2-s2.0-0026866471</t>
  </si>
  <si>
    <t>['wiley company', 'obtained theoretically', 'measured result', 'inc .,', 'circular polarization']</t>
  </si>
  <si>
    <t>axially magnetized | circular polarization | far fields | Ferrite | microstrip antenna</t>
  </si>
  <si>
    <t>The theoretically derived far‚Äêfield components of a circular ferrite microstrip antenna (FMA), biased axially by a steady magnetic field, are reported in this letter. The circular polarization, obtained theoretically, is compared with the measured result. Copyright ¬© 1992 Wiley Periodicals, Inc., A Wiley Company</t>
  </si>
  <si>
    <t>228-230</t>
  </si>
  <si>
    <t>60008447;60008447;60008447;60008447;60008447</t>
  </si>
  <si>
    <t>7202869307;6601978312;7004363654;6602515237;7006402070</t>
  </si>
  <si>
    <t>Roy, Jibendu Sekhar;Vaudon, Patrick;Reineix, Alain;Jecko, Fran√ßOise;Jecko, Bernard</t>
  </si>
  <si>
    <t>Roy J.S.</t>
  </si>
  <si>
    <t>Circularly polarized far fields of an axially magnetized circular ferrite microstrip antenna</t>
  </si>
  <si>
    <t>10.1002/mop.4650050508</t>
  </si>
  <si>
    <t>2-s2.0-0026866524</t>
  </si>
  <si>
    <t>['wiley company', 'transmission lines', 'series fed', 'reflected power', 'properly utilizing', 'inc .,', 'antiphase technique']</t>
  </si>
  <si>
    <t>Antenna | microstrip | parallel/series feed</t>
  </si>
  <si>
    <t>A linearly polarized traveling‚Äêwave microstrip array antenna is parallel and series fed by microstrip transmission lines. Excellent antenna efficiency is achieved by having proper impedance matching throughout the array and by properly utilizing the reflected power from the end of the array. Very low cross‚Äêpolarization radiation is achieved by exciting the patches and transmission lines with antiphase technique. Copyright ¬© 1992 Wiley Periodicals, Inc., A Wiley Company</t>
  </si>
  <si>
    <t>230-233</t>
  </si>
  <si>
    <t>Huang, John</t>
  </si>
  <si>
    <t>Huang J.</t>
  </si>
  <si>
    <t>A parallel‚Äêseries‚Äêfed microstrip array with high efficiency and low cross‚Äêpolarization</t>
  </si>
  <si>
    <t>10.1002/mop.4650050509</t>
  </si>
  <si>
    <t>2-s2.0-0026866760</t>
  </si>
  <si>
    <t>86-98035</t>
  </si>
  <si>
    <t>['¬© 1992', 'well suited', 'spatial separation', 'remain zero', 'reference input', 'reducing broadband', 'inversion lemma', 'element gain', 'either forced', 'direction tolerance', 'conventional beamformer', 'constraints make', 'broadband signal', 'beamformer addresses']</t>
  </si>
  <si>
    <t>A null constrained beamformer is a minimum variance beamformer in which each weight is either forced to remain zero or allowed to participate in the adaptive interference nulling process. Based on source delay modeling, a null constraint set is determined by sensor position tolerance, look-direction tolerance and signal correlation characteristics. These constraints make the desired primary input signal statistically orthogonal to the reference input. This beamformer addresses the problem of reducing broadband and narrowband sidelobe interference without rejecting the mainlobe broadband signal. Wiener solution analysis guarantees superior output signal to interference plus noise ratio as compared to a conventional beamformer. Preservation of a broadband signal is proven to be insensitive to sensor-element gain. A spatial separation of discrete white noise sources is analyzed, using the inversion lemma. This easily implemented processor is well suited to wideband low power signals. ¬© 1992.</t>
  </si>
  <si>
    <t>331-340</t>
  </si>
  <si>
    <t>Computers and Electrical Engineering</t>
  </si>
  <si>
    <t>May 1992/July 1992</t>
  </si>
  <si>
    <t>60010451;60010451</t>
  </si>
  <si>
    <t>6508306226;7401448426</t>
  </si>
  <si>
    <t>Shenhav, Chaim;Wood, Sally L.</t>
  </si>
  <si>
    <t>Santa Clara</t>
  </si>
  <si>
    <t>Santa Clara University</t>
  </si>
  <si>
    <t>Shenhav C.</t>
  </si>
  <si>
    <t>Null constrained adaptive beamformer-Discrete white noise source analysis</t>
  </si>
  <si>
    <t>10.1016/0045-7906(92)90024-8</t>
  </si>
  <si>
    <t>2-s2.0-0026866773</t>
  </si>
  <si>
    <t>['surface waves', 'radiation pattern', 'dielectric anisotropy', 'cutoff frequency']</t>
  </si>
  <si>
    <t>The behavior of the leaky and surface wave modes supported by single and double-layered grounded anisotropic dielectric structures is investigated. Simple low frequency and high frequency asymptotic formulas are derived for the wavenumbers. The effects of dielectric anisotropy and losses on the cutoff frequency of the surface waves and on the radiation pattern of a leaky wave antenna are examined. ¬© 1992 IEEE</t>
  </si>
  <si>
    <t>566-569</t>
  </si>
  <si>
    <t>60004956;60004956</t>
  </si>
  <si>
    <t>6701730449;35614447100</t>
  </si>
  <si>
    <t>Peixeiro, C.;Barbosa, A. M.</t>
  </si>
  <si>
    <t>Portugal</t>
  </si>
  <si>
    <t>Lisbon</t>
  </si>
  <si>
    <t>Instituto Superior T√©cnico</t>
  </si>
  <si>
    <t>Peixeiro C.</t>
  </si>
  <si>
    <t>Leaky and Surface Waves in Anisotropic Printed Antenna Structures</t>
  </si>
  <si>
    <t>10.1109/8.142634</t>
  </si>
  <si>
    <t>2-s2.0-0026866822</t>
  </si>
  <si>
    <t>['theoretical predictions', 'results indicate', 'radiation patterns', 'power radiated', 'polarized component', 'hermite modes', 'diagonal horn', 'aperture integration', 'also expanded', '84 %.', '100 ghz']</t>
  </si>
  <si>
    <t>The far-field radiation pattern of a diagonal horn has been calculated by aperture integration. The radiation patterns for a 4 x 4 diagonal horn array, measured at 100 GHz, agree very well with the theoretical predictions. The aperture electric field was also expanded into Gauss-Hermite modes. The results indicate that the fraction of the power radiated into the fundamental Gaussian mode is about 84%. About 10% of the power is radiated in the cross-polarized component. ¬© 1992 IEEE</t>
  </si>
  <si>
    <t>795-800</t>
  </si>
  <si>
    <t>60007328;60007328</t>
  </si>
  <si>
    <t>35617942000;56782600300</t>
  </si>
  <si>
    <t>Johansson, Joakim F.;Whybom, Nicholas D.</t>
  </si>
  <si>
    <t>Onsala</t>
  </si>
  <si>
    <t>Onsala Space Observatory</t>
  </si>
  <si>
    <t>Johansson J.</t>
  </si>
  <si>
    <t>The Diagonal Horn as a Sub-Millimeter Wave Antenna</t>
  </si>
  <si>
    <t>10.1109/22.137380</t>
  </si>
  <si>
    <t>2-s2.0-0026867439</t>
  </si>
  <si>
    <t>['‚ äúshooting', 'traced based', 'shot toward', 'scatterer surface', 'scatterer boundary', 'refracted rays', 'reflected rays', 'rays representing', 'rays inside', 'rays cross', 'ray formulation', 'penetrable objects', 'medium parameters', 'inhomogeneous objects', 'inhomogeneous object', 'good agreement', 'geometrical optics', 'generated due', 'exiting rays', 'equivalence principle', 'electromagnetic scattering', 'electrically large', 'dense grid', 'backscattering mechanisms', 'additional reflected']</t>
  </si>
  <si>
    <t>A ‚Äúshooting and bouncing ray‚Äù (SBR) formulation is presented for treating the electromagnetic scattering from electrically large, inhomogeneous objects. A dense grid of rays representing the incident plane wave is shot toward the inhomogeneous object. At the scatterer boundary, reflected rays and refracted rays are generated due to discontinuity of the medium parameters. The trajectory, amplitude, phase and polarization of the rays inside the inhomogeneous object are traced based on geometrical optics. Whenever the rays cross the scatterer surface, additional reflected/refracted rays are generated and are tracked. This process is repeated until the intensities of the refracted/reflected rays become negligible. The contributions of the exiting rays to the total scattered field are calculated by using the equivalence principle in conjunction with a ray-tube integration scheme. The ray formulation is applied to calculate the backscattering from cylinders and spheres and good agreement with the exact series solutions is observed in the high frequency range. In addition, the backscattering mechanisms in penetrable objects are interpreted in terms of simple ray pictures. ¬© 1992 IEEE</t>
  </si>
  <si>
    <t>517-525</t>
  </si>
  <si>
    <t>60013372;60013372</t>
  </si>
  <si>
    <t>7410128245;7202062608</t>
  </si>
  <si>
    <t>Kim, Hyeongdong;Ling, Hao</t>
  </si>
  <si>
    <t>Austin</t>
  </si>
  <si>
    <t>The University of Texas at Austin</t>
  </si>
  <si>
    <t>Kim H.</t>
  </si>
  <si>
    <t>Electromagnetic Scattering from an Inhomogeneous Object by Ray Tracing</t>
  </si>
  <si>
    <t>10.1109/8.142626</t>
  </si>
  <si>
    <t>2-s2.0-0026867506</t>
  </si>
  <si>
    <t>['way doppler', 'results indicate', 'renewed interest', 'recent advances', 'precise navigation', 'interplanetary navigation', 'earth orbiters', 'conventional two', 'apogee heights', 'analysis assumes', '000 km']</t>
  </si>
  <si>
    <t>Recent advances in NASA‚Äôs Deep Space Network station calibration methods have led to renewed interest in the use of differenced radio metric data types for interplanetary navigation, particularly differenced Doppler and range. In this article, an orbit determination error analysis is described which compares the performance of these differenced data types when used in concert with conventional two-way Doppler for precise navigation for High-Earth Orbiters. Three highly elliptical orbits are investigated, with apogee heights on the order of 20,000 km, 70,000 km and 156,000 km. The analysis assumes that each orbiter‚Äôs downlink antenna has no ground footprint limitation in the near apogee regime. Results indicate that the most significant navigational accuracy improvements are seen for the lowest altitude orbit by using differenced Doppler measurements in conjunction with two-way Doppler. The results for the two higher altitude orbits, although less dramatic, suggest accuracy improvements can also be achieved when differenced range measurements are combined with two-way Doppler. ¬© 1992 IEEE</t>
  </si>
  <si>
    <t>Estefan, Jeff A.</t>
  </si>
  <si>
    <t>Estefan J.A.</t>
  </si>
  <si>
    <t>Precise Orbit Determination of High-Earth Elliptical Orbiters Using Differenced Doppler and Ranging Measurements</t>
  </si>
  <si>
    <t>10.1109/62.257087</t>
  </si>
  <si>
    <t>2-s2.0-0026867667</t>
  </si>
  <si>
    <t>['wave spectral', 'unified nature', 'solution uses', 'radiating patches', 'radiating elements', 'proximity coupled', 'present application', 'part ii', 'parasitic patches', 'paper describes', 'numerical aspects', 'multifeed stacked', 'large variety', 'key analytical', 'isolated elements', 'ground planes', 'general solution', 'computer simulation', 'arbitrary configuration', 'aperture coupled']</t>
  </si>
  <si>
    <t>Part I of this paper describes a general solution to a class of printed antenna geometries composed of multiple dielectric layers or ground planes, radiating patches, dipoles, or slots, and an arbitrary configuration of multiple transmission lines proximity coupled or aperture coupled to the radiating elements. The solution uses a full-wave spectral-domain moment method approach, and a new generalized multiport scattering formulation to model the excitation from the multiple feed lines. This method treats infinite phased arrays as well as isolated elements. The general theory using the new multiport scattering formulation is elaborated, with details of the key analytical and numerical aspects. Considering the unified nature of the multiport scattering analysis, and its simplicity, this analysis is appropriate for computer simulation of a large variety of multilayered microstrip antennas involving radome layers, dual polarized feeds, proximity coupled or aperture coupled elements, multifeed stacked or parasitic patches, and several related configurations for integrated phased array applications. Part II of the paper will present application of the analysis to several specific geometries of interest. ¬© 1992 IEEE</t>
  </si>
  <si>
    <t>469-481</t>
  </si>
  <si>
    <t>60108318;60014313</t>
  </si>
  <si>
    <t>New York;Amherst MA</t>
  </si>
  <si>
    <t>NYU Tandon School of Engineering;University of Massachusetts Amherst</t>
  </si>
  <si>
    <t>Multiport Scattering Analysis of General Multilayered Printed Antennas Fed by Multiple Feed Ports: Part I‚ÄîTheory</t>
  </si>
  <si>
    <t>10.1109/8.142621</t>
  </si>
  <si>
    <t>2-s2.0-0026867813</t>
  </si>
  <si>
    <t>Semiconductor Research Corporation</t>
  </si>
  <si>
    <t>SRC</t>
  </si>
  <si>
    <t>['two orders', 'tunneling currents', 'temperature aging', 'polarity effects', 'plasma charging', 'oxide susceptibility', 'negative bias', 'includes annealing', 'hole trapping']</t>
  </si>
  <si>
    <t>The plasma-induced charge damage to small gate area MOS capacitors is investigated by using ‚Äúantenna‚Äù structures. After an O2 plasma step the interface state density increases with increasing antenna area and varies by two orders of magnitude. A hole trapping-induced breakdown mechanism during plasma charging is supported by new experimental evidence which includes annealing and polarity effects for charge to breakdown and tunneling currents. In addition, oxide susceptibility is shown to depend on oxide growth conditions and is predictable by negative bias-temperature aging. ¬© 1992 IEEE</t>
  </si>
  <si>
    <t>288-290</t>
  </si>
  <si>
    <t>IEEE Electron Device Letters</t>
  </si>
  <si>
    <t>60012708;60012708</t>
  </si>
  <si>
    <t>7402422644;57208456003</t>
  </si>
  <si>
    <t>Fang, Sychyi;Mcvittie, James P.</t>
  </si>
  <si>
    <t>Stanford University</t>
  </si>
  <si>
    <t>Fang S.</t>
  </si>
  <si>
    <t>Thin-Oxide Damage from Gate Charging During Plasma Processing</t>
  </si>
  <si>
    <t>10.1109/55.145056</t>
  </si>
  <si>
    <t>2-s2.0-0026867840</t>
  </si>
  <si>
    <t>['saline solutions', 'monopole antenna', 'measured data', 'material using', 'good agreement', 'complex permittivity', 'complex permittivities']</t>
  </si>
  <si>
    <t>A method for measuring the complex permittivity of a material using a monopole antenna is presented. To test this technique, the complex permittivities of saline solutions in the frequency range 725‚Äì1300 MHz have been measured. The measured data are in good agreement with those obtained by other techniques. ¬© 1992 IEEE</t>
  </si>
  <si>
    <t>624-627</t>
  </si>
  <si>
    <t>60026187;60005837</t>
  </si>
  <si>
    <t>55499036800;57216596359</t>
  </si>
  <si>
    <t>He, Y. D.;Shen, L. C.</t>
  </si>
  <si>
    <t>Houston;Houston</t>
  </si>
  <si>
    <t>Halliburton;University of Houston</t>
  </si>
  <si>
    <t>He Y.D.</t>
  </si>
  <si>
    <t>Measurement of Complex Permittivity of Materials Using a Monopole Antenna</t>
  </si>
  <si>
    <t>10.1109/36.142944</t>
  </si>
  <si>
    <t>2-s2.0-0026868030</t>
  </si>
  <si>
    <t>['wiley company', 'tapered angle', 'inc .,', 'detector mount', '16 degree']</t>
  </si>
  <si>
    <t>Dielectric image line | hot carrier diode | triangular antenna</t>
  </si>
  <si>
    <t>The broadband millimeter‚Äêwave detector using a dielectric image line is presented. The detector mount is fabricated by a hot carrier diode and a triangular unipole antenna with tapered angle of 16 degree, 39‚Äêdegree flare angle and 3.4 mm length. A broadband millimeter‚Äêwave 32‚Äì50‚ÄêGHz detector is obtained. Copyright ¬© 1992 Wiley Periodicals, Inc., A Wiley Company</t>
  </si>
  <si>
    <t>239-240</t>
  </si>
  <si>
    <t>Kikuchi, Kazuo</t>
  </si>
  <si>
    <t>Kikuchi K.</t>
  </si>
  <si>
    <t>Broadband millimeter‚Äêwave detector using dielectric image line</t>
  </si>
  <si>
    <t>10.1002/mop.4650050512</t>
  </si>
  <si>
    <t>2-s2.0-0026868068</t>
  </si>
  <si>
    <t>['would detect', 'specifically designed', 'return alleys', 'month period', 'milking parlor', 'electronic scales', 'design procedure', 'cows passing', 'cows exited', 'body weights', 'automatic acquisition', 'article describes']</t>
  </si>
  <si>
    <t>Two antenna stations were designed, installed in the return alleys of the milking parlor of the University of Illinois dairy farm, and tested over a three-month period to automatically identify cows passing through the alley after each milking. This article describes the design procedure and lab tests conducted to obtain a sensor antenna installation which would detect each working transponder automatically on cows passing through the station in the return alleys. The system was specifically designed for integrating with electronic scales for automatic acquisition of body weights as cows exited the milking parlor.</t>
  </si>
  <si>
    <t>383-388</t>
  </si>
  <si>
    <t>Applied Engineering in Agriculture</t>
  </si>
  <si>
    <t>May</t>
  </si>
  <si>
    <t>6506804872;7004365498</t>
  </si>
  <si>
    <t>Deligeersang, S. L.Spahr;Puckett, H. B.</t>
  </si>
  <si>
    <t>Deligeersang S.L.S.</t>
  </si>
  <si>
    <t>Design and installation of an antenna station in the return alley of the milking parlor</t>
  </si>
  <si>
    <t>10.13031/2013.26081</t>
  </si>
  <si>
    <t>2-s2.0-0026868075</t>
  </si>
  <si>
    <t>['tilt angles', 'strategy assures', 'slightly dependent', 'rain rate', 'rain margin', 'rain depolarization', 'polarization state', 'polarization ellipse', 'polarization crosstalk', 'maximum limits', 'major axis', 'lowest value', 'least one', 'incoming wave', 'hand polarization', 'greater degree', 'design maximum', 'deliberately designed', 'conventional approach', 'clear weather', 'axial ratio', 'antenna system', 'almost independent', '60 ¬∞.', '20 ghz']</t>
  </si>
  <si>
    <t>Rain depolarization of nominally circularly polarized waves alters the polarization state of the wave to produce a polarization ellipse in which the major axis is tilted with respect to the horizontal. Tilt angles for right-hand and left-hand polarization are opposite in sign. It is shown that these tilt angles are almost independent of rain rate and only slightly dependent on frequency. At 20 GHz the magnitude of tilt is close to 60¬∞. The suggestion is made that the antenna system be deliberately designed to match, as closely as possible, the polarization state of the incoming wave when the expected rain attenuation is at the design maximum (rain margin) for a given communications link. This strategy assures that the crosstalk between polarizations will be minimized at the point where minimization is most needed, that is when the signal-to-thermal noise ratio (SNR) is at its lowest value. In clear weather, the SNR will be larger, and a greater degree of polarization crosstalk can be tolerated. Finding an optimal match involves selection of the correct rotational orientation of at least one of the antennas as well as specification of its axial ratio to lie between minimum and maximum limits. This is in contrast with the conventional approach which specifies a maximum only. The concept can be applied to any dual polarization frequency reuse link employing circular polarization in which radomes are not employed. Further experimental work would be required to extend the concept to include wet radome effects. ¬© 1992 IEEE</t>
  </si>
  <si>
    <t>510-516</t>
  </si>
  <si>
    <t>60005304;60005304;60013481</t>
  </si>
  <si>
    <t>7101662000;6506510513;7202045875</t>
  </si>
  <si>
    <t>Hendrix, Charles E.;Kulon, Gregory;Russell, Thomas A.</t>
  </si>
  <si>
    <t>Reston;Waltham</t>
  </si>
  <si>
    <t>Stanford Telecommunications, Inc. - Reston;Raytheon</t>
  </si>
  <si>
    <t>60013481;60005304</t>
  </si>
  <si>
    <t>Hendrix C.E.</t>
  </si>
  <si>
    <t>Specification of Polarization Parameters for Optimal-Performance in Rain of Dual Circularly Polarized Radio Links</t>
  </si>
  <si>
    <t>10.1109/8.142625</t>
  </si>
  <si>
    <t>2-s2.0-0026868136</t>
  </si>
  <si>
    <t>['wiley company', 'theoretical development', 'spherical surface', 'resonant frequency', 'radiation pattern', 'particular example', 'input impedance', 'inc .,', 'fundamental mode', 'function formulation', 'dyadic green', 'cavity model', 'antenna operating']</t>
  </si>
  <si>
    <t>Conformal microstrip antennas | spherical‚Äêcircular microstrip antenna</t>
  </si>
  <si>
    <t>A theoretical development for the analysis of a circular microstrip antenna on a spherical surface is described here. It consists of using the cavity model with magnetic side walls and the dyadic Green's function formulation. Expressions for calculating the resonant frequency and input impedance are given. A particular example with the antenna operating in its fundamental mode is examined. The characteristics of this antenna, including its radiation pattern, are presented. Copyright ¬© 1992 Wiley Periodicals, Inc., A Wiley Company</t>
  </si>
  <si>
    <t>221-224</t>
  </si>
  <si>
    <t>60029570;60029570;60029570</t>
  </si>
  <si>
    <t>24328775100;6602432734;7004822283</t>
  </si>
  <si>
    <t>De Castro Lima, Antonio Cesar;Descardeci, Jos√© Ricardo;Giarola, Attilio Jos√©</t>
  </si>
  <si>
    <t>De Castro Lima A.</t>
  </si>
  <si>
    <t>Circular microstrip antenna on a spherical surface</t>
  </si>
  <si>
    <t>10.1002/mop.4650050506</t>
  </si>
  <si>
    <t>2-s2.0-0026868249</t>
  </si>
  <si>
    <t>['previous paper', 'numerical experiments', 'numerical example', 'new method', 'mls even', 'mls ).', 'least square', 'interior region', 'interior green', 'arbitrary sources', 'accurate results']</t>
  </si>
  <si>
    <t>A new method, which has been proposed in our previous paper, to obtain the mutual admittance matrix in the moment method analysis by using the interior Green's function is improved by introducing the method of least square (MLS). A numerical example of a two-dimensional problem shows that accurate results can be obtained by introducing the MLS even when arbitrary sources are assumed for numerical experiments in the interior region. ¬© 1992 IEEE</t>
  </si>
  <si>
    <t>563-565</t>
  </si>
  <si>
    <t>60008435;60138325;60008435</t>
  </si>
  <si>
    <t>35598806700;36905942800;56779495700</t>
  </si>
  <si>
    <t>Sawaya, K.;Yatabe, S.;Adachi, S.</t>
  </si>
  <si>
    <t>Tokyo;Sendai</t>
  </si>
  <si>
    <t>Nippon Steel Corporation;Tohoku University</t>
  </si>
  <si>
    <t>60138325;60008435</t>
  </si>
  <si>
    <t>Sawaya K.</t>
  </si>
  <si>
    <t>Exterior Moment Method Analysis of Conducting Scatterers by Using the Interior Green's Function and the Method of Least Square</t>
  </si>
  <si>
    <t>10.1109/8.142633</t>
  </si>
  <si>
    <t>2-s2.0-0026868393</t>
  </si>
  <si>
    <t>['printed antenna', 'novel use', 'modeling coaxial', 'fdtd method', 'experimental results', 'domain method', 'difference time', 'accurate tool']</t>
  </si>
  <si>
    <t>The finite-difference time-domain method (FDTD) is used to accurately characterize complex planar printed antennas with various feed structures, which include coaxial probe feed, microstrip line feed, and aperture coupled feed structures. A new coaxial probe model is developed by using a three-dimensional FDTD technique. This model is shown to be an efficient and accurate tool for modeling coaxial-line fed structures. A novel use of a dispersive absorbing boundary condition is presented for a printed antenna with a high dielectric constant. All the numerical results obtained by the FDTD method are compared with experimental results, and the comparison shows excellent agreement over a wide frequency band. ¬© 1992 IEEE</t>
  </si>
  <si>
    <t>526-534</t>
  </si>
  <si>
    <t>7501662188;7404507474;7102348576;7006562937</t>
  </si>
  <si>
    <t>Wu, Chen;Wu, Ke Li;Bi, Zhi Qiang;Litva, John</t>
  </si>
  <si>
    <t>Wu C.</t>
  </si>
  <si>
    <t>Accurate Characterization of Planar Printed Antennas Using Finite-Difference Time-Domain Method</t>
  </si>
  <si>
    <t>10.1109/8.142627</t>
  </si>
  <si>
    <t>2-s2.0-0026868394</t>
  </si>
  <si>
    <t>['taylor distribution', 'specular component', 'significant impact', 'sea surface', 'sea clutter', 'results indicate', 'region extends', 'region exists', 'received intensities', 'rainfall measurements', 'rain echo', 'radar swath', 'quantitatively examined', 'quantitative measurements', 'outer part', 'interference zone', 'inner part', 'incidence angle', 'evaluated numerically', 'backscattered power', 'approximately 1', 'antenna sidelobes', 'also found', '30 db', '2 km', '17 ¬∞.']</t>
  </si>
  <si>
    <t>Surface clutter interference through antenna sidelobes on rainfall measurements by spaceborne rain radar is quantitatively examined in order to clarify design criteria for the antenna, the development of which is one of the most important technological issues in realizing a spaceborne rain radar. The received intensities of both rain echo and sea clutter are evaluated numerically, assuming appropriate precipitation and sea surface scattering models and a realistic antenna pattern for a phased array antenna which is fed with the Taylor distribution. The results indicate that a region exists just above the sea surface where the sea surface clutter masks the backscattered power from the rain. The region extends to an altitude of approximately 1.2 km for an incidence angle of 17¬∞. The results also demonstrate the feasibility of quantitative measurements of rainfall in regions above this interference zone if a planar array antenna fed with the Taylor distribution of peak sidelobe level -30 dB is used. It is also found that interference through sidelobe-sea clutter coupling is larger in the inner part of radar swath than in the outer part. This means that the specular component of sea surface scattering, especially in calm sea surface conditions, has a significant impact on rainfall measurements from space. ¬© 1992 IEEE</t>
  </si>
  <si>
    <t>444-453</t>
  </si>
  <si>
    <t>60092258;60092258</t>
  </si>
  <si>
    <t>6701800237;7101896911</t>
  </si>
  <si>
    <t>Hanado, Hiroshi;Ihara, Toshio</t>
  </si>
  <si>
    <t>Koganei</t>
  </si>
  <si>
    <t>Ministry of Posts and Telecommunications, Japan</t>
  </si>
  <si>
    <t>Hanado H.</t>
  </si>
  <si>
    <t>Evaluation of Surface Clutter for the Design of the TRMM Spaceborne Radar</t>
  </si>
  <si>
    <t>10.1109/36.142922</t>
  </si>
  <si>
    <t>2-s2.0-0026868669</t>
  </si>
  <si>
    <t>University of Michigan</t>
  </si>
  <si>
    <t>U-M</t>
  </si>
  <si>
    <t>['submillimeter wavelengths', 'sis detector', 'schottky diode', 'planar detector', 'measured gain', 'match well', 'integrated reflector', 'input impedance', 'ground plane', 'gaussian beams', 'dipole antenna', '37 db', '119 œºm']</t>
  </si>
  <si>
    <t>A double-dipole antenna backed by a ground plane has been fabricated for submillimeter wavelengths. The double-dipole antenna is integrated on a thin dielectric membrane with a planar detector at its center. Measured feed patterns at 246 GHz agree well with theory and demonstrate a rotationally symmetric pattern with high coupling efficiency to Gaussian beams. The input impedance is around 50Œ©, and will match well to a Schottky diode or SIS detector. The double-dipole antenna served as the feed for a small machined parabolic reflector. The integrated reflector had a measured gain of 37 dB at 119 Œºm. This makes the double-dipole antenna ideally suited as a feed for high resolution tracking or for long focal length case-grain antenna systems. ¬© 1992 IEEE</t>
  </si>
  <si>
    <t>962-967</t>
  </si>
  <si>
    <t>7007076782;6602531547;7006384021</t>
  </si>
  <si>
    <t>Filipovic, Daniel F.;Ali-Ahmad, Walid Y.;Rebeiz, Gabriel M.</t>
  </si>
  <si>
    <t>Filipovic D.</t>
  </si>
  <si>
    <t>Millimeter-Wave Double-Dipole Antennas for High-Gain Integrated Reflector Illumination</t>
  </si>
  <si>
    <t>10.1109/22.137404</t>
  </si>
  <si>
    <t>2-s2.0-0026868870</t>
  </si>
  <si>
    <t>['well suited', 'well established', 'silicon wafers', 'see text', 'radiation pattern', 'profiled horn', 'new step', 'millimeter wave', 'large number', 'large flare', 'integrated step', 'integrated horns', 'horn cavity', 'gaussian beam', 'gains higher', 'db beamwidth', 'coupling efficiency', '90 ¬∞.', '83 %.', '70 ¬∞', '4 db', '37 ¬∞', '20 db', '17 db', '13 db', '1 ghz']</t>
  </si>
  <si>
    <t>Dipole excited integrated horn antennas are well established by now. Their main limitation stems from their large flare angle of 70¬∞ which is inherent in the anisotropic etching process of &lt;100&gt; silicon wafers. The large flare-angle does not allow for integrated horns with gains higher than 13 dB and for 10-dB beamwidths less than 90¬∞. In this paper, a new step-profiled horn is proposed which reduces the effective flare angle of the horn and allows for gains in the region of 17 dB to 20 dB to be achieved. The symmetry of the horn's radiation pattern is enhanced by positioning the exciting dipole along the diagonal of the horn cavity. A specific design example is shown with a gain of 18.4 dB and a 10-dB beamwidth of 37¬∞ in the E, H and 45¬∞ planes. The coupling efficiency of this horn to a Gaussian beam is calculated to be 83%. An equivalent smooth envelope-horn (see text) was built at 12.1 GHz and the measured patterns agree well with theory. The integrated step-profiled horn is well suited for millimeter wave and Terahertz focal plane imaging arrays requiring a large number of elements. ¬© 1992 IEEE</t>
  </si>
  <si>
    <t>801-805</t>
  </si>
  <si>
    <t>7004469751;7006384021</t>
  </si>
  <si>
    <t>Eleftheriades, George V.;Rebeiz, Gabriel M.</t>
  </si>
  <si>
    <t>High-Gain Step-Profiled Integrated Diagonal Horn-Antennas</t>
  </si>
  <si>
    <t>10.1109/22.137381</t>
  </si>
  <si>
    <t>2-s2.0-0026869239</t>
  </si>
  <si>
    <t>['microstrip antennas', 'infinite array', 'edge effects']</t>
  </si>
  <si>
    <t>A method for the analysis of large finite arrays of microstrip antennas, which takes into account mutual coupling and edge effects, is presented. It is based on a convolution technique yielding the finite array characteristics from those of the infinite array. ¬© 1992 IEEE</t>
  </si>
  <si>
    <t>579-582</t>
  </si>
  <si>
    <t>60028186;60028186</t>
  </si>
  <si>
    <t>6701417455;7006665188</t>
  </si>
  <si>
    <t>Skrivervik, A. K.;Mosig, J. R.</t>
  </si>
  <si>
    <t>Lausanne</t>
  </si>
  <si>
    <t>Swiss Federal Institute of Technology Lausanne</t>
  </si>
  <si>
    <t>Skrivervik A.</t>
  </si>
  <si>
    <t>Finite Phased Array of Microstrip Patch Antennas: The Infinite Array Approach</t>
  </si>
  <si>
    <t>10.1109/8.142636</t>
  </si>
  <si>
    <t>2-s2.0-0026869298</t>
  </si>
  <si>
    <t>['take advantage', 'still smaller', 'spotiight geometries', 'simulated sir', 'sar data', 'results obtained', 'previously modified', 'precisely known', 'nyquist limit', 'focusing techniques', 'focused image', 'doppler centroid', 'correctly processed', 'computational efficiency']</t>
  </si>
  <si>
    <t>SAR data spatially sampled at the Nyquist limit can be correctly processed if the Doppler centroid is precisely known. Whenever the Doppler centroid shows rapid variations either with range or azimuth, more care is required in order to take advantage of the computational efficiency of frequency domain techniques. In this paper it is shown that such focusing techniques can still be exploited, provided that SAR raw data are previously modified and a space-varying monodimensional filter is applied to the focused image. The computational cost increases, but it is still smaller than time-space domain processing. Results obtained with simulated SIR-C/X-SAR data and SPOTIight geometries are presented. ¬© 1992 IEEE</t>
  </si>
  <si>
    <t>550-559</t>
  </si>
  <si>
    <t>7006322238;7006127274</t>
  </si>
  <si>
    <t>Prati, Claudio;Rocca, Fabio</t>
  </si>
  <si>
    <t>Prati C.</t>
  </si>
  <si>
    <t>Focusing SAR Data with Time-Varying Doppler Centroid</t>
  </si>
  <si>
    <t>10.1109/36.142933</t>
  </si>
  <si>
    <t>2-s2.0-0026869464</t>
  </si>
  <si>
    <t>49620-89-(2-0044</t>
  </si>
  <si>
    <t>['therefore simplifies', 'power combining', 'phase locking', 'multiple device', 'monolithic circuits', 'fundamental frequency', 'circuit interaction']</t>
  </si>
  <si>
    <t>In this paper we present a periodic second harmonic spatial power combining oscillator. The power combining is achieved by phase locking the oscillators at the fundamental frequency and combining the second harmonic power in space through an array of microstrip patch antennas. The effect of moding and multiple device-circuit interaction is investigated. This circuit is planar, and therefore simplifies the design of monolithic circuits. In this work, X-band Gunn diodes are used for the purpose of demonstration. ¬© 1992 IEEE</t>
  </si>
  <si>
    <t>851-856</t>
  </si>
  <si>
    <t>60022144-60013372-60027550</t>
  </si>
  <si>
    <t>Mortazawi, Amir</t>
  </si>
  <si>
    <t>Los Angeles;Orlando;Austin</t>
  </si>
  <si>
    <t>University of California, Los Angeles;University of Central Florida;The University of Texas at Austin</t>
  </si>
  <si>
    <t>60027550;60022144;60013372</t>
  </si>
  <si>
    <t>Mortazawi A.</t>
  </si>
  <si>
    <t>A Periodic Second Harmonic Spatial Power Combining Oscillator</t>
  </si>
  <si>
    <t>10.1109/22.137390</t>
  </si>
  <si>
    <t>2-s2.0-0026869698</t>
  </si>
  <si>
    <t>['statistically efficient', 'rao bounds', 'numerical examples', 'mutual coupling', 'finding systems', 'direction estimates']</t>
  </si>
  <si>
    <t>Most direction-finding systems currently in use are based on phase-only measurements. In this paper the performance of these systems in the presence of mutual coupling is examined. It is shown that phase-only direction-finding systems are statistically efficient in the absence of mutual coupling, but they lose this property when mutual coupling is present. Included here are a description of a phase-only algorithm, an analysis of its performance, derivation of the Cramer-Rao bounds for the direction estimates, and some numerical examples. ¬© 1992 IEEE</t>
  </si>
  <si>
    <t>535-541</t>
  </si>
  <si>
    <t>60005681;60014439</t>
  </si>
  <si>
    <t>7402247592;7102972288</t>
  </si>
  <si>
    <t>Weiss, Anthony J.;Friedlander, Benjamin</t>
  </si>
  <si>
    <t>Davis;Tel Aviv-Yafo</t>
  </si>
  <si>
    <t>University of California, Davis;Tel Aviv University</t>
  </si>
  <si>
    <t>60014439;60005681</t>
  </si>
  <si>
    <t>Weiss A.J.</t>
  </si>
  <si>
    <t>Mutual Coupling Effects on Phase-Only Direction Finding</t>
  </si>
  <si>
    <t>10.1109/8.142628</t>
  </si>
  <si>
    <t>2-s2.0-0026869723</t>
  </si>
  <si>
    <t>['tile failures', 'sublimation point', 'standard nature', 'slight darkening', 'rfl tiles', 'rfl ),', 'rf limiters', 'required properties', 'property data', 'paper discusses', 'operational experience', 'material properties', 'heating powers', 'heating power', 'frequency antennas', 'finished parts', 'fabrication strategies', 'damage observed', 'cfc tiles', 'cfc materials', 'cfc material', 'cfc limiters', 'best design', '50 mw', '2d cfc', '20 mw', '105 cycles']</t>
  </si>
  <si>
    <t>Carbon fiber composite (CFC) materials have been used as the plasma facing surface on limiters in TFTR since 1989. We changed from all POCO graphite tiles on the inner bumper limiter (BL) to about 1/3 CFC tiles in the high heat flux area because of tile failures with heating powers up to 20 MW. The RF limiters (RFL), which were designed to protect the radio-frequency antennas from plasma heat flux, were designed with CFC material. This paper discusses the design issues related to the CFC materials, our experience with material property variations in large production runs, and our operational experience with CFC limiters. The replacement BL tiles were made from a 3D CFC material. The RFL tiles were made from a 2D CFC. The use of 2D CFC material was molded to near net shape. The tiles were required to withstand up to 105 cycles of 50 MW of heating power for a duration of 2 s. Determination of the minimum material properties was one of the major design issues. The fabrication of the BL tiles required production of about 35 large billets of 3D CFC material. The fabrication of the RFL tiles required production of about 160 tile blanks. We found substantial variation in the material properties of the finished parts. The distribution of the material-property data is discussed. In the case of the RFL tiles some parts did not meet the required properties because of the non-standard nature of the fabrication. After nearly two years of operation on the CFC tiles, none of the CFC tiles have failed. The only damage observed on the CFC tiles is a slight darkening of the tile when it is heated to the sublimation point by the disruption heat loads. Recommendations of the best design and fabrication strategies for CFC plasma facing components are made.</t>
  </si>
  <si>
    <t>1817-1822</t>
  </si>
  <si>
    <t>3 pt 2B</t>
  </si>
  <si>
    <t>Fusion Technology</t>
  </si>
  <si>
    <t>60003269;60003269;60003269;60003269;60003269;60003269;60003269</t>
  </si>
  <si>
    <t>7005030951;7202142518;57205873903;6602924161;6603322439;6602910459;24364190000</t>
  </si>
  <si>
    <t>Ulrickson, M.;Barnes, G.;Fan, H. M.;Labik, G.;Loesser, D.;Lontai, L.;Owens, D. K.</t>
  </si>
  <si>
    <t>Ulrickson M.</t>
  </si>
  <si>
    <t>Experience with carbon fiber composite limiter tiles on TFTR</t>
  </si>
  <si>
    <t>10.13182/fst92-a29982</t>
  </si>
  <si>
    <t>2-s2.0-0026869763</t>
  </si>
  <si>
    <t>['¬© 1992', 'vacuum chamber', 'stronger side', 'japan society', 'applied physics', 'adjustable antenna']</t>
  </si>
  <si>
    <t>ECR plasma | Microwave antenna | Microwave propagation | Microwave suppressor | Multi-ring-cusp field | Surface magnetic field</t>
  </si>
  <si>
    <t>A multi-ring-cusp-type surface magnetic field is tested for production of large-diameter electron cyclotron resonance (ECR) plasma. The density and its distribution are improved by means of a new launching system consisting of an adjustable antenna and a microwave suppressor inserted into the vacuum chamber, which forces the microwave to propagate into the plasma from the stronger side of the surface magnetic fields. ¬© 1992 The Japan Society of Applied Physics.</t>
  </si>
  <si>
    <t>1473-1479</t>
  </si>
  <si>
    <t>5 R</t>
  </si>
  <si>
    <t>60011001;60011001;60011001;60011001</t>
  </si>
  <si>
    <t>7006582192;57215757758;56102798000;6701429033</t>
  </si>
  <si>
    <t>Hatta, Akimitsu;Kubo, Makoto;Yasaka, Yasuyoshi;Itatani, Ryohei</t>
  </si>
  <si>
    <t>Hatta A.</t>
  </si>
  <si>
    <t>Performance of Electron Cycrotron Resonance Plasma Produced by a New Microwave Launching System in a Multicusp Magnetic Field with Permanent Magnets</t>
  </si>
  <si>
    <t>10.1143/JJAP.31.1473</t>
  </si>
  <si>
    <t>2-s2.0-0026869867</t>
  </si>
  <si>
    <t>['wave frequencies', 'successfully applied', 'radiation patterns', 'plasma diagnostics', 'optical systems', 'microstrip patches', 'loaded antennas', 'input impedance', 'dipole antennas']</t>
  </si>
  <si>
    <t>We have been developing four kinds of lens-coupled antenna imaging arrays for operation at millimeter- and submillimeter-wave frequencies. The comparison between dipole antennas, Yagi-Uda‚Äôs, trap-loaded antennas, and microstrip patches will be discussed from the viewpoint of the matching with the detectors and optical systems. The radiation patterns and input impedance of each antenna have been calculated and measured to attain the optimum matching using model experiments. The trap-loaded antenna arrays have been successfully applied to plasma diagnostics at the Tsukuba GAMMA 10 tandem mirror. ¬© 1992 IEEE</t>
  </si>
  <si>
    <t>806-811</t>
  </si>
  <si>
    <t>60008435;60008435;60008435;60008435;60008435</t>
  </si>
  <si>
    <t>7201993763;7202708368;56704856900;7202837586;36818671300</t>
  </si>
  <si>
    <t>Uehara, Kazuhiro;Miyashita, Kazuhito;Natsume, Ken Ichiro;Hatakeyama, Kouki;Mizuno, Koji</t>
  </si>
  <si>
    <t>Uehara K.</t>
  </si>
  <si>
    <t>Lens-Coupled Imaging Arrays for the Millimeter-and Submillimeter-Wave Regions</t>
  </si>
  <si>
    <t>10.1109/22.137382</t>
  </si>
  <si>
    <t>2-s2.0-0026869883</t>
  </si>
  <si>
    <t>P01CA044665</t>
  </si>
  <si>
    <t>['tissue inhomogeneities', 'practical devices', 'physically conform', 'optimal treatment', 'microstrip arrays', 'measurements taken', 'locally alter', 'clinically tested', 'clinical experiences', 'body contours']</t>
  </si>
  <si>
    <t>The optimal treatment with hyperthermia of superficially located tumors which involve large surface areas requires applicators which can physically conform to body contours, and locally alter their power deposition patterns to adjust for nonuniform temperature caused by tissue inhomogeneities and blood flow variations. A series of 915 MHz microstrip array applicators satisfying these criteria have been developed and clinically tested. Clinical and engineering design tradeoffs for practical devices are discussed. Measurements taken in tissue equivalent phantoms and a summary of our clinical experiences with these microstrip arrays are presented. ¬© 1992 IEEE</t>
  </si>
  <si>
    <t>470-483</t>
  </si>
  <si>
    <t>60015615;60032014;60015615;60015615;60015615;60015615;60015615</t>
  </si>
  <si>
    <t>7406967815;6508168963;56838149000;7007032007;6603945998;6508210799;6701501053</t>
  </si>
  <si>
    <t>Lee, Eric R.;Wilsey, Tawna R.;Tarczy-Homoch, Peter;Kapp, Daniel S.;Fessenden, Peter;Lohrbach, Allen;Prionas, Stavros D.</t>
  </si>
  <si>
    <t>Palo Alto;Stanford</t>
  </si>
  <si>
    <t>Varian Medical Systems;Stanford University Medical Center</t>
  </si>
  <si>
    <t>60032014;60015615</t>
  </si>
  <si>
    <t>Lee E.</t>
  </si>
  <si>
    <t>Body Conformable 915 MHz Microstrip Array Applicators for Large Surface Area Hyperthermia</t>
  </si>
  <si>
    <t>10.1109/10.135541</t>
  </si>
  <si>
    <t>2-s2.0-0026870062</t>
  </si>
  <si>
    <t>['wiley company', 'weakly nonlinear', 'volterra series', 'system represented', 'sinusoidal waves', 'result seems', 'result equivalent', 'output relation', 'numerous studies', 'nonlinear load', 'nonlinear equation', 'linear antenna', 'inc .,', 'first step', 'finite number', 'duffing equation', 'detailed algorithm', 'circuit equation', 'applied directly']</t>
  </si>
  <si>
    <t>linear antenna with nonlinear load | nonlinear circuit equations | nonlinear differential equations | Nonlinear systems | sinusoidal inputs | steady‚Äêstate analysis</t>
  </si>
  <si>
    <t>Numerous studies have been made to analyze the input/output relation of the weakly nonlinear system by applying the theory of Volterra series. When this theory is applied directly to the analysis, a complex multiple integration must be calculated. On the other hand, it is shown in this paper that the solution can be derived by a systematic calculation using multiplications and additions if the input is restricted to the sum of sinusoidal waves and only the steady‚Äêstate output is considered for the system represented by a nonlinear equation or a circuit equation. A detailed algorithm is presented, which is called the ‚Äúnonlinear steady‚Äêstate method‚Äù. The purpose of this paper is to demonstrate the usefulness as well as the problems of the nonlinear steady‚Äêstate method through examples. The first step is to derive the algorithm for the analysis, which can produce a result equivalent to that of the theory of Volterra series. The Duffing equation is used as an example of the system represented by a nonlinear differential equation. Then, as an example of the system represented by a circuit equation, the method is applied to the analysis of the linear antenna with a nonlinear load. The application of the method is inevitably limited due to the condition that the system is weakly nonlinear and the input is the sum of a finite number of sinusoids. However, the result seems to indicate that the method is very useful when those conditions are satisfied. Copyright ¬© 1992 Wiley Periodicals, Inc., A Wiley Company</t>
  </si>
  <si>
    <t>35-45</t>
  </si>
  <si>
    <t>Electronics and Communications in Japan (Part III: Fundamental Electronic Science)</t>
  </si>
  <si>
    <t>60011001;60011001</t>
  </si>
  <si>
    <t>36752680000;57191384277</t>
  </si>
  <si>
    <t>Ichikawa, Satoshi;Goto, Tsutomu</t>
  </si>
  <si>
    <t>Ichikawa S.</t>
  </si>
  <si>
    <t>An analysis for steady‚Äêstate response of nonlinear systems with sinusoidal inputs</t>
  </si>
  <si>
    <t>10.1002/ecjc.4430750604</t>
  </si>
  <si>
    <t>2-s2.0-0026870316</t>
  </si>
  <si>
    <t>['using silicon', 'successfully realised', 'substrate material', 'single chip', 'selectively grown', 'resonant structure', 'resonant slot', 'range measurements', 'radiated directly', 'planar oscillators', 'output power', 'cw operation', 'coplanar oscillators', 'complete receivers']</t>
  </si>
  <si>
    <t>Using silicon as the substrate material, silicon monolithic millimeter-wave integrated circuit (SIMMWIC) oscillators and receivers are successfully realised. For the coplanar oscillators, a slot is used as the resonant structure in which a monolithically integrated IMPATT diode, selectively grown by silicon molecular beam epitaxy (Si-MBE), acts as the negative resistance device. Pulsed and CW operation of the planar oscillators is achieved in the 90 GHz region. The output power is radiated directly from the resonant slot. Complete receivers, with monolithic Schottky diodes together with the antenna, are integrated on a single chip. The suitability of the chips for near-range measurements is pointed out.</t>
  </si>
  <si>
    <t>Jun</t>
  </si>
  <si>
    <t>60085149;60085149;60085149;60085149</t>
  </si>
  <si>
    <t>7004589090;7003507147;7003971679;7103208487</t>
  </si>
  <si>
    <t>Luy, J. F.;Strohm, K. M.;Buechler, J.;Russer, P.</t>
  </si>
  <si>
    <t>Stuttgart</t>
  </si>
  <si>
    <t>Daimler AG</t>
  </si>
  <si>
    <t>Luy J.</t>
  </si>
  <si>
    <t>Silicon monolithic millimeter-wave integrated circuits</t>
  </si>
  <si>
    <t>10.1049/ip-h-2.1992.0039</t>
  </si>
  <si>
    <t>2-s2.0-0026871556</t>
  </si>
  <si>
    <t>['vlbi stations', 'vlbi observations', 'successfully used', 'results show', 'probably better', 'phase stability', 'measurements show', 'mark iii', 'least comparable', 'internal accuracies', 'integration time', 'first time', 'day standard', 'coherence loss', 'coaxial cables']</t>
  </si>
  <si>
    <t>A Phase-Stabilized Optical Fiber (PSOF) cable, which is 880 m long, is successfully used for the first time to transmit 100‚Äì520 MHz IF signal and 10 MHz reference frequency signal in Mark III Very Long Baseline Interferometry (VLBI) observations. Phase stability of the 1760 m round-trip PSOF cable is measured by a Dual Mixer Time Difference System. Results of the measurements show that the stability of the PSOF cable system is about 50 times better than that of an ordinary coaxial cable system. The measured phase fluctuations are smaller than the tolerance limit required for a coherence loss of less than 2% in VLBI observations with an integration time of several hundred seconds. Internal accuracies of the international geodetic VLBI observations, in which the PSOF cable system is used at a station, are proven to be in the level of the present-day standard. The results show that the performance of the 880 m long PSOF cable is at least comparable with, and probably better than, that of coaxial cables of much shorter length widely used in VLBI stations. ¬© 1992 IEEE</t>
  </si>
  <si>
    <t>385-389</t>
  </si>
  <si>
    <t>IEEE Transactions on Instrumentation and Measurement</t>
  </si>
  <si>
    <t>60029701;60029701;60029701;60029701;60029701;60029701;60029701;60029701;60029701</t>
  </si>
  <si>
    <t>23036756400;7404213159;7004299940;6603863686;56210349200;13612647800;35411779500;8090835700;7102874996</t>
  </si>
  <si>
    <t>Sato, Katsuhisa;Hara, Tadayoshi;Fujishita, Mitsumi;Kuji, Seisuke;Tsuruta, Seiitsu;Tamura, Yoshiaki;Sasao, Tetsuo;Sato, Koichi;Manabe, Seiji</t>
  </si>
  <si>
    <t>Mitaka</t>
  </si>
  <si>
    <t>National Institutes of Natural Sciences - National Astronomical Observatory of Japan</t>
  </si>
  <si>
    <t>Sato K.</t>
  </si>
  <si>
    <t>Application of Phase-Stabilized Optical Fiber in Transmission of Reference and IF Signals in VLBI Observation</t>
  </si>
  <si>
    <t>10.1109/19.153334</t>
  </si>
  <si>
    <t>2-s2.0-0026872436</t>
  </si>
  <si>
    <t>['weak form', 'verified experimentally', 'two steps', 'treating small', 'three steps', 'radiation patterns', 'primary sources', 'patch antennas', 'numerical results', 'mpie formulation', 'microstrip antennas', 'last step', 'image theory', 'first used', 'finite dimensions', 'fft method', 'dielectric slab', 'determined using', 'current distribution', 'conjugate gradient', 'conducting surface', 'alternative approach', 'also presented', 'accurate evaluation']</t>
  </si>
  <si>
    <t>A method for the computation of radiation patterns of microstrip antennas on substrates of finite dimensions by a combination of the mixed potential integral equation technique (MPIE) for patch antennas and the weak form of the conjugate gradient - fast Fourier transform (WCG-FFT) method for the scattering by the finite ground plane is presented. The computation is carried out in three steps. The MPIE formulation is first used for the accurate evaluation of the current distribution on the conducting surface of the patch. Using these currents as primary sources, equivalent polarisation currents in the dielectric slab are then evaluated. These two steps are based on the infinite grounded dielectric slab assumption. Finally the current distribution on the finite ground plane is determined using the WCG-FFT method. Since matrix inversion is not involved in the last step, the method is very convenient for treating small to moderate size ground planes. An alternative approach for the derivation of far field patterns of microstrip antennas on an infinite grounded dielectric slab using the volume equivalence theorem and image theory is also presented. Numerical results of radiation patterns have been verified experimentally.</t>
  </si>
  <si>
    <t>278-286</t>
  </si>
  <si>
    <t>60028186;60028186;60028186</t>
  </si>
  <si>
    <t>7006898765;7006665188;35609196900</t>
  </si>
  <si>
    <t>Bokhari, S. A.;Mosig, J. R.;Gardiol, F. E.</t>
  </si>
  <si>
    <t>Bokhari S.</t>
  </si>
  <si>
    <t>Radiation pattern computation of microstrip antennas on finite size ground planes</t>
  </si>
  <si>
    <t>10.1049/ip-h-2.1992.0050</t>
  </si>
  <si>
    <t>2-s2.0-0026872468</t>
  </si>
  <si>
    <t>['various tests', 'three sets', 'radiation patterns', 'probe along', 'patch median', 'input impedance', 'including comparisons', 'flat radomes', 'first time', 'experimental observations', 'coaxial probe', 'cavity model', 'basis functions']</t>
  </si>
  <si>
    <t>The full-wave spectral domain technique is used for the first time to analyse the single and covered triangular patch antennas fed by the coaxial probe. The equilateral triangular patch antenna fed by a probe along the patch median was analysed and its input impedance and radiation patterns are presented. The effects of flat radomes on these parameters are studied. To avoid excessive computation time, three sets of basis functions representing the approximate current distributions on the patch are introduced. Merits of each set of basis functions are discussed. Various tests were made to establish the validity of the basis functions, including comparisons of the results against those obtained by the cavity model and against those of some experimental observations.</t>
  </si>
  <si>
    <t>60001359;60001359</t>
  </si>
  <si>
    <t>15059968600;7004582770</t>
  </si>
  <si>
    <t>Hassani, H. R.;Mirshekar-Syahkal, D.</t>
  </si>
  <si>
    <t>Colchester</t>
  </si>
  <si>
    <t>University of Essex</t>
  </si>
  <si>
    <t>Hassani H.</t>
  </si>
  <si>
    <t>Analysis of triangular patch antennas including radome effects</t>
  </si>
  <si>
    <t>10.1049/ip-h-2.1992.0046</t>
  </si>
  <si>
    <t>2-s2.0-0026874178</t>
  </si>
  <si>
    <t>['various parameters', 'solved using', 'slot dimensions', 'reasonable agreement', 'radiating slot', 'integrated circuits', 'ground plane', 'equivalent circuit', 'determined using']</t>
  </si>
  <si>
    <t>The problem of a radiating slot on the ground plane of a microstripline is solved using the spectral domain approach. The equivalent circuit for the configuration is obtained, and the elements are determined using the integral transformation techniques. Effects of various parameters, such as slot dimensions and inclination with the feedline, are studied. Results are compared with measurements, and reasonable agreement is obtained. The results and the approach should find useful applications in integrated circuits and aperture-coupled patch antennas.</t>
  </si>
  <si>
    <t>60005304;60005304;60005304</t>
  </si>
  <si>
    <t>7402673635;35566584200;6505566160</t>
  </si>
  <si>
    <t>Bhattacharyya, A. K.;Antar, Y. M.M.;Lttipiboon, A.</t>
  </si>
  <si>
    <t>Bhattacharyya A.</t>
  </si>
  <si>
    <t>Full wave analysis for the equivalent circuit of an inclined slot on a microstrip ground plane</t>
  </si>
  <si>
    <t>10.1049/ip-h-2.1992.0045</t>
  </si>
  <si>
    <t>2-s2.0-0026874556</t>
  </si>
  <si>
    <t>['¬© 1992', 'switching accuracies', 'rights reserved', 'next generation', 'microwave ic', 'free attenuators', 'forming networks', 'flight alterations', 'electrical engineers', 'devices using', 'communications satellites', 'array antennas', '5 ¬∞', '5 db']</t>
  </si>
  <si>
    <t>The next generation of communications satellites will use steerable phased-array antennas to allow in-flight alterations to the antenna beam shapes. The beam-forming networks of these antennas require digitally switchable attenuation-free phase shifters and phase-free attenuators. These control components must operate typically over 8% bandwidths at X- and Ku-bands with switching accuracies of 5¬∞ and 0.5 dB. The paper reports work carried out at British Aerospace Systems Ltd. on the development of such devices using both MIC (microwave IC) and MMIC (monolithic microwave IC) technologies. ¬© 1992, The Institution of Electrical Engineers. All rights reserved.</t>
  </si>
  <si>
    <t>123-130</t>
  </si>
  <si>
    <t>60018829;60018829</t>
  </si>
  <si>
    <t>7404470808;57199904002</t>
  </si>
  <si>
    <t>Moore, M. T.;Miller, P.</t>
  </si>
  <si>
    <t>Farnborough</t>
  </si>
  <si>
    <t>BAE Systems plc</t>
  </si>
  <si>
    <t>Moore M.</t>
  </si>
  <si>
    <t>Microwave IC control components for phased-array antennas</t>
  </si>
  <si>
    <t>10.1049/ecej:19920022</t>
  </si>
  <si>
    <t>2-s2.0-0026875277</t>
  </si>
  <si>
    <t>F04701-88-C-0089</t>
  </si>
  <si>
    <t>['simple design', 'sensitive electronics', 'receiver measures', 'permit low', 'peak value', 'cost fabrication', '50 v']</t>
  </si>
  <si>
    <t>Sensitive electronics can be damaged by exposure to high-power microwave illumination. This simple receiver monitors the incident power density close to sensitive electronics and provides a record of the occurrence of potentially damaging RF exposure. This receiver measures the peak value of the incident field strength over a broad instantaneous bandwidth (1‚Äì6 GHz), identifies time periods during which threshold field strengths (2, 10, and 50 V/m) are exceeded, covers a+45¬∫ field of view, and detects a single pulse whose duration exceeds 250 ns. This receiver purposely uses a simple design to permit low-cost fabrication, and a unique microstrip antenna was developed to fulfill design objectives. ¬© 1992 IEEE</t>
  </si>
  <si>
    <t>349-352</t>
  </si>
  <si>
    <t>60029575;60029575;60029575</t>
  </si>
  <si>
    <t>7003489341;55479035900;7101967923</t>
  </si>
  <si>
    <t>Dybdal, Robert B.;Mori, Tsutomu T.;Castaneda, Andrea M.</t>
  </si>
  <si>
    <t>Dybdal R.</t>
  </si>
  <si>
    <t>A Low-Cost High-Power Microwave Receiver</t>
  </si>
  <si>
    <t>10.1109/19.153327</t>
  </si>
  <si>
    <t>2-s2.0-0026875754</t>
  </si>
  <si>
    <t>['tangential component', 'radiation patterns', 'plane wave', 'magnetic field', 'infinitely long', 'field everywhere', 'characteristic currents', 'aperture region']</t>
  </si>
  <si>
    <t>Characteristic mode theory is presented as a method of calculating the characteristic currents, the equivalent magnetic current, the radiation patterns, and the field everywhere (especially in the aperture region) of an infinitely long, thin, perfectly conducting cylinder with an infinitely long slot illuminated by a uniform transverse magnetic (TM) plane wave to the slot. The characteristic modes obtained are the solution of an eigenvalue equation representing the continuity of the tangential component of the magnetic field in the slot.</t>
  </si>
  <si>
    <t>287-291</t>
  </si>
  <si>
    <t>60068761;60068761;60068761</t>
  </si>
  <si>
    <t>7006960314;7006586247;7201653432</t>
  </si>
  <si>
    <t>Kabalan, K. Y.;El-Hajj, A.;Harrington, R. F.</t>
  </si>
  <si>
    <t>Lebanon</t>
  </si>
  <si>
    <t>Beirut</t>
  </si>
  <si>
    <t>American University of Beirut</t>
  </si>
  <si>
    <t>Kabalan K.</t>
  </si>
  <si>
    <t>Characteristic modes of a slot in a conducting cylinder and their use for penetration and scattering. TM case</t>
  </si>
  <si>
    <t>10.1049/ip-h-2.1992.0051</t>
  </si>
  <si>
    <t>2-s2.0-0026875810</t>
  </si>
  <si>
    <t>['ybco wire', 'two antennas', 'superconducting environment', 'significant improvement', 'receiving performances', 'power handling', 'power gain', 'noise ratio', 'namely electric', 'matching networks', 'magnetic dipoles', 'input impedance', 'fundamental antennas', 'experimental results']</t>
  </si>
  <si>
    <t>To assess the performance of electrically small antennas, the two most fundamental antennas, namely electric and magnetic dipoles, have been chosen for examination of their performance in a superconducting environment. Aspects of the two antennas and their matching networks that are discussed include efficiency, Q, input impedance, power gain, power handling and signal/noise ratio. Both transmitting and receiving performances are considered. Finally, experimental results for loop and dipole antennas constructed out of YBCO wire are presented and compared with their supercooled copper counterparts. In this, they show a significant improvement in efficiency.</t>
  </si>
  <si>
    <t>264-270</t>
  </si>
  <si>
    <t>60019702;60019702;60019702;60019702</t>
  </si>
  <si>
    <t>7101744863;17435967100;7005970306;57206438743</t>
  </si>
  <si>
    <t>Lancaster, M. J.;Wu, Z.;Maclean, T. S.M.;Huang, Y.</t>
  </si>
  <si>
    <t>Birmingham</t>
  </si>
  <si>
    <t>University of Birmingham</t>
  </si>
  <si>
    <t>Lancaster M.</t>
  </si>
  <si>
    <t>Supercooled and superconducting small-loop and dipole antennas</t>
  </si>
  <si>
    <t>10.1049/ip-h-2.1992.0048</t>
  </si>
  <si>
    <t>2-s2.0-0026878046</t>
  </si>
  <si>
    <t>['statistical terms', 'sidelobe level', 'remaining number', 'random array', 'monostatic array', 'architecture allows']</t>
  </si>
  <si>
    <t>A quasibistatic random array is characterised by having a number of receive-only elements and the remaining number of transmit-only elements. Such an architecture allows the achievement of a lower peak sidelobe level than in a conventional (monostatic) random array. The sidelobe level is evaluated in statistical terms and compared with that of the monostatic array.</t>
  </si>
  <si>
    <t>193-198</t>
  </si>
  <si>
    <t>60027509;60027509;60027509</t>
  </si>
  <si>
    <t>55237168100;56274169900;6507551474</t>
  </si>
  <si>
    <t>Galati, G.;Perna, S.;Abbati, M.</t>
  </si>
  <si>
    <t>Rome</t>
  </si>
  <si>
    <t>Universit√† degli Studi di Roma "Tor Vergata"</t>
  </si>
  <si>
    <t>Galati G.</t>
  </si>
  <si>
    <t>Quasibistatic random arrays</t>
  </si>
  <si>
    <t>10.1049/ip-f-2.1992.0023</t>
  </si>
  <si>
    <t>2-s2.0-0026880051</t>
  </si>
  <si>
    <t>['traditional processor', 'signal attenuation', 'receiver antenna', 'precise control', 'path correlations', 'land vehicles', 'kinematic survey', 'individual satellites', 'decoupled fashion', 'critically important', 'coupled processor', 'computational load', 'also addressed', '1992 institute']</t>
  </si>
  <si>
    <t>For kinematic survey and precise control of aviation, marine, and land vehicles, reliable GPS carrier phase tracking is critically important. In commercial GPS receivers, carrier phase tracking functions for individual satellites are carried out in a decoupled fashion, ignoring intersatellite path correlations seen at the receiver antenna. In contrast with traditional GPS signal processors, the performance of the new coupled tracker is geometry‚Äêdependent. Simulations for the complete tracking loop system illustrate how the coupled structure takes advantage of path correlations to greatly reduce phase tracking errors during periods of signal attenuation and blockage. The coupled processor is compared with a traditional processor during simulated aircraft turning maneuvers. Cycle tracking continuity is explored for overdetermined and minimal geometry scenarios. Differential correction options and computational load are also addressed. 1992 Institute of Navigation</t>
  </si>
  <si>
    <t>217-235</t>
  </si>
  <si>
    <t>Navigation</t>
  </si>
  <si>
    <t>Summer 1992</t>
  </si>
  <si>
    <t>60003694;60003694</t>
  </si>
  <si>
    <t>6603946037;7801387883</t>
  </si>
  <si>
    <t>SENNOTT, JAMES W.;SENFFNER, DAVID</t>
  </si>
  <si>
    <t>Peoria</t>
  </si>
  <si>
    <t>Bradley University</t>
  </si>
  <si>
    <t>SENNOTT J.</t>
  </si>
  <si>
    <t>The Use of Satellite Geometry for Prevention of Cycle Slips in a GPS Processor</t>
  </si>
  <si>
    <t>10.1002/j.2161-4296.1992.tb01876.x</t>
  </si>
  <si>
    <t>2-s2.0-0026880168</t>
  </si>
  <si>
    <t>['wiley company', 'spherical arrays', 'received signals', 'radiation characteristics', 'proposed utilizing', 'problems arise', 'paper considers', 'method shows', 'inc .,', 'detected phase', 'control method', 'beamforming method', 'beamforming circuits', 'amplitudes freely', 'amplitude errors']</t>
  </si>
  <si>
    <t>digital beam forming | microstrip antenna | mobile satellite communications | phased array | Spherical array antenna</t>
  </si>
  <si>
    <t>Problems arise in providing excitation phases and amplitudes to individual antenna elements for wide‚Äêangle scanning by applying spherical array antennas for mobile satellite communications for ships, automobiles, and aircraft. These antennas do not have many antenna elements. Thus, emphasis is on obtaining the maximum gain rather than realizing the characteristics of low sidelobe levels. This paper considers the application of spherical arrays for antennas of mobile satellite communications. An adoption of a control method is assumed which regulates the phases and amplitudes freely and accurately for individual antenna elements for the beamforming circuits of digital beamforming antennas. A beamforming method is examined for spherical arrays. First, a selection of necessary antenna elements is proposed utilizing the received signals and an adjustment of their phases and amplitudes. This method is applied to a 16‚Äêelement spherical array which had circular micro‚Äêstrip antennas. Their radiation characteristics are calculated. As a result, it was clarified that the maximum directive gain could be obtained almost without being influenced by the properties of individual antenna elements. Next, circuits are designed for the reception of binary PSK signals of constant envelope modulated waves. Carrier recovery circuits are established for individual antenna elements for spherical arrays, and a method is used to detect their phases and amplitudes. The method shows the effectiveness in obtaining the amount of gain reduction due to the detected phase and amplitude errors. Copyright ¬© 1992 Wiley Periodicals, Inc., A Wiley Company</t>
  </si>
  <si>
    <t>76-86</t>
  </si>
  <si>
    <t>60001271;60001271</t>
  </si>
  <si>
    <t>7006680804;6602808754</t>
  </si>
  <si>
    <t>Chujo, Wataru;Kashiki, Kanshiro</t>
  </si>
  <si>
    <t>Advanced Telecommunications Research Institute International (ATR)</t>
  </si>
  <si>
    <t>Chujo W.</t>
  </si>
  <si>
    <t>Spherical array antenna using digital beamforming techniques for mobile satellite communications</t>
  </si>
  <si>
    <t>10.1002/ecja.4410750607</t>
  </si>
  <si>
    <t>2-s2.0-0026880212</t>
  </si>
  <si>
    <t>['‚ äútraveling', 'wide variety', 'water bolus', 'tumor cross', 'superficial hyperthermia', 'spiral applicators', 'radiator configurations', 'presented together', 'operating frequency', 'multiple according', 'microstrip spiral', 'microstrip disk', 'microstrip antennas', 'microstrip annular', 'mainly due', 'like phantom', 'increasing complexity', 'highest efficiency', 'good agreement', 'either single', 'conformable structure', 'best performance']</t>
  </si>
  <si>
    <t>Microstrip antennas have many different advantages over other RF/MW radiative applicators employed for superficial hyperthermia treatment. This is mainly due to their compact and body-conformable structure as well as to printed circuit board techniques, both of which allow a wide design flexibility for superficial tumor heating. Among the wide variety of radiator configurations, three microstrip antennas of increasing complexity with electromagnetic and heating characteristics potentially suitable as applicators for superficial hyperthermia have been designed, developed, and tested in different radiative conditions: a microstrip disk, a microstrip annular-slot, and a microstrip spiral. Electromagnetic design criteria are presented together with the determinations of the applicator return loss versus frequency and thermograms of the near-field heating pattern in muscle-like phantom. The results are in good agreement with theory and indicate that: i) the operating frequency is either single or multiple according to the applicator-mode, ‚Äúresonant‚Äù or ‚Äútraveling-wave,‚Äù and can be chosen in the useful frequency range for hyperthermia (200‚àí1000 MHz) according to the tumor cross-section and depth; ii) the heating pattern flexibility increases going from the simple geometry disk to the annular-slot and spiral applicators; iii) a distilled-water bolus is required; iv) the annular-slot applicator exhibits the highest efficiency, while the spiral applicator provides the best performance. ¬© 1992 IEEE</t>
  </si>
  <si>
    <t>580-588</t>
  </si>
  <si>
    <t>Montecchia, Francesco</t>
  </si>
  <si>
    <t>Montecchia F.</t>
  </si>
  <si>
    <t>Microstrip-Antenna Design for Hyperthermia Treatment of Superficial Tumors</t>
  </si>
  <si>
    <t>10.1109/10.141196</t>
  </si>
  <si>
    <t>2-s2.0-0026880584</t>
  </si>
  <si>
    <t>['various mirrors', 'successfully determined', 'remarkable stabilities', 'new 34', 'holography measurements', 'diameter beam', 'degradations caused', 'data measured', 'bwg system', 'antenna efficiency']</t>
  </si>
  <si>
    <t>Portable microwave test packages used to evaluate a new 34-m-diameter beam-waveguide (BWG) antenna are described. The experimental methodology involved transporting test packages to different focal points of the BWG system and making noise temperature, antenna efficiency, and holography measurements. Comparisons of data measured at the different focal points enabled determinations of performance degradations caused by various mirrors in the BWG system. It is shown that, due to remarkable stabilities and accuracies of radiometric data obtained through the use of the microwave test packages, degradations caused by the BWG system were successfully determined. ¬© 1992 IEEE</t>
  </si>
  <si>
    <t>1286-1293</t>
  </si>
  <si>
    <t>60009037;60009037</t>
  </si>
  <si>
    <t>7004706857;56348520200</t>
  </si>
  <si>
    <t>Otoshi, Tom Y.;Franco, M.</t>
  </si>
  <si>
    <t>Otoshi T.Y.</t>
  </si>
  <si>
    <t>Portable Microwave Test Packages for Beam-Waveguide Antenna Performance Evaluations</t>
  </si>
  <si>
    <t>10.1109/22.141362</t>
  </si>
  <si>
    <t>2-s2.0-0026880655</t>
  </si>
  <si>
    <t>['subarrays leads', 'subarrayed arrays', 'subarray composed', 'scanning characteristics', 'scan blindness', 'rectangular patches', 'printed dipoles', 'primary factor', 'power radiated', 'microstrip patches', 'many cases', 'large spacing', 'infinite array', 'impedance mismatch', 'grating lobes', 'element subarrays', 'axial ratio', 'also given']</t>
  </si>
  <si>
    <t>In this paper the analysis and scanning characteristics of several different types of infinite arrays composed of subarrayed printed dipole and microstrip patch elements are presented. The analysis is based on full-wave moment method theory, and includes mutual coupling between elements in the subarray as well as between subarrays. The effect of subarraying on scan blindness is demonstrated for arrays using two-element subarrays of printed dipoles and microstrip patches, and it is found that subarraying can eliminate or reduce mismatch due to scan blindness. Results are also given for the amount of power radiated in grating lobes, which in many cases is found to be the primary factor that limits the practical scan range of subarrayed arrays. This paper also considers the effect of a subarray composed of one driven element and one parasitic element, and the use of a four-element synchronous subarray of microstrip patches to generate circular polarization. Data are given for impedance mismatch, power radiated into grating lobes, and the axial ratio; both square and rectangular patches are considered, and it is found that rectangular patches give better performance for all characteristics. Finally, results are shown for an infinite array of seven-element hexagonal subarrays of printed dipoles, and it is found that the large spacing between subarrays leads to a limited scan range. ¬© 1992 IEEE</t>
  </si>
  <si>
    <t>666-674</t>
  </si>
  <si>
    <t>Scanning Characteristics of Infinite Arrays of Printed Antenna Subarrays</t>
  </si>
  <si>
    <t>10.1109/8.144601</t>
  </si>
  <si>
    <t>2-s2.0-0026880675</t>
  </si>
  <si>
    <t>['waveguide system', 'waveguide focus', 'waveguide antenna', 'updated determinations', 'radio sources', 'new 34', 'elevation angle', 'efficiency measurements', 'efficiency determinations', 'diameter beam', 'clearly seen', 'antenna structure', '89 percent', '38 percent', '32 ghz']</t>
  </si>
  <si>
    <t>Efficiency measurements at 8.45 and 32 GHz (X- and Ka-bands) have been carried out on a new 34-meter-diameter beam-waveguide antenna now in use at the NASA/ JPL Goldstone Deep Space Communications Complex. The use of portable test packages enabled measurements at both the Cassegrain and beam-waveguide focal points. Radio sources (quasars and Venus) were used as calibrators, and updated determinations of flux and source size correction were made during the period of the measurements. Gain and efficiency determinations as a function of elevation angle are presented, and the effects of the beam-waveguide system and antenna structure are clearly seen. At the beam-waveguide focus, an 8.45-GHz peak efficiency of 72.38 percent was measured; at 32 GHz, 44.89 percent was measured. ¬© 1992 IEEE</t>
  </si>
  <si>
    <t>1301-1309</t>
  </si>
  <si>
    <t>60009037;60009037;60009037;60009037;60009037;60009037</t>
  </si>
  <si>
    <t>6505797216;7004706857;6602295742;7201392056;56218605800;56348520200</t>
  </si>
  <si>
    <t>Slobin, Stephen D.;Otoshi, Tom Y.;Britcliffe, Michael J.;Alvarez, Leon S.;Stewart, Scott R.;Franco, Manuel M.</t>
  </si>
  <si>
    <t>Slobin S.</t>
  </si>
  <si>
    <t>Efficiency Measurement Techniques for Calibration of a Prototype 34-Meter-Diameter Beam-Waveguide Antenna at 8.45 and 32 GHz</t>
  </si>
  <si>
    <t>10.1109/22.141364</t>
  </si>
  <si>
    <t>2-s2.0-0026880714</t>
  </si>
  <si>
    <t>['user motion', 'single epoch', 'previous techniques', 'paper describes', 'gps satellite', 'algorithm described']</t>
  </si>
  <si>
    <t>This paper describes a procedure for instantaneous GPS attitude determination, i.e. solution for the GPS integrated carrier doppler wavelength ambiguities using only measurements at a single epoch. Most previous techniques to solve the phase ambiguity problem have required some form of time history processing relying on GPS satellite and/or user motion to provide enough geometry change to eliminate false solutions. The algorithm described in this paper assumes three noncolinear antennas and integrated carrier doppler measurements from four or more satellites. Double-difference processing provides at least three independent observables for the two antenna separation vectors to compute the three attitude Euler angles. ¬© 1992 IEEE</t>
  </si>
  <si>
    <t>Brown, Ronald A.</t>
  </si>
  <si>
    <t>Texas Instrumented Incorporated</t>
  </si>
  <si>
    <t>Brown R.A.</t>
  </si>
  <si>
    <t>Instantaneous GPS Attitude Determination</t>
  </si>
  <si>
    <t>10.1109/62.145113</t>
  </si>
  <si>
    <t>2-s2.0-0026880721</t>
  </si>
  <si>
    <t>['space application', 'satellite systems', 'satellite channel', 'passive intermodulation', 'paper describes', 'net effect', 'multiplexing networks', 'microwave industry', 'microwave filters', 'many advances', 'magnitude improvement', 'ground stations', 'future directions', 'frequency combining', 'extra emphasis', 'efficient delivery', 'dramatically impacted', 'described within', 'communications payload', 'channel characterization', 'channel bandwidths', 'briefly discussed', 'allowed implementation']</t>
  </si>
  <si>
    <t>The advent of commercial satellite communications in the late 1960s provided a challenge to the microwave industry. It demanded technological advances to reduce the mass and volume of the communications payload and, at the same time, more efficient delivery of higher effective isotropic radiated power (E1RP) to the ground stations. One of the areas most dramatically impacted has been that of microwave filters and multiplexing networks. The past two decades have seen an order of magnitude improvement in the mass and volume of microwave filters. In the area of frequency combining or multiplexing, it is now possible to design and implement microwave multiplexing networks with arbitrary frequency spacing and channel bandwidths with an accuracy that was once reserved for individual microwave filters. This has allowed implementation of single mode transmit antennas. Such an antenna design provides maximum gain over a given coverage area and hence a maximum of EIRP. The net effect of these innovations has been the lowering of cost of a satellite channel. This paper describes the evolution of microwave filters and multiplexers for space application. The many advances are described within the context of the design of the overall communications subsystem. Extra emphasis is placed on the multipaction and passive intermodulation (PIM) considerations in designing high power multiplexers. The impact of microwave filter technology in the channel characterization of satellite systems is described. The future directions of research and development are briefly discussed. ¬© 1992 IEEE</t>
  </si>
  <si>
    <t>1133-1149</t>
  </si>
  <si>
    <t>60013738;60013738;60013738</t>
  </si>
  <si>
    <t>6701669414;7202537723;7403430694</t>
  </si>
  <si>
    <t>Kudsia, Chandra;Cameron, Richard;Tang, Wai Cheung</t>
  </si>
  <si>
    <t>COM DEV Ltd</t>
  </si>
  <si>
    <t>Kudsia C.</t>
  </si>
  <si>
    <t>Innovations in Microwave Filters and Multiplexing Networks for Communications Satellite Systems</t>
  </si>
  <si>
    <t>10.1109/22.141345</t>
  </si>
  <si>
    <t>2-s2.0-0026880732</t>
  </si>
  <si>
    <t>['tethers constitutes', 'tethered arrays', 'tether trans', 'system requirements', 'significant amount', 'proposed scheme', 'paper presents', 'orbiting satellites', 'line definition', 'issues identified', 'earth surface', 'detecting sea', 'defined using', 'clutter effects', 'clusters constitutes', 'based targets', 'array structure', 'alternate space']</t>
  </si>
  <si>
    <t>A Space-Based Microwave Radar (SBR) Concept is defined using a tether trans/receive antenna supported between two gravity gradient low earth-orbiting satellites. A cluster of four tether antennas each of 6 km maximum length and 1.5 km separation between tethers constitutes a radar. A system of 8 to 11 such clusters constitutes the overall radar scheme which will cover approximately one third of the earth surface for detecting sea-based targets. Issues identified are the array structure, coherence of tethered arrays, grating lobe energy clamping, clutter effects, communications, system requirements and the overall radar system concept including stability considerations. This paper presents the base-line definition of an alternate space-based radar scheme. A significant amount of R&amp;D efforts will be required to derive practical solutions of the proposed scheme. ¬© 1992 IEEE</t>
  </si>
  <si>
    <t>1081-1089</t>
  </si>
  <si>
    <t>Chakraborty, D.</t>
  </si>
  <si>
    <t>Chakraborty D.</t>
  </si>
  <si>
    <t>A Space-Based Microwave Radar Concept</t>
  </si>
  <si>
    <t>10.1109/22.141339</t>
  </si>
  <si>
    <t>2-s2.0-0026880733</t>
  </si>
  <si>
    <t>['uplink interference', 'uplink eirp', 'uplink adjustment', 'unauthorized transmitter', 'tv broadcasting', 'take advantage', 'steps could', 'southeast asia', 'satellite locations', 'rights reserved', 'resolve interference', 'likely invading', 'interfering signal', 'increasing use', 'immediately contact', 'identified even', 'identification signal', 'historical background', 'growing number', 'extended worldwide', 'energy dispersal', 'communication satellites', 'article describes', 'antenna mispositioning', 'absolutely essential']</t>
  </si>
  <si>
    <t>This article describes the automatic transmitter identification system (ATIS) as it is used in the U.S.A. and as it can be added to any existing analog TV baseband equipment. It discusses ATIS performance, historical background, and recommendations for its selection by the worldwide satellite users community.With the increasing use of communication satellites for TV broadcasting and the growing number of satellites, the need for uplink source identification becomes increasingly obvious. It enables the community of satellite system operators to identify the source of interference and to immediately contact the interfering uplink authority about uplink adjustment. In case the identification signal is absent from the transmission, an unauthorized transmitter is most likely invading the satellite and steps could be taken to locate the interferer.All broadband video uplinks in the U.S.A. are required by the Federal Communication Commission (FCC) to transmit a three part identification signal to resolve interference and identify the source of the interfering signal. The requirement for uplink source identification should not be limited to the U.S.A. but should be extended worldwide, particularly to Southeast Asia, where the geosynchronous arc becomes more and more crowded and where governments and private satellite system operators compete for satellite locations.Uplink interference can be caused by antenna mispositioning, misalignment in polarization, mistiming, lack of energy dispersal, drift in frequency, over deviation, or too high an uplink EIRP, specially if two carriers share the same transponder. Whatever the interference, the interferer can be identified even at low carrier levels. Because satellites are going to be spaced two degrees apart and some satellites are going to be colocated, clean uplink transmission is absolutely essential, and automatic uplink identification will help to achieve this goal.Ideally, to take advantage of uplink interference identification, all satellite system operators should use the same method. Therefore, it is suggested that the ATIS standard adopted in the U.S.A. for analog wideband video transmission be used on a worldwide basis.¬© 1992, IEEE. All rights reserved.</t>
  </si>
  <si>
    <t>127-132</t>
  </si>
  <si>
    <t>Johannsen, Klaus G.</t>
  </si>
  <si>
    <t>Johannsen K.</t>
  </si>
  <si>
    <t>Automatic Transmitter Identification System</t>
  </si>
  <si>
    <t>10.1109/11.142664</t>
  </si>
  <si>
    <t>2-s2.0-0026880822</t>
  </si>
  <si>
    <t>['wiley company', 'traditional sense', 'simple radiator', 'simple antenna', 'resistive loading', 'pulse radiation', 'practical antennas', 'performed using', 'open end', 'inc .,', 'approach introduced', 'also used']</t>
  </si>
  <si>
    <t>Antenna | broadband | FDTD | pulse radiation | resistive</t>
  </si>
  <si>
    <t>The performance of a simple antenna, the open‚Äêended parallel‚Äêplate waveguide, is optimized for pulse radiation by including a section of waveguide with tapered resistive loading. The novelty of the optimization is that the resistive loading is not only used in the traditional sense to reduce internal reflections, but the frequency dispersion inherent in the loading is also used to compensate for the distortion of the pulse on radiation from the open end. The analysis and optimization are performed using the finite‚Äêdifference time‚Äêdomain (FDTD) technique. The approach introduced here for optimizing this simple radiator should be applicable to more complex, practical antennas. ¬© 1992 John Wiley &amp; Sons, Inc. Copyright ¬© 1992 Wiley Periodicals, Inc., A Wiley Company</t>
  </si>
  <si>
    <t>299-303</t>
  </si>
  <si>
    <t>Optimization of pulse radiation from a simple antenna using resistive loading</t>
  </si>
  <si>
    <t>10.1002/mop.4650050703</t>
  </si>
  <si>
    <t>2-s2.0-0026880886</t>
  </si>
  <si>
    <t>['straight edges', 'radiation patterns', 'modified horns', 'indeed influence', 'horn antenna', 'good agreement', 'calculated patterns', 'analysis indicates']</t>
  </si>
  <si>
    <t>In this paper it is shown that the far-out sidelobes of a horn antenna can be suppressed by curving the edges in the aperture. A three-dimensional uniform geometrical theory of diffraction (UTD) analysis of the E-plane radiation pattern of the modified horn antenna was performed and compared with that of a similar horn antenna with straight edges. This analysis indicates that the curvature of the edges does indeed influence the sidelobes to the effect that the modified horn antenna has significantly lower far-out sidelobes. The radiation patterns for modified horns were measured and compared with the calculated patterns and were found to be in good agreement. ¬© 1992 IEEE</t>
  </si>
  <si>
    <t>620-627</t>
  </si>
  <si>
    <t>60021902;60021902</t>
  </si>
  <si>
    <t>7004459157;7004219095</t>
  </si>
  <si>
    <t>Odendaal, Johann W.;Pistorius, Carl W.I.</t>
  </si>
  <si>
    <t>Pretoria</t>
  </si>
  <si>
    <t>University of Pretoria</t>
  </si>
  <si>
    <t>Odendaal J.W.</t>
  </si>
  <si>
    <t>E-Plane Analysis of a Modified Horn Antenna with Suppressed Far-Out Sidelobe Level</t>
  </si>
  <si>
    <t>10.1109/8.144595</t>
  </si>
  <si>
    <t>2-s2.0-0026881017</t>
  </si>
  <si>
    <t>['zone radial', 'theoretical formulation', 'results show', 'radial component', 'principal component', 'near zone', 'focused near', 'focal plane', 'field region', 'electric field', 'accurately computed']</t>
  </si>
  <si>
    <t>The near-zone radial and principal spherical components of the electric field for a linear phased array antenna that is focused at one to two aperture diameters in the near zone are investigated. The phased array antenna consists of thin monopole elements, which are analyzed by using the method of moments. A theoretical formulation is described and computer simulation results are presented. The results show that the radial component is negligible in the focused near-field region, which allows the principal component to be accurately computed from knowledge of only the tangential electric field on the focal plane. ¬© 1992 IEEE</t>
  </si>
  <si>
    <t>723-727</t>
  </si>
  <si>
    <t>Fenn, Alan J.</t>
  </si>
  <si>
    <t>Fenn A.J.</t>
  </si>
  <si>
    <t>On the Radial Component of the Electric Field for a Monopole Phased Array Antenna Focused in the Near Zone</t>
  </si>
  <si>
    <t>10.1109/8.144608</t>
  </si>
  <si>
    <t>2-s2.0-0026881058</t>
  </si>
  <si>
    <t>['radiation problem', 'key concepts', 'introduced first', 'dimensional version']</t>
  </si>
  <si>
    <t>Two complementary reciprocity theorems have been derived in this work. They are distinct from the welLKnown reciprocity theorems of Rayleigh-Carson and Lorentz. An application of one of the theorems to a radiation problem is given. A one-dimensional version of the theorems is introduced first by using transmission lines as the models to illustrate some of the key concepts in the theory. ¬© 1992 IEEE</t>
  </si>
  <si>
    <t>675-681</t>
  </si>
  <si>
    <t>Tai, Chen To</t>
  </si>
  <si>
    <t>Tai C.T.</t>
  </si>
  <si>
    <t>Complementary Reciprocity Theorems in Electromagnetic Theory</t>
  </si>
  <si>
    <t>10.1109/8.144602</t>
  </si>
  <si>
    <t>2-s2.0-0026881059</t>
  </si>
  <si>
    <t>['waves quasi', 'theoretical values', 'special near', 'ray tracing', 'optical systems', 'measurements showed', 'large disagreement', 'gaussian beam', 'exact huygens', 'corrugated horn', 'approximative method', '87 ghz']</t>
  </si>
  <si>
    <t>At millimeter-waves quasi-optical systems are commonly designed based on the Gaussian beam and thin lens approximation. The accuracy of the Gaussian beam and thin lens approximation was studied in the case of a corrugated horn and a thick Teflon lens (f/D = 1.2) combination at 87 GHz. A special near-field measurement system was constructed. A large disagreement between the measured and theoretical values with the approximative method was obtained. In particular, the measurements showed that the thin lens approximation breaks down, when the distance from the input beam waist to the lens is less than 1.5 D. Theoretical values obtained with a thick lens model based on ray tracing and use of exact Huygens' aperture integration principle agree well with the measurements. ¬© 1992 IEEE</t>
  </si>
  <si>
    <t>613-619</t>
  </si>
  <si>
    <t>60014313;60103653;60103653</t>
  </si>
  <si>
    <t>7006775375;7006083859;35809669200</t>
  </si>
  <si>
    <t>Tuovinen, Jussi;Hirvonen, Taavi M.;R√§is√§nen, Antti V.</t>
  </si>
  <si>
    <t>Finland;United States</t>
  </si>
  <si>
    <t>Espoo;Amherst MA</t>
  </si>
  <si>
    <t>Aalto University;University of Massachusetts Amherst</t>
  </si>
  <si>
    <t>60103653;60014313</t>
  </si>
  <si>
    <t>Near-Field Analysis of a Thick Lens and Horn Combination: Theory and Measurements</t>
  </si>
  <si>
    <t>10.1109/8.144594</t>
  </si>
  <si>
    <t>2-s2.0-0026881191</t>
  </si>
  <si>
    <t>['two methods', 'three methods', 'subarrays exceeds', 'spatial smoothing', 'solutions obtained', 'proposed toeplitzization', 'minimum value', 'methods achieve', 'impinging sources', 'first suggest', 'alternate formulation']</t>
  </si>
  <si>
    <t>In spatial smoothing, the effective correlation among the impinging sources goes to zero only asymptotically with the number of subarrays. Recently, Takao et al. and Paulraj et al. proposed Toeplitzization and adaptively weighted subarray covariance averaging methods, respectively, wherein the impinging sources are perfectly decorrelated whenever the number of subarrays exceeds a minimum value. While both methods achieve the same result, the formulations of the two methods are different. In this communication, we first suggest an alternate formulation of the same problem and then compare the three methods, and show that the solutions obtained by them are equivalent. ¬© 1992 IEEE</t>
  </si>
  <si>
    <t>720-723</t>
  </si>
  <si>
    <t>60014097;60014097</t>
  </si>
  <si>
    <t>6701499666;57193685841</t>
  </si>
  <si>
    <t>Raghunath, K. J.;Reddy, V. U.</t>
  </si>
  <si>
    <t>Bengaluru</t>
  </si>
  <si>
    <t>Indian Institute of Science</t>
  </si>
  <si>
    <t>Raghunath K.J.</t>
  </si>
  <si>
    <t>A Note on Spatially Weighted Subarray Covariance Averaging Schemes</t>
  </si>
  <si>
    <t>10.1109/8.144607</t>
  </si>
  <si>
    <t>2-s2.0-0026881204</t>
  </si>
  <si>
    <t>['two sets', 'thus yield', 'three components', 'navigation frame', 'main contributors', 'leveling uncertainties', 'integrated attitude', 'engineering capabilities', 'conducted involving', 'body frame', 'balloon obtained', 'air force', '5 mgal', '1992 institute', '1 mgal']</t>
  </si>
  <si>
    <t>The Air Force is planning to launch a helium‚Äêfilled balloon possessing a payload of an inertial ring laser gyro strapdown system and a 3‚Äêantenna, minimum 12‚Äêchannel, dual‚Äêfrequency GPS receiver. A ground‚Äêfixed, single‚Äêantenna GPS receiver will be centrally placed beneath the balloon's trajectory, allowing for differential mode GPS tracking. The inertial measurement unit's (IMU's) accelerometers will measure the total kinematic accelerations in the body frame. These will be transformed to local (n,e,d) navigation frame components using the integrated attitude of the balloon obtained from the IMU's gyroscopes. GPS‚Äêdetermined accelerations will reflect total inertial accelerations, which can easily be expressed in the navigation frame. Differencing the two sets will thus yield the desired gravitational accelerations. An elaborate covariance study was conducted involving a 36‚Äêstate, 43‚Äênoise‚Äêprocess open‚Äêloop Kalman filter. Using conservative initial IMU and GPS error source values, the covariance study suggests that estimation of all three components of balloon‚Äêborne gravity vectors to an accuracy of 5 mGal (1 mGal = 10‚àí5 m/s2) is feasible using ‚Äúwithin reach‚Äù electronic and engineering capabilities. Leveling uncertainties are the main contributors to the overall gravity vector estimation error budget. 1992 Institute of Navigation</t>
  </si>
  <si>
    <t>237-253</t>
  </si>
  <si>
    <t>GLEASON, D. M.</t>
  </si>
  <si>
    <t>GLEASON D.</t>
  </si>
  <si>
    <t>Gravity Vector Estimation from Integrated GPS/Strapdown IMU Data</t>
  </si>
  <si>
    <t>10.1002/j.2161-4296.1992.tb01877.x</t>
  </si>
  <si>
    <t>2-s2.0-0026881264</t>
  </si>
  <si>
    <t>['zero tracking', 'transient convergence', 'transient behaviour', 'tracking behaviour', 'stationary points', 'starting positions', 'saddle points', 'response zeros', 'local minimum', 'lms algorithm', 'implementation complexity', 'global minimum', 'even though', 'directly available', 'appreciable amount', 'always converge']</t>
  </si>
  <si>
    <t>The stationary points and transient behaviour of using zero tracking based techniques in a power inversion array are investigated in this paper. As a function of the response zeros, the output power performance surface has been found to possess no local minimum, although saddle points may exist at positions where some of the zeros are identical. Since the saddle points are unstable and the inputs are stochastic in nature, steepest descent based zero tracking algorithms will always converge to the global minimum, even though the zeros being adjusted may wander close to the saddle points for an appreciable amount of time. Nevertheless, with only a single asymptotic time constant, the use of zero tracking as discussed has been found to have a transient convergence which, when compared with the LMS algorithm of about the same implementation complexity, is generally much faster and more uniform with respect to the starting positions and the environment. Together with the advantages that the zeros are directly available and that the tracking behaviour is determined by the asymptotic time constant only, zero tracking is an attractive viable alternative for algorithms whose complexity is proportional to the size of the array.</t>
  </si>
  <si>
    <t>199-206</t>
  </si>
  <si>
    <t>7202596473;6507411953;7005101794</t>
  </si>
  <si>
    <t>Ko, C. C.;Balabhaskar, G.;Chin, F.</t>
  </si>
  <si>
    <t>On the stationary points of the output power versus response zero performance surface in power inversion arrays</t>
  </si>
  <si>
    <t>10.1049/ip-f-2.1992.0024</t>
  </si>
  <si>
    <t>2-s2.0-0026881497</t>
  </si>
  <si>
    <t>['wiley company', 'resonant frequency', 'planar element', 'path length', 'measured results', 'inc .,', 'impulse response', 'ground plane', 'fourier transform', 'electric field', 'different values', 'approximate formula', 'antenna height', 'analysis results']</t>
  </si>
  <si>
    <t>bandwidth | input impedance | microstrip antenna | Planar inverted‚ÄêF antenna | resonance equation | small antenna | spatial network method | wired transmission line antenna</t>
  </si>
  <si>
    <t>By means of the spatial network method, the characteristics of a planar inverted‚ÄêF antenna on an infinite ground plane are analyzed. The electric field between the planar element and ground plane and the surface current distribution on the antenna for different values of the width of the short‚Äêcircuit plate are found. In addition, by Fourier transform of the impulse response of the antenna, the resonant frequency and the bandwidth are derived. The relationship between the width of the short‚Äêcircuit plate and the path length of the antenna current flowing on the planar element, short‚Äêcircuit plate and ground lane also is studied. An approximate formula is investigated for the resonant frequency as a function of the width of the short‚Äêcircuit plate, dimensions of the planar element and antenna height. Further, by comparison with the measured results, the validity of the analysis results is confirmed. Copyright ¬© 1992 Wiley Periodicals, Inc., A Wiley Company</t>
  </si>
  <si>
    <t>97-106</t>
  </si>
  <si>
    <t>60025555;60017386</t>
  </si>
  <si>
    <t>7102629706;7101962963</t>
  </si>
  <si>
    <t>Taga, Tokio;Tsunoda, Kikuo</t>
  </si>
  <si>
    <t>Tokyo;Nagaokakyo</t>
  </si>
  <si>
    <t>Nippon Telegraph and Telephone Corporation;Murata Manufacturing Co., Ltd.</t>
  </si>
  <si>
    <t>Taga T.</t>
  </si>
  <si>
    <t>Analysis of a planar inverted‚Äêf antenna by spatial network method</t>
  </si>
  <si>
    <t>10.1002/ecja.4410750609</t>
  </si>
  <si>
    <t>2-s2.0-0026881660</t>
  </si>
  <si>
    <t>['temperature different', 'temperature averaged', 'target suggest', 'target maintained', 'surrounding medium', 'strong weighting', 'simple quasi', 'simple estimate', 'results indicate', 'regions near', 'radiometer used', 'radiometer signal', 'radiometer operating', 'performed using', 'microwave radiometry', 'located beneath', 'insignificant ).', 'good indication', 'field pattern', 'experimental studies', 'dielectric properties', 'cylindrical target', 'constant temperature', 'bioheat equation', 'apparent size', '7 ghz']</t>
  </si>
  <si>
    <t>The sensitivity of microwave radiometry for detecting subcutaneous targets was studied both experimentally and theoretically. The radiometer used a dielectric loaded rectangular waveguide atenna in contact with a lossy dielectric medium. A cylindrical target with dielectric properties and/or temperature different from that of the surrounding medium was located beneath this surface. For most of the studies, the target and the surrounding medium were maintained at constant, but unequal, temperatures (i.e., heat conduction effects were insignificant). The received radiometric signal was calculated as the location and dielectric properties of the target were varied. Finally, the radiometer signal was calculated for the situation with the target maintained at constant temperature but with the surrounding medium modeled by the bioheat equation. Experimental studies were performed using a radiometer operating at 4.7 GHz. The target was a thin walled tube through which a temperature controlled liquid was circulated, located in a temperature controlled fluid tank. The results indicate that microwave radiometry (as used in this study) responds to the temperature averaged over the field pattern of the antenna with very strong weighting of regions near the surface. A simple quasi-static analysis provides a good indication of the sensitivity of the technique for detecting cylindrical targets whose dielectric properties are diiferent from those of the surrounding medium. A simple estimate of thermal conduction around the target suggest that thermal effects greatly increase the apparent size of the target. ¬© 1992 IEEE</t>
  </si>
  <si>
    <t>563-568</t>
  </si>
  <si>
    <t>60002817;60006297</t>
  </si>
  <si>
    <t>6701775042;7202155857</t>
  </si>
  <si>
    <t>Cheever, Erik A.;Foster, Kenneth R.</t>
  </si>
  <si>
    <t>Philadelphia;Swarthmore</t>
  </si>
  <si>
    <t>University of Pennsylvania;Swarthmore College</t>
  </si>
  <si>
    <t>60006297;60002817</t>
  </si>
  <si>
    <t>Cheever E.A.</t>
  </si>
  <si>
    <t>Microwave Radiometry in Living Tissue: What Does it Measure?</t>
  </si>
  <si>
    <t>10.1109/10.141194</t>
  </si>
  <si>
    <t>2-s2.0-0026881720</t>
  </si>
  <si>
    <t>24-30</t>
  </si>
  <si>
    <t>60015375;60015375;60103653</t>
  </si>
  <si>
    <t>7102492958;35568243700;6601978184</t>
  </si>
  <si>
    <t>Lindell, Ismo V.;Sihvola, Ari H.;Kurkij√§rvi, Juhani</t>
  </si>
  <si>
    <t>Finland;Finland</t>
  </si>
  <si>
    <t>Espoo;Turku</t>
  </si>
  <si>
    <t>Aalto University;√Öbo Akademi University</t>
  </si>
  <si>
    <t>60103653;60015375</t>
  </si>
  <si>
    <t>Lindell I.</t>
  </si>
  <si>
    <t>Karl F. Lindman: The Last Hertzian, and a Harbinger of Electromagnetic Chirality</t>
  </si>
  <si>
    <t>10.1109/74.153530</t>
  </si>
  <si>
    <t>2-s2.0-0026881832</t>
  </si>
  <si>
    <t>['paper reports', 'many applications', 'low cost', 'line circuit', 'grating antenna', 'clean spectrum', '4 degrees']</t>
  </si>
  <si>
    <t>This paper reports a varactor-tuned Gunn oscillator constructed in an image-line circuit and integrated with a grating antenna. The combined circuit exhibited a 2 percent electronic tuning range corresponding to a frequency steerable range of 4 degrees. The active antenna demonstrated a clean spectrum with low side lobes. The beam angles agree very well with the prediction. The circuit can be produced at low cost and should have many applications at millimeter-wave frequencies ¬© 1992 Plenum Publishing Corporation.</t>
  </si>
  <si>
    <t>841-851</t>
  </si>
  <si>
    <t>60020547;60020547</t>
  </si>
  <si>
    <t>7102479369;7404879378</t>
  </si>
  <si>
    <t>Kirk, Alex M.;Chang, Kai</t>
  </si>
  <si>
    <t>College Station</t>
  </si>
  <si>
    <t>Texas A&amp;M University</t>
  </si>
  <si>
    <t>Kirk A.</t>
  </si>
  <si>
    <t>Integrated image-line steerable active antennas</t>
  </si>
  <si>
    <t>10.1007/BF01011599</t>
  </si>
  <si>
    <t>2-s2.0-0026881904</t>
  </si>
  <si>
    <t>['waveguide antenna', 'various frequencies', 'subreflector position', 'required tool', 'reflector antennas', 'microwave holography', 'likely required', 'large reflector', 'holography technique', 'geostationary sources', 'field sources', 'efficiency measurements', 'complex far', 'article describes', '43 mm', '32 ghz']</t>
  </si>
  <si>
    <t>Microwave holography, as applied to reflector antennas, is a technique with utilizes the Fourier Transform relation between the complex far-field radiation pattern of an antenna and the complex aperture distribution. Resulting aperture phase and amplitude distribution data are used to precisely characterize various crucial performance parameters, including panel alignment, subreflector position, antenna aperture illumination, directivity at various frequencies, and gravity deformation effects. The holography technique provides a methodology for analysis, evaluation, and RF performance improvement of large reflector and beam waveguide antennas. Strong CW signals obtained from geostationary sources were used as far-field sources. This article describes the application of the holography technique to the newly constructed NASA/JPL Deep Space Network (DSN) 34-m beam-waveguide antenna, resulting in 4.1-dB performance improvement at 32 GHz by reducing the main reflector rms surface error to 0.43 mm. The improved antenna performance was verified by additional holographic measurements and efficiency measurements at X-band (8.45 GHz). Microwave holography has been demonstrated to be a required tool for achieving antenna aperture efficiency of 52% at Ka-band (32 GHz), and is likely required for maintaining an operational DSN Ka-band ground antenna capability. ¬© 1992 IEEE</t>
  </si>
  <si>
    <t>1294-1300</t>
  </si>
  <si>
    <t>6506631203;16460220900</t>
  </si>
  <si>
    <t>Rochblatt, David J.;Seidel, Boris L.</t>
  </si>
  <si>
    <t>Rochblatt D.</t>
  </si>
  <si>
    <t>Microwave Antenna Holography</t>
  </si>
  <si>
    <t>10.1109/22.141363</t>
  </si>
  <si>
    <t>2-s2.0-0026882067</t>
  </si>
  <si>
    <t>['useful tool', 'theoretical analysis', 'rectenna uses', 'many applications', 'experimental results', 'demonstrated using', 'conversion efficiency', 'circuit design', '10 ghz']</t>
  </si>
  <si>
    <t>A 35 GHz rectenna has been developed with 39% conversion efficiency. The rectenna uses a microstrip dipole antenna and a commercially available mixer diode. Over 60% conversion efficiency was demonstrated using this diode at 10 GHz. A theoretical analysis was derived to predict the performance of the rectenna. The analysis is a useful tool for device and circuit design. The theoretical and experimental results should have many applications in microwave power transmission and detection. ¬© 1992 IEEE</t>
  </si>
  <si>
    <t>1259-1266</t>
  </si>
  <si>
    <t>7101746122;7404879378</t>
  </si>
  <si>
    <t>Yoo, Tae Whan;Chang, Kai</t>
  </si>
  <si>
    <t>Yoo T.W.</t>
  </si>
  <si>
    <t>Theoretical and Experimental Development of 10 and 35 GHz Rectennas</t>
  </si>
  <si>
    <t>10.1109/22.141359</t>
  </si>
  <si>
    <t>2-s2.0-0026882068</t>
  </si>
  <si>
    <t>['several ka', 'polarization isolation', 'one polarization', 'noise amplifier', 'nested front', 'multibeam antenna', 'introduced briefly', 'high cross', 'dual polarization', 'brief description', 'back subreflectors', 'approximately 0']</t>
  </si>
  <si>
    <t>‚ÄîThe Advanced Communications Technninpv Sat&amp;Hite (ACTS) to be launched in 1993 introduces several new technologies including a multibeam antenna (MBA) operating at Ka-band. The satellite is introduced briefly, and then the MBA, consisting of electrically similar 30 GHz receive and 20 GHz transmit offset Cassegrain systems‚Äîboth utilizing orthogonal linear polarizations, is described. Dual polarization is achieved by using one feed assembly for each polarization in conjunction with nested front and back subreflectors, the gridded front subreflector acting as a window for one polarization and a reflector for the other. The antennas produce spot beams with approximately 0.3 degree beamwidth and gains of approximately 50 dbi. High surface accuracy and high edge taper produce low sidelobe levels and high cross-polarization isolation. A brief description is given of several Ka-band components fabricated for ACTS. These include multiflare antenna feedhorns, beam-forming networks utilizing latching ferrite waveguide switches, a 30 GHz HEMT low-noise amplifier and a 20 GHz TWT power amplifier. ¬© 1992 IEEE</t>
  </si>
  <si>
    <t>1159-1164</t>
  </si>
  <si>
    <t>Regier, Frank A.</t>
  </si>
  <si>
    <t>Regier F.</t>
  </si>
  <si>
    <t>The ACTS Multibeam Antenna</t>
  </si>
  <si>
    <t>10.1109/22.141347</t>
  </si>
  <si>
    <t>2-s2.0-0026882069</t>
  </si>
  <si>
    <t>['tc superconducting', 'new type', 'material properties', 'fixed polarizations', 'corner reflector', 'confirmed experimentally', 'antenna properties', 'active antenna']</t>
  </si>
  <si>
    <t>A high-Tc superconducting (SC) active antenna with a corner reflector is found to be useful for detecting electromagnetic waves (f = 9.55 GHz). The SC active antenna is a new type of antenna which consists of material properties and antenna properties. The microwaves with fixed polarizations are radiated to the SC active antennas and the detectivities and the directivities were confirmed experimentally. With a use of the corner reflector, the sensitivity and the directivity are improved. ¬© 1992 IEEE</t>
  </si>
  <si>
    <t>113-115</t>
  </si>
  <si>
    <t>IEEE Transactions on Applied Superconductivity</t>
  </si>
  <si>
    <t>22976359800;55706018600</t>
  </si>
  <si>
    <t>Ohnuma, Toshiro;Tanaka, Yuki</t>
  </si>
  <si>
    <t>Ohnuma T.</t>
  </si>
  <si>
    <t>High T&lt;inf&gt;c&lt;/inf&gt; Superconducting Active Antenna with Reflector</t>
  </si>
  <si>
    <t>10.1109/77.139229</t>
  </si>
  <si>
    <t>2-s2.0-0026882275</t>
  </si>
  <si>
    <t>['two photosystems', 'two peaks', 'thermophilic cyanobacteria', 'temperature peaks', 'temperature peak', 'specific property', 'relative yield', 'ph changes', 'minor band', 'main maximum', 'isolated membranes', 'intact cells', 'high sensitivity', 'evolving system', 'electron transport', 'different temperatures', 'different concentrations', 'df peaks', 'delayed fluorescence', 'cyanobacteria showed', 'also observed', 'active oxygen']</t>
  </si>
  <si>
    <t>Stationary delayed fluorescence (DF) of chlorophyll in isolated membrane preparations from thermophilic cyanobacterium Synechococcus elongatus was investigated as a function of temperature. Two peaks at different temperatures were observed. The low-temperature peak (54-60 degrees C) coincided with the main maximum of the thermally-induced delayed fluorescence of chlorophyll in intact cells and PSII-particles with active oxygen-evolving system. The high-temperature peak (78 degrees C) coincided with the minor band of delayed light emitted by intact cells. It was also observed in the delayed fluorescence emission from a PSI-enriched fraction preparation. The intensities of the DF peaks were dependent on the presence of inhibitors, donors and acceptors that cause specific effects on electron transport of the two photosystems. The low-temperature and high-temperature peaks were related to PSII and PSI, respectively. The manifestation of delayed fluorescence from PSI and PSII at different temperatures seems to be a specific property of thermophilic cyanobacteria. The reason for this may be a high thermal stability of the photosystems and the lack of the PSII antenna complex in isolated membranes. Consequently, the relative yield of delayed fluorescence from PSI markedly increases. Thermally-induced fluorescence seen in membranes of cyanobacteria showed a high sensitivity to structural and functional membrane alterations induced by pH changes, different electron transport stabilizing agents or different concentrations of MgCl2.</t>
  </si>
  <si>
    <t>229-239</t>
  </si>
  <si>
    <t>General physiology and biophysics</t>
  </si>
  <si>
    <t>60007457;60007457;60007457;60007457;60007457</t>
  </si>
  <si>
    <t>7409695952;57194186640;6505941893;7402503438;24446372300</t>
  </si>
  <si>
    <t>Kaurov YuN, ;Aksyonova, G. E.;Lovyagina, E. R.;Ivanov, I. I.;Rubin, A. B.</t>
  </si>
  <si>
    <t>Lomonosov Moscow State University</t>
  </si>
  <si>
    <t>Kaurov YuN</t>
  </si>
  <si>
    <t>Thermally-induced delayed fluorescence of photosystem I and II chlorophyll in thermophilic cyanobacterium Synechococcus elongatus.</t>
  </si>
  <si>
    <t>2-s2.0-0026882278</t>
  </si>
  <si>
    <t>['versatile three', 'taylor distributions', 'taper efficiency', 'sidelobe levels', 'p distributions', 'narrow beamwidth', 'issues concerning', 'improvements resulting', 'field patterns', 'field envelope', 'far field', 'encompasses many', 'edge taper', 'decay rate', 'carefully chosen', 'beam efficiency', 'asymptotic form', 'aperture power', 'aperture distributions', 'aperture distribution', 'also derived']</t>
  </si>
  <si>
    <t>A versatile three-parameter (3-P) elliptical aperture distribution, which encompasses many of the existing circular aperture distributions, is presented in this paper. Characteristics of the 3-P distributions such as the edge taper, the taper efficiency, the aperture power, the closed-form far fields, the Sidelobe levels, the beamwidth and the beam efficiency are analyzed. Also derived is an asymptotic form of the far field, based on which the far angle features of the 3-P distributions such as the far-field envelope, the decay rate, and the positions of nulls are determined. Examples are presented to illustrate the improvements resulting from the enlarged parameter space for aperture models obtainable from the 3-P distributions. In narrow beamwidth/low sidelobe level designs, the performances of the 3-P distributions are comparable with those of the Taylor distributions. However, unlike Taylor distributions, the 3-P distributions are always monotonically decreasing toward the edge of the aperture. Normalizations of the aperture distributions and the far-field patterns are carefully chosen. Issues concerning the total power associated with an aperture distribution are studied and the inadequacy of some commonly used approximations is demonstrated. ¬© 1992 IEEE</t>
  </si>
  <si>
    <t>697-713</t>
  </si>
  <si>
    <t>60027550;60027550</t>
  </si>
  <si>
    <t>7007026217;7102110120</t>
  </si>
  <si>
    <t>Duan, Dah Weih;Rahmat-Samii, Yahya</t>
  </si>
  <si>
    <t>University of California, Los Angeles</t>
  </si>
  <si>
    <t>Duan D.W.</t>
  </si>
  <si>
    <t>A Generalized Three-Parameter (3-P) Aperture Distribution for Antenna Applications</t>
  </si>
  <si>
    <t>10.1109/8.144605</t>
  </si>
  <si>
    <t>2-s2.0-0026882290</t>
  </si>
  <si>
    <t>['time resolution', 'theoretical expectations', 'saturation properties', 'sapphire consistent', 'radiated fields', 'photoconductors incorporated', 'optical fluences', 'optical excitation', 'measured directly', 'highspeed response', 'experimental studies', 'e .,', 'aperture antenna', 'amplitude saturation', '6 ps']</t>
  </si>
  <si>
    <t>We describe the saturation properties of ultrafast pulsed electromagnetic radiation generated by large-aperture photoconducting antennas as a function of optical excitation fluence. We present a theory that predicts this effect. The amplitude saturation of the radiation has been observed from antennas incorporating GaAs, InP, and radiation damaged silicon-on-sapphire consistent with theoretical expectations. The radiated fields were measured directly with a time resolution of 0.6 ps with the use of a large-aperture antenna as a detector. From these experimental studies, information about the highspeed response (i.e., the transient carrier mobility in the first few picoseconds after optical excitation) of the photoconductors incorporated in the antenna can be obtained under conditions of high applied electric fields and optical fluences. ¬© 1992 IEEE</t>
  </si>
  <si>
    <t>1607-1616</t>
  </si>
  <si>
    <t>IEEE Journal of Quantum Electronics</t>
  </si>
  <si>
    <t>60030162;60025534;60030162;60026175</t>
  </si>
  <si>
    <t>6701531352;7410280543;7003905455;7202712052</t>
  </si>
  <si>
    <t>Darrow, Justin T.;Zhang, Xi Cheng;Auston, David H.;Morse, Jeffrey D.</t>
  </si>
  <si>
    <t>New York;Livermore;Troy</t>
  </si>
  <si>
    <t>Columbia University;Lawrence Livermore National Laboratory;Rensselaer Polytechnic Institute</t>
  </si>
  <si>
    <t>60030162;60026175;60025534</t>
  </si>
  <si>
    <t>Darrow J.T.</t>
  </si>
  <si>
    <t>Saturation Properties of Large-Aperture Photoconducting Antennas</t>
  </si>
  <si>
    <t>10.1109/3.135314</t>
  </si>
  <si>
    <t>2-s2.0-0026882424</t>
  </si>
  <si>
    <t>['uniform plasma', 'thin oxides', 'surface charging', 'successfully explain', 'rf period', 'plasma nonuniformity', 'oxide current', 'gate surface', 'gate exposed', 'damage oxides', 'charge damage']</t>
  </si>
  <si>
    <t>A new, physically based model has been developed to successfully explain the role of plasma nonuniformity in charge damage to oxides. For a uniform plasma the local conduction currents to the wafer surface integrate to zero over the RF period, and the surface charging is insufficient to damage oxides. For the case of thin oxides under a gate exposed to a nonuniform magnetron plasma, the gate surface can charge up until the oxide tunneling current balances the difference in the mean local conduction currents from the plasma. It is this oxide current that leads to degradation. The oxide current obtained via SPICE circuit simulations and probe measurements shows good agreement with experimental damage data of ‚Äúantenna‚Äù capacitors. ¬© 1992 IEEE</t>
  </si>
  <si>
    <t>347-349</t>
  </si>
  <si>
    <t>Fang, Sychyi;McVittie, James P.</t>
  </si>
  <si>
    <t>A Model and Experiments for Thin Oxide Damage from Wafer Charging in Magnetron Plasmas</t>
  </si>
  <si>
    <t>10.1109/55.145080</t>
  </si>
  <si>
    <t>2-s2.0-0026882443</t>
  </si>
  <si>
    <t>['wavenumbers larger', 'vr separately', 'vr depends', 'velocity images', 'velocity bunching', 'use two', 'use sar', 'two phenomena', 'two antennas', 'traveling waves', 'thermal noise', 'spatial resolution', 'simple explanation', 'radial velocity', 'radial velocities', 'optimal separation', 'novel method', 'measure œé0', 'image azimuth', 'help separate', 'general framework', 'forming radial', 'coherence time', 'cause confusion', 'antennas proportional', 'antenna sar', 'antenna radars', 'also provide', '2b ),']</t>
  </si>
  <si>
    <t>Synthetic aperture radars (SAR's) have long been used to image ocean waves. The measurements are affected both by the radar backscattering cross section (œÉ0) and by the radial velocity (Vr) of the surface. Velocity bunching can cause confusion between these two phenomena for single-antenna radars. We can use SAR's with two antennas to help separate the effects of œÉ0 and Vr in situations where a single-antenna SAR would be impractical. We present an analysis of the capabilities of two-antenna radars, using a novel method for forming radial-velocity images, to provide a general framework for evaluating the performance of different possible instruments. We derive several key results. We can measure œÉ0 and Vr separately, given a properly designed SAR. The error in Vr depends on the thermal noise in the receivers, the spacing of the two antennas (2B), the coherence time of the surface (œÑc) and the spatial resolution of the measurement. There is an optimal separation of the antennas proportional to œîc, where v is the speed of the aircraft. In cases where radial velocities are unimportant, we can use two-antenna SAR's to image azimuth-traveling waves with wavenumbers larger than the usual azimuth cutoff. We show how phase errors affect the accuracy of the measurements of Vr. In this development, we also provide a simple explanation for velocity bunching, a subject that has caused much controversy. ¬© 1992 IEEE</t>
  </si>
  <si>
    <t>597-605</t>
  </si>
  <si>
    <t>60023201;60023201;60023201</t>
  </si>
  <si>
    <t>6603712161;7007100175;7404251286</t>
  </si>
  <si>
    <t>Milman, Andrew S.;Scheffler, Albert O.;Bennett, John R.</t>
  </si>
  <si>
    <t>Milman A.S.</t>
  </si>
  <si>
    <t>Ocean Imaging with Two-Antenna Radars</t>
  </si>
  <si>
    <t>10.1109/8.144592</t>
  </si>
  <si>
    <t>2-s2.0-0026882461</t>
  </si>
  <si>
    <t>['widely validated', 'wave analysis', 'stringent requirements', 'small machines', 'repeated full', 'power division', 'matching formulations', 'efficient mode', 'coupled dis', 'bfn ).', 'advances consist', '386 pc']</t>
  </si>
  <si>
    <t>Multicontoured and reconfigurable beam spacecraft antennas rely on sophisticated beam forming networks (BFN). Accurate and efficient CAD tools are required to meet the stringent requirements on the power division, while avoiding any tuning or trimming of the BFN. This paper presents advanced field theoretical techniques for the analysis and optimization of microwave beam forming networks realized in both waveguide and square coaxial cable technologies. Such advances consist in new segmentation techniques of the microwave components associated with efficient mode-matching formulations for the modeling of isolated as well as coupled dis-continuities. The achieved numerical efficiency allows sophisticated synthesis procedures, based on repeated full-wave analysis in wide frequency bands, to be performed on small machines such as a 386 PC. The design tools developed have been widely validated through a comprehensive test campaign. ¬© 1992 IEEE</t>
  </si>
  <si>
    <t>1117-1127</t>
  </si>
  <si>
    <t>60032350-60003003</t>
  </si>
  <si>
    <t>Alessandri, Ferdinando</t>
  </si>
  <si>
    <t>Italy;Italy</t>
  </si>
  <si>
    <t>Rome;Perugia</t>
  </si>
  <si>
    <t>Sapienza Universit√† di Roma;Universit√† degli Studi di Perugia</t>
  </si>
  <si>
    <t>60032350;60003003</t>
  </si>
  <si>
    <t>Alessandri F.</t>
  </si>
  <si>
    <t>Computer-Aided Design of Beam Forming Networks for Modem Satellite Antennas</t>
  </si>
  <si>
    <t>10.1109/22.141343</t>
  </si>
  <si>
    <t>2-s2.0-0026882543</t>
  </si>
  <si>
    <t>['wide bandwidth', 'system performance', 'remote sensing', 'optical system', 'made independent', 'independent design']</t>
  </si>
  <si>
    <t>The use of quasi-optics feed systems with a reflec- tor antenna allows multiple frequency operation over a very wide bandwidth for remote sensing of the earth and atmosphere from space. The errors in such a multichannel quasioptical feed system must be controlled in order to limit the degradation of system performance. These errors can be attributed to the presence of higher order Gaussian modes but the errors can be minimised if the quasi-optical system can be made independent of frequency. If volume limitations preclude a frequency-independent design, the amplitude of the higher order Gaussian modes must be controlled. ¬© 1992 IEEE</t>
  </si>
  <si>
    <t>1318-1322</t>
  </si>
  <si>
    <t>115666537;60111879</t>
  </si>
  <si>
    <t>7201517413;6701623000</t>
  </si>
  <si>
    <t>Foster, Patricia R.;Wylde, Richard J.</t>
  </si>
  <si>
    <t>Billingshurst;Great Malvern</t>
  </si>
  <si>
    <t>Thomas Keating Ltd;WR144AP</t>
  </si>
  <si>
    <t>60111879;115666537</t>
  </si>
  <si>
    <t>Foster P.R.</t>
  </si>
  <si>
    <t>The Effect of Quasi-Optics Errors on Reflector Antenna Performance</t>
  </si>
  <si>
    <t>10.1109/22.141366</t>
  </si>
  <si>
    <t>2-s2.0-0026883315</t>
  </si>
  <si>
    <t>['task statement', 'successful commission', 'specified characteristics', 'solved successfully', 'solution generality', 'six feeds', 'reflector system', 'reflector size', 'reflector shape', 'reflector commutator', 'radioastronomical investigations', 'problems connected', 'phase compensation', 'pedestal room', 'optical method', 'numerous industrial', 'large project', 'known approaches', 'intensive progress', 'getting unessential', 'financial risk', 'financial examination', 'erecting enterprises', 'diffraction phenomen', 'designers encountered', 'design work', 'design documentation', 'cooperative efforts', 'another problem', '70 radiotelescope', '70 designing', '4 ].', '2 ].', '1 ],']</t>
  </si>
  <si>
    <t>Design work intended to create a 70-m axisym- metrical reflector antenna with modified reflector profiles started in 1969 in the USSR [1], [2]. It took four years to complete experimental investigations, development of design documentation, technical and financial examination in order to validate the financial risk when realising such a large project. The financing was opened in 1973 and the cooperative efforts of numerous industrial and building/erecting enterprises was crowned with successful commission of RT-70 radiotelescope in 1978 in Yevpatoriya [3], Since 1982 the pedestal room of the antenna is equipped by six feeds, and the operation mode switching is implemented by means of special asymmetrical dual-reflector communication system. Photograph of such antenna is shown in Fig. 1. In course of design work the intensive progress of geometry-optical method for synthesis of a dual-reflector system with specified characteristics was stimulated. The synthesis problems remain actual up to now [4]. The synthesis theory used under RT-70 designing differs from well-known approaches by the strictness of a task statement and a solution generality. In process of RT-70 designing the complex problems arose due to diffraction phenomen on the twin-reflector commutator the reflector size in which in decimetric wave range does not exceed 4‚Äì5 X. In order to solve these problems the special diffraction shields had to be applied here. In the centimeter wave range the problems connected with diffraction are getting unessential. All these questions are omitted in this article. Another problem the designers encountered was the problem of phase compensation of the reflector system gravitational deformation. The reflector shape is not the second order surface in this system. This problem was solved successfully and results of the radioastronomical investigations of the phase compensation system performance efficiency are given in the paper. ¬© 1992 IEEE</t>
  </si>
  <si>
    <t>1267-1273</t>
  </si>
  <si>
    <t>6506531575;7402290021;7202005701</t>
  </si>
  <si>
    <t>Grishmanovsky, Victor A.;Kozlov, Alexander N.;Tarasov, Vladimir B.</t>
  </si>
  <si>
    <t>Grishmanovsky V.</t>
  </si>
  <si>
    <t>The Main Principles of a 70-m Radio Telescope Reflecting System Design</t>
  </si>
  <si>
    <t>10.1109/22.141360</t>
  </si>
  <si>
    <t>2-s2.0-0026883354</t>
  </si>
  <si>
    <t>43-44</t>
  </si>
  <si>
    <t>;60020818</t>
  </si>
  <si>
    <t>57189501138;7004897704</t>
  </si>
  <si>
    <t>Schrank, Hal;Hacker, Philip S.</t>
  </si>
  <si>
    <t>Pittsburgh</t>
  </si>
  <si>
    <t>Westinghouse Electric Company</t>
  </si>
  <si>
    <t>Thinned Arrays: Some Fundamental Considerations</t>
  </si>
  <si>
    <t>10.1109/74.153534</t>
  </si>
  <si>
    <t>2-s2.0-0026883359</t>
  </si>
  <si>
    <t>['spectral efficiencies', 'service demand', 'satellite service', 'satellite channel', 'preliminary analysis', 'paper describes', 'overhead associated', 'international standards', 'early part', 'domestic airspace', 'could provide', 'communications scheme', 'atn overhead', 'atn ),', 'amss ).', 'aes ).', 'aeronautical mobile', '21st century']</t>
  </si>
  <si>
    <t>International standards are being developed by the International Civil Aviation Organization (ICAO) for an Aeronautical Mobile-Satellite Service (AMSS). Moreover, the American Mobile Satellite Corporation (AMSC) is constructing a satellite communications system that could provide this service in the U.S. domestic airspace. This paper describes a preliminary analysis of the capacity (number of aircraft) that could be handled by the first generation AMSC system in the early part of the 21st century. The analysis is based on assumptions for the service demand, the Aeronautical Telecommunications Network (ATN), the communications scheme, the satellite channel and the Aircraft Earth Station (AES). Capacity is examined in terms of spectral bandwidth required and satellite power limitations. Service demand is for data link messages for the air traffic services (ATS) functions of AMSS Voice communications are not included. Sensitivity of the results is examined with regard to: 1) variations in service demand, 2) spectral efficiencies of different modulation techniques, 3) aircraft antenna equipage, high-gain or low-gain, and 4) the amount of overhead associated with the ATN. With regard to the ATN, the analysis only illustrates the impact on capacity if some of the ATN overhead were eliminated. The paper does not address the feasibility of eliminating this overhead or the possible resulting loss of functionality. ¬© 1992 IEEE</t>
  </si>
  <si>
    <t>51-58</t>
  </si>
  <si>
    <t>Shively, Curtis A.</t>
  </si>
  <si>
    <t>McLean</t>
  </si>
  <si>
    <t>MITRE Corporation</t>
  </si>
  <si>
    <t>Shively C.A.</t>
  </si>
  <si>
    <t>Capacity as a Consideration for Providing Aeronautical Mobile Satellite Air Traffic Services in the U.S. Domestic Airspace</t>
  </si>
  <si>
    <t>10.1109/62.145119</t>
  </si>
  <si>
    <t>2-s2.0-0026883366</t>
  </si>
  <si>
    <t>['varian associates', 'two klystrons', 'transmitter modifications', 'subsequently built', 'report describes', 'performance testing', 'output power', 'meter antenna', 'deliver replacements', '949j klystrons', '7864a klystrons', '200 kw']</t>
  </si>
  <si>
    <t>Jet Propulsion Laboratory contracted with Varian Associates to design, build, and deliver replacements for VA-949J klystrons in the X-band planetary radar transmitter on the Goldstone, CA, 70-meter antenna. Output power was to be increased from 200 kW to 250 kW CW per klystron, and full dc beam power was to be dissipated in the collector (it is not possible to operate the VA-9496J without RF drive because of limited collector dissipation capability). Replacements were to be made with a minimum of transmitter modifications. Two model VKX-7864A klystrons were subsequently built and delivered. This report describes the design of these klystrons and the results of their performance testing. The planetary radar transmitter is now operating with these two klystrons. ¬© 1992 IEEE</t>
  </si>
  <si>
    <t>1056-1062</t>
  </si>
  <si>
    <t>60009037-60005446</t>
  </si>
  <si>
    <t>Cormier, Reginald A.</t>
  </si>
  <si>
    <t>Pasadena;Palo Alto</t>
  </si>
  <si>
    <t>Jet Propulsion Laboratory;Varian, Inc.</t>
  </si>
  <si>
    <t>60009037;60005446</t>
  </si>
  <si>
    <t>Cormier R.A.</t>
  </si>
  <si>
    <t>250-kW CW Klystron Amplifier for Planetary Radar</t>
  </si>
  <si>
    <t>10.1109/22.141335</t>
  </si>
  <si>
    <t>2-s2.0-0026883382</t>
  </si>
  <si>
    <t>['wire geometry', 'solution time', 'significantly reduced', 'segments required', 'quadratic segments', 'memory required', 'large number', 'high degree', 'examples demonstrate']</t>
  </si>
  <si>
    <t>Modeling wire structures with a high degree of curvature generally requires a large number of piecewise linear segments to accurately represent rapid geometrical variations. In order to reduce the number of segments required to model curved wire structures, a method of moments formulation using curved wire segments is presented. Specifically, piecewise quadratic wire segments are used to discretize the wire geometry. This algorithm is used to analyze a small wire loop antenna and a multiple-arm Archimedian spiral antenna. For each example, a comparison is made between results obtained using this quadratic segment algorithm and a linear segment algorithm. These examples demonstrate that the memory required is significantly reduced and a reduction in the solution time is achieved when quadratic segments are used. ¬© 1992 IEEE</t>
  </si>
  <si>
    <t>682-689</t>
  </si>
  <si>
    <t>60005837;60005837;60005837</t>
  </si>
  <si>
    <t>6603829914;57218985569;7102880539</t>
  </si>
  <si>
    <t>Champagne, Nathan J.;Williams, Jeffery T.;Wilton, Donald R.</t>
  </si>
  <si>
    <t>The Use of Curved Segments for Numerically Modeling Thin Wire Antennas and Scatterers</t>
  </si>
  <si>
    <t>10.1109/8.144603</t>
  </si>
  <si>
    <t>2-s2.0-0026883542</t>
  </si>
  <si>
    <t>['two computer', 'spatial domain', 'space applications', 'shape immediately', 'second example', 'reflector surfaces', 'prescribed criteria', 'power beamwidths', 'power beamwidth', 'polarization attenuation', 'method involves', 'low mass', 'low cross', 'first example', 'directly based', 'dimensional fourier', 'design method', 'consequent advantage', 'beam scanning', 'advantageously characterized', '70 ¬∞)', '200 ghz', '13 œª', '10 half']</t>
  </si>
  <si>
    <t>An efficient direct numerical synthesis method for dual offset reflector antennas is described which is directly based on the physical optics procedure for both reflectors (PO-PO-method) and where the reflector surfaces are advantageously characterized in the spatial domain by a two-dimensional Fourier-transformation. The method involves an evolution strategy optimization algorithm in order to shape immediately both reflectors, so as to generate the desired far field with prescribed criteria. The efficiency of the design method is demonstrated for two computer-optimized dual offset antenna design examples for space applications. The first example, a very compact optimum shaped Gregorian dual offset earth station antenna with high offset angle (70¬∞) and small subreflector size (13 Œª) achieves a very low sidelobe attenuation level within the envelope of only 23‚Äì25 log 0 dBi, and low cross-polarization attenuation (38 dB). The second example, a shaped dual offset Cassegrain atmospheric sensor antenna for 200 GHz, demonstrates that beam scanning by more than 10 half-power beamwidths is possible with nearly constant half-power beamwidth by simply displacing linearly the subreflector. The consequent advantage is the very low mass to be moved. The theory is verified by available measured results. ¬© 1992 IEEE</t>
  </si>
  <si>
    <t>1310-1317</t>
  </si>
  <si>
    <t>60008293;60008293;60008293</t>
  </si>
  <si>
    <t>6507442002;7006748393;6505937984</t>
  </si>
  <si>
    <t>Schlobohm, Bernd;Arndt, Fritz;Kless, Juergen</t>
  </si>
  <si>
    <t>Bremen</t>
  </si>
  <si>
    <t>Universit√§t Bremen</t>
  </si>
  <si>
    <t>Schlobohm B.</t>
  </si>
  <si>
    <t>Direct PO Optimized Dual-Offset Reflector Antennas for Small Earth Stations and for Millimeter Wave Atmospheric Sensors</t>
  </si>
  <si>
    <t>10.1109/22.141365</t>
  </si>
  <si>
    <t>2-s2.0-0026883771</t>
  </si>
  <si>
    <t>31-39</t>
  </si>
  <si>
    <t>Unwin, R. S.</t>
  </si>
  <si>
    <t>Unwin R.S.</t>
  </si>
  <si>
    <t>The Development of Radar in New Zealand in World War II</t>
  </si>
  <si>
    <t>10.1109/74.153532</t>
  </si>
  <si>
    <t>2-s2.0-0026883832</t>
  </si>
  <si>
    <t>['wiley company', 'resonant frequency', 'radiation patterns', 'numerical results', 'input impedance', 'inc .,', 'air gap']</t>
  </si>
  <si>
    <t>airgap | Microstrip antenna | spectral domain analysis</t>
  </si>
  <si>
    <t>A spectral domain analysis of the rectangular microstrip antenna with an air gap is presented. Numerical results are given on input impedance, resonant frequency, and radiation patterns. It is found that, as the air gap width increases, both the resonant frequency and the impedance bandwidth increase, accompanied by a decrease in beamwidth. ¬© 1992 John Wiley &amp; Sons, Inc. Copyright ¬© 1992 Wiley Periodicals, Inc., A Wiley Company</t>
  </si>
  <si>
    <t>315-318</t>
  </si>
  <si>
    <t>Spectral domain analysis of rectangular microstrip antennas with an air gap</t>
  </si>
  <si>
    <t>10.1002/mop.4650050708</t>
  </si>
  <si>
    <t>2-s2.0-0026883867</t>
  </si>
  <si>
    <t>['two frequencies', 'test results', 'specific focus', 'reflector antenna', 'performance predictions', 'noise temperatures', 'new 34', 'microwave performance', 'microwave holography', 'methodology used', 'known losses', 'issue detail', 'identify critical', 'final results', 'diameter beam', 'diagnostic testing', 'corresponding efficiency', 'beampeak gain', 'based evaluations', 'article presents']</t>
  </si>
  <si>
    <t>This article presents an overview of a NASA/JPL antenna project, with specific focus on the methodology used to predict the microwave performance of a new 34-m-diameter beam-waveguide (BWG) reflector antenna, designated DSS 13. Deep Space Station 13 is the research and development facility serving the NASA/JPL Deep Space Network. Three companion articles in this issue detail the microwave test packages, test results, and microwave holography-based evaluations and alignment. This article provides microwave performance predictions as well as a summary of test results for the antenna, which has Cassegrain and centerline BWG operating modes at X-band (8.450-GHz) and Ka-band (32-GHz) frequencies. Predictions were used to identify critical and poorly understood areas needing further study and diagnostic testing, and assisted in planning, scheduling, and evaluating the final results of a detailed test program. Predictions were assembled for all known losses that contribute to antenna performance degradations, including antenna area efficiencies, corresponding beampeak gains, and noise temperatures. It was found that predictions and experimental results agreed reasonably well for beampeak gain and corresponding efficiency, and for several (but not all) noise temperatures. It is believed that the performance predictions and measurements described herein may be the most detailed pnd accurate available for a large reflector antenna with two significant operating modes and two frequencies. ¬© 1992 IEEE</t>
  </si>
  <si>
    <t>1274-1285</t>
  </si>
  <si>
    <t>60009037;60009037;60009037;60009037</t>
  </si>
  <si>
    <t>6602718391;6602972160;7004706857;7005337920</t>
  </si>
  <si>
    <t>Bathker, Dan A.;Veruttipong, Watt;Otoshi, Tom Y.;Cramer, Paul W.</t>
  </si>
  <si>
    <t>Bathker D.</t>
  </si>
  <si>
    <t>Beam-Waveguide Antenna Performance Predictions with Comparisons to Experimental Results</t>
  </si>
  <si>
    <t>10.1109/22.141361</t>
  </si>
  <si>
    <t>2-s2.0-0026883888</t>
  </si>
  <si>
    <t>['slotted side', 'slotted cavity', 'resonance behaviors', 'resistive films', 'resistance film', 'potential use', 'latter case', 'investigated using', 'impinging wave', 'eliminated completely', 'difference time', 'attenuates significantly']</t>
  </si>
  <si>
    <t>The potential use of resistive films for damping the resonance spikes observed in the radar cross section (RCS) spectrum of a partially open rectangular cavity is investigated using a recently developed finite-difference time-domain (FDTD) method that utilizes the resistive sheet boundary condition for the modeling of resistive films. Backscattering data obtained in the first resonant region for an E-polarized plane wave normally incident into the slotted side of the cavity are presented. It is shown that resonance behaviors can be eliminated completely with a low-resistance film (e.g., Rs = 188.5 Œ©) which attenuates significantly the impinging wave. Poorer resonance damping performance is observed as the film resistance increases to 754 Œ© because more of the field is allowed to penetrate into the cavity. For the latter case, the presence of the resistive film lowers the Q-factor of the slotted cavity such that the resultant resonance spectrum is lower in strength and broader in bandwidth. ¬© 1992 IEEE</t>
  </si>
  <si>
    <t>731-733</t>
  </si>
  <si>
    <t>60012370;60012370</t>
  </si>
  <si>
    <t>7404903021;7401548663</t>
  </si>
  <si>
    <t>Wu, Lin Kun;Han, Liang Tung</t>
  </si>
  <si>
    <t>Wu L.K.</t>
  </si>
  <si>
    <t>E-Polarized Scattering from a Conducting Rectangular Cylinder with an Infinite Axial Slot Filled by a Resistively Coated Dielectric Strip</t>
  </si>
  <si>
    <t>10.1109/8.144610</t>
  </si>
  <si>
    <t>2-s2.0-0026883932</t>
  </si>
  <si>
    <t>['‚ äêjunctions', '‚ äêjunction', 'wiley company', 'two types', 'stacking several', 'radiation loss', 'radiating wave', 'output ports', 'nrd guide', 'nonradiative modes', 'mode transformation', 'inc .,', 'feed network', 'discontinuity based', 'construction technique', 'confirmed experimentally', 'complicated structure', 'completely eliminated', 'center frequency', '50 ghz', '2 ghz']</t>
  </si>
  <si>
    <t>dielectric waveguide | junctions | Millimeter‚Äêwave integrated circuits</t>
  </si>
  <si>
    <t>The nonradiative dielectric waveguide (NRD guide) is suitable for constructing millimeter‚Äêwave circuits of complicated structure because of nonexistence of radiating wave at the bend and discontinuity based on the non‚Äêradiative nature, the construction technique of the T‚Äêjunctions, the cascaded multiport junctions in NRD guide, and their performances at 50 GHz are described in this paper. First, a new T‚Äêjunction based on the mode transformation between the two types of nonradiative modes in the NRD guide is proposed and its operation is confirmed experimentally. Next, using this T‚Äêjunction, a three‚Äêport and a five‚Äêport junction have been fabricated and tested. Reasonable output levels of ‚Äê3 dB and ‚Äê6 dB in average for the three‚Äêport and five‚Äêport junctions were obtained, respectively, over a bandwidth of about 2 GHz with the center frequency at 50 GHz. From this fact, it is evident that the radiation loss which cannot be suppressed in conventional dielectric waveguide junctions can be completely eliminated in the NRD‚Äêguide junctions. The output ports of these junctions can be increased by stacking several T‚Äêjunctions. These junctions can be applied for feed network of millimeter‚Äêwave planar antenna in the future. Copyright ¬© 1992 Wiley Periodicals, Inc., A Wiley Company</t>
  </si>
  <si>
    <t>8756663X</t>
  </si>
  <si>
    <t>Electronics and Communications in Japan (Part II: Electronics)</t>
  </si>
  <si>
    <t>7005760397;7202091831</t>
  </si>
  <si>
    <t>Kuroki, Futoshi;Yoneyama, Tsukasa</t>
  </si>
  <si>
    <t>Kuroki F.</t>
  </si>
  <si>
    <t>Millimeter‚Äêwave junction circuits using nonradiative dielectric waveguide</t>
  </si>
  <si>
    <t>10.1002/ecjb.4420750702</t>
  </si>
  <si>
    <t>2-s2.0-0026884425</t>
  </si>
  <si>
    <t>['wiley company', 'theoretical results', 'theoretical discussions', 'studied theoretically', 'scattering matrix', 'ridged waveguides', 'receive diplexer', 'proposed based', 'inc .,', 'hybrid diplexer', 'hybrid coupler', 'experimental results', 'constituent components', 'broadband operation', 'broadband diplexer', 'auxiliary waveguides']</t>
  </si>
  <si>
    <t>antenna feeds | diplexer | earth station | microwave components | ridged waveguides | Satellite communication</t>
  </si>
  <si>
    <t>To develop a broadband diplexer to be used for the Ku band satellite communication earth station, a hybrid diplexer is proposed based on the branch waveguide directional coupler in which the main and auxiliary waveguides are ridged waveguides. The theoretical discussions and experimental results are described. First, the characteristics of the hybrid diplexer and those of the constituent components are expressed in terms of the scattering matrix so that the effect of the hybrid coupler is presented. Next, the characteristics of the branch waveguide directional coupler used as a hybrid coupler are studied theoretically. It is pointed out a broadband operation is possible by the use of ridged waveguides for the main and auxiliary waveguides. Further, using the transmit and receive diplexer for the Ku band satellite communication earth station as an example, the design and fabrication have been carried out to demonstrate the validity of the theoretical results. Copyright ¬© 1992 Wiley Periodicals, Inc., A Wiley Company</t>
  </si>
  <si>
    <t>101-115</t>
  </si>
  <si>
    <t>60101699;60101699;60101699</t>
  </si>
  <si>
    <t>35459666200;7402067958;6603694975</t>
  </si>
  <si>
    <t>Ishida, Osami;Miyazaki, Moriyasu;Isota, Yoji</t>
  </si>
  <si>
    <t>Mitsubishi Electric Corporation</t>
  </si>
  <si>
    <t>Ishida O.</t>
  </si>
  <si>
    <t>Wideband hybrid diplexer using ridged waveguides</t>
  </si>
  <si>
    <t>10.1002/ecja.4410750710</t>
  </si>
  <si>
    <t>2-s2.0-0026884605</t>
  </si>
  <si>
    <t>['space segment', 'separate transmit', 'pim avoidance', 'passive intermodulation', 'paper presents', 'paper describes', 'output band', 'msat spacecraft', 'interference caused', 'gain antennas', 'feed element', 'emerging high', 'developed hardware', 'december 1990', 'challenging requirements', 'breadboard activities', 'also presented', 'allow mobiles']</t>
  </si>
  <si>
    <t>The contract for the North American Mobile Communication Satellite System (MSAT) was awarded to Spar Aerospace Limited and Hughes Aircraft Company in December 1990. Spar is responsible for the satellite payload design, integration and testing. The space segment of a mobile communication satellite system such as MSAT must provide high radiated power densities on the ground to allow mobiles with small, low-gain antennas to communicate via satellite. With the emerging high-power mobile communication satellite systems, the risk of interference caused by Passive Intermodulation (PIM) is now recognized as a very important spacecraft design performance parameter. Separate transmit and receive reflector antennas are used on the MSAT spacecraft to reduce the risk of PIM. In addition, PIM avoidance is a major design driver for the transmit antenna reflector and primary feed array. Significant design effort and breadboard activities at Spar have resulted in the development of a primary feed array suitable for mobile satellite applications. This paper presents the integrated feed design approach which has been selected to meet the challenging requirements. The paper describes the feed element, which consists of an output band-pass filter integrated with a cup dipole radiator. The measured test results of the developed hardware are also presented.</t>
  </si>
  <si>
    <t>113-119</t>
  </si>
  <si>
    <t>Jul</t>
  </si>
  <si>
    <t>60013506;60013506</t>
  </si>
  <si>
    <t>57198881522;57193802931</t>
  </si>
  <si>
    <t>Patel, K. N.;Patenaude, Y.</t>
  </si>
  <si>
    <t>Edmonton</t>
  </si>
  <si>
    <t>L-3 Communications SPAR Aerospace Limited</t>
  </si>
  <si>
    <t>Patel K.</t>
  </si>
  <si>
    <t>L-band integrated feed array design for mobile communication satellites</t>
  </si>
  <si>
    <t>10.1109/CJECE.1992.6594367</t>
  </si>
  <si>
    <t>2-s2.0-0026885761</t>
  </si>
  <si>
    <t>['variable attenuator', 'state technology', 'significant role', 'shaped beams', 'scan region', 'recent advances', 'polar levels', 'pass filter', 'output ports', 'noise amplifier', 'module comprises', 'measured results', 'low side', 'increased need', 'forming network', 'experimental results', 'board satellites', 'beam shape', 'beam location', 'active modules', '16 ¬∞', '1 beam']</t>
  </si>
  <si>
    <t>Active array antennas will play a significant role in future communication systems due to the increased need to generate a number of shaped beams and to reconfigure these beams on command. Recent advances in solid-state technology have enhanced the feasibility of employing active antennas for multiple or shaped beams on board satellites. Design and experimental results for two different L-band active arrays using helical and microstrip radiating elements are presented in this paper. Receive feed arrays consisting of seven active modules have been breadboarded, where each module comprises a circularly polarized radiating element, a band-pass filter, a low-noise amplifier, a variable attenuator and a variable phase shifter. The output ports of the active modules are combined through a 7-to-1 beam-forming network. Measured results of the breadboard active arrays demonstrate that the beam shape can be reconfigured from 16¬∞ to 48¬∞ half-power beam widths, while the beam location can be reconfigured over a ¬±16¬∞ angular region. Low side-lobe and cross-polar levels have been maintained over the scan region.</t>
  </si>
  <si>
    <t>120-129</t>
  </si>
  <si>
    <t>60013506;60013506;60013506;60013506</t>
  </si>
  <si>
    <t>7404812629;57195065930;6602400517;7102035470</t>
  </si>
  <si>
    <t>Rao, K. S.;Goyette, G.;Gauvin, H.;Richard, S.</t>
  </si>
  <si>
    <t>Rao K.</t>
  </si>
  <si>
    <t>Reconfigurable L-band active array antennas for satellite communications</t>
  </si>
  <si>
    <t>10.1109/CJECE.1992.6594368</t>
  </si>
  <si>
    <t>2-s2.0-0026886639</t>
  </si>
  <si>
    <t>DAAL03-91-C-0022</t>
  </si>
  <si>
    <t>['selected examples', 'rao bound', 'provide insights', 'potential improvement', 'polarization diversity', 'noise variance', 'joint estimation', 'evaluated numerically', 'estimated directions', 'doas ).', 'crb corresponding']</t>
  </si>
  <si>
    <t>The performance of direction finding systems in a correlated signal environment utilizing diversely polarized antenna arrays is investigated. The Cramer-Rao bound (CRB) is used to evaluate the accuracy of the estimated directions of arrival (DOAs). Compact closed form formulas are presented for the CRB corresponding to the joint estimation of the DO As, signal covariance matrix, signal polarization parameters, and noise variance. The CRB is evaluated numerically for selected examples, to provide insights into the potential improvement in direction-finding accuracy due to polarization diversity. ¬© 1992 IEEE</t>
  </si>
  <si>
    <t>869-879</t>
  </si>
  <si>
    <t>Performance of Diversely Polarized Antenna Arrays for Correlated Signals</t>
  </si>
  <si>
    <t>10.1109/7.256307</t>
  </si>
  <si>
    <t>2-s2.0-0026886688</t>
  </si>
  <si>
    <t>['unbranched dendrites', 'tubular body', 'subsegment one', 'sensilla ampullacea', 'olfactory receptors', 'multiporous walls', 'male c', 'male antenna', 'impunctatus antennae', 'hair shafts', 'female antenna', 'either olfactory', 'double walls', 'distal third', 'culicoides impunctatus', 'coeloconic sensilla', 'blunttipped sensilla', 'antennae except']</t>
  </si>
  <si>
    <t>Scanning and transmission electron microscopy of the antennae of Culicoides impunctatus and Culicoides nubeculosus show that males and females share five sensillum types. Sensilla chaetica resemble mechanoreceptors, each innervated by a single neurone whose dendrite terminates distally in a tubular body: the arrangement of sensilla on male antennae suggests that females are located by sound. The antennae have both sharp‚Äê and blunt‚Äêtipped sensilla trichodea, sharp‚Äêtipped sensilla on only the distal third and blunttipped sensilla on all subsegments. These sensilla are typical of olfactory receptors, having multiporous walls and being innervated by a number of neurones with bifurcating dendrites ascending the hair shafts. Sensilla basiconica occur on the distal five subsegments of the female antenna and the distal three subsegments of the male antenna. Sensilla coeloconica always occur on subsegment one and sometimes on a number of other subsegments, depending on sex and species. Both basiconic and coeloconic sensilla have double walls and unbranched dendrites and may be either olfactory or thermo‚Äê and/or hygroreceptors. All antennae except those of male C. impunctatus antennae have sensilla ampullacea, apparently deep‚Äêseated olfactory or thermoreceptors. Small peg sensilla fitting the description of contact chemoreceptors occur only at the tip of the male antenna. ¬© 1992 Wiley‚ÄêLiss, Inc. Copyright ¬© 1992 Wiley‚ÄêLiss, Inc.</t>
  </si>
  <si>
    <t>85-103</t>
  </si>
  <si>
    <t>Journal of Morphology</t>
  </si>
  <si>
    <t>60015875;60015875;60015875</t>
  </si>
  <si>
    <t>7006751794;6504505736;7004571701</t>
  </si>
  <si>
    <t>Blackwell, Alison;Mordue (Luntz), A. Jennifer;Mordue, William</t>
  </si>
  <si>
    <t>Aberdeen</t>
  </si>
  <si>
    <t>University of Aberdeen</t>
  </si>
  <si>
    <t>Blackwell A.</t>
  </si>
  <si>
    <t>Morphology of the antennae of two species of biting midge: Culicoides impunctatus (goetghebuer) and Culicoides nubeculosus (Meigen) (Diptera, Ceratopogonidae)</t>
  </si>
  <si>
    <t>10.1002/jmor.1052130107</t>
  </si>
  <si>
    <t>2-s2.0-0026887194</t>
  </si>
  <si>
    <t>788-796</t>
  </si>
  <si>
    <t>60092258;60092258;60092258;114675122</t>
  </si>
  <si>
    <t>35560533200;57206128771;35501540000;36950526800</t>
  </si>
  <si>
    <t>Ohmori, Shingo;Hase, Yoshihiro;Wakana, Hiromitsu;Taira, Shinichi</t>
  </si>
  <si>
    <t>Koganei;</t>
  </si>
  <si>
    <t>Ministry of Posts and Telecommunications, Japan;Communications Research Laboratory</t>
  </si>
  <si>
    <t>60092258;114675122</t>
  </si>
  <si>
    <t>Ohmori S.</t>
  </si>
  <si>
    <t>Experiments on Aeronautical Satellite Communications Using ETS-V Satellite</t>
  </si>
  <si>
    <t>10.1109/7.256299</t>
  </si>
  <si>
    <t>2-s2.0-0026888046</t>
  </si>
  <si>
    <t>['wiley company', 'satellite communication', 'reflector surface', 'radiation characteristics', 'present method', 'numerical results', 'multibeams begin', 'large aperture', 'large antenna', 'interpolation scheme', 'inc .,', 'gravity occurs', 'geostationary orbit', 'extremely useful', 'electrical performance', 'deformation data', 'data needed', 'become larger', 'appropriately evaluate', 'antenna experiences', 'antenna characteristics', 'analysis results']</t>
  </si>
  <si>
    <t>Akima's interpolation scheme | antenna characteristics computation | gravity distortion | on‚Äêboard antenna | thermal distortion</t>
  </si>
  <si>
    <t>As multibeams begin to be used in satellite communication, the satellite‚Äêborne antennas have become larger. Hence, development of an antenna with a large aperture with a lightweight and high surface accuracy is being carried out. Unlike conventional small antennas, this antenna experiences a large thermal deformation due to severe environmental conditions on the geostationary orbit. In addition, a large deformation due to gravity occurs in the performance confirmation test on the ground. In the development of such a large antenna, it is indispensable to develop a method to appropriately evaluate the change of electrical performance by the deformation. In this paper, an antenna characteristic computation method is presented which can compute the radiation characteristics of the reflector surface for arbitrarily deformed shapes. The present method uses Akima's interpolation scheme for the deformation data so that data needed for computation of the radiation characteristics are obtained and highly accurate computations are realized. The analysis results of the deformation of the reflector surface of a reflector by a general‚Äêpurpose structural analysis program (NASTRAN) is linked to the present computation method so that the variation of the antenna electrical performance by deformation is obtained and the results of the present method are presented. Further, it is shown that the measured antenna characteristics and the numerical results of the electrical performance by the reflector surface measurement data agree well. Hence, the present antenna characteristic computation method is extremely useful for the evaluation of the antenna characteristics. Copyright ¬© 1992 Wiley Periodicals, Inc., A Wiley Company</t>
  </si>
  <si>
    <t>93-100</t>
  </si>
  <si>
    <t>6603786095;57220845682;7102161856</t>
  </si>
  <si>
    <t>Itanami, Takao;Kobayashi, Takehiko;Ohata, Kohei</t>
  </si>
  <si>
    <t>Itanami T.</t>
  </si>
  <si>
    <t>Antenna performance evaluation with reflector distortion data using Akima's interpolation scheme</t>
  </si>
  <si>
    <t>10.1002/ecja.4410750709</t>
  </si>
  <si>
    <t>2-s2.0-0026888349</t>
  </si>
  <si>
    <t>['¬© 1992', 'protein complexes', 'glass ).', 'burning mechanism', 'also interpreted']</t>
  </si>
  <si>
    <t>Persistent spectral hole-burning fluorescence spectra of photosystem II core antenna at 4.2 were measured. The obtained hole widths were interpreted in terms of fast excited energy transfer within pigment-protein complexes. The energy transfer efficiency, the inhomogeneous distribution function and hole-burning mechanism are discussed with respect to the role of the surrounding protein environment (polymer, glass). The observed light induced hole filling is also interpreted as a result of efficient energy transfer. ¬© 1992.</t>
  </si>
  <si>
    <t>279-281</t>
  </si>
  <si>
    <t>60016605;60016605;60016605;60016605;60016605</t>
  </si>
  <si>
    <t>7003986908;6602944690;6603612633;7004075200;7004652660</t>
  </si>
  <si>
    <t>Vacha, M.;Adamec, F.;Ambroz, M.;Dian, J.;Hala, J.</t>
  </si>
  <si>
    <t>Czech Republic</t>
  </si>
  <si>
    <t>Prague Praha</t>
  </si>
  <si>
    <t>Charles University</t>
  </si>
  <si>
    <t>Vacha M.</t>
  </si>
  <si>
    <t>Spectral properties of antenna pigment-protein complexes studied by hole-burning spectroscopy</t>
  </si>
  <si>
    <t>10.1016/0022-2313(92)90156-4</t>
  </si>
  <si>
    <t>2-s2.0-0026888549</t>
  </si>
  <si>
    <t>R01AI021267</t>
  </si>
  <si>
    <t>['seeking females', 'presented together', 'oviposition attractant', 'nongravid host', 'neural response', 'lactic acid', 'la ),', 'insect repellent', 'host attractant', 'gravid females', 'excited neurons', 'ethyl propionate', 'electrophysiological experiments', 'dependent manner', 'could account', 'common mode', 'behavioral attraction']</t>
  </si>
  <si>
    <t>The insect repellent, N,N-diethyl-m-toluamide (deet), interferes with detection of the host attractant, lactic acid (LA), by LA-excited neurons on the antennae of female Aedes aegypti (L.) mosquitoes. In the current laboratory behavioral experiment, the attraction of gravid female mosquitoes to a source of ethyl propionate, an oviposition attractant, was reduced by a factor of two when deet was present. Similarly, when deet was presented together with ethyl propionate in electrophysiological experiments, sensitivity of the neural response to ethyl propionate was depressed in a transient, dose-dependent manner that could account for the reduction in behavioral attraction of gravid females to ethyl propionate. Electrophysiologically, the sensitivity of oviposition attractant receptors to ethyl propionate on gravid females was not different from that on nongravid host-seeking females. The similarity between the depression of sensitivity of the oviposition attractant-sensitive neurons induced by deet and that observed in the host attractant-sensitive neurons suggest a common mode of action of deet on peripheral chemoreceptor neurons that mediate these behaviors.</t>
  </si>
  <si>
    <t>639-643</t>
  </si>
  <si>
    <t>Journal of medical entomology</t>
  </si>
  <si>
    <t>60011108;60011108;60011108</t>
  </si>
  <si>
    <t>6506876385;55705316600;7402374693</t>
  </si>
  <si>
    <t>Kuthiala, A.;Gupta, R. K.;Davis, E. E.</t>
  </si>
  <si>
    <t>San Francisco</t>
  </si>
  <si>
    <t>Letterman Army Medical Center</t>
  </si>
  <si>
    <t>Kuthiala A.</t>
  </si>
  <si>
    <t>Effect of the repellent deet on the antennal chemoreceptors for oviposition in Aedes aegypti (Diptera: Culicidae).</t>
  </si>
  <si>
    <t>10.1093/jmedent/29.4.639</t>
  </si>
  <si>
    <t>2-s2.0-0026890153</t>
  </si>
  <si>
    <t>Raytheon Company</t>
  </si>
  <si>
    <t>['signals obtained', 'sampling clock', 'pulsed emitters', 'paper presents']</t>
  </si>
  <si>
    <t>This paper presents a high sensitivity signal processing approach for detecting and estimating the angle of arrival (AOA), frequency and pulse repetition frequency (PRF) of multiple radar emitters using broadband interferometers. Two time series are generated using information embedded in the sampled cross correlation of the signals obtained from three antenna elements (Le., two base legs). The phase and amplitude of a complex Fourier transform of these two time series with respect to the sampling clock are used to estimate the AOA and PRF of pulsed emitters. ¬© 1992 IEEE</t>
  </si>
  <si>
    <t>741-755</t>
  </si>
  <si>
    <t>Raytheon, Behshad Baseghi</t>
  </si>
  <si>
    <t>Raytheon B.B.</t>
  </si>
  <si>
    <t>Characterizing Radar Emissions Using a Robust Countermeasure Receiver</t>
  </si>
  <si>
    <t>10.1109/7.256295</t>
  </si>
  <si>
    <t>2-s2.0-0026890476</t>
  </si>
  <si>
    <t>['streets chosen', 'signal transmitted', 'satellite line', 'qualitatively analyzed', 'propagation characteristics', 'phase distribution', 'nonfade distribution', 'measured link', 'kyoto city', 'joint fade', 'etc .,', 'error characteristics', 'downtown area', 'digital communication', 'different streets', 'communication link', 'caused obstruction', 'antenna type', 'also discussed']</t>
  </si>
  <si>
    <t>In February of 1990, land mobile satellite propagation experiments were conducted in Kyoto City, Japan using ETS-V. The signal transmitted from the satellite was received and recorded at a mobile unit moving in different streets of the downtown area. The streets chosen have typical downtown medium and high rise buildings, electric utility poles, trees, etc., which caused obstruction to the satellite line of sight. The propagation characteristics such as fade/nonfade distribution, joint fade and nonfade distribution, phase distribution, and their dependence on the antenna type are discussed for the measured link. Error characteristics in digital communication for the above link has been qualitatively analyzed from the measured signal level fluctuation. Effect of interleaving and coding to improve the communication link is also discussed. ¬© 1992 IEEE</t>
  </si>
  <si>
    <t>718-727</t>
  </si>
  <si>
    <t>115597117;60032325;60032325;60025949</t>
  </si>
  <si>
    <t>35230437500;7402805964;55209469800;7410318350</t>
  </si>
  <si>
    <t>Matsumoto, Y.;Suzuki, R.;Kondo, K.;Khan, M. H.</t>
  </si>
  <si>
    <t>Japan;Canada;Japan</t>
  </si>
  <si>
    <t>Koganei;Thunder Bay;</t>
  </si>
  <si>
    <t>Japan National Institute of Information and Communications Technology;Lakehead University;Development Agency of</t>
  </si>
  <si>
    <t>60032325;60025949;115597117</t>
  </si>
  <si>
    <t>Matsumoto Y.</t>
  </si>
  <si>
    <t>Land Mobile Satellite Propagation Experiments in Kyoto City</t>
  </si>
  <si>
    <t>10.1109/7.256293</t>
  </si>
  <si>
    <t>2-s2.0-0026890477</t>
  </si>
  <si>
    <t>861-868</t>
  </si>
  <si>
    <t>Mitchell, R. L.</t>
  </si>
  <si>
    <t>Torrance</t>
  </si>
  <si>
    <t>Mark Resources, Inc.</t>
  </si>
  <si>
    <t>Mitchell R.</t>
  </si>
  <si>
    <t>Radar Receiver Optimization for a Continuously Scanning Antenna</t>
  </si>
  <si>
    <t>10.1109/7.256306</t>
  </si>
  <si>
    <t>2-s2.0-0026890555</t>
  </si>
  <si>
    <t>['various design', 'thermal expansion', 'operational errors', 'movement due', 'mathematical model', 'ideal conditions', 'ideal antenna', 'ground reflection', 'geometrical centre', 'free case', 'e .,', 'beam scanning', 'azimuth antenna', 'also used']</t>
  </si>
  <si>
    <t>A mathematical model is developed to determine the antenna phase centre and its uniqueness. The model is then used to investigate the phase centre location for the azimuth antenna of a Microwave Landing System (MLS) and to determine its movement due to beam scanning and various design or operational errors. It is shown that, for an ideal antenna, i.e., the error-free case, the phase centre coincides with the antenna's geometrical centre. However, any deviation from ideal conditions, due to design, fabrication or operational errors, phase shifter quantization and the scan angle algorithm, causes its non-uniqueness and movement from the antenna's geometrical centre. The method is also used to treat environmental effects, such as ground reflection and thermal expansion or contraction, on the location of the antenna phase centre.</t>
  </si>
  <si>
    <t>107-112</t>
  </si>
  <si>
    <t>60009697;60009697;60009697;60009697</t>
  </si>
  <si>
    <t>6603767490;6603865125;7005104207;8092251400</t>
  </si>
  <si>
    <t>Moheb, H.;Helaly, A.;Sebak, A.;Shafai, L.</t>
  </si>
  <si>
    <t>Winnipeg</t>
  </si>
  <si>
    <t>University of Manitoba</t>
  </si>
  <si>
    <t>Moheb H.</t>
  </si>
  <si>
    <t>Phase centre analysis of planar array antennas: Application to a microwave landing system</t>
  </si>
  <si>
    <t>10.1109/CJECE.1992.6594366</t>
  </si>
  <si>
    <t>2-s2.0-0026890901</t>
  </si>
  <si>
    <t>['tracking servo', 'threshold level', 'therefore derived', 'sum channels', 'simultaneous occurrences', 'servo feedback', 'receiver sum', 'receiver difference', 'real valued', 'noise ratio', 'noise power', 'noise jamming', 'noise covariance', 'monopulse ratio', 'monopulse measurements', 'longer restricting', 'fluctuation loss', 'directly proportional', 'detection threshold', 'detection fails', 'conditional variance', 'complex rather', 'antenna response', 'antenna mainlobe']</t>
  </si>
  <si>
    <t>In many monopulse radars, feedback in the angle-tracking servo system is taken to be directly proportional to the monopulse ratio. In those radars, monopulse measurements are conditioned on simultaneous occurrences of receiver sum-channel video exceeding a detection threshold: if a detection fails to occur, the measurement is ignored, and the angle-tracking servo is made to ‚Äúcoast.‚Äù Such conditioning is shown here to be necessary in order that the noise power be finite in the servo feedback. As an extension of I. Kanter's work, the conditional mean value and conditional variance of the monopulse ratio are therefore derived and quantified in terms of threshold level as well as signal-to-noise ratio. Furthermore, the formulation here permits the noise covariance between receiver difference and sum channels to be complex rather than only real valued, as assumed by Kanter, thereby no longer restricting the sources of noise jamming to be positioned in the receiving-antenna mainlobe and to be copolarized with the antenna response there. Nonfluctuating and Rayleigh-fluctuating target cases are considered and compared, and fluctuation loss is quantified. ¬© 1992 IEEE</t>
  </si>
  <si>
    <t>622-638</t>
  </si>
  <si>
    <t>Seifer, Arnold D.</t>
  </si>
  <si>
    <t>Arlington</t>
  </si>
  <si>
    <t>BAE Systems Inc.</t>
  </si>
  <si>
    <t>Seifer A.D.</t>
  </si>
  <si>
    <t>Monopulse-Radar Angle Tracking in Noise or Noise Jamming</t>
  </si>
  <si>
    <t>10.1109/7.256285</t>
  </si>
  <si>
    <t>2-s2.0-0026891550</t>
  </si>
  <si>
    <t>R01GM037987</t>
  </si>
  <si>
    <t>['unusual feature', 'three dicot', 'species studied', 'responsive promoter', 'psbl proximal', 'psbc operons', 'psbc mrnas', 'previously shown', 'photosystem ii', 'moved psbk', 'maintain levels', 'lrp ).', 'induced psbd', 'induced mrnas', 'induced accumulation', 'illuminated plants', 'highly conserved', 'five cereals', 'epinach ),', 'differential accumulation', 'dicot psbd', 'despite differences', 'd2 polypeptide', 'conserved phenomenon', 'chloroplast psbd', 'chloroplast act', 'blue light', 'barley chloroplasts', 'allowing cotranscription', '25 bp', '1100 bp', '"- 35']</t>
  </si>
  <si>
    <t>The chloroplast psbD-psbC genes encode D2 and cp43, a reaction center protein and chlorophyll-binding antenna protein of photosystem II, respectively. We have previously shown that differential accumulation of light-induced psbD-psbC mRNAs in barley chloroplasts is due to transcription from a blue light-responsive promoter (LRP). It is hypothesized that the light-induced mRNAs help to maintain levels of the D2 polypeptide, which is photodamaged and degraded in illuminated plants. To determine if light-induced accumulation of psbD-psbC mRNAs was a conserved phenomenon in chloroplasts, the expression of psbD-psbC operons from five cereals (barley, wheat, rice, maize and sorghum) and three dicot (tobacco, spinach, and pea) species was examined. Cereal and dicot psbD-psbC operons differ due to several DNA rearrangements that moved psbK-psbl proximal to psbD-psbC, allowing cotranscription of these genes and production of several unique transcripts in cereals. Despite differences in the structure and expression of the cereal and dicot psbD-psbC operons, the accumulation of light-induced psbD-psbC mRNAs was conserved in all species studied. An unusual feature of the light-induced mRNAs was the occurrence of 5‚Ä≤ end microheterogeneity. The multiple 5‚Ä≤ termini were mapped to several consecutive nucleotides (8 to 25 bp) within a highly conserved (61%) DNA region that represents the transcription initiation site for the mRNAs in barley and tobacco. The novel LRP differs in sequence from typical plastid promoters that have prokaryotic "-10" and "-35" elements and is centered 570 bp (cereals), 900 bp (tobacco, epinach), or 1100 bp (pea) upstream from the psbD translational start codon. We propose that physiological and gene regulatory demands of the chloroplast act as constraints that preserved the linkage of the LRP with psbD despite DNA inversions involving the psbD upstream region.</t>
  </si>
  <si>
    <t>785-798</t>
  </si>
  <si>
    <t>Plant Cell</t>
  </si>
  <si>
    <t>60020547;60020547;60020547</t>
  </si>
  <si>
    <t>7004982164;57199746429;7006153284</t>
  </si>
  <si>
    <t>Christopher, David A.;Kim, Minkyun;Mullet, John E.</t>
  </si>
  <si>
    <t>Christopher D.A.</t>
  </si>
  <si>
    <t>A novel light-regulated promoter is conserved in cereal and dicot chloroplasts</t>
  </si>
  <si>
    <t>10.1105/tpc.4.7.785</t>
  </si>
  <si>
    <t>2-s2.0-0026891620</t>
  </si>
  <si>
    <t>['system built', 'ship along', 'retrodirective reflector', 'reflectors placed', 'radar polarimetry', 'precise navigation', 'patented passive', 'operational viability', 'incident polarization', 'historical notes', 'first demonstration', 'confined waterway', 'blind navigation', 'aided system', '90 ¬∞.']</t>
  </si>
  <si>
    <t>A novel and commercially viable solution to the problem of blind navigation of a ship along a confined waterway is described. The solution is based on the use of radar polarimetry. At the heart of the system is a patented passive (nonpowered) retrodirective reflector that is capable of rotating the incident polarization through 90¬∞. The reflector is efficient and robust, and has a wide azimuthal response. The new navigation system involves a network of such reflectors placed at known surveyed points along the shores of the waterway. Historical notes on the development of the system are included. The paper presents experimental results that provide the first demonstration of proof of concept. Subsequent sea trials conducted with a version of the system built by Offshore Systems Limited have confirmed the operational viability of this new polarimetric radar-aided system for precise navigation. A section is included that summarizes the accuracy and reliability of the system.</t>
  </si>
  <si>
    <t>Haykin, Simon</t>
  </si>
  <si>
    <t>Polarimetric radar for accurate navigation</t>
  </si>
  <si>
    <t>10.1109/CJECE.1992.6594369</t>
  </si>
  <si>
    <t>2-s2.0-0026891653</t>
  </si>
  <si>
    <t>['uses dual', 'triangular lattice', 'tapered excitation', 'second mode', 'rectangular lattice', 'phased arrays', 'permits selection', 'microstrip patches', 'locate preferentially', 'array elements']</t>
  </si>
  <si>
    <t>A method for reducing the number of elements in phased arrays that uses dual-mode array elements such as horns or microstrip patches is introduced. It is shown that the excitation of the second mode can be used to locate preferentially a null on the element radiation pattern. In particular, when the null is moved to the array grating lobe location, it causes its cancellation and permits selection of large interelement spacings. The number of array elements can therefore be reduced. The method is then applied to both triangular and rectangular lattice structures having uniform or tapered excitation. It is found that the method can reduce the number of elements by as much as 26% for the triangular lattice and by 45% for the rectangular lattice.</t>
  </si>
  <si>
    <t>98-106</t>
  </si>
  <si>
    <t>60009697;60009697</t>
  </si>
  <si>
    <t>8092251400;7006917371</t>
  </si>
  <si>
    <t>Shafai, L.;Ragheb, H. A.</t>
  </si>
  <si>
    <t>Shafai L.</t>
  </si>
  <si>
    <t>Element reduction in phased arrays using dual-mode self-scanning elements</t>
  </si>
  <si>
    <t>10.1109/CJECE.1992.6594365</t>
  </si>
  <si>
    <t>2-s2.0-0026891654</t>
  </si>
  <si>
    <t>['programmable ionosonde', 'polarization rotation', 'observed phases', 'except amplitude', 'echo parameters', 'copyright 1992', 'conveniently expressed', 'aliasing ambiguities']</t>
  </si>
  <si>
    <t>The accuracy and efficiency with which radio echo parameters may be estimated by a programmable ionosonde of high resolution depend upon software‚Äêdesigned strategies of pulse set design and receiving antenna layout. All of the echo parameters, except amplitude and time of arrival (thus three components of echolocation, Doppler, polarization rotation, and an average phase angle) are determined by phase angle differences. The solution is conveniently expressed as a least squares estimation, provided that more than six independent phase measurements are available. Since the observed phases are necessarily obtained modulo 360¬∞, from 12‚Äêbit complex amplitude data, each parameter is subject to aliasing ambiguities which must be anticipated in each strategy, and minimized. Copyright 1992 by the American Geophysical Union.</t>
  </si>
  <si>
    <t>481-490</t>
  </si>
  <si>
    <t>July-August 1992</t>
  </si>
  <si>
    <t>6701542732;24563466400</t>
  </si>
  <si>
    <t>Pitteway, M. L.V.;Wright, J. W.</t>
  </si>
  <si>
    <t>Pitteway M.</t>
  </si>
  <si>
    <t>Toward an optimum receiving array and pulse set for the Dynasonde</t>
  </si>
  <si>
    <t>10.1029/92RS00269</t>
  </si>
  <si>
    <t>2-s2.0-0026892147</t>
  </si>
  <si>
    <t>['ttl method', 'present model', 'multilayer structures', 'confirmed within', 'cad package', '2 ghz', '18 ghz']</t>
  </si>
  <si>
    <t>A unified dispersion model is presented to calculate frequency dependent dielectric constant for a multilayer microstrip line. The model is a combination of TTL method, the method for the reduction of multilayer structures to an equivalent single layer microstrip line and the Kirschning and Jansen dispersion model. The result of the model has been confirmed within an accuracy of 1% against the results from SDA, ESDT and MM i.e., various forms of full wave analysis. These results have been confirmed between 2 GHz and 18 GHz. The present model is suitable for use in a CAD package for MIC, MMIC, and printed antenna design. ¬© 1992 IEEE</t>
  </si>
  <si>
    <t>1587-1591</t>
  </si>
  <si>
    <t>60029284;60029284</t>
  </si>
  <si>
    <t>7401937908;6506616866</t>
  </si>
  <si>
    <t>Verma, A. K.;Sadr, G. Hassani</t>
  </si>
  <si>
    <t>New Delhi</t>
  </si>
  <si>
    <t>University of Delhi</t>
  </si>
  <si>
    <t>Verma A.</t>
  </si>
  <si>
    <t>Unified Dispersion Model for Multilayer Microstrip Line</t>
  </si>
  <si>
    <t>10.1109/22.146343</t>
  </si>
  <si>
    <t>2-s2.0-0026892153</t>
  </si>
  <si>
    <t>['wave solution', 'voltage matrices', 'solved using', 'finite array']</t>
  </si>
  <si>
    <t>A full-wave solution to the problem of plane wave scattering by a finite array of rectangular microstrip patches printed on a grounded dielectric slab is presented. The electric field integral equation is solved using the spectral domain Green‚Äôs function /moment method approach. Derivations for the elements of the impedance and voltage matrices are presented. An efficient massively parallel computer implementation of the moment method solution is described. Computed radar cross section (RCS) data for microstrip patch antenna arrays is presented as a function of incident signal frequency and angle of incidence. ¬© 1992 IEEE</t>
  </si>
  <si>
    <t>770-774</t>
  </si>
  <si>
    <t>60007843;60007843</t>
  </si>
  <si>
    <t>7403372812;6506792076</t>
  </si>
  <si>
    <t>King, Adrian S.;Bow, Wallace J.</t>
  </si>
  <si>
    <t>Sandia National Laboratories, New Mexico</t>
  </si>
  <si>
    <t>King A.S.</t>
  </si>
  <si>
    <t>Scattering from a Finite Array of Microstrip Patches</t>
  </si>
  <si>
    <t>10.1109/8.155741</t>
  </si>
  <si>
    <t>2-s2.0-0026895278</t>
  </si>
  <si>
    <t>['work provides', 'substrate structure', 'substrate geometries', 'parameter studies', 'nonreciprocal superstrate', 'microstrip circuits', 'matrix algebra', 'gyrotropic superstrate', 'gyrotropic material', 'field behavior', 'analysis accounts']</t>
  </si>
  <si>
    <t>Spectral domain analysis is used in conjunction with matrix algebra to determine the far-field behavior of an arbitrarily oriented Hertzian dipole in a nonreciprocal superstrate-substrate structure. In particular, a gyrotropic superstrate on top of a grounded isotropic substrate is considered. The analysis accounts for completely general 3√ó3 tensors for the anisotropic superstrate layer. Parameter studies are performed to investigate the effects of changing different variables associated with the geometry as well as the static magnetic field used to bias the gyrotropic material. This work provides a basis for research on the design of microstrip circuits and antennas in nonreciprocal superstrate-substrate geometries. ¬© 1992 IEEE</t>
  </si>
  <si>
    <t>782-790</t>
  </si>
  <si>
    <t>6603237307;7004468161</t>
  </si>
  <si>
    <t>Hsia, Irene Y.;Alexopoulos, Nicolaos G.</t>
  </si>
  <si>
    <t>Hsia I.Y.</t>
  </si>
  <si>
    <t>Radiation Characteristics of Hertzian Dipole Antennas in a Nonreciprocal Superstrate-Substrate Structure</t>
  </si>
  <si>
    <t>10.1109/8.155743</t>
  </si>
  <si>
    <t>2-s2.0-0026895297</t>
  </si>
  <si>
    <t>['two phases', 'sar testbed', 'sar ),', 'results obtained', 'realization phase', 'project consists', 'polarimetric c', 'pharus stands', 'pharus project', 'pharus predesign', 'paper focuses', 'motion compensation', 'make use', 'first testflights', 'final system', 'definition phase', 'critical technology', 'calibration focused', 'antenna technology', 'actual realization']</t>
  </si>
  <si>
    <t>The PHARUS project (PHARUS stands for Phased Array Universal SAR) aims for a polarimetric C-band aircraft synthetic aperture radar (SAR), that will be finalized in 1994. The system will make use of a phased array antenna with solid state amplifiers. The project consists of two phases, a definition phase and a realization phase. The definition phase is intended to increase the knowledge on airborne SAR systems and to develop the critical technology that will be used in the final system. Three preparatory studies were carried out before the actual PHARUS system was designed. The study on antenna technology and calibration focused on the design of an active phased array antenna and on the calibration problems involved using such an antenna. The second study concentrated on motion compensation and the third study consisted of the actual realization of a SAR testbed. This paper focuses on some results of the definition phase including the results obtained from the first testflights of the SAR testbed. It concludes with the PHARUS predesign. ¬© 1992 IEEE</t>
  </si>
  <si>
    <t>723-735</t>
  </si>
  <si>
    <t>60019984;60006288;60019984;60003494</t>
  </si>
  <si>
    <t>7003865987;56152505600;6602468723;6603814381</t>
  </si>
  <si>
    <t>Hoogeboom, Peter;Snoeij, Paul;Koomen, Peter J.;Pouwels, Henk</t>
  </si>
  <si>
    <t>Netherlands;Netherlands;Netherlands</t>
  </si>
  <si>
    <t>The Hague;Delft;Amsterdam</t>
  </si>
  <si>
    <t>Nederlandse Organisatie voor toegepast natuurwetenschappelijk onderzoek- TNO;Delft University of Technology;National Aerospace Laboratory - Netherlands</t>
  </si>
  <si>
    <t>60019984;60006288;60003494</t>
  </si>
  <si>
    <t>Hoogeboom P.</t>
  </si>
  <si>
    <t>The PHARUS Project, Results of the Definition Study Including the SAR Testbed PHARS</t>
  </si>
  <si>
    <t>10.1109/36.158866</t>
  </si>
  <si>
    <t>2-s2.0-0026895299</t>
  </si>
  <si>
    <t>['rotary joints', 'method requires', 'measurements carried', 'flexible cables']</t>
  </si>
  <si>
    <t>The novel differential phase measurement method has been demonstrated at millimeter waves using three power meters instead of a phase sensitive measurement device. Compared to conventional antenna phase measurement methods, the differential phase method provides several advantages. This method requires no rotary Joints or flexible cables. Phase-locking of the oscillators is not necessary, It is shown that the phase measurement device can be replaced by three power dividers and three power meters or detectors. The phase patterns measured with three power meters agree well with the measurements carried out using an antenna measurement receiver as well as with the theory. ¬© 1992 IEEE</t>
  </si>
  <si>
    <t>851-853</t>
  </si>
  <si>
    <t>60103653;60103653;60103653;60103653;60103653</t>
  </si>
  <si>
    <t>7003817193;7006775375;56838723000;56838744200;57192878427</t>
  </si>
  <si>
    <t>Lehto, Arto;Tuovinen, Jussi;Bori√§, Olga;Antti, A.;Raisanen, R.</t>
  </si>
  <si>
    <t>Lehto A.</t>
  </si>
  <si>
    <t>Accurate Millimeter Wave Antenna Phase Pattern Measurements Using the Differential Phase Method with Three Power Meters</t>
  </si>
  <si>
    <t>10.1109/8.155754</t>
  </si>
  <si>
    <t>2-s2.0-0026895381</t>
  </si>
  <si>
    <t>['shunt slots', 'quite accurate', 'finite array', 'active admittance']</t>
  </si>
  <si>
    <t>It is shown in this paper that 1) the method of moments (MM) solution can determine the active admittance of each slot in a finite array, and 2) the infinite array model is quite accurate for the design of large waveguide arrays of shunt slots. Active admittances computed by an infinite array model agree favorably with that of slots in sufficiently large finite arrays. Measured results verily the method of moments solution thereby validating the infinite array model accuracy. ¬© 1992 IEEE</t>
  </si>
  <si>
    <t>775-781</t>
  </si>
  <si>
    <t>Yee, Hung Yuet</t>
  </si>
  <si>
    <t>Yee H.Y.</t>
  </si>
  <si>
    <t>The Design of Large Waveguide Arrays of Shunt Slots</t>
  </si>
  <si>
    <t>10.1109/8.155742</t>
  </si>
  <si>
    <t>2-s2.0-0026895508</t>
  </si>
  <si>
    <t>['wide bandwidth', 'wave ratio', 'vswr ),', 'strong points', 'say 2', 'power beamwidths', 'polarized levels', 'plane beamwidths', 'physical dimensions', 'measured patterns', 'low sidelobes', 'independent control', 'flat plateau', 'easily controllable', 'design rules', 'bowtie horn', 'antenna designer', '60 ¬∞)', '50 db', '25 db', '18 ghz']</t>
  </si>
  <si>
    <t>An ultra-wide-band antenna based on a slotline feed structure, a bowtie horn, and a rolled edge termination was developed, analyzed and measured. Empirical data showed that its beamwidths and bandwidth are dependent on its physical dimensions which are easily controllable by an antenna designer. Measured patterns of models with various radiation properties are shown to substantiate these design rules. A flat plateau-like main beam, low voltage standing-wave ratio (VSWR), the ability to produce both wide (60¬∞) and narrow (30¬∞) half-power beamwidths, low sidelobes and backlobe (40-50 dB down), low cross-polarized levels (20-25 dB down), and independent control of E- and H-plane beamwidths over an ultra-wide bandwidth, say 2-18 GHz, are some of the strong points of this new antenna type. ¬© 1992 IEEE</t>
  </si>
  <si>
    <t>755-760</t>
  </si>
  <si>
    <t>60003500;60003500;60003500</t>
  </si>
  <si>
    <t>16316312700;6603365757;7004270570</t>
  </si>
  <si>
    <t>Lai, Albert K.Y.;Sinopoli, Albert L.;Burnside, Walter D.</t>
  </si>
  <si>
    <t>Lai A.K.Y.</t>
  </si>
  <si>
    <t>A Novel Antenna for Ultra-Wide-Band Applications</t>
  </si>
  <si>
    <t>10.1109/8.155739</t>
  </si>
  <si>
    <t>2-s2.0-0026895509</t>
  </si>
  <si>
    <t>['theoretical procedure', 'structures proves', 'structure consisting', 'procedure results', 'probe current', 'new approach', 'known procedure', 'electric field', 'efficient mixed', 'dielectric layers', 'currents may', 'calculated results', 'arbitrary number', 'arbitrary currents']</t>
  </si>
  <si>
    <t>The well-known procedure to determine the electric field in a structure consisting of an arbitrary number of planar dielectric layers is modified in order to obtain a form specially suited for the analysis of multiprobe multipatch configurations. In general, the field is generated by arbitrary currents in the layers and arbitrary sheet currents in the transitions between the layers. The currents may be electric as well as magnetic and the dielectric layers are isotropic, homogeneous and lossy. The procedure results in Green‚Äôs functions especially suited for the analysis of multiprobe multipatch configurations. They can be used in an efficient mixed-potential electric field integral expression formulation. The theoretical procedure is applied in the case of a probe current source situated in one of the dielectric layers of the structure. For this probe current a highly efficient attachment current distribution is derived. Comparison of measured and calculated results for few structures proves the accuracy of both the new approach and the new attachment mode. ¬© 1992 IEEE</t>
  </si>
  <si>
    <t>806-817</t>
  </si>
  <si>
    <t>Vandenbosch, Guy A.E.;Van de Capelle, Antoine R.</t>
  </si>
  <si>
    <t>Mixed-Potential Integral Expression Formulation of the Electric Field in a Stratified Dielectric Medium-Application to the Case of a Probe Current Source</t>
  </si>
  <si>
    <t>10.1109/8.155746</t>
  </si>
  <si>
    <t>2-s2.0-0026897274</t>
  </si>
  <si>
    <t>['technique used', 'south island', 'simple technique', 'san diego', 'predicted fields', 'parabolic equation', 'overwater paths', 'one experiment', 'new zealand', 'model range', 'measured range', 'guadalupe island', 'experimental data', 'excellent agreement', 'dependent environments', 'canterbury project', 'also known', '9875 mhz']</t>
  </si>
  <si>
    <t>A parabolic equation (PE) model has been developed for use in tropospheric radiowave propagation. A simple technique to model range-dependent environments has been implemented. Results from the model are compared with experimental data at 170, 520, 3240, 3300, and 9875 MHz in measured range-dependent environments. The experimental data are taken from two separate experiments performed during 1947 and 1948. Measurements were made on overwater paths from Guadalupe Island to San Diego, CA, in one experiment, and the other was located in the South Island of New Zealand, also known as the Canterbury Project. The results are presented as one-way propagation factor in decibels versus height. The technique used here to model range-dependent environments is shown to give a reasonably good estimate of the environment between measurements, leading to excellent agreement between the predicted fields and observed radio data. ¬© 1992 IEEE.</t>
  </si>
  <si>
    <t>791-797</t>
  </si>
  <si>
    <t>Barrios, Amalia E.</t>
  </si>
  <si>
    <t>San Diego</t>
  </si>
  <si>
    <t>Space and Naval Warfare Systems Center San Diego</t>
  </si>
  <si>
    <t>Barrios A.E.</t>
  </si>
  <si>
    <t>Parabolic Equation Modeling in Horizontally Inhomogeneous Environments</t>
  </si>
  <si>
    <t>10.1109/8.155744</t>
  </si>
  <si>
    <t>2-s2.0-0026897275</t>
  </si>
  <si>
    <t>['using fc', 'phase values', 'optic device', 'frequency fc', 'frequencies fc', 'dynamic range', 'dimensional transmit', 'beam number', '60 mhz', '5 db', '460 khz', '4 db', '1 mhz']</t>
  </si>
  <si>
    <t>An acoustooptic-phased-array antenna beamformer with N multiple simultaneous beam generation capability is experimentally demonstrated using a single channel acoustooptic device driven by a signal of frequency fc, and an acousto-optic device with N channels driven by signals with frequencies fc + f1,‚Ä¶, fc+fN, respectively. f1,‚Ä¶, fn,‚Ä¶, fN control the carrier and phase values of the N independent beam generation signals, n being the beam number. Using fc = 60 MHz, and N = 2, 0-2œÄ phase control is achieved using fn = 0-460 KHz. A dynamic range of 54.5 dB at 1 MHz and carrier-to-noise of 113.4 dB/Hz at 1 MHz is measured for a 120 MHz carrier. One-dimensional transmit/receive antenna beam scanning can be provided by this system. ¬© 1992 IEEE</t>
  </si>
  <si>
    <t>807-809</t>
  </si>
  <si>
    <t>An Acoustooptic-Phased-Array Antenna Beamformer for Multiple Simultaneous Beam Generation</t>
  </si>
  <si>
    <t>10.1109/68.145279</t>
  </si>
  <si>
    <t>2-s2.0-0026897735</t>
  </si>
  <si>
    <t>['wiley company', 'theoretical predictions', 'ring antenna', 'resonant resistance', 'resonant frequency', 'radiation fields', 'radiation efficiency', 'radiation characteristics', 'radiated power', 'outer edges', 'obtained using', 'inc .,', 'experimental results', 'also included']</t>
  </si>
  <si>
    <t>This article presents closed‚Äêform expressions for the resonant frequency and radiation characteristics of microstrip ring antennas to assist in the computer‚Äêaided design of such antennas. Radiation fields are obtained using the vector electric potential calculated from the magnetic currents flowing along the inner and outer edges of the planar waveguide model for the microstrip ring structure. Expressions for radiated power, conductor and dielectric loss factors, resonant resistance, efficiency, and directivity are derived. The smaller the radius of curvature of the ring, the larger is the spacing between the magnetic currents flowing along the inner and outer edges and thus the radiation efficiency is higher. The effect of a dielectric layer covering the ring antenna is also included. Experimental results for the resonant frequency and the radiation patterns agree well with the theoretical predictions. ¬© 1992 John Wiley &amp; Sons, Inc. Copyright ¬© 1992 Wiley Periodicals, Inc., A Wiley Company</t>
  </si>
  <si>
    <t>144-154</t>
  </si>
  <si>
    <t>60021030;60003122</t>
  </si>
  <si>
    <t>7006923871;56803516700</t>
  </si>
  <si>
    <t>Bahl, I. J.;Stuchly, S. S.</t>
  </si>
  <si>
    <t>Roanoke;Victoria</t>
  </si>
  <si>
    <t>ITT Night Vision;University of Victoria</t>
  </si>
  <si>
    <t>Bahl I.J.</t>
  </si>
  <si>
    <t>Closed‚Äêform expressions for computer‚Äêaided design of microstrip ring antennas</t>
  </si>
  <si>
    <t>10.1002/mmce.4570020303</t>
  </si>
  <si>
    <t>2-s2.0-0026897787</t>
  </si>
  <si>
    <t>['wiley company', 'sommerfeld formulation', 'microstrip patch', 'infinitely wide', 'inc .,', 'ground plane']</t>
  </si>
  <si>
    <t>Triangular patch modeling is used for analysis of arbitrarily shaped microstrip patch antennas over a single lossy dielectric medium. Since the Sommerfeld formulation is used, both the single dielectric layer (over which the microstrip patch is located) and the ground plane are considered to be infinitely wide. Typical numerical results are presented for rectangular, circular, semicircular, pentagonal, and triangular patch antennas. ¬© 1992 John Wiley &amp; Sons, Inc. Copyright ¬© 1992 Wiley Periodicals, Inc., A Wiley Company</t>
  </si>
  <si>
    <t>168-178</t>
  </si>
  <si>
    <t>60030551;60030551;60030551;60030551;60011754;60068815</t>
  </si>
  <si>
    <t>55650323300;6701824357;6602324840;7004310238;7404179013;7005436133</t>
  </si>
  <si>
    <t>Sarkar, Tapan K.;Midya, Pallab;Maricevic, Zoran A.;Kahrizi, Masoud;Rao, Sadasiva M.;Djordjevic, Antonije R.</t>
  </si>
  <si>
    <t>Serbia;United States;United States</t>
  </si>
  <si>
    <t>Belgrade;Syracuse;Auburn</t>
  </si>
  <si>
    <t>University of Belgrade;Syracuse University;Auburn University</t>
  </si>
  <si>
    <t>60068815;60030551;60011754</t>
  </si>
  <si>
    <t>Sarkar T.</t>
  </si>
  <si>
    <t>Analysis of arbitrarily shaped microstrip patch antennas using the Sommerfeld formulation</t>
  </si>
  <si>
    <t>10.1002/mmce.4570020305</t>
  </si>
  <si>
    <t>2-s2.0-0026898047</t>
  </si>
  <si>
    <t>['volt range', 'reaction rate', 'plasma density', 'picrh reaches', 'outboard limiters', 'null configuration', 'new series', 'magnetic axis', 'l mode', 'high recycling', 'fusion power', 'energy stored', 'classical slowing', 'calculations based', 'best results', 'beryllium screens', 'average energy', '3he near', '140 kw', '100 kw', '10 mw', '1 %.']</t>
  </si>
  <si>
    <t>A new series of D-3He fusion yield experiments has been performed in the Joint European Torus (JET) using ion cyclotron resonance heating (ICRH) to generate a high-energy 3He tail reacting with a background deuterium plasma. Using recently installed antennas with beryllium screens, radio-frequency power reaching 15 MW can be coupled to the plasma at the fundamental cyclotron resonance of 3He near the magnetic axis. Best results are obtained with 3.5-MA discharges in the double-null configuration with high recycling on the outboard limiters to stay in L mode and to control the plasma density and purity. A record fusion power level of Pfus = 140 kW is obtained, corresponding to a reaction rate of 4.6√ó1016 reaction/s. The amplification factor Q = Pfus/PICRH reaches a maximum of 1.25% at PICRH = 10 MW. The previous best results were Pfus = 100 kW and Q = 1%. Time-resolved measurements show a correlation between fusion power and energy stored in the fast 3He ions in agreement with calculations based on classical slowing down of the 3He ions driven by ICRH to an average energy in the mega-electron-volt range.</t>
  </si>
  <si>
    <t>2254-2264</t>
  </si>
  <si>
    <t>60025104;60025104</t>
  </si>
  <si>
    <t>7005524697;7005152182</t>
  </si>
  <si>
    <t>Jacquinot, Jean;Sadler, Guy</t>
  </si>
  <si>
    <t>EFDA-JET</t>
  </si>
  <si>
    <t>Jacquinot J.</t>
  </si>
  <si>
    <t>D-&lt;sup&gt;3&lt;/sup&gt;He fusion in the Joint European Torus tokamak-recent experimental results</t>
  </si>
  <si>
    <t>10.13182/FST92-A29719</t>
  </si>
  <si>
    <t>2-s2.0-0026898212</t>
  </si>
  <si>
    <t>['totally covered', 'successive sweeps', 'scan path', 'scan method', 'sampling techniques', 'pendulum scan', 'mechanical realization', 'flight velocity', 'economical postprocessing', 'desired area', 'conical scan', 'best one', 'antenna beam', 'angular velocity']</t>
  </si>
  <si>
    <t>Imaging radiometer | mechanical scanning</t>
  </si>
  <si>
    <t>The scan path of an imaging microwave radiometer is determined so that the desired area is totally covered, while the overlap between successive sweeps is minimized. This minimizes the number of redundant data points which, in turn, leads to faster and more economical postprocessing. First, different scanning methods and sampling techniques are discussed in brief. Conical scan is chosen and three different approaches are presented. A theory that relates the flight velocity to the angular velocity of the antenna beam to provide an ideal scan pattern is formulated for pendulum scan. Results of each scan method are presented, compared, and the best one is chosen. Finally, some considerations about the mechanical realization and an outline of the instrument are presented. ¬© 1992 IEEE</t>
  </si>
  <si>
    <t>743-749</t>
  </si>
  <si>
    <t>60103653;60103653</t>
  </si>
  <si>
    <t>6602813547;35579880600</t>
  </si>
  <si>
    <t>Kemppinen, Martti U.;Hallikainen, Martti T.</t>
  </si>
  <si>
    <t>Kemppinen M.</t>
  </si>
  <si>
    <t>The Theory and Mechanical Realization of an Ideal Scanning Method for a Single-Channel Imaging Microwave Radiometer</t>
  </si>
  <si>
    <t>10.1109/36.158868</t>
  </si>
  <si>
    <t>2-s2.0-0026898484</t>
  </si>
  <si>
    <t>['sunspot maximum', 'space paths', 'salient parameters', 'profound effects', 'period 1970', 'latitude ionosphere', 'intensive investigations', 'included high', 'disturbed periods', 'considerable effort', 'cap ionosphere']</t>
  </si>
  <si>
    <t>Disturbances in the auroral and polar-cap iono sphere can have profound effects on radio signals traversing the high-latitude ionosphere (defined here as that latitudinal region poleward of approximately 55¬∞ corrected geomagnetic latitude). Some effects of the high latitude ionosphere on polar radio paths were documented as early as the 1930‚Äôs, but intensive investigations of this ionospheric global region started during the International Geophysical Year (IGY) 1957-1959. Starting in the mid-1960‚Äôs it was realized that high latitude ionospheric anomalies could, in fact, affect radio signals from ELF through VHF on terrestrial and earth-space paths, especially during sunspot maximum, disturbed periods. A considerable effort has been made in the last two decades to model and predict the salient parameters of the auroral and polar-cap ionosphere. A somewhat lesser effort has been devoted to develop HF propagation programs which included high-latitude ionospheric effects. The purpose of this paper is to briefly review salient past results and present new developments in this field for the period 1970-1991. ¬© 1992 IEEE</t>
  </si>
  <si>
    <t>818-828</t>
  </si>
  <si>
    <t>Hunsucker, Robert D.</t>
  </si>
  <si>
    <t>Fairbanks</t>
  </si>
  <si>
    <t>University of Alaska Fairbanks</t>
  </si>
  <si>
    <t>Hunsucker R.D.</t>
  </si>
  <si>
    <t>Auroral and Polar-Cap Ionospheric Effects on Radio Propagation</t>
  </si>
  <si>
    <t>10.1109/8.155747</t>
  </si>
  <si>
    <t>2-s2.0-0026898829</t>
  </si>
  <si>
    <t>['specific nature', 'solar fluctuation', 'simultaneous measurement', 'removed automatically', 'relative intensity', 'radiosonde data', 'radiometric data', 'opacity integral', 'difference temperature', 'cloud absorption', 'altitude distribution']</t>
  </si>
  <si>
    <t>A new simplified method for the measurement of the atmospheric water vapor is presented. A multifrequency microwave radiometer having two different beamwidth antennas is used to measure solar extinction in terms of the difference temperature of the antennas and the relative intensity at each pair of different frequency points. The atmospheric emission component and the effect of solar fluctuation are removed automatically. Cloud absorption can be estimated by simultaneous measurement at two different frequency pairs and compensated for by the water vapor absorption. Using the specific nature of the composite weighting function defined in the opacity integral, the radiometric data can be related to the integrated water vapor and the water vapor profile. Computer simulation results have shown good agreement with the radiosonde data in retrieving both the integrated water vapor and the altitude distribution. ¬© 1992 IEEE</t>
  </si>
  <si>
    <t>832-837</t>
  </si>
  <si>
    <t>Hashimoto, Shinobu</t>
  </si>
  <si>
    <t>National Institute of Advanced Industrial Science and Technology</t>
  </si>
  <si>
    <t>Hashimoto S.</t>
  </si>
  <si>
    <t>A New Simplified Water Vapor Measurement Using a Multifrequency Microwave Radiometer with Two-Different-Beamwidth Antennas</t>
  </si>
  <si>
    <t>10.1109/36.158880</t>
  </si>
  <si>
    <t>2-s2.0-0026898830</t>
  </si>
  <si>
    <t>['two dimensions', 'representative two', 'previous paper', 'obtained directly', 'far zone', 'extrapolating three', 'domain field', 'dimensional transform', 'difference timedomain', 'corresponding two', 'complex wide', 'actual time']</t>
  </si>
  <si>
    <t>In a previous paper, a time-domain transformation useful for extrapolating three-dimensional near zone finite-difference timedomain (FDTD) results to the far zone was presented. In this communication, the corresponding two-dimensional transform is outlined. While the three-dimensional transformation produced a physically observable far zone time-domain field, this is not convenient to do directly in two dimensions. However, a representative two-dimensional far zone timedomain result can be obtained directly. This result can then be transformed to the frequency domain using a fast Fourier transform, corrected with a simple multiplicative factor, and used, for example, to calculate the complex wide-band scattering width of a target. If an actual time-domain far zone result is required, it can be obtained by inverse Fourier transform of the final frequency domain result. ¬© 1992 IEEE</t>
  </si>
  <si>
    <t>848-851</t>
  </si>
  <si>
    <t>60001439;60001439;60001439</t>
  </si>
  <si>
    <t>7005852706;7402274869;7005036134</t>
  </si>
  <si>
    <t>Luebbers, Raymond;Ryan, Deirdre;Beggs, John</t>
  </si>
  <si>
    <t>A Two-Dimensional Time-Domain Near-Zone to Far-Zone Transformation</t>
  </si>
  <si>
    <t>10.1109/8.155753</t>
  </si>
  <si>
    <t>2-s2.0-0026898901</t>
  </si>
  <si>
    <t>Council of Scientific and Industrial Research, India</t>
  </si>
  <si>
    <t>CSIR</t>
  </si>
  <si>
    <t>['radiation patterns', 'patterns measured', 'francis ltd']</t>
  </si>
  <si>
    <t>Radiation patterns of an E-plane sectoral solid dielectric horn excited by a rectangular metallic waveguide are predicted and compared with patterns measured at 9.37GHz. ¬© 1992 Taylor &amp; Francis Ltd.</t>
  </si>
  <si>
    <t>203-213</t>
  </si>
  <si>
    <t>60019106;60019106-115938008;60019106</t>
  </si>
  <si>
    <t>55726457100;38461094000;56930826900</t>
  </si>
  <si>
    <t>Singh, Anil K.;Jha, B.;Jha, R. K.</t>
  </si>
  <si>
    <t>Varanasi;Darbhanga</t>
  </si>
  <si>
    <t>Indian Institute of Technology Banaras Hindu University;Chandradhari Mithila Science College</t>
  </si>
  <si>
    <t>60019106;115938008</t>
  </si>
  <si>
    <t>Singh A.</t>
  </si>
  <si>
    <t>Radiation pattern of E-plane sectoral solid dielectric horn antennas</t>
  </si>
  <si>
    <t>10.1080/00207219208925659</t>
  </si>
  <si>
    <t>2-s2.0-0026899132</t>
  </si>
  <si>
    <t>['several individual', 'sar imagery', 'relevant parameters', 'random variations', 'radiometric calibration', 'radiating elements', 'radar equation', 'r modules', 'quite readily', 'project pharus', 'paper reviews', 'mostly omitted', 'modules fed', 'greatest influence', 'even worse', 'errors made', 'error model', 'consuming affair', 'coefficient estimate', 'beam direction', 'array pattern', 'applied utilizing', 'antenna pattern', 'angle variations', '1 ],']</t>
  </si>
  <si>
    <t>Radiometric calibration of a SAR-image is achieved by monitoring all the relevant parameters of the radar equation. The precision and accuracy of the instrument are limited by the errors made in monitoring these parameters. Whereas most parameters can quite readily and constantly be monitored, monitoring of the array pattern during the flight is a cumbersome and time-consuming affair, and, therefore, mostly omitted. Random variations in the antenna pattern can thus be expected to have the greatest influence on the uncertainty of the scatter-coefficient estimate. Obviously, the effect of a phased array antenna, of which the antenna pattern is formed by the amplitude and phase of several individual T/R-modules fed to radiating elements, will be even worse. This paper reviews a model for the theoretical error bounds for the radiometric calibration of SAR imagery. The model is then applied utilizing the radar system parameters as will be used in the project PHARUS (acronym for PHased ARray Universal Sar) [1], a Dutch polarimetric airborne C-band universal SAR, which is currently under construction. An error model for the phased array antenna pattern will be presented. This model was applied to a 16x8 phased array antenna to determine the influence of errors in the T/R modules and angle variations of the beam direction. ¬© 1992 IEEE</t>
  </si>
  <si>
    <t>736-742</t>
  </si>
  <si>
    <t>60006288;60006288</t>
  </si>
  <si>
    <t>56152505600;6603287635</t>
  </si>
  <si>
    <t>Snoeij, Paul;Vellekoop, Arjen R.</t>
  </si>
  <si>
    <t>Delft</t>
  </si>
  <si>
    <t>Delft University of Technology</t>
  </si>
  <si>
    <t>Snoeij P.</t>
  </si>
  <si>
    <t>A Statistical Model for the Error Bounds of an Active Phased Array Antenna for SAR Applications</t>
  </si>
  <si>
    <t>10.1109/36.158867</t>
  </si>
  <si>
    <t>2-s2.0-0026899195</t>
  </si>
  <si>
    <t>['terms used', 'sommerfeld integral', 'resulting expression', 'observation locations', 'numerical integration', 'near zone', 'far zone', 'approximate expression', 'analytical techniques', 'analytic function']</t>
  </si>
  <si>
    <t>The fast Fourier transform (FFT) is used in conjunction with analytical techniques to obtain an approximate expression for the Sommerfeld integral associated with a vertical electric dipole above a half-space. The resulting expression, which is an analytic function of the source and observation locations, can be used in lieu of a numerical integration of the Sommerfeld integral. It can be used in either the near zone or the far zone, and it can even be applied for observation angles close to grazing. The accuracy of the expansion directly depends on the number of terms used in the fast Fourier transform. Results obtained using the expansion are compared with those obtained both from a direct numerical integration of the Sommerfeld integral and the reflection coefficient method. ¬© 1992 IEEE</t>
  </si>
  <si>
    <t>798-805</t>
  </si>
  <si>
    <t>Dvorak, Steven L.</t>
  </si>
  <si>
    <t>Dvorak S.L.</t>
  </si>
  <si>
    <t>Application of the Fast Fourier Transform to the Computation of the Sommerfeld Integral for a Vertical Electric Dipole Above a Half-Space</t>
  </si>
  <si>
    <t>10.1109/8.155745</t>
  </si>
  <si>
    <t>2-s2.0-0026899489</t>
  </si>
  <si>
    <t>['time samples', 'system model', 'sampling constraints', 'reflectivity function', 'reconstruction procedure', 'range focusing', 'radiation pattern', 'paper presents', 'inversion incorporate', 'imaging system', 'image reconstructed', 'echoed signals', 'also known']</t>
  </si>
  <si>
    <t>This paper presents a system model and inversion for the beam-steered data obtained via linearly varying the relative phase among the elements of an array, also known as phased array scan data. The system model and inversion incorporate the radiation pattern of the array‚Äôs elements. The inversion method utilizes the time samples of the echoed signals for each scan angle instead of range focusing. It is shown that the temporal Fourier transform of the phased array scan data provides the distribution of the spatial Fourier transform of the reflectivity function for the medium to be imaged. The extent of this coverage is related to the array‚Äôs length and the temporal frequency bandwidth of the transmitted pulsed signal. Sampling constraints and reconstruction procedure for the imaging system are discussed. It is shown that the imaging information obtained via the inversion of phased array scan data is equivalent to the image reconstructed from its synthesized array counterpart. ¬© 1992 IEEE</t>
  </si>
  <si>
    <t>379-390</t>
  </si>
  <si>
    <t>Soumekh, Mehrdad</t>
  </si>
  <si>
    <t>Buffalo</t>
  </si>
  <si>
    <t>University at Buffalo, The State University of New York</t>
  </si>
  <si>
    <t>Soumekh M.</t>
  </si>
  <si>
    <t>Array Imaging with Beam-Steered Data</t>
  </si>
  <si>
    <t>10.1109/83.148610</t>
  </si>
  <si>
    <t>2-s2.0-0026899497</t>
  </si>
  <si>
    <t>['wiley company', 'superstrate layer', 'relative positions', 'radiation patterns', 'proper choice', 'printed strips', 'inc .,']</t>
  </si>
  <si>
    <t>Microstrip antennas | passive radiation pattern control and iterative methods | spatial filters | superstrate layers</t>
  </si>
  <si>
    <t>A technique for shaping the H‚Äêplane pattern of a microstrip antenna using a passive unequally spaced planar array of printed strips as a superstrate layer is presented. By a proper choice of the number of strips, their widths, and their relative positions, quasiomnidirectional radiation patterns and radiation patterns with a dip on boresight have been realized. A two‚Äêdimensional model for the analysis and design is presented. ¬© 1992 John Wiley &amp; Sons, Inc. Copyright ¬© 1992 Wiley Periodicals, Inc., A Wiley Company</t>
  </si>
  <si>
    <t>347-351</t>
  </si>
  <si>
    <t>60028186;60028186;60028186;60028186</t>
  </si>
  <si>
    <t>57193777549;7006898765;7004724089;35609196900</t>
  </si>
  <si>
    <t>Bonvin, F.;Bokhari, S. A.;Z√ºrcher, J. F.;Gardiol, F. E.</t>
  </si>
  <si>
    <t>Bonvin F.</t>
  </si>
  <si>
    <t>Microstrip spatial filters for the H‚Äêplane pattern control of microstrip antennas</t>
  </si>
  <si>
    <t>10.1002/mop.4650050802</t>
  </si>
  <si>
    <t>2-s2.0-0026899553</t>
  </si>
  <si>
    <t>['without considering', 'wiley company', 'vertical polarization', 'spherical dipole', 'signal line', 'shield case', 'radiation characteristics', 'numerically computed', 'numerical results', 'near region', 'measured data', 'inc .,', 'horizontal polarization', 'high accuracy', 'far region', 'emi measurement', 'electronic circuit', 'electromagnetic field', 'electromagnetic analysis', 'computed numerically', 'coaxial cable', 'antenna elements', '9 db', '7 db', '1000 mhz']</t>
  </si>
  <si>
    <t>electromagnetic interference (EMI) | measurement | mode matching method analysis | numerical analysis | optical/electrical converter | radiation characteristics | Spherical dipole antenna | standard emission source</t>
  </si>
  <si>
    <t>A spherical dipole antenna is studied as a standard electromagnetic emission source in the EMI measurement. Its radiation characteristics are discussed both theoretically and experimentally. One of the antenna elements of a spherical dipole antenna is constructed in the shape of a shield case in which the electronic circuit is installed. Hence, the electromagnetic analysis can be carried out without considering the shape of the electronic circuit into the boundary of the analysis. It is pointed out that the electromagnetic field in not only the far region but in the near region can be computed numerically with high accuracy by means of the mode matching technique. By using a nonmetallic optical fiber instead of a coaxial cable as the signal line, the disturbance of the electromagnetic field by the cable can be neglected. Based on the numerical results, a spherical dipole antenna was fabricated and the radiation characteristics were measured at 30 to 1000 MHz. It was confirmed that the measured data and the numerical results agree within 1.9 dB for the vertical polarization and 1.7 dB for the horizontal polarization. From these results, it is clear that a spherical dipole with radiation characteristics as numerically computed can be realized. Copyright ¬© 1992 Wiley Periodicals, Inc., A Wiley Company</t>
  </si>
  <si>
    <t>108-117</t>
  </si>
  <si>
    <t>7101870691;7005750067;7004348998</t>
  </si>
  <si>
    <t>Murakawa, Kazuo;Kuwabara, Nobuo;Amemiya, Fujio</t>
  </si>
  <si>
    <t>Murakawa K.</t>
  </si>
  <si>
    <t>Spherical dipole antenna using optical/electrical converter</t>
  </si>
  <si>
    <t>10.1002/ecja.4410750810</t>
  </si>
  <si>
    <t>2-s2.0-0026900536</t>
  </si>
  <si>
    <t>['scattered fields', 'radiated near', 'particular application', 'moments show', 'modeling difficulties', 'includes inaccuracies', 'incident fields', 'improved accuracy', 'field patterns', 'fdtd solution', 'fdtd method', 'fdtd data', 'excitation planes', 'earlier contributions', 'difference time', 'dielectric interfaces', 'also presented', 'also illustrated']</t>
  </si>
  <si>
    <t>In earlier contributions where the Method of Moments (MOM) was used to model and calculate the electromagnetic (EM) power distribution pattern in tumors heated using interstitial antennas, some modeling difficulties were encountered. This includes inaccuracies at dielectric interfaces when pulse basis functions were used for expansion and the inability to model large tumors because of the increasingly large matrices involved. In this paper, we use the Finite-Difference Time-Domain (FDTD) method to calculate EM power deposition patterns in inhomogeneous tissue models of tumors. The radiated near-field patterns from an array of uniformly and step-insulated interstitial antennas were used as incident fields on the excitation planes to calculate the scattered fields and total SAR patterns in tumors. Comparison of FDTD data with results from the Method of Moments show that FDTD solution, in this particular application, overcomes some of the modeling difficulties encountered in the Method of Moments. Results for some specific tumor geometries are also presented to show the effectiveness of the microwave interstitial heating techniques in treating large tumors. Other advantages of the FDTD method, such as improved accuracy in modeling dielectric interfaces and the ability to model large tumors, are also illustrated. ¬© 1992 IEEE</t>
  </si>
  <si>
    <t>1692-1700</t>
  </si>
  <si>
    <t>7006909319;34769915200</t>
  </si>
  <si>
    <t>Cherry, Paul C.;Iskander, Magdy F.</t>
  </si>
  <si>
    <t>Cherry P.</t>
  </si>
  <si>
    <t>FDTD Analysis of Power Deposition Patterns of an Array of Interstitial Antennas for Use in Microwave Hyperthermia</t>
  </si>
  <si>
    <t>10.1109/22.149549</t>
  </si>
  <si>
    <t>2-s2.0-0026900828</t>
  </si>
  <si>
    <t>['supella longipalpa', 'significantly greater', 'relative order', 'preferred habitats', 'petri dishes', 'petri dish', 'periplaneta americana', 'oriental greater', 'laboratory conditions', 'l .);', 'inversely related', 'german greater', 'forced exposure', 'filter paper', 'f .),', 'brownbanded cockroaches', 'brown greater', 'brown cockroaches', 'blattella germanica', 'bait station', 'american greater', 'american cockroaches', '000 nematodes']</t>
  </si>
  <si>
    <t>The susceptibility of American cockroaches, Periplaneta americana (L.); smoky brown cockroaches, P. fuliginosa (Serville); oriental cockroaches, Blatta orientalis L.; German cockroaches, Blattella germanica (L.); and brownbanded cockroaches, Supella longipalpa (F.), to Steinernema carpocapsae Weiser (All strain) was evaluated under laboratory conditions. A 1-ml water suspension containing 500,000 nematodes was placed on filter paper in a petri dish or the pad of a bait station. German, brown-banded, oriental, and smoky-brown cockroaches died within 1 d after placement in the petri dishes. The relative order for the LT50s were American greater than oriental greater than smoky-brown greater than brown-banded = German. All cockroaches actively groomed nematodes from legs and antennae of forced (petri dish) exposure. The LT50s for S. carpocapsae for nonforced (bait station) exposure were significantly greater than those for forced exposure. The LT50s were 3.25, 4.13, 9.86, and 11.38 d for brown-banded, German, oriental, and smoky-brown cockroaches, respectively. The relative order of the LT50s after forced (American greater than oriental greater than smoky-brown greater than German = brown-banded) and nonforced (American greater than smoky-brown greater than oriental greater than German greater than brown-banded) exposure to S. carpocapsae was inversely related to the moisture of their preferred habitats.</t>
  </si>
  <si>
    <t>1184-1187</t>
  </si>
  <si>
    <t>Journal of economic entomology</t>
  </si>
  <si>
    <t>7102193034;7403566930;57198723651</t>
  </si>
  <si>
    <t>Koehler, P. G.;Patterson, R. S.;Martin, W. R.</t>
  </si>
  <si>
    <t>Koehler P.</t>
  </si>
  <si>
    <t>Susceptibility of cockroaches (Dictyoptera: Blattellidae, Blattidae) to infection by Steinernema carpocapsae.</t>
  </si>
  <si>
    <t>10.1093/jee/85.4.1184</t>
  </si>
  <si>
    <t>2-s2.0-0026901758</t>
  </si>
  <si>
    <t>P01CA031303</t>
  </si>
  <si>
    <t>['transrectal probe', 'temperature rise', 'temperature measurements', 'system uses', 'surrounding tissue', 'sar information', 'sar distribution', 'rectal mucosa', 'noninvasive localized', 'microwave power', 'hyperthermia treatment', 'canine protocol', 'blood perfusion', '2 cm']</t>
  </si>
  <si>
    <t>A. system for the noninvasive localized, hyperthermia treatment of benign prostatic hyperplasia was investigated. The system uses a microwave transrectal antenna with a water cooled jacket to achieve localized hyperthermia. The purpose of this study is to model the temperature rise in the prostate and in the surrounding tissue during treatment. The SAR distribution for the transrectal probe is measured in a muscle tissue equivalent phantom. The SAR information is used with a finite element solution of the bioheat transfer equation to give the temperature rise during the treatment. Also the finite element solution is further used to determine the effect of the microwave power, the cooling fluid temperature and the blood perfusion on the tissue temperature rise. The results of the solution are compared to temperature measurements in a canine protocol. It was found that the maximum temperature rise in the tissue during treatment is 44¬∞C at a depth of 2 cm from the rectal mucosa. ¬© 1992 IEEE</t>
  </si>
  <si>
    <t>836-844</t>
  </si>
  <si>
    <t>60022195;60022195;60097350;60022195</t>
  </si>
  <si>
    <t>7404678504;56837821200;7006826802;7006642129</t>
  </si>
  <si>
    <t>Martin, Gregory T.;Haddad, Michel G.;Cravalho, Ernest G.;Bowman, H. Frederick</t>
  </si>
  <si>
    <t>Cambridge;Cambridge</t>
  </si>
  <si>
    <t>Harvard-MIT Health Sciences and Technology;Massachusetts Institute of Technology</t>
  </si>
  <si>
    <t>60097350;60022195</t>
  </si>
  <si>
    <t>Martin G.</t>
  </si>
  <si>
    <t>Thermal Model for the Local Microwave Hyperthermia Treatment of Benign Prostatic Hyperplasia</t>
  </si>
  <si>
    <t>10.1109/10.148391</t>
  </si>
  <si>
    <t>2-s2.0-0026902275</t>
  </si>
  <si>
    <t>['œ ∏', 'œ ±', 'values belong', 'simultaneously estimating', 'radiating source', 'parameter pair', 'original esprit', 'need decide', 'marked subspace', 'individually estimate', 'frequently interested', 'easily obtained', 'centre frequencies', '$/ sin']</t>
  </si>
  <si>
    <t>In array signal processing, one is frequently interested in simultaneously estimating the directions of arrival and the centre frequencies of the uncorrelated narrowband radiating sources having different centre frequencies. By using single spatial rotation invariance and temporal rotation invariance algorithms, e.g. the original ESPRIT, we can individually estimate the spatial frequencies Œ±i and the temporal frequencies œâ-i$/ of the sources. If detecting radiating sources only in azimuths is of interest, the spatial frequency Œ±i is defined as Œ±i = œâ-i$/ sin (Œ∏i), where Œ∏i is the location of the ith source relative to the broadside of the array, and we need decide which of the œâ-i$/ and Œ±i values belong to the same radiating source to obtain the pair {Œ∏i, œâ-i$/} for each source. In this paper, we propose a technique, the marked subspace technique, which is applied to the original ESPRIT to obtain the parameter pair {Œ∏i, œâ-i$/}. By using both single spatial invariance and single temporal invariance algorithms along with the marked subspace, the parameter pair {Œ∏i, œâ-i$/} of each radiating source can be more easily obtained than using the original ESPRIT without the marked subspace.</t>
  </si>
  <si>
    <t>297-300</t>
  </si>
  <si>
    <t>Aug</t>
  </si>
  <si>
    <t>60011357;60011357</t>
  </si>
  <si>
    <t>7601433253;57192217594</t>
  </si>
  <si>
    <t>Chen, Y. H.;Chen, C. H.</t>
  </si>
  <si>
    <t>Kaohsiung</t>
  </si>
  <si>
    <t>National Sun Yat-Sen University</t>
  </si>
  <si>
    <t>Chen Y.</t>
  </si>
  <si>
    <t>Direction-of-arrival and frequency estimations for narrowband sources using two single rotation invariance algorithms with the marked subspace</t>
  </si>
  <si>
    <t>10.1049/ip-f-2.1992.0041</t>
  </si>
  <si>
    <t>2-s2.0-0026902456</t>
  </si>
  <si>
    <t>['wiley company', 'service area', 'radiated power', 'necessary condition', 'minimum gain', 'measured results', 'large effect', 'inc .,', 'feed array', 'exciting coefficients', 'earth stations', 'earth station', 'antenna elements']</t>
  </si>
  <si>
    <t>array exciting coefficients | earth station | feed array | satellites | Shaped‚Äêbeam antenna</t>
  </si>
  <si>
    <t>For a shaped‚Äêbeam antenna having a feed array consisting of a reflector and numerous antenna elements, the method is described of determining the exciting coefficients for the feed array which maximize the minimum gain at the earth stations in the service area. In this method, a large effect is seen when the number of antenna elements is greater than the number of earth stations in the service area. First, the necessary condition is shown for the exciting coefficients for the feed array which maximize the radiated power at the earth station. Based on this result, an algorithm is described which determines the array excitation coefficients. Moreover, the method is verified to be efficient by the calculated and measured results. Copyright ¬© 1992 Wiley Periodicals, Inc., A Wiley Company</t>
  </si>
  <si>
    <t>99-107</t>
  </si>
  <si>
    <t>60101699;60101699;60101699;60101699</t>
  </si>
  <si>
    <t>7403067757;57055489600;7003628822;7004304668</t>
  </si>
  <si>
    <t>Makino, Shigeru;Naitoh, Izuru;Urasaki, Shuji;Katagi, Takashi</t>
  </si>
  <si>
    <t>Makino S.</t>
  </si>
  <si>
    <t>Method of determining the exciting coefficients for the feed array on array‚Äêfed reflector‚Äêtype shaped‚Äêbeam antennas</t>
  </si>
  <si>
    <t>10.1002/ecja.4410750809</t>
  </si>
  <si>
    <t>2-s2.0-0026904022</t>
  </si>
  <si>
    <t>['small value', 'sinr ).', 'satisfactorily protect', 'primary input', 'pointing errors', 'output signal', 'intentionally excluding', 'gsc ),', 'greatly improved', 'forgetting factor', 'desired signal', 'convergence rate', 'conventional gsc', 'coherent interferences', 'also robust']</t>
  </si>
  <si>
    <t>A generalized sidelobe canceller (GSC), which operates by intentionally excluding the desired signal, is proposed. By excluding the desired signal from the primary input, the convergence rate is greatly improved. The response of the system can further be accelerated by using a forgetting factor of small value, without serious loss in the output signal to interference plus noise ratio (SINR). The system is also robust, in the sense that it can satisfactorily protect the desired signal from suppression in the presence of pointing errors and coherent interferences as well. An angular domain notch filter is incorporated into the conventional GSC to exclude the desired signal component.</t>
  </si>
  <si>
    <t>265-272</t>
  </si>
  <si>
    <t>7102188996;57212859629</t>
  </si>
  <si>
    <t>Takao, K.;Boon, C. S.</t>
  </si>
  <si>
    <t>Takao K.</t>
  </si>
  <si>
    <t>Importance of the exclusion of the desired signal from the control of a generalized sidelobe canceller</t>
  </si>
  <si>
    <t>10.1049/ip-f-2.1992.0034</t>
  </si>
  <si>
    <t>2-s2.0-0026904817</t>
  </si>
  <si>
    <t>National Institute of Neurological Disorders and Stroke</t>
  </si>
  <si>
    <t>R01NS011630</t>
  </si>
  <si>
    <t>NINDS</t>
  </si>
  <si>
    <t>['upon stimulation', 'ultrasound stimulus', 'ultrasound respond', 'teleogryllus oceanicus', 'swing decreased', 'substantially longer', 'stimulus intensity', 'spike frequency', 'spike activity', 'sound source', 'recorded electromyograms', 'one side', 'muscles involved', 'movement increased', 'metathoracic leg', 'medial scapo', 'm7 moves', 'm6 moves', 'm126 showed', 'lateral swing', 'lateral scapo', 'latency turn', 'kinematic data', 'ipsilateral m7', 'ipsilateral antenna', 'increasing intensity', 'first spike', 'escape response', 'electromyogram data', 'direct role', 'contralateral stimuli', 'contralateral m7', 'contralateral antenna', 'antenna laterally']</t>
  </si>
  <si>
    <t>Tethered, flying Australian field crickets (Teleogryllus oceanicus) stimulated with ultrasound respond with a rapid, short-latency turn from the sound source. We analyzed the kinematics of two behavioral components of this acoustic startle response and recorded electromyograms from the muscles involved in producing them. The two behavior patterns studied were the swing of the metathoracic leg, which has been shown to elicit a short-latency turn, and a lateral swing of the antennae, for which a direct role in steering has not been demonstrated. The kinematic data showed that when a pulse of ultrasound was presented to one side of the animal (1) the contralateral metathoracic leg abducted and elevated, while the ipsilateral leg remained in place, (2) both antennae swung laterally, but the contralateral antenna moved farther than the ipsilateral antenna, (3) increases in stimulus intensity elicited larger movements of the leg and contralateral antenna, while the ipsilateral antenna showed little sensitivity to stimulus intensity, and (4) for the leg, the latency to the onset of the swing decreased and the duration of the movement increased with increasing stimulus intensity. Electromyograms were recorded from the leg abductor M126 and two antennal muscles: the medial scapo-pedicellar muscle M6 and the lateral scapo-pedicellar muscle M7. M7 moves the antenna laterally, M6 moves it medially. Upon stimulation with ultrasound (1) both M126 and M7 showed increasing spike activity with increasing intensity of the ultrasound stimulus, (2) M126 showed a decrease in latency to the first spike and an increase in the duration of spike activity with increasing stimulus intensity, (3) latencies for M6 and M7 were not correlated with stimulus intensity, but M7 had significantly shorter latencies than M6 and the contralateral M7 had significantly shorter latencies than the ipsilateral M7, and (4) the ipsilateral M126 spiked in response to ultrasound in 6 of the 10 animals tested. In these cases, however, latency to the first spike was substantially longer, and the spike frequency was lower than for the muscle's response to contralateral stimuli. We attempt to correlate these electromyogram data with the kinematic data and relate them to the relevance of the two behavior patterns to the execution of an escape response.</t>
  </si>
  <si>
    <t>19-36</t>
  </si>
  <si>
    <t>The Journal of experimental biology</t>
  </si>
  <si>
    <t>60007776;60007776;60007776;60007776</t>
  </si>
  <si>
    <t>7103118838;57220637334;6701719249;7004669666</t>
  </si>
  <si>
    <t>Miles, C. I.;May, M. L.;Holbrook, E. H.;Hoy, R. R.</t>
  </si>
  <si>
    <t>Miles C.I.</t>
  </si>
  <si>
    <t>Multisegmental analyses of acoustic startle in the flying cricket (Teleogryllus oceanicus): kinematics and electromyography.</t>
  </si>
  <si>
    <t>2-s2.0-0026905160</t>
  </si>
  <si>
    <t>['unlike music', 'statistical properties', 'spatially finitely', 'sample variance', 'paper studies', 'music large', 'less accurate', 'easy reference', 'computational advantage', 'bewe large', 'based method', 'acronym bewe']</t>
  </si>
  <si>
    <t>The paper studies the statistical properties of a subspace-based method for bearing estimation without eigendecomposition. For easy reference, we use the acronym BEWE (bearing estimation without eigendecomposition) for the method. The BEWE large-sample variance is derived and shown to be bounded from below by the MUSIC large-sample variance. The drawback of being less accurate than MUSIC is balanced by BEWE's computational advantage. In addition, it is shown that, unlike MUSIC, BEWE can accommodate the case of spatially finitely-correlated sensor noise.</t>
  </si>
  <si>
    <t>301-305</t>
  </si>
  <si>
    <t>60003858;60003858</t>
  </si>
  <si>
    <t>36040796700;7101761664</t>
  </si>
  <si>
    <t>Stoica, P.;Soderstrom, T.</t>
  </si>
  <si>
    <t>Uppsala</t>
  </si>
  <si>
    <t>Uppsala Universitet</t>
  </si>
  <si>
    <t>Statistical analysis of a subspace method for bearing estimation without eigendecomposition</t>
  </si>
  <si>
    <t>10.1049/ip-f-2.1992.0042</t>
  </si>
  <si>
    <t>2-s2.0-0026905494</t>
  </si>
  <si>
    <t>['space root', 'polynomial rooting', 'order polynomials', 'methods require', 'les array', 'greatly reduced', 'form estimators', 'form eigen', 'estimation represent', 'equally spaced', 'eigenvalue decomposition', 'beamspace transformation', 'beamspace root', 'based methods', 'banded structure', 'author proposes']</t>
  </si>
  <si>
    <t>Root-form eigen-based methods for direction-of-arrival (DOA) estimation represent a class of estimators that exhibit a higher resolution capability relative to spectral-form estimators in detecting closely spaced sources with a linear, equally spaced (LES) array. These methods require an eigenvalue decomposition (EVD) and a polynomial rooting. Although the numerical complexity associated with the EVD is greatly reduced with the use of beamspace transformation, large-order polynomial rooting still raises practical difficulties. As a remedy, the author proposes a novel iterative implementation of beamspace root-form methods without the need for large-order polynomial rooting. The new method exploits the banded structure of the augmented noise eigenvector matrix associated with an LES array. It requires only rooting in parallel several small-order polynomials and some minor matrix manipulations at each iteration. It is shown that the proposed method offers the performance of beam-space root-MUSIC.</t>
  </si>
  <si>
    <t>288-296</t>
  </si>
  <si>
    <t>Lee, Ta Sung</t>
  </si>
  <si>
    <t>Lee T.S.</t>
  </si>
  <si>
    <t>Fast implementation of root-form eigen-based methods for detecting closely spaced sources</t>
  </si>
  <si>
    <t>10.1049/ip-f-2.1992.0040</t>
  </si>
  <si>
    <t>2-s2.0-0026905739</t>
  </si>
  <si>
    <t>W-7405-ENG-48</t>
  </si>
  <si>
    <t>['type pulse', 'slot field', 'shadow side', 'penetrated field', 'narrow slot', 'measured results', 'laboratory measurements', 'corresponding time', 'conducting surface', 'calculated field']</t>
  </si>
  <si>
    <t>A time-domain integral equation is derived for the unknown electric field, or equivalent magnetic surface current, in a narrow slot in a conducting surface, and an efficient and stable numerical method is developed for solving this equation. The contour of the slot in the vanishingly thin conducting surface may be of any shape. The solutions are compared via Fourier transformation with those of the corresponding time-harmonic integral equation, and they are further validated by demonstrating close correlation between values of the calculated field on the shadow side of the conductor and data from laboratory measurements. For numerous slot lengths and shapes, time- and frequency-domain data illustrating the behavior of the slot field and penetrated field are presented and compared with measured results. The stability of the time-domain solution technique is investigated and found to be very high. The response of a slot to an EMP-type pulse is presented as an example. ¬© 1992 IEEE</t>
  </si>
  <si>
    <t>161-172</t>
  </si>
  <si>
    <t>60031767;60026610</t>
  </si>
  <si>
    <t>7202479359;7201550943</t>
  </si>
  <si>
    <t>Reed, Erik K.;Butler, Chalmers M.</t>
  </si>
  <si>
    <t>Greenville;Clemson</t>
  </si>
  <si>
    <t>KEMET Corporation;Clemson University</t>
  </si>
  <si>
    <t>Reed E.K.</t>
  </si>
  <si>
    <t>Time-Domain Electromagnetic Penetration Through Arbitrarily Shaped Narrow Slots in Conducting Screens</t>
  </si>
  <si>
    <t>10.1109/15.155826</t>
  </si>
  <si>
    <t>2-s2.0-0026907782</t>
  </si>
  <si>
    <t>['wide variety', 'wide bandpass', 'testing systems', 'testing objects', 'sources used', 'single shot', 'repetitive testing', 'repetition rates', 'radiated using', 'power microwave', 'power device', 'peak powers', 'particularly useful', 'mw l', 'kv pulse', 'high peak', 'fully tunable', 'frequency band', 'facility testing', 'facility capability', 'dart class', 'archival system', '650 mhz', '5 ghz', '400 mw', '2000 cm', '2 mj', '150 ns', '120 hz', '10 mj']</t>
  </si>
  <si>
    <t>High-power microwave (HPM) sources used for testing systems and components at high peak-powers and high energy fluences at the Phillips Laboratory HPM test facility, Kirtland Air Force Base, NM are described. Peak powers of up to 400 MW are radiated using a 150 ns, 650-kV pulse-power device to drive a class of microwave tubes termed double anode relativistic tetrode (DART) oscillators. Single-shot power densities and energy fluences exceeding 100 kW/cm&lt;sup&gt;2&lt;/sup&gt; and 10 mj/cm&lt;sup&gt;2&lt;/sup&gt;, respectively, over a frequency band from 650 MHz to 3.5 GHz, are available for testing objects with cross-sections of up to 2000 cm&lt;sup&gt;2&lt;/sup&gt;. The axially extracted DART is a field emission space-charge driven oscillator which utilizes a wide bandpass, high efficiency (~70%) TM&lt;inf&gt;01&lt;/inf&gt; to TE&lt;inf&gt;11&lt;/inf&gt; waveguide mode converter. The DART class of devices is particularly useful for facility testing because they 1) provide pencil beam output at high exposure levels; 2) are fully tunable over ~25% bandwidth; and 3) are compatible with a wide variety of low cost horns which provide various antenna gains. A 1-MW L-band magnetron provides power densities and energy fluences exceeding 500 W/cm&lt;sup&gt;2&lt;/sup&gt; and 2 mJ/cm&lt;sup&gt;2&lt;/sup&gt; for Œºs pulse lengths at repetition rates to 120 Hz. The RF test environment is characterized using redundant in-situ and free-field RF diagnostics and a VAX-based data acquisition and archival system. Facility capability for both single shot and repetitive testing is presented. ¬© 1992 IEEE</t>
  </si>
  <si>
    <t>229-234</t>
  </si>
  <si>
    <t>60015710;60018624;60018624;;;60020583</t>
  </si>
  <si>
    <t>7005849472;7103323753;36881071300;6506437615;56838303600;7005323793</t>
  </si>
  <si>
    <t>Miner, Lynn M.;Voss, Donald E.;Koslover, Robert A.;Miera, Bill M.;David Cremer, C.;Biggs, Albert W.</t>
  </si>
  <si>
    <t>Huntsville;Albuquerque;Kirtland</t>
  </si>
  <si>
    <t>The University of Alabama in Huntsville;Voss Scientific;Kirtland Air Force Base</t>
  </si>
  <si>
    <t>60020583;60018624;60015710</t>
  </si>
  <si>
    <t>Miner L.</t>
  </si>
  <si>
    <t>High-Power Microwave Test Facility Based on Double-Anode Relativistic Tetrode (DART) Oscillators</t>
  </si>
  <si>
    <t>10.1109/15.155834</t>
  </si>
  <si>
    <t>2-s2.0-0026907832</t>
  </si>
  <si>
    <t>['total mass', 'static phase', 'sar instruments', 'rf phase', 'r modules', 'overall stability', 'overall efficiency', 'optical setups', 'optical domain', 'optical beam', 'novel technique', 'multiple frequencies', 'moderate effort', 'low compared', 'individually controllable', 'fibre optic', 'external influences', 'electronic components', 'continuous deflection', 'chirp generation', 'also achievable']</t>
  </si>
  <si>
    <t>A novel technique for coherent optical control of RF phase and frequency is presented. A central unit supplies one (fibre optic) output per antenna transmit/receive (T/R) element. Its overall efficiency is higher than in all known standard concepts for optical beam-forming. The effort for adjustment is low. External influences on the overall stability are low. The total mass is low compared with a solution with electronic components, as in almost all optical setups. This approach is suitable for continuous deflection or scanning of multiple (individually controllable) beams with multiple frequencies. The control of static phase and amplitude of each channel can be realised in the optical domain with moderate effort. Then the complexity of the T/R modules can be reduced on replacing these phase and amplitude controlling electronic components. Chirp generation, as used by SAR instruments, or information modulated RF signals are also achievable.</t>
  </si>
  <si>
    <t>305-308</t>
  </si>
  <si>
    <t>IEE proceedings. Part J, Optoelectronics</t>
  </si>
  <si>
    <t>Volker, M.</t>
  </si>
  <si>
    <t>Leiden</t>
  </si>
  <si>
    <t>Airbus Group SE</t>
  </si>
  <si>
    <t>Volker M.</t>
  </si>
  <si>
    <t>Coherent all-fibre optical beam-steering technique for phased-array antennas</t>
  </si>
  <si>
    <t>10.1049/ip-j.1992.0052</t>
  </si>
  <si>
    <t>2-s2.0-0026907840</t>
  </si>
  <si>
    <t>['transmitting antennas', 'tenna systems', 'radome may', 'radiation pattern', 'procedure developed', 'pattern circularity', 'four columns', 'either circular', 'dimensional system', 'antenna system']</t>
  </si>
  <si>
    <t>two methods arepresented to study the effect of a thin dielectric radome on the horizontal radiation pattern (HRP) of TV transmitting antennas. Examples are given for two an tenna systems, each consisting of four columns of horizontal dipoles supported by a perfectly conducting carrier post of either circular or square cross section. The radome is a thin circular cylindrical dielectric shell enclosing the antenna system. The problem is modeled by a two-dimensional system and two different surface formulations are used to determine the effect of the radome on the radiation pattern. The procedure developed is general; the post and the radome may be of arbitrary cross sections. The noncircularity of the radiation pattern is computed for transmitting antennas in TV bands IV and V(f = 470-790 MHz). It is observed that the presence of a radome does not always imply degradation in the circularity of its pattern; it may even enhance the pattern circularity at some frequencies. ¬© 1992 IEEE</t>
  </si>
  <si>
    <t>942-949</t>
  </si>
  <si>
    <t>6602632152;7003593230</t>
  </si>
  <si>
    <t>Sadigh, Ali;Arvas, Ercument</t>
  </si>
  <si>
    <t>Sadigh A.</t>
  </si>
  <si>
    <t>Deformation of the Horizontal Radiation Pattern of TV Transmitting Antennas Due to a Thin Dielectric Radome</t>
  </si>
  <si>
    <t>10.1109/8.163432</t>
  </si>
  <si>
    <t>2-s2.0-0026907885</t>
  </si>
  <si>
    <t>['source distribution', 'measured intensity', 'iterative algorithm', 'evaluated using', 'data obtained', 'array antenna']</t>
  </si>
  <si>
    <t>A technique is described to reconstruct the source distribution on an array antenna from the measured radiated intensity and the configuration of the elements. The complex source fields are calculated from the measured intensity by means of an iterative algorithm that includes a matrix deconvolution procedure to improve the accuracy of the reconstruction. This algorithm has been evaluated using the data obtained from a near-field planar scan of a slotted waveguide array and validated by comparison with the deconvolved holographically reconstructed source distribution.</t>
  </si>
  <si>
    <t>392-396</t>
  </si>
  <si>
    <t>57197615748;55328764600;7403369332</t>
  </si>
  <si>
    <t>Lord, J. A.;Cook, G. G.;Anderson, A. P.</t>
  </si>
  <si>
    <t>Lord J.</t>
  </si>
  <si>
    <t>Reconstruction of the excitation of an array antenna from the measured near-field intensity using phase retrieval</t>
  </si>
  <si>
    <t>10.1049/ip-h-2.1992.0069</t>
  </si>
  <si>
    <t>2-s2.0-0026907898</t>
  </si>
  <si>
    <t>['unknown leaky', 'unit cell', 'microstrip line', 'microstrip dipoles', 'layered structure', 'interesting features', 'improper sheet', 'forward direction', 'electromagnetically coupled', 'dipole within', 'dipole array', 'determinantal equation', 'arranged perpendicular']</t>
  </si>
  <si>
    <t>An analysis of an electromagnetically coupled (EMC) dipole array is presented, in which a microstrip line is coupled to an infinite periodic linear array of microstrip dipoles, arranged perpendicular to the line. The spectral-domain immitance method is used to obtain the periodic Green‚Äôs function for the two-layered structure, and the method of moments with a Galerkin testing procedure is then used to enforce the electric field integral equation (EFIE) on the line and the dipole within a unit cell of the structure to obtain the determinantal equation for the unknown leaky-wave propagation constant. One of the interesting features of this analysis is the path of integration in the complex plane used to compute the moment method reactions, which must be partly on the improper sheet for the m = - 1 space harmonic when it radiates in the forward direction. Measured radiation patterns for a 10-element EMC dipole array are presented and compared with the corresponding theoretical ones. ¬© 1992 IEEE</t>
  </si>
  <si>
    <t>950-958</t>
  </si>
  <si>
    <t>60005837;60005837</t>
  </si>
  <si>
    <t>7801595125;7404289310</t>
  </si>
  <si>
    <t>Potharazu, Pavan K.;Jackson, David R.</t>
  </si>
  <si>
    <t>Potharazu P.K.</t>
  </si>
  <si>
    <t>Analysis and Design of a Leaky-Wave EMC Dipole Array</t>
  </si>
  <si>
    <t>10.1109/8.163433</t>
  </si>
  <si>
    <t>2-s2.0-0026907981</t>
  </si>
  <si>
    <t>['steering angle', 'signal loss', 'signal leaks', 'pointing errors', 'phase origin', 'numerical results', 'noise ratio', 'maximum range', 'legendre polynomial', 'given value', 'form formula', 'effective beamwidth', 'bearing responses', 'adaptive arrays']</t>
  </si>
  <si>
    <t>The performance of adaptive arrays with arbitrary order derivative constraints to avoid the signal nulling caused by the error in the steering angle is investigated. The generalized sidelobe canceller (GSC) is used to evaluate the bearing responses of adaptive arrays with pointing errors. Under the assumption of equispaced linear arrays, we utilize the Legendre polynomial to derive a closed-form formula for the sidelobe leakage factor, the ratio in which the signal leaks into the GSC sidelobe cancelling branch. Moreover, we derive the effective beamwidth, the maximum range of pointing inaccuracy allowable to keep the signal loss in array output less than a given value, for the GSC with the delay-and-sum quiescent beamformer. Such kind of adaptive arrays can achieve the maximum output signal-to-noise ratio when the presteering is perfect, and its performance is independent of the location of the phase origin. Numerical results are presented to confirm the analysis. ¬© 1992 IEEE</t>
  </si>
  <si>
    <t>975-981</t>
  </si>
  <si>
    <t>60005429-106445475</t>
  </si>
  <si>
    <t>Huarng, Keh Chiarng</t>
  </si>
  <si>
    <t>Taiwan;Taiwan</t>
  </si>
  <si>
    <t>Taipei;Taipei</t>
  </si>
  <si>
    <t>National Taiwan University;Taiwan University</t>
  </si>
  <si>
    <t>60005429;106445475</t>
  </si>
  <si>
    <t>Huarng K.C.</t>
  </si>
  <si>
    <t>Performance Analysis of Derivative Constraint Adaptive Arrays with Pointing Errors</t>
  </si>
  <si>
    <t>10.1109/8.163436</t>
  </si>
  <si>
    <t>2-s2.0-0026908008</t>
  </si>
  <si>
    <t>['various rooms', 'values less', 'using diversity', 'university building', 'transmission paths', 'space diversity', 'simultaneous measurements', 'similar buildings', 'signal availability', 'results presented', 'required availabilities', 'published results', 'portable telephones', 'parameters four', 'one floor', 'much interest', 'moving people', 'loss characteristics', 'including œª', 'held terminal', 'frequency diversity', 'diversity techniques', 'direct comparison', 'considerable theory', 'changing channel', 'cement floors', 'branch space', 'branch receiver', 'branch frequency', 'averages less', 'antenna separation', '5 mhz', '5 db', '15 db', '10 mhz', '0 db']</t>
  </si>
  <si>
    <t>Much interest has been generated in portable telephones and data terminals inside buildings. In a radio environment plagued by the severe fading effects of multipath and the dynamics of a changing channel, diversity is required. While considerable theory has been developed on diversity techniques, there have been few published results of indoor diversity measurements, particularly in the 1.7-2.0 GHz band. This paper evaluates three diversity techniques at 1.75 GHz based on simultaneous measurements of envelope fading due to both moving people and motion of a four-branch receiver. The experiment was conducted in various rooms on one floor of a university building having a common construction type of double plasterboard walls, cement floors, and acoustic tile ceilings. Path-loss characteristics of this environment had a distance power law exponent of N= 2.85 or equivalently, an estimated wall loss of 3.0 dB. Results presented here provide a direct comparison of two-branch space, two-branch frequency, and four-branch space/frequency (hybrid) diversity. Envelope cross correlations had averages less than 0.1 for space diversity with AS (antenna separation) &gt; Œª/4 and values less than 0.2 for ŒîF (frequency diversity spacing) &gt;10 MHz. Two-branch average diversity gain using selection combining was at least 10 dB at 99% signal availability for all AS including Œª/4 (4.3 cm), allowing such a technique to be used on a hand-held terminal, and for frequency diversity with ŒîF&gt;5 MHz. With these parameters four-branch hybrid diversity had gains &gt;15 dB. The distribution of diversity gains varied within ¬±2.5 dB between transmission paths which should be considered for a worst-case link design. The reported gains allow reasonable estimations of system fade margins based on required availabilities when using diversity in similar buildings. ¬© 1992 IEEE</t>
  </si>
  <si>
    <t>312-320</t>
  </si>
  <si>
    <t>60017592;60017592;60017592</t>
  </si>
  <si>
    <t>7102776822;7003693421;7202300038</t>
  </si>
  <si>
    <t>Todd, Stephen R.;El-Tanany, Mohammed S.;Mahmoud, Samy A.</t>
  </si>
  <si>
    <t>Carleton University</t>
  </si>
  <si>
    <t>Todd S.</t>
  </si>
  <si>
    <t>Space and Frequency Diversity Measurements of the 1.7 GHz Indoor Radio Channel Using a Four-Branch Receiver</t>
  </si>
  <si>
    <t>10.1109/25.155978</t>
  </si>
  <si>
    <t>2-s2.0-0026908026</t>
  </si>
  <si>
    <t>['two subarrays', 'twenty 33', 'transmit part', 'telecommunications satellite', 'subarray phased', 'simultaneous transmit', 'power consumption', 'optical beam', 'including savings', 'forming network', 'electronic implementation', 'concept model', 'array antenna', '75 ghz', '5 ghz']</t>
  </si>
  <si>
    <t>An optical beam-forming network with coherent optical phase shifting was designed for a telecommunications satellite with a 160-subarray phased-array antenna. The antenna generates 15 spot beams for simultaneous transmit (12.5-12.75 GHz) and receive (14-14.5 GHz) with up to twenty 33 or 72 MBit QPSK modulated carriers. The proof-of-concept model (PCM) for the transmit part is realised with two QPSK channels. The phase and amplitude weighting section can control five subarrays. The links to two subarrays are included. The optical phase shift technique offers many advantages over electronic implementation, including savings in mass and power consumption.</t>
  </si>
  <si>
    <t>301-304</t>
  </si>
  <si>
    <t>114684001;114684001</t>
  </si>
  <si>
    <t>7005223103;7003950726</t>
  </si>
  <si>
    <t>Birkmayer, W. S.;Wale, M. J.</t>
  </si>
  <si>
    <t>Munich</t>
  </si>
  <si>
    <t>MBB</t>
  </si>
  <si>
    <t>Birkmayer W.</t>
  </si>
  <si>
    <t>Proof-of-concept model of a coherent optical beam-forming network</t>
  </si>
  <si>
    <t>10.1049/ip-j.1992.0051</t>
  </si>
  <si>
    <t>2-s2.0-0026908036</t>
  </si>
  <si>
    <t>['photodetector characterisation', 'phase locking', 'phase control', 'optical techniques', 'optical generation', 'optical control', 'microwave signals', 'microwave oscillators', 'microwave devices', 'laser diodes', 'coherent heterodyne', 'also presented', '35 ghz']</t>
  </si>
  <si>
    <t>Optical techniques for microwave signal generation and optical control of microwave devices are described. Optical generation of microwave signals to 35 GHz and above by coherent heterodyne was carried out by FM sideband injection locking of laser diodes and by offset frequency phase locking of solid state lasers. Applications of optically generated microwave signals including optical control of phased array radar and photodetector characterisation are discussed. Optical injection locking, phase control, and phase locking of microwave oscillators are also presented.</t>
  </si>
  <si>
    <t>288-295</t>
  </si>
  <si>
    <t>60027271;60027271;60027271</t>
  </si>
  <si>
    <t>23003948200;7005229250;35596615300</t>
  </si>
  <si>
    <t>Goldberg, L.;Esman, R. D.;Williams, K. J.</t>
  </si>
  <si>
    <t>Goldberg L.</t>
  </si>
  <si>
    <t>Generation and control of microwave signals by optical techniques</t>
  </si>
  <si>
    <t>10.1049/ip-j.1992.0049</t>
  </si>
  <si>
    <t>2-s2.0-0026908059</t>
  </si>
  <si>
    <t>['¬± 0', '¬© 1992', 'weighting parameters', 'suggested previously', 'sidelobe ratio', 'rights reserved', 'parameter linear', 'iterative methods', 'desired mainlobe', 'case errors', 'approximations may', 'aperture distributions', '82 db', '1 db']</t>
  </si>
  <si>
    <t>Approximations are presented for determining the weighting parameters for one-parameter linear- and circular-aperture distributions, when the desired mainlobe-to-sidelobe ratio is known. These approximations may be more convenient to use than the iterative methods or look-up tables that have been suggested previously, in the literature. Both approximations exhibit worst-case errors of less than ¬±0.1 dB, for peak sidelobe ratios up to 82 dB. ¬© 1992, IEEE. All rights reserved.</t>
  </si>
  <si>
    <t>34-35</t>
  </si>
  <si>
    <t>60005304;</t>
  </si>
  <si>
    <t>57189501138;6603285838</t>
  </si>
  <si>
    <t>Schrank, Hal;Blanton, Lee</t>
  </si>
  <si>
    <t>Approximations for Computing the Weighting Parameters for One-Parameter Taylor and Hansen Aperture Distributions</t>
  </si>
  <si>
    <t>10.1109/74.153565</t>
  </si>
  <si>
    <t>2-s2.0-0026908552</t>
  </si>
  <si>
    <t>['simultaneous multi', 'satellite dbs', 'reception antenna', 'prototype antenna', 'light weight', 'converters used', 'beam separation']</t>
  </si>
  <si>
    <t>A hemi-spherical dielectric lens antenna is proposed as a simultaneous multi-satellite DBS (Direct Broadcasting Satellite) reception antenna. It adopts a novel offset feed for light weight, freedom from blockage and beam separation. The prototype antenna and the converters used are described. ¬© 1992 IEEE</t>
  </si>
  <si>
    <t>394-397</t>
  </si>
  <si>
    <t>115567821;115567821;115567821;115567821;115567821;115567821;115567821;115567821</t>
  </si>
  <si>
    <t>36723520800;7403544890;6602871919;6701855685;7402496974;7102364086;7004314891;7201409132</t>
  </si>
  <si>
    <t>Fujimoto, M.;Harrison, D.;Louzir, A.;Howson, C.;Guo, C.;Grimm, J. P.;Tabor, G.;Maier, G. M.</t>
  </si>
  <si>
    <t>Strasbourg</t>
  </si>
  <si>
    <t>Thomson Consumer Electronics R&amp;D Laboratories</t>
  </si>
  <si>
    <t>Fujimoto M.</t>
  </si>
  <si>
    <t>A DBS antenna-receiver system for simultaneous multi-satellite reception</t>
  </si>
  <si>
    <t>10.1109/30.156713</t>
  </si>
  <si>
    <t>2-s2.0-0026908705</t>
  </si>
  <si>
    <t>['therefore suitable', 'sinusoidally intensity', 'microwave optoelectronics', 'gain takes', 'gain modulation', 'distortion arising', 'computer model', 'average value', 'array antennas']</t>
  </si>
  <si>
    <t>A computer model for the performance of a semiconductor laser amplifier under static and dynamic input conditions is presented. In particular, the model is used to study the behaviour of the amplifier with sinusoidally intensity-modulated input signals. The distortion arising from gain modulation at low modulation frequencies is investigated. It is shown that at microwave modulation frequencies the gain takes an average value and the response becomes linear. Semiconductor laser amplifiers are therefore suitable for applications in microwave optoelectronics, such as reference signal distribution in optically controlled phased-array antennas.</t>
  </si>
  <si>
    <t>254-262</t>
  </si>
  <si>
    <t>60022148;60022148</t>
  </si>
  <si>
    <t>6506813565;7004751445</t>
  </si>
  <si>
    <t>Zaglanikis, C. D.;Seeds, A. J.</t>
  </si>
  <si>
    <t>University College London</t>
  </si>
  <si>
    <t>Zaglanikis C.</t>
  </si>
  <si>
    <t>Computer model for semiconductor laser amplifiers with RF intensity-modulated inputs</t>
  </si>
  <si>
    <t>10.1049/ip-j.1992.0045</t>
  </si>
  <si>
    <t>2-s2.0-0026908726</t>
  </si>
  <si>
    <t>['width signals', 'time derivatives', 'significance contained', 'signals driving', 'shortest wavelength', 'pulses driving', 'practical applications', 'performance involving', 'particular attention', 'output signals', 'order beams', 'numerical calculations', 'new type', 'intimately coupled', 'frequency spectra', 'field distances', 'energy efficiency', 'e .,', 'driven arrays', 'driven array', 'diffraction lengths', 'constitute higher', 'characteristics include', 'certain measures', 'bounds extend', 'bounds define', 'beams generated', 'beam intensity', 'beam divergence', 'beam characteristics', 'arbitrary pulse', 'analytical bounds']</t>
  </si>
  <si>
    <t>The characteristics of the beams generated by ultra-wide bandwidth electromagnetic systems are central to their practical applications. These characteristics include the rate of beam divergence, the beam intensity, and the energy efficiency. Analytical bounds on the characteristics of beams generated by an arbitrary pulse-driven array are derived and supported with numerical calculations. These bounds extend the meaning of near-field distances or diffraction lengths to the situation where the array driving functions can be broad-band-width signals. Particular attention is given to transmitting and receiving array systems which consist of elements that are not large in comparison to the shortest wavelength of significance contained in the signals driving them. The output signals of such systems are time derivatives of the input driving functions. They constitute higher-order beams whose coherence properties are degraded more slowly by diffraction than lower-order beams. The bounds define the extent of these enhancements. It is further shown that for certain measures of performance involving these beam characteristics, a localized wave pulse-driven array can outperform similar continuous-wave-driven arrays. A new type of array is required to realize these localized wave effects‚Äîone that has independently addressable elements. The enhanced localization effects are intimately coupled to the proper spatial distribution of broad-bandwidth signals driving the array; i.e., by controlling not only the amplitudes, but also the frequency spectra of the pulses driving the array. ¬© 1992 IEEE</t>
  </si>
  <si>
    <t>888-905</t>
  </si>
  <si>
    <t>Ziolkowski, Richard W.</t>
  </si>
  <si>
    <t>Ziolkowski R.W.</t>
  </si>
  <si>
    <t>Properties of Electromagnetic Beams Generated by Ultra-Wide Bandwidth Pulse-Driven Arrays</t>
  </si>
  <si>
    <t>10.1109/8.163426</t>
  </si>
  <si>
    <t>2-s2.0-0026908732</t>
  </si>
  <si>
    <t>New York University</t>
  </si>
  <si>
    <t>['transmitted power', 'slot walls', 'slot voltage', 'penetrant fields', 'optimum choices', 'normal incidence', 'necessarily infinite', 'lossy gaskets', 'long compared', 'introduced ).', 'included locally', 'important case', 'however diffusion', 'gasket dimensions', 'electrical parameters', 'conducting plane', 'approximately represent', 'also obtained', 'air gaps']</t>
  </si>
  <si>
    <t>A simple transmission line model is given to approximately represent a narrow slot aperture having depth when the conductivity of the conducting plane (and slot walls) is large but not necessarily infinite and when somewhat lossy gaskets are placed in the slot. Slot and gasket dimensions in addition to the electrical parameters of the conducting plane and gasket are restricted so that gasket and wall loss effects only need to be included locally (near the slot cross section) and furthermore so that the slot voltage is nearly constant locally (however diffusion into the depth of the slot is considered when very lossy gaskets are introduced). Normal incidence is focused on since this is typically the most important case for slots that are not too long compared to the wavelength. The transmission line model is used to obtain simple approximate formulas for resonant quality factor, slot voltage, penetrant fields, and transmitted power. Low frequency quantities including magnetic dipole moments are also obtained. Gaskets with air gaps are considered and optimum choices for electrical parameters are discussed. ¬© 1992 IEEE</t>
  </si>
  <si>
    <t>Warne, Larry K.;Chen, Kenneth C.</t>
  </si>
  <si>
    <t>A Simple Transmission Line Model for Narrow Slot Apertures Having Depth and Losses</t>
  </si>
  <si>
    <t>10.1109/15.155827</t>
  </si>
  <si>
    <t>2-s2.0-0026908792</t>
  </si>
  <si>
    <t>['two methods', 'second method', 'planar arrays', 'pattern shape', 'null steering', 'noise ratio', 'little effect', 'direct application', 'array techniques', 'antenna signal']</t>
  </si>
  <si>
    <t>Two methods of null steering in planar arrays are de- scribed. One is a direct application of linear-array techniques, and the other exploits the nonsymmetry of planar arrays to achieve localized nulls. As a result, null steering by the second method has little effect on the pattern shape and hence the antenna signal-to-thermal-noise ratio. ¬© 1992 IEEE</t>
  </si>
  <si>
    <t>995-997</t>
  </si>
  <si>
    <t>Vu, T. B.</t>
  </si>
  <si>
    <t>Sydney</t>
  </si>
  <si>
    <t>UNSW Sydney</t>
  </si>
  <si>
    <t>Vu T.B.</t>
  </si>
  <si>
    <t>On Null Steering in Rectangular Planar Array</t>
  </si>
  <si>
    <t>10.1109/8.163441</t>
  </si>
  <si>
    <t>2-s2.0-0026908807</t>
  </si>
  <si>
    <t>Sandia National Laboratories</t>
  </si>
  <si>
    <t>42-6622</t>
  </si>
  <si>
    <t>SNL</t>
  </si>
  <si>
    <t>['world systems', 'wire inside', 'power picked', 'power conservation', 'paper considers', 'measurement data', 'general enough', 'equivalent circuits']</t>
  </si>
  <si>
    <t>This paper considers how to bound the power picked up by a wire inside a cavity with a slot in its wall. The consideration is based on equivalent circuits and power conservation, and is general enough for applications to real-world systems. The calculations compare favorably with measurement data. ¬© 1992 IEEE</t>
  </si>
  <si>
    <t>154-160</t>
  </si>
  <si>
    <t>60028156;60028156</t>
  </si>
  <si>
    <t>7501506951;7403449886</t>
  </si>
  <si>
    <t>Lee, Kelvin S.H.;Yang, Fang Chou</t>
  </si>
  <si>
    <t>Bloomfield</t>
  </si>
  <si>
    <t>Kaman Aerospace Corporation</t>
  </si>
  <si>
    <t>Lee K.</t>
  </si>
  <si>
    <t>Trends and Bounds in RF Coupling to a Wire Inside a Slotted Cavity</t>
  </si>
  <si>
    <t>10.1109/15.155825</t>
  </si>
  <si>
    <t>2-s2.0-0026908844</t>
  </si>
  <si>
    <t>['radiated fields', 'proper use', 'obtained starting', 'new method', 'mathematical properties', 'introduced functional', 'implementation turns', 'fft algorithm', 'far field', 'effective thanks', 'cylindrical scanning', 'complex near', 'appropriate functional']</t>
  </si>
  <si>
    <t>A new method for recovering the complex near and far field from amplitude distributions collected over two near zone surfaces is proposed. By exploiting the mathematical properties of the radiated fields and choosing an appropriate functional of the data, the solution is found through the minimization of the introduced functional. All details of the resulting iterative procedure are worked out for the cylindrical scanning in the three dimensional vector case where the implementation turns out to be effective thanks to a proper use of the FFT algorithm. It is shown that this new approach allows the solution to be obtained starting from a completely arbitrary point, so avoiding the local minima problem.</t>
  </si>
  <si>
    <t>363-368</t>
  </si>
  <si>
    <t>60017293;60017293;60017293</t>
  </si>
  <si>
    <t>7003402426;56963446400;7005281565</t>
  </si>
  <si>
    <t>Isernia, T.;Leone, G.;Pierri, R.</t>
  </si>
  <si>
    <t>Isernia T.</t>
  </si>
  <si>
    <t>New approach to antenna testing from near field phaseless data: The cylindrical scanning</t>
  </si>
  <si>
    <t>10.1049/ip-h-2.1992.0065</t>
  </si>
  <si>
    <t>2-s2.0-0026909031</t>
  </si>
  <si>
    <t>['‚ äì40', 'transverse distance', 'tapered excitations', 'one specular', 'obtained along', 'line parallel', 'large square', 'hpm antennas', 'fluence envelopes', 'fields close', 'field fluences', 'db level', 'circular antennas']</t>
  </si>
  <si>
    <t>The calculation of near-field fluences of HPM antennas is reviewed. Near-fields close to large square or circular antennas are calculated rapidly using Geometric Theory of Diffraction; one specular and two edge diffracted rays are used. In the principal planes accuracy is roughly 2 dB at the ‚Äì40-dB level, for both uniform and tapered excitations. A universal power density curve is obtained along a line parallel to the aperture, when the distance to the line is normalized by 2D&lt;sup&gt;2&lt;/sup&gt;/Œª, and the transverse distance is normalized by D. Diagonal plane fields are calculated using equivalent edge currents via a single numerical integration. Fluence envelopes are obtained in the sidelobe region simply by summing the magnitudes of the two edge rays. ¬© 1992 IEEE</t>
  </si>
  <si>
    <t>206-213</t>
  </si>
  <si>
    <t>;60033252</t>
  </si>
  <si>
    <t>24512080300;6603390006</t>
  </si>
  <si>
    <t>Hansen, R. C.;Libelo, Louis F.</t>
  </si>
  <si>
    <t>Adelphi</t>
  </si>
  <si>
    <t>U.S. Army Research Laboratory</t>
  </si>
  <si>
    <t>Rapid Calculation of Near-Field Fluence of HPM Antennas</t>
  </si>
  <si>
    <t>10.1109/15.155831</t>
  </si>
  <si>
    <t>2-s2.0-0026909124</t>
  </si>
  <si>
    <t>['test sources', 'suppresses ciutter', 'standard phased', 'range distance', 'paper discusses', 'numerical simulations', 'jammer signals', 'held testing', 'ground plane', 'focused near', 'dipole antennas', 'conventional far', 'array near', 'adaptive radar', 'adaptive antenna']</t>
  </si>
  <si>
    <t>Airborne or spacebome radar systems often require adaptive suppression of interference and clutter. Before the deployment of this adaptive radar, tests must verify how well the system detects targets and suppresses cIutter and jammer signals. The radar antenna diameter can be large and thus the conventional far-held test distance is impractical to implement. This paper discusses the theory and simulations of phase-focused near-held testing for adaptive phased array antennas. With near-held source deployment, standard phased-array near-held phase focusing provides far-held adaptive nulling equivalent performance at a range distance of one aperture diameter from the adaptive antenna under test Both main beam clutter sources and sidelobe jammer sources are addressed. The test sources are assumed to be bandlimited noise sources radiating from dipole antennas. The phased array antenna elements analyzed are one-half wavelength dipoles over ground plane. Bandwidth, polarization, array mutual coupling, and finite array edge effects are taken into account. Numerical simulations of an adaptive antenna that has multiple displaced phase centers indicate that near-held and far-held testing can be equivalent. ¬© 1992 IEEE</t>
  </si>
  <si>
    <t>878-887</t>
  </si>
  <si>
    <t>Analysis of Phase-Focused Near-Field Testing for Multiphase-Center Adaptive Radar Systems</t>
  </si>
  <si>
    <t>10.1109/8.163425</t>
  </si>
  <si>
    <t>2-s2.0-0026909209</t>
  </si>
  <si>
    <t>['well suited', 'two reflectors', 'shaped surfaces', 'reflector antennas', 'power microwave', 'physical theory', 'physical optics', 'offset dual', 'mathematical programming', 'hpm applications', 'general configurations', 'directive high', 'diffraction techniques', 'diffraction synthesis', 'design examples', 'array feeds', 'array feed', 'analyze reflectors', 'analysis results', 'accurately predict']</t>
  </si>
  <si>
    <t>The suitability of various radiating systems for generating a directive high-power microwave (HPM) beam is considered. It is concluded that offset reflector antenna systems are well suited for this purpose. An HPM reflector antenna may consist of one or two reflectors that are illuminated by single or array feeds. To accurately predict the performance of an HPM reflector antenna, a versatile analysis scheme is used to compute the fields of an array feed with general configurations, and the diffraction techniques of Physical Optics (PO) and Physical Theory of Diffraction (PTD) are applied to analyze reflectors of conic or shaped surfaces. Design examples of offset dual-reflector antennas for HPM applications are presented. Analysis results are shown with emphasis on both the near-field and far-field radiation characteristics. Applications of optimization (mathematical programming) techniques to the diffraction synthesis of HPM reflector antenna systems are discussed, and examples are given to demonstrate its effectiveness. ¬© 1992 IEEE</t>
  </si>
  <si>
    <t>197-205</t>
  </si>
  <si>
    <t>60027550;60027550;60104110;60033252</t>
  </si>
  <si>
    <t>7102110120;7007026217;57202638730;6603390006</t>
  </si>
  <si>
    <t>Rahmat-Samii, Yahya;Duan, Dah Weih;Giri, D. V.;Libelo, Louis F.</t>
  </si>
  <si>
    <t>Alamo;Adelphi;Los Angeles</t>
  </si>
  <si>
    <t>Pro-Tech;U.S. Army Research Laboratory;University of California, Los Angeles</t>
  </si>
  <si>
    <t>60104110;60033252;60027550</t>
  </si>
  <si>
    <t>Rahmat-Samii Y.</t>
  </si>
  <si>
    <t>Canonical Examples of Reflector Antennas for High-Power Microwave Applications</t>
  </si>
  <si>
    <t>10.1109/15.155830</t>
  </si>
  <si>
    <t>2-s2.0-0026909312</t>
  </si>
  <si>
    <t>['tm12 mode', 'stationary formula', 'resonant resistance', 'resonant frequency', 'numerical analysis', 'integral equations', 'input impedance', 'impedance bandwidth', 'dielectric cover', 'coaxial feed']</t>
  </si>
  <si>
    <t>A theoretical and numerical analysis is performed on the annular-ring microstrip antenna with a dielectric cover. The problem is formulated in the Hankel transform domain, taking a coaxial feed into consideration. First the integral equations for the surface current density on the patch are derived. Galerkin‚Äôs method is then used to solve for the surface current density and a stationary formula for the input impedance is obtained. Numerical results showing the effects of a dielectric cover on the TM12 mode of the annular-ring are given. It is found that the dielectric cover reduces the resonant frequency, decreases the resonant resistance and increases the impedance bandwidth. ¬© 1992 IEEE</t>
  </si>
  <si>
    <t>992-995</t>
  </si>
  <si>
    <t>60029306-60021624</t>
  </si>
  <si>
    <t>Fan, Zhibo</t>
  </si>
  <si>
    <t>Input Impedance of Annular-Ring Microstrip Antennas with a Dielectric Cover</t>
  </si>
  <si>
    <t>10.1109/8.163440</t>
  </si>
  <si>
    <t>2-s2.0-0026909344</t>
  </si>
  <si>
    <t>['van veen', 'scmv method', 'scmv beamforming', 'provides insight', 'computational load']</t>
  </si>
  <si>
    <t>An efficient new beamforming structure similar to a generalized sidelobe canceller is derived from the soft constrained minimum variance (SCMV) method of Van Veen. The new structure greatly reduces the computational load of the SCMV method and provides insight into the nature of SCMV beamforming. ¬© 1992 IEEE</t>
  </si>
  <si>
    <t>2112-2116</t>
  </si>
  <si>
    <t>60009415;60009415</t>
  </si>
  <si>
    <t>55244336300;7004228438</t>
  </si>
  <si>
    <t>Ye, Hao;DeGroat, Ronald D.</t>
  </si>
  <si>
    <t>Richardson</t>
  </si>
  <si>
    <t>The University of Texas at Dallas</t>
  </si>
  <si>
    <t>Ye H.</t>
  </si>
  <si>
    <t>A Generalized Sidelobe Canceller with Soft Constraints</t>
  </si>
  <si>
    <t>10.1109/78.149973</t>
  </si>
  <si>
    <t>2-s2.0-0026909430</t>
  </si>
  <si>
    <t>['unit covers', 'present concepts', 'power splitter', 'pll controlled', 'new modulator', 'negative modulation', 'high end', 'even positive', 'economical potential', 'antenna switch']</t>
  </si>
  <si>
    <t>A compact multistandard VCR RF-concept-power splitter, antenna switch, modulator, tuner- is presented. In this approach the tuner and the new modulator-concept are PLL controlled and the modulator frequency moved up to the high end of the UHF-band. Measurement results showing the economical potential of this unit are compared with present concepts. The unit covers all existing frequency bands world wide and even positive/negative modulation for SECAM, PAL, NTSC. ¬© 1992 IEEE</t>
  </si>
  <si>
    <t>389-393</t>
  </si>
  <si>
    <t>115568232;115568232;115568232;115568232;115568232</t>
  </si>
  <si>
    <t>7201409132;7402306617;6602130413;7102126860;6505662645</t>
  </si>
  <si>
    <t>Maier, G. M.;Fischer, B.;Selz, A.;Lance, J.;Tey, T. F.</t>
  </si>
  <si>
    <t>Thomson Consumer Electronics R&amp;D Las</t>
  </si>
  <si>
    <t>Maier G.</t>
  </si>
  <si>
    <t>New high density multistandard RF-concept for VCR</t>
  </si>
  <si>
    <t>10.1109/30.156712</t>
  </si>
  <si>
    <t>2-s2.0-0026909479</t>
  </si>
  <si>
    <t>['rigorous technique', 'reduced dramatically', 'current using', 'current induced']</t>
  </si>
  <si>
    <t>A rigorous technique is presented for calculating the current induced on a thin lossy disk by rotationally symmetric sources, and the resulting scattered field. A Hallen-type integral equation is developed for the current using the magnetic vector potential, and solved by the method of moments. It is shown that the diffraction lobes usually associated with radiation above a finite circular ground plane can be reduced dramatically by the addition of loss. Application to a quarter-wave monopole radiating above a finite circular perfectly conducting ground plane shows good agreement with experiment. ¬© 1992 IEEE</t>
  </si>
  <si>
    <t>920-925</t>
  </si>
  <si>
    <t>60031707-60005059</t>
  </si>
  <si>
    <t>Rothwell, Edward J.</t>
  </si>
  <si>
    <t>East Lansing;Southfield</t>
  </si>
  <si>
    <t>Michigan State University;Lawrence Technological University</t>
  </si>
  <si>
    <t>60031707;60005059</t>
  </si>
  <si>
    <t>Rothwell E.J.</t>
  </si>
  <si>
    <t>A Hallen-Type Integral Equation for Symmetric Scattering from Lossy Circular Disks</t>
  </si>
  <si>
    <t>10.1109/8.163429</t>
  </si>
  <si>
    <t>2-s2.0-0026909637</t>
  </si>
  <si>
    <t>['sinusoidal waves', 'practical use', 'nonsinusoidal waves', 'important tasks', 'energy stored', 'electromagnetic waves', 'driving current', 'distortions caused']</t>
  </si>
  <si>
    <t>One of the most important tasks for the practical use of nonsinusoidal waves in radar is the design of radiators. Just like resonating radiators for sinusoidal waves, they must efficiently transform a driving current and voltage into electromagnetic waves. However, in addition, the distortions caused by the buildup and decay of the energy stored in the near zone must be avoided, a task not required of the radiators of steady-state sinusoidal waves.</t>
  </si>
  <si>
    <t>358-362</t>
  </si>
  <si>
    <t>60020444;60020444</t>
  </si>
  <si>
    <t>7005064847;7103398199</t>
  </si>
  <si>
    <t>Harmuth, H. F.;Mohamed, N. J.</t>
  </si>
  <si>
    <t>Catholic University of America</t>
  </si>
  <si>
    <t>Harmuth H.</t>
  </si>
  <si>
    <t>Large-current radiators</t>
  </si>
  <si>
    <t>10.1049/ip-h-2.1992.0064</t>
  </si>
  <si>
    <t>2-s2.0-0026909649</t>
  </si>
  <si>
    <t>['various factors', 'transfer functions', 'system interior', 'system exterior', 'spaced away', 'source amplitude', 'resonant waveforms', 'pulse width', 'overall response', 'maximum coupling', 'electromagnetic response', 'electromagnetic illuminator']</t>
  </si>
  <si>
    <t>There are various factors which affect the electromagnetic response of a system which is spaced away from the electromagnetic illuminator. Resonant waveforms (approximate damped sinusoids) are used for maximum coupling. The various factors are then the source amplitude and pulse width, and the transfer functions for the antenna, propagation, response of the system exterior, and response of the system interior. These are combined to optimize the overall response. ¬© 1992 IEEE</t>
  </si>
  <si>
    <t>148-153</t>
  </si>
  <si>
    <t>Baum, Carl E.</t>
  </si>
  <si>
    <t>Kirtland</t>
  </si>
  <si>
    <t>Kirtland Air Force Base</t>
  </si>
  <si>
    <t>Baum C.</t>
  </si>
  <si>
    <t>Maximization of Electromagnetic Response at a Distance</t>
  </si>
  <si>
    <t>10.1109/15.155824</t>
  </si>
  <si>
    <t>2-s2.0-0026910253</t>
  </si>
  <si>
    <t>['sum pattern', 'structure consists', 'pattern measurements', 'one plane', 'microwave models', 'horn cavity', 'exhibit symmetry', 'dipoles suspended', 'different plane', 'difference pattern', 'difference antenna', 'antiparallel pair']</t>
  </si>
  <si>
    <t>A monolithic azimuthal monopulse antenna for 94 GHz applications has been developed. The structure consists of a single dipole suspended in one plane of an integrated horn cavity to obtain the sum pattern, and an antiparallel pair of dipoles suspended in a different plane of the same horn cavity to achieve the difference pattern. Pattern measurements of microwave models and on the millimeter-wave antennas show good agreement with theory and exhibit symmetry with a sharp -30 dB null at broadside for the difference antenna. Microwave model measurements show input impedances close to 50 Œ©, with greater than -25 dB isolation between sum and difference antennas across a 10% bandwidth. ¬© 1992 IEEE</t>
  </si>
  <si>
    <t>981-984</t>
  </si>
  <si>
    <t>36985970700;7006384021</t>
  </si>
  <si>
    <t>Ling, Curtis C.;Rebeiz, Gabriel M.</t>
  </si>
  <si>
    <t>Ling C.C.</t>
  </si>
  <si>
    <t>94 GHz Integrated Horn Monopulse Antennas</t>
  </si>
  <si>
    <t>10.1109/8.163437</t>
  </si>
  <si>
    <t>2-s2.0-0026910270</t>
  </si>
  <si>
    <t>['simplified applying', 'sampling theorem', 'fourier transform', 'far field', 'convolution integral']</t>
  </si>
  <si>
    <t>An efficient physical optics based method of analysis of antennas over finite ground planes is presented. The far field radiated by the current on the finite ground plane is expressed as the convolution integral of the far field of the antenna above the infinite ground plane with the Fourier transform of the polygonal ground plane shape. The convolution integral is simplified applying the sampling theorem. ¬© 1992 IEEE</t>
  </si>
  <si>
    <t>906-911</t>
  </si>
  <si>
    <t>Roederer, Antoine G.</t>
  </si>
  <si>
    <t>Noordwijk aan Zee</t>
  </si>
  <si>
    <t>ESTEC - European Space Research and Technology Centre</t>
  </si>
  <si>
    <t>Roederer A.G.</t>
  </si>
  <si>
    <t>A Physical Optics Based Plane Wave Spectrum Approach to the Analysis of Finite Planar Antennas</t>
  </si>
  <si>
    <t>10.1109/8.163427</t>
  </si>
  <si>
    <t>2-s2.0-0026910271</t>
  </si>
  <si>
    <t>['theoretical results', 'phase detector', 'paper presents', 'optical transmission', 'new methods', 'microwave signals', 'measured results', 'investigated utilising', 'indirect method', 'good agreement', 'discrete elements']</t>
  </si>
  <si>
    <t>The paper presents some new methods of optical-microwave phase detection offering new ways to improve the performance of the optical transmission of microwave signals. Optical-microwave phase detection can be accomplished by a direct or an indirect method. Both methods are discussed in detail. The operation of the phase detector has been investigated utilising an experimental circuit composed of discrete elements. The measured results are in a good agreement with the theoretical results.</t>
  </si>
  <si>
    <t>296-300</t>
  </si>
  <si>
    <t>Berceli, T.</t>
  </si>
  <si>
    <t>Hungary</t>
  </si>
  <si>
    <t>Budapest</t>
  </si>
  <si>
    <t>Budapest University of Technology and Economics</t>
  </si>
  <si>
    <t>Berceli T.</t>
  </si>
  <si>
    <t>Optical-microwave phase detection</t>
  </si>
  <si>
    <t>10.1049/ip-j.1992.0050</t>
  </si>
  <si>
    <t>2-s2.0-0026910305</t>
  </si>
  <si>
    <t>['symmetric discontinuity', 'sidelobe levels', 'satellite communications', 'potentially simple', 'oversized cone', 'new type', 'multimode operation', 'multimode horn', 'multiflare horn', 'increased directivity', 'improved performance', 'experimental measurements', 'dielectric loading', 'desirable features', 'corrugated horn', 'better directivity', 'axis gain', 'attractive alternative', 'antenna consists']</t>
  </si>
  <si>
    <t>A new horn antenna exhibiting low cross polarization and sidelobe levels over a wide frequency band is investigated both analytically and experimentally. The antenna consists of a dielectric loaded multiflare conical metal horn that can support the balanced hybrid modes. The higher order modes excited with appropriate relative amplitude and phase by the dominant HE11 mode incident on a symmetric discontinuity in an oversized cone of a multiflare horn are utilized to effect sidelobe reduction with low cross polarization. The technique of dielectric loading is combined with multimode operation to contribute to increased directivity and on axis gain. Analytical results show good overall agreement with experimental measurements in the 10-16 GHz frequency band. This new type of multimode horn is potentially simple to design, analyze and manufacture yet exhibits many of the desirable features of the corrugated horn. Hence, the proposed multimode dielectric loaded multiflare conical horn, with its improved performance of better directivity and on axis gain at low cross polarization and sidelobe levels, represents an attractive alternative to the corrugated horn antenna for satellite communications.</t>
  </si>
  <si>
    <t>385-391</t>
  </si>
  <si>
    <t>Nair, R. A.</t>
  </si>
  <si>
    <t>Mankato</t>
  </si>
  <si>
    <t>Minnesota State University Mankato</t>
  </si>
  <si>
    <t>Nair R.</t>
  </si>
  <si>
    <t>Plural hybrid mode multiflare conical horn with reduced cross polarization and sidelobe levels</t>
  </si>
  <si>
    <t>10.1049/ip-h-2.1992.0068</t>
  </si>
  <si>
    <t>2-s2.0-0026910354</t>
  </si>
  <si>
    <t>['¬© 1992', 'uniquely determined', 'sidelobes level', 'resolution ability', 'passive localization', 'mainlobe curvature', 'different scenarios', 'array geometry', 'array beampattern', 'ambiguous estimates', 'algorithms depends']</t>
  </si>
  <si>
    <t>beampattern | lower bounds | Source localization</t>
  </si>
  <si>
    <t>Passive localization of sources in space is done using data collected by an array of sensors. The performance of all source location estimation (SLE) algorithms depends on the source-array geometry. In this paper we study this dependence and we show that array localization ability is uniquely determined by a single scalar function - the array beampattern. By analyzing absolute lower bounds on the mean-square-error (mse) of the source location estimates in different scenarios we exploit the relation between features of the array beampattern and the best achievable array localization performance. The beampattern is characterized by its sidelobes level and smoothness, its beamwidth and its mainlobe curvature. We study the effect of these features on source localization properties such as sensitivity to the presence of other sources, resolution ability, sensitivity to ambiguous estimates, etc. ¬© 1992.</t>
  </si>
  <si>
    <t>163-181</t>
  </si>
  <si>
    <t>Messer, Hagit</t>
  </si>
  <si>
    <t>Messer H.</t>
  </si>
  <si>
    <t>Source localization performance and the array beampattern</t>
  </si>
  <si>
    <t>0165-1684(92)90033-S</t>
  </si>
  <si>
    <t>10.1016/0165-1684(92)90033-S</t>
  </si>
  <si>
    <t>2-s2.0-0026910458</t>
  </si>
  <si>
    <t>['¬© 1992', 'urban environment', 'transmission environment', 'traffic capacity', 'telephone quality', 'system design', 'statistical characterization', 'statistical behavior', 'service area', 'rights reserved', 'previous results', 'previous efforts', 'performance evaluation', 'neighboring scatterers', 'mobile user', 'mobile radio', 'mainly based', 'leading peak', 'large structures', 'high tele', 'heavy multipath', 'distinct peaks', 'direction geared', 'direct path', 'deterministic characteristics', 'delay profile', 'current effort', 'consist mostly', 'channel characteristics', 'cellular telecommunication', 'cellular land', 'better characterization', 'also support']</t>
  </si>
  <si>
    <t>The cellular land-mobile radio is driven by requirements for high tele-traffic capacity for many concurrent users in the same service area, and high transmission quality, reaching to wired-telephone quality. The transmission environment of this service is demanding: excess propagation loss, and heavy multipath, due to obstructions which are abundant in the urban environment, vary and fluctuate in time as the mobile user is in motion. Cellular telecommunication-systems‚Äô architecture and signals are designed to counter the impairments to the transmission by the channel. Characterization of the channel, in terms that are useful for system design and performance evaluation, is the subject of this paper. Most previous efforts in this direction geared themselves to statistical characterization, mainly based on measurements, or on otherwise-generic statistical assumptions. An attempt is made in the current effort to link physical features of the environment to some deterministic characteristics of the channel, and to a better characterization of the statistical behavior. The predictions are then validated by an extensive measurement campaign, with an impulse channel sounder, covering many major urban areas in the US. Previous results and analysis are then revisited, to also support the findings. The delay profile is found to consist mostly of distinct peaks, shifting in delay as the mobile unit travels, and resulting from reflections from large structures. These are relatively stable compared to the leading peak, which consists of the direct path and signals from a cluster of neighboring scatterers. Signal bandwidth effects, and the effectiveness of different diversity means, are then discussed in terms of the channel characteristics. ¬© 1992, IEEE. All rights reserved.</t>
  </si>
  <si>
    <t>Shapira, Joseph</t>
  </si>
  <si>
    <t>Qualcomm Incorporated</t>
  </si>
  <si>
    <t>Shapira J.</t>
  </si>
  <si>
    <t>Channel Characteristics For Land Cellular Radio, and Their Systems Implications</t>
  </si>
  <si>
    <t>10.1109/74.153557</t>
  </si>
  <si>
    <t>2-s2.0-0026910554</t>
  </si>
  <si>
    <t>['two formulations', 'performance analysis', 'eigenexcitation method', 'computational accuracy', 'array plane', 'array decays', 'array analysis', 'analytically linked']</t>
  </si>
  <si>
    <t>Rotationally symmetric arrays of circular waveguide fed apertures on conducting spherical surfaces have been analyzed. Representation of the outside electromagnetic fields in terms of spherical transmission line modes permit the array analysis to be viewed as a spherical waveguide junction discontinuity problem. The apertures, in general, carry dual polarized circular waveguide TE11 modes. Two independent formulations‚Äîthe unit cell method and the eigenexcitation method that take rotational symmetry into account‚Äîare developed and are checked against each other numerically for computational accuracy. These two formulations are analytically linked as discrete Fourier series pairs. It is seen that mutual coupling along the array decays more rapidly when the polarization of excitation is perpendicular to the array plane than when it is parallel to it. This analysis has been applied in the performance analysis of the Dome Lens phased array radar antenna. ¬© 1992 IEEE</t>
  </si>
  <si>
    <t>857-866</t>
  </si>
  <si>
    <t>Bondyopadhyay, Probir K.</t>
  </si>
  <si>
    <t>NASA Johnson Space Center</t>
  </si>
  <si>
    <t>Bondyopadhyay P.K.</t>
  </si>
  <si>
    <t>Analysis of Rotationally Symmetric Arrays of Apertures on Conducting Spherical Surfaces</t>
  </si>
  <si>
    <t>10.1109/8.163423</t>
  </si>
  <si>
    <t>2-s2.0-0026910572</t>
  </si>
  <si>
    <t>['toeplitz structure', 'theoretical work', 'preprocessing scheme', 'new procedure', 'method based', 'finite distance', 'field approximation', 'estimation using', 'eigenstructure methods', 'array system', 'applied based', 'aoa search']</t>
  </si>
  <si>
    <t>In the circumstances that some sources are of finite distance to an array system, most high-resolution bearing estimation techniques exhibit unsatisfactory performance due to the invalidity of the planar wavefront assumption. This problem has been tackled by a far-field approximation (FFA) method based on a preprocessing scheme. By exploiting favorable characteristics of a uniform linear array, the FFA method constructs a FFA covariance matrix, which is Toeplitz and approximates to the far-field data covariance matrix, from the observed data covariance matrix. Then eigenstructure methods can be applied based on the FFA covariance matrix to perform bearing estimation without revising the planar wavefront assumption. In this paper, we extend this method for the problem of two-dimensional (2-D) angle-of-arrival (AOA) estimation using a uniform planar array in the presence of finite distance sources. A new procedure is derived for reconstructing the 2-D FFA covariance matrix with block-Toeplitz structure. Based on the 2-D FFA covariance matrix, we can apply eigenstructure methods in conjunction with a 2-D AOA search to solve the problem. Simulation results confirm the theoretical work. ¬© 1992 IEEE</t>
  </si>
  <si>
    <t>1011-1022</t>
  </si>
  <si>
    <t>60005429;60005429</t>
  </si>
  <si>
    <t>57148746300;7401672122</t>
  </si>
  <si>
    <t>Chen, Yih Min;Yeh, Chien Chung</t>
  </si>
  <si>
    <t>Taipei</t>
  </si>
  <si>
    <t>National Taiwan University</t>
  </si>
  <si>
    <t>Chen Y.M.</t>
  </si>
  <si>
    <t>Two-Dimensional Angle-of-Arrival Estimation in the Presence of Finite Distance Sources</t>
  </si>
  <si>
    <t>10.1109/8.166525</t>
  </si>
  <si>
    <t>2-s2.0-0026912214</t>
  </si>
  <si>
    <t>['simultaneously computing', 'satisfactory performance', 'recursively maximizing', 'multivariate log', 'multistage one', 'multiple sources', 'much superior', 'ml algorithm', 'likelihood function', 'incoherent sources', 'estimator gives', 'estimation procedure', 'element snr', 'dynamic programing', 'dimensional log']</t>
  </si>
  <si>
    <t>In this paper, a dynamic Programing (DP) algorithm is presented for simultaneously computing the maximum-likelihood (ML) estimator of the number of multiple sources and their directions of arrival (DOA‚Äôs) in sensor array processing. Based on the projection-matrix decomposition technique, the multivariate log-likelihood maximization problem is transformed into a multistage one-dimensional maximization problem. The estimation procedure is performed by recursively maximizing the multistage one-dimensional log-likelihood function. The estimate is obtained with relatively light computational load. In addition, the estimator gives a satisfactory performance both in the case of coherent and incoherent sources. The simulation results also show that, when the element SNR is low and / or the number of snapshots is small, the DP-ML algorithm is much superior to MUSIC. ¬© 1992 IEEE</t>
  </si>
  <si>
    <t>1023-1030</t>
  </si>
  <si>
    <t>60027709-60026415</t>
  </si>
  <si>
    <t>Huang, Yung Dar</t>
  </si>
  <si>
    <t>Taiwan;United States</t>
  </si>
  <si>
    <t>Taipei;Stony Brook</t>
  </si>
  <si>
    <t>National Taiwan University of Science and Technology;Stony Brook University</t>
  </si>
  <si>
    <t>60027709;60026415</t>
  </si>
  <si>
    <t>Huang Y.D.</t>
  </si>
  <si>
    <t>A Dynamic Programming Algorithm for the Maximum Likelihood Localization of Multiple Sources</t>
  </si>
  <si>
    <t>10.1109/8.166526</t>
  </si>
  <si>
    <t>2-s2.0-0026912395</t>
  </si>
  <si>
    <t>['two formulations', 'thickness required', 'technique stems', 'reflector surface', 'ray tracing', 'plane waves', 'phase across', 'obtained using', 'moment method', 'determined based', 'backed slabs', 'aperture fields']</t>
  </si>
  <si>
    <t>A procedure is presented for the synthesis of coated axially symmetric reflector antennas to provide specified far-field radiation patterns. The technique stems from ray tracing from the feed to the aperture plane via reflection from the reflector surface. The coating profile required to attenuate the aperture fields is determined based on the reflection of plane waves from metal-backed slabs. The procedure involves two steps. Initially the thickness required to produce the proper magnitude aperture distribution is obtained. Then the reflector is shaped to adjust the phase across the aperture. This procedure is demonstrated in the design of a ‚Äî40 dB Taylor pattern. Comparison of the results with those obtained using a moment method (MM) formulation revealed good agreement between the two formulations. ¬© 1992 IEEE</t>
  </si>
  <si>
    <t>1096-1099</t>
  </si>
  <si>
    <t>60025209-60029311</t>
  </si>
  <si>
    <t>Barclay, Michael R.</t>
  </si>
  <si>
    <t>University of Southern California;Northrop Grumman corporation</t>
  </si>
  <si>
    <t>60029311;60025209</t>
  </si>
  <si>
    <t>Barclay M.R.</t>
  </si>
  <si>
    <t>A Synthesis Procedure for Coated Reflector Antennas</t>
  </si>
  <si>
    <t>10.1109/8.166536</t>
  </si>
  <si>
    <t>2-s2.0-0026913329</t>
  </si>
  <si>
    <t>['unknown patch', 'scattering coefficients', 'reciprocity theorem', 'order n2', 'network voltage', 'mutual impedances', 'mutual coupling', 'measured data', 'impedance matrix', 'finite array', 'excitation mechanism', 'evaluated directly', 'equivalence principle', 'element slot', 'element arrays', 'dielectric slab', 'current matrices', 'coupled patches', 'analytical method']</t>
  </si>
  <si>
    <t>An analytical method is presented for the evaluation of mutual coupling between slot-coupled microstrip patches in a finite array. The approach is a combination of the equivalence principle and the reciprocity theorem and uses the spectral domain Green‚Äôs functions for a dielectric slab in a moment method solution for the unknown patch and slot current distribution. The excitation mechanism of the patches is taken into account by introducing an N-port equivalent network, and the impedance matrix of an array of N-element slot-coupled patches is evaluated directly from its network voltage and current matrices of order N2. As examples, the mutual impedances and scattering coefficients for two-, four-, and eight-element arrays are evaluated. Results are compared with measured data. ¬© 1992 IEEE</t>
  </si>
  <si>
    <t>1047-1053</t>
  </si>
  <si>
    <t>60014264;60014264</t>
  </si>
  <si>
    <t>7402713229;35589308200</t>
  </si>
  <si>
    <t>Pan, Sheng Gen;Wolff, Ingo</t>
  </si>
  <si>
    <t>Duisburg</t>
  </si>
  <si>
    <t>Universit√§t Duisburg-Essen</t>
  </si>
  <si>
    <t>Pan S.G.</t>
  </si>
  <si>
    <t>Computation of Mutual Coupling Between Slot-Coupled Microstrip Patches in a Finite Array</t>
  </si>
  <si>
    <t>10.1109/8.166522</t>
  </si>
  <si>
    <t>2-s2.0-0026913331</t>
  </si>
  <si>
    <t>['well suited', 'integer multiplication', 'increasing numbers', 'fast algorithm', 'existing methods', 'considerably faster', 'computing coarrays', 'candidate arrays']</t>
  </si>
  <si>
    <t>A fast algorithm for computing the coarray of sparse linear arrays is presented. Deriving linear minimum redundancy arrays or linear minimum hole arrays involves huge searches over candidate arrays to determine which arrays have the desired coarray characteristics. Since the number of candidate arrays grows very large with increasing numbers of sensors, it is important to be able to check each array‚Äôs coarray quickly so that the search does not take too long. The method presented herein for computing coarrays is considerably faster than existing methods. This algorithm is well suited to implementation on a digital computer‚Äîit exploits the fact that integer multiplication is equivalent to convolution of the integer‚Äôs representations. ¬© 1992 IEEE</t>
  </si>
  <si>
    <t>1109-1112</t>
  </si>
  <si>
    <t>Linebarger, Darel A.</t>
  </si>
  <si>
    <t>Linebarger D.A.</t>
  </si>
  <si>
    <t>A Fast Method for Computing the Coarray of Sparse Linear Arrays</t>
  </si>
  <si>
    <t>10.1109/8.166540</t>
  </si>
  <si>
    <t>2-s2.0-0026913369</t>
  </si>
  <si>
    <t>['unknown objects', 'third cross', 'theoretically determined', 'technique describes', 'second target', 'scattering reference', 'polarization measurement', 'paper presents', 'monostatic case', 'misalignment errors', 'many years', 'independent illuminators', 'errors induced', 'error terms', 'cross polarization', 'coherent reception', 'calibration process', 'bistatic scattering', 'antenna rotation', 'also known']</t>
  </si>
  <si>
    <t>The advantages of bistatic scattering are known for many years, as there are increased target information, possibility of multiple offset receivers, and independent illuminators. The problems are also known, as there are the calibration and coherent reception. This paper presents a new calibration technique for laboratory type polarimetric, bistatic instrumentation radars. This technique describes the errors induced by the standard radiation transfer approach (I-RST) similar to the monostatic case. A 12-term error correction and absolute polarimetric calibration is performed with two external reference targets. Only the polarimetric bistatic reference of the first target must be theoretically determined. The scattering reference of the second target is determined by a measurement during the calibration process (single reference calibration). The simulation of a third cross-polarization measurement is performed by an antenna rotation and a remeasurement of the second target. Thus all data are gained for the determination of the error terms and measurements of unknown objects can be full polarimetrically calibrated. The procedures are shown for an adapted dihedral corner reflector. Misalignment errors are discussed. Experimental results verify the theory for co- and cross polarization. ¬© 1992 IEEE</t>
  </si>
  <si>
    <t>847-852</t>
  </si>
  <si>
    <t>60029428;60029428;60029428</t>
  </si>
  <si>
    <t>6603217627;7101633851;7006593766</t>
  </si>
  <si>
    <t>K√§hny, Daniel;Schmitt, Klaus;Wiesbeck, Werner</t>
  </si>
  <si>
    <t>Karlsruhe</t>
  </si>
  <si>
    <t>Karlsruhe Institute of Technology, Campus South</t>
  </si>
  <si>
    <t>K√§hny D.</t>
  </si>
  <si>
    <t>Calibration of bistatic polarimetric radar systems</t>
  </si>
  <si>
    <t>10.1109/36.175318</t>
  </si>
  <si>
    <t>2-s2.0-0026913849</t>
  </si>
  <si>
    <t>['paper presents', 'optical attenuator', 'minimal degradation', 'hardware demonstration', 'fogon ).', 'data acquisition', 'based applications', 'based application', 'analog transmission']</t>
  </si>
  <si>
    <t>The NAVSTAR Global Positioning System (GPS) [1] has the capability to compute accurate receiver positions for a variety of space and Earth-based applications. An Earth-based application such as hazardous waste storage site deformation monitoring requires highly accurate, reliable, and routinely available positioning. These positioning needs motivated the development of a Fiber Optics GPS Observational Network (FOGON). The FOGON network would operate by placing GPS antennas at known geodetic locations and transmitting the received analog satellite signals along a phase stable fiber optic link to a central processing site. This central site would synchronize the data acquisition of the network and enable single difference operation, which is the strongest possible GPS observable data type. This paper presents the results of a hardware demonstration of the analog transmission of GPS spread spectrum signals over a 4.17-km fiber optic link and through an optical attenuator, with minimal degradation to GPS receiver operation. ¬© 1992 IEEE</t>
  </si>
  <si>
    <t>1073-1076</t>
  </si>
  <si>
    <t>60000221;60000221;60000221</t>
  </si>
  <si>
    <t>6603557398;7101877955;7004015614</t>
  </si>
  <si>
    <t>MacDoran, P. F.;Schreiner, W. S.;Feuerstein, R. J.</t>
  </si>
  <si>
    <t>Boulder</t>
  </si>
  <si>
    <t>University of Colorado Boulder</t>
  </si>
  <si>
    <t>MacDoran P.</t>
  </si>
  <si>
    <t>GPS spread spectrum signal transmission over fiber optic links</t>
  </si>
  <si>
    <t>10.1109/36.175342</t>
  </si>
  <si>
    <t>2-s2.0-0026913850</t>
  </si>
  <si>
    <t>['system simulator', 'simultaneously access', 'potential performance', 'paper describes', 'laboratory simulator', 'key subsystem', 'given consideration', 'future versions']</t>
  </si>
  <si>
    <t>Future versions of data relay satellite systems are currently being planned by NASA. Being given consideration for implementation are on‚Äêboard digital beam‚Äêforming techniques which will allow multiple users to simultaneously access a single S‚Äêband phased array antenna system. To investigate the potential performance of such a system, a laboratory simulator has been developed at NASA's Lewis Research Center. This paper describes the system simulator, and in particular, the requirements, design and performance of a key subsystem, the phased array antenna simulator, which provides realistic inputs to the digital processor including multiple signals, noise and non‚Äêlinearities. Copyright ¬© 1992 John Wiley &amp; Sons, Ltd.</t>
  </si>
  <si>
    <t>293-297</t>
  </si>
  <si>
    <t>September/October 1992</t>
  </si>
  <si>
    <t>60026717;60026717;60026717;60026717;60026717;60026717</t>
  </si>
  <si>
    <t>6602101466;56130980900;7401785135;7006385851;6602608392;6505945100</t>
  </si>
  <si>
    <t>Kerczewski, Robert J.;Yu, John;Walton, Joanne C.;Perl, Thomas D.;Andro, Monty;Alexovich, Robert E.</t>
  </si>
  <si>
    <t>Kerczewski R.</t>
  </si>
  <si>
    <t>Multiple‚Äêaccess phased array antenna simulator for A digital beam‚Äêforming system investigation</t>
  </si>
  <si>
    <t>10.1002/sat.4600100514</t>
  </si>
  <si>
    <t>2-s2.0-0026913884</t>
  </si>
  <si>
    <t>['sidelobe response', 'power beamwidths', 'plane walls', 'new technique', 'insertion loss', 'horn axis', 'center frequency', 'back plane', 'angles greater', 'aluminum sheet', '50 ¬∞', '40 db', '3 ghz', '20 db', '15 db', '14 ¬∞', '12 ¬∞', '0 ghz']</t>
  </si>
  <si>
    <t>A large rectangular horn antenna with a center frequency of 2.0 GHz, corrugated on the E-plane walls, made out of aluminum sheet, has been designed, constructed, and tested. A new technique has been developed to solder thin aluminum strips onto the back plane to form the corrugations. The radiation beam pattern shows half-power beamwidths of 12¬∞ and 14¬∞ in the H- and E-planes, respectively, and sidelobe response below -40 dB at angles greater than 50¬∞ from the horn axis. The measured return loss is greater than 20 dB (VSWR &lt; 1.22) between 1.7 and 2.3 GHz; insertion loss is less than 0.15 dB. ¬© 1992 IEEE</t>
  </si>
  <si>
    <t>1107-1109</t>
  </si>
  <si>
    <t>60021199-60029392;60029392;60029392;60029392;60029392;60029392;60029392</t>
  </si>
  <si>
    <t>7004386449;56838561700;57194133671;57203667264;56301858300;6602516329;57216145326</t>
  </si>
  <si>
    <t>Bersanelli, M.;Amici, G. De;Limon, M.;Smoot, G. F.;Tanaka, S.;Witebsky, C.;Yamada, J.</t>
  </si>
  <si>
    <t>United States;Italy</t>
  </si>
  <si>
    <t>Berkeley;Rome</t>
  </si>
  <si>
    <t>Space Sciences Laboratory at UC Berkeley;Consiglio Nazionale delle Ricerche</t>
  </si>
  <si>
    <t>60029392;60021199</t>
  </si>
  <si>
    <t>Bersanelli M.</t>
  </si>
  <si>
    <t>Construction Technique and Performance of a 2 GHz Rectangular Corrugated Horn</t>
  </si>
  <si>
    <t>10.1109/8.166539</t>
  </si>
  <si>
    <t>2-s2.0-0026914606</t>
  </si>
  <si>
    <t>['physical optics', 'numerical results', 'new analysis', 'metal tube']</t>
  </si>
  <si>
    <t>Large beam waveguide (BWG) type ground station antennas are generally designed using analysis which ignores the presence of the metallic tube enclosing the beam waveguide mirrors. The common analysis approaches are physical optics and Gaussian mode analyses. The weakness of these analyses is that they do not shed any light with regards to the effect of the metal tube. In this paper, the first known BWG analysis which considers the presence of the metal tube is presented. Numerical results of a two-mirror system using the new analysis are compared with experiments which have verified the new analysis. ¬© 1992 IEEE</t>
  </si>
  <si>
    <t>1041-1046</t>
  </si>
  <si>
    <t>57193752819;7003977774</t>
  </si>
  <si>
    <t>Cha, Alan G.;Imbriale, William A.</t>
  </si>
  <si>
    <t>Cha A.G.</t>
  </si>
  <si>
    <t>A New Analysis of Beam Waveguide Antennas Considering the Presence of the Metal Enclosure</t>
  </si>
  <si>
    <t>10.1109/8.166529</t>
  </si>
  <si>
    <t>2-s2.0-0026914607</t>
  </si>
  <si>
    <t>['unique cavity', 'treat radiation', 'structures consisting', 'solved using', 'rotational symmetry', 'resulting integro', 'numerical results', 'mm ).', 'economical solution', 'dimensional objects', 'differential equation', 'combined structure', 'circumferential dependence', 'axial curvature']</t>
  </si>
  <si>
    <t>A formulation is developed to treat radiation from structures consisting of a body of revolution (BOR) in the presence of multiple arbitrarily shaped three-dimensional objects. An electric field integral equation is set up on the surface of the combined structure. The resulting integro-differential equation is solved using the method of moments (MM). On the BOR, harmonic entire domain expansion functions are used for the circumferential dependence, while overlapping subdomain functions are used to model the axial curvature. The arbitrarily shaped portions of the structure are modeled using triangular surface patches. The resulting system matrix has a partial block diagonal nature, which provides a more economical solution for structures that have some rotational symmetry. Numerical results are presented and compared to measurements of a unique cavity-backed patch fed antenna. ¬© 1992 IEEE</t>
  </si>
  <si>
    <t>1061-1067</t>
  </si>
  <si>
    <t>60025522-60022144</t>
  </si>
  <si>
    <t>Durham, Timothy E.</t>
  </si>
  <si>
    <t>Melbourne;Orlando</t>
  </si>
  <si>
    <t>Harris Corporation;University of Central Florida</t>
  </si>
  <si>
    <t>60025522;60022144</t>
  </si>
  <si>
    <t>Durham T.E.</t>
  </si>
  <si>
    <t>Electromagnetic Radiation from Structures Consisting of Combined Body of Revolution and Arbitrary Surfaces</t>
  </si>
  <si>
    <t>10.1109/8.166531</t>
  </si>
  <si>
    <t>2-s2.0-0026915144</t>
  </si>
  <si>
    <t>['wiley company', 'waves approach', 'satisfactory performance', 'multiple paths', 'large variation', 'inc .,', 'fundamental characteristics', 'evaluation function', 'dynamic characteristics', 'doppler shift', 'correlation matrix', 'convergence performance', 'convergence becomes', 'computer simulations', 'adaptive array']</t>
  </si>
  <si>
    <t>Doppler shift | frequency selective fading | land mobile communication | Steepest gradient method | wave environment</t>
  </si>
  <si>
    <t>Constant modulus algorithm (CMA) adaptive array has been proposed as a countermeasure to frequency selective fading; but since the evaluation function is nonlinear with respect to weight, the conventional steepest gradient method is being used for optimization. However, if there is a large variation in the eigenvalue of the correlation matrix of the input, then the convergence becomes very slow. In this paper, Marquardt's method of optimizing the CMA adaptive array is proposed. This method is based on a nonlinear least‚Äêsquare algorithm, and its dynamic characteristics are clarified by computer simulations. First, the fundamental characteristics of the algorithm are investigated. It is shown that this algorithm gives satisfactory convergence even for those cases where the convergence performance of the conventional steepest gradient method has degraded and where waves approach by multiple paths. Next, the performance of the algorithm is studied under the influence of Doppler shift or in the case where the wave conditions vary and satisfactory performance is obtained under frequency selective fading environment. Copyright ¬© 1992 Wiley Periodicals, Inc., A Wiley Company</t>
  </si>
  <si>
    <t>89-100</t>
  </si>
  <si>
    <t>60024751;60024751;60024751</t>
  </si>
  <si>
    <t>15842988400;7003894513;56216531000</t>
  </si>
  <si>
    <t>Fujimoto, Mitoshi;Kikuma, Nobuyoshi;Inagaki, Naoki</t>
  </si>
  <si>
    <t>Nagoya</t>
  </si>
  <si>
    <t>Nagoya Institute of Technology</t>
  </si>
  <si>
    <t>Performance of CMA adaptive array optimized by the marquardt method for suppressing multipath waves</t>
  </si>
  <si>
    <t>10.1002/ecja.4410750908</t>
  </si>
  <si>
    <t>2-s2.0-0026915630</t>
  </si>
  <si>
    <t>['topographic variations', 'topographic maps', 'systematic variations', 'supporting topsar', 'statistical errors', 'several sites', 'second processor', 'results presented', 'results indicate', 'nasa dc', 'jpl show', 'interferometer sensitive', 'initial results', 'flight lines', 'asi ),', 'airsar instrument', 'aircraft motion', '1991 dc']</t>
  </si>
  <si>
    <t>We have augmented the NASA DC-8 AIRSAR instrument with a pair of C-band antennas displaced across track to form an interferometer sensitive to topographic variations of the Earth's surface. The antennas were developed by the Italian consortium Co.Ri.S.T.A., under contract to the Italian Space Agency (ASI), while the AIRSAR instrument and modifications to it supporting TOPSAR were sponsored by NASA. A new data processor was developed at JPL for producing the topographic maps, and a second processor was developed at Co.Ri.S.T.A. All the results presented below were processed at JPL. During the 1991 DC-8 flight campaign, data were acquired over several sites in the U.S. and Europe, and topographic maps were produced from several of these flight lines. Analysis of the results indicate that statistical errors are in the 2‚Äì4Œºm range, while systematic effects due to aircraft motion are in the 10‚Äì20Œºm range. Our initial results from development of a second generation processor at JPL show that aircraft motion compensation algorithms reduce the systematic variations to 2 m, while the statistical errors are reduced to 2‚Äì3 m. ¬© 1992 IEEE</t>
  </si>
  <si>
    <t>933-940</t>
  </si>
  <si>
    <t>60009037;60009037;60009037;60009037;60009037;60009037;;;60073283</t>
  </si>
  <si>
    <t>7005577978;56817077100;7501558961;7102057175;57198615471;7202581950;7102471970;6701917301;6701650249</t>
  </si>
  <si>
    <t>Zebker, Howard A.;Madsen, S√∏ren N.;Martin, Jan;Wheeler, Kevin B.;Miller, Timothy;Lou, Yunling;Alberti, Giovanni;Vetrella, Sergio;Cucci, Alessandro</t>
  </si>
  <si>
    <t>Italy;United States</t>
  </si>
  <si>
    <t>Rome;Pasadena</t>
  </si>
  <si>
    <t>Alenia Aeronautica;Jet Propulsion Laboratory</t>
  </si>
  <si>
    <t>60073283;60009037</t>
  </si>
  <si>
    <t>Zebker H.</t>
  </si>
  <si>
    <t>The topsar interferometric radar topographic mapping instrument</t>
  </si>
  <si>
    <t>10.1109/36.175328</t>
  </si>
  <si>
    <t>2-s2.0-0026915723</t>
  </si>
  <si>
    <t>['¬© 1992', 'space antennae', 'procedural aspects', 'position equipment', 'long chain', 'homotopy continuation', 'controlled manner', 'berthing devices']</t>
  </si>
  <si>
    <t>A VGT, or Variable Geometry Truss, can be thought of as a statically determinate truss that has been modified to contain some number of variable length members. These extensible members allow the truss to vary its configuration in a controlled manner. Some of the typical applications envisioned for VGTs are as booms to position equipment in space, as supports for space antennae, and as berthing devices. Recently, they have also been proposed as parallel-actuated, long chain, high dexterity manipulators. This paper will demonstrate the use of homotopy continuation in solving the kinematics of relatively complex variable geometry trusses (VGTs) including the octahedron and the decahedron. The procedural aspects are described in detail with the help of examples. ¬© 1992 by ASME.</t>
  </si>
  <si>
    <t>422-427</t>
  </si>
  <si>
    <t>Journal of Mechanical Design, Transactions of the ASME</t>
  </si>
  <si>
    <t>60027090;60027090;60027090</t>
  </si>
  <si>
    <t>6602849358;7004482437;7202470108</t>
  </si>
  <si>
    <t>Arun, V.;Reinholtz, C. F.;Watson, L. T.</t>
  </si>
  <si>
    <t>Arun V.</t>
  </si>
  <si>
    <t>Application of new homotopy continuation techniques to variable geometry trusses</t>
  </si>
  <si>
    <t>10.1115/1.2926568</t>
  </si>
  <si>
    <t>2-s2.0-0026916097</t>
  </si>
  <si>
    <t>['¬© 1992', 'specs project', 'specs architecture', 'specs approach', 'semantic integration', 'race programme', 'open methodology', 'maximum automation', 'extensive use', 'effective development']</t>
  </si>
  <si>
    <t>The SPECS project, part of the RACE Programme of the EEC, has defined an open methodology and an open support architecture for the rapid and cost-effective development of the software for the IBC, the future European broadband communications network. The SPECS methodology recommends the extensive use of formal specification languages as a basis for maximum automation. Through the concept of semantic integration, the SPECS architecture provides support for several specification languages, including the possibility to mix them in a given system description. The SPECS approach is being validated by a pilot case study that uses prototype implementation of the SPECS architecture, supporting the standardised specification languages SDL and LOTOS. ¬© 1992.</t>
  </si>
  <si>
    <t>117-124</t>
  </si>
  <si>
    <t>Microprocessing and Microprogramming</t>
  </si>
  <si>
    <t>Dauphin, Michel</t>
  </si>
  <si>
    <t>Dauphin M.</t>
  </si>
  <si>
    <t>SPECS: Formal methods and techniques for telecommunications software development</t>
  </si>
  <si>
    <t>016560749290304P</t>
  </si>
  <si>
    <t>10.1016/0165-6074(92)90304-P</t>
  </si>
  <si>
    <t>2-s2.0-0026916111</t>
  </si>
  <si>
    <t>['structure using', 'straightforward method', 'spatial filter', 'implicit noise', 'communication treats', 'blocking matrix', 'band arrays', 'adaptive beamformers']</t>
  </si>
  <si>
    <t>This communication treats the problem of controlling the superresolution in adaptive beamformers. A straightforward method is presented that works for both narrow-band and broad-band arrays. The method is based on forming the blocking matrix in a general sidelobe canceller (GSC) structure using a spatial FIR filter. The suppression of this spatial filter and the implicit noise of the leaky (LMS) algorithm together determine the beamformer. ¬© 1992 IEEE</t>
  </si>
  <si>
    <t>1093-1096</t>
  </si>
  <si>
    <t>60029170;60029170</t>
  </si>
  <si>
    <t>7004956558;7005690573</t>
  </si>
  <si>
    <t>Claesson, I.;Nordholm, S.</t>
  </si>
  <si>
    <t>Claesson I.</t>
  </si>
  <si>
    <t>A Spatial Filtering Approach to Robust Adaptive Beaming</t>
  </si>
  <si>
    <t>10.1109/8.166535</t>
  </si>
  <si>
    <t>2-s2.0-0026916368</t>
  </si>
  <si>
    <t>['vertical position', 'target detection', 'single element', 'scale model', 'receiving dipoles', 'random scatterers', 'practical limitations', 'potential advantages', 'noise ratio', 'measured amplitude', 'host medium', 'geophysical exploration', 'forward scatter', 'buried target']</t>
  </si>
  <si>
    <t>The cross-borehole measurement technique at VHF frequencies typically employs winched single transmitting and receiving dipoles in various offset configurations to detect a buried target and estimate its vertical position from the pattern of forward scatter. Signal-to-noise ratio (SNR) and clutter from random scatterers in the host medium are practical limitations to target detection that can be modified by means of synthetic collinear arrays whose electric fields are determined as a function of vertical position from the measured amplitude and phase of a single element as it moves in the borehole. This paper compares theoretical calculations based on a thin bare dipole in a moderately lossy host medium with a combination of laboratory scale model measurements and simple synthetic array techniques to indicate the potential advantages of the latter to geophysical exploration. An example is provided to illustrate the improvement that can be achieved in locating a buried dielectric ellipsoid in the scale model. ¬© 1992 IEEE</t>
  </si>
  <si>
    <t>885-891</t>
  </si>
  <si>
    <t>60013346;60015481</t>
  </si>
  <si>
    <t>6602928785;7003940385</t>
  </si>
  <si>
    <t>Peden, Irene C.;Kipp, Robert</t>
  </si>
  <si>
    <t>Seattle;Alexandria</t>
  </si>
  <si>
    <t>University of Washington;National Science Foundation</t>
  </si>
  <si>
    <t>60015481;60013346</t>
  </si>
  <si>
    <t>Peden I.</t>
  </si>
  <si>
    <t>A Scale-model study of down-hole vhf dipole arrays with application to subsurface exploration</t>
  </si>
  <si>
    <t>10.1109/36.175322</t>
  </si>
  <si>
    <t>2-s2.0-0026916444</t>
  </si>
  <si>
    <t>['uses prf', 'two techniques', 'signal processing', 'sar systems', 'range cross', 'radar systems', 'necessary element', 'image quality', 'geometric fidelity', 'dce ambiguity', 'correlation technique', 'brief review', 'borne sar', 'band sar', 'analyzed based', '3 ¬∞.']</t>
  </si>
  <si>
    <t>Estimation of the Doppler centroid ambiguity is a necessary element of the signal processing for synthetic aperture radar (SAR) systems with large antenna pointing errors. Without proper resolution of the Doppler centroid estimation (DCE) ambiguity, the image quality will be degraded in the system impulse response function and the geometric fidelity. Two techniques for resolution of DCE ambiguity for the space-borne SAR are presented in this paper. They include a brief review of the range cross-correlation technique and presentation of a new technique using multiple pulse repetition frequencies (PRF's). We formulate an algorithm employing simple integer arithmetic for radar systems, such as moving target indicator radar (MTIR) systems, where the PRF's contain a large common divisor. For SAR systems, where other performance factors control selection of the PRF's, an algorithm is devised to resolve the ambiguity that uses PRF's of arbitrary numerical values. The performance of this multiple PRF technique is analyzed based on a statistical error model. An example is presented that demonstrates for the Shuttle Imaging Radar-C (SIR-C) C-band SAR, the probability of correct ambiguity resolution is higher than 95% for antenna attitude errors as large as 3¬∞. ¬© 1992 IEEE</t>
  </si>
  <si>
    <t>941-949</t>
  </si>
  <si>
    <t>7407035398;57124641700</t>
  </si>
  <si>
    <t>Chang, C. Y.;Curlander, J. C.</t>
  </si>
  <si>
    <t>Chang C.</t>
  </si>
  <si>
    <t>Application of the multiple prf technique to resolve doppler centroid estimation ambiguity for space-borne SAR</t>
  </si>
  <si>
    <t>10.1109/36.175329</t>
  </si>
  <si>
    <t>2-s2.0-0026916446</t>
  </si>
  <si>
    <t>['voice communications', 'using ulpc', 'ulpc ).', 'statistically multiplexed', 'small terminals', 'signal fade', 'power resources', 'potential loss', 'personal use', 'personal communications', 'efficiently shared', 'easily transportable', 'complete terminal', 'antenna acquisition', '2 voice']</t>
  </si>
  <si>
    <t>The concept of a fully meshed network of very small terminals is presented for personal communications over Ku‚Äêband satellite transponders. In this concept, undesirable double‚Äêhop delays are avoided for voice communications between these terminals. The bandwidth and power resources of the transponder are efficiently shared by users in a simple demand‚Äêassigned manner via code‚Äêdivision multiple access (CDMA).1,2 Voice, data and facsimile are statistically multiplexed at each terminal. In order to minamize terminal costs, frequency‚Äêprecorrected and level‚Äêpreadjusted continuous wave (CW) tones are sent from the central network control station in each beam. The terminals in each down‚Äêlink beam can use these pilots as references for antenna acquisition and tracking, as reliable frequency sources, and as indicators of signal fade for up‚Äêlink power control (ULPC). The potential CDMA ‚Äònear‚Äêfar‚Äô problem due to up‚Äêlink fades is mitigated by using ULPC. Quasi‚Äêburst‚Äêmode transmission is employed to minimize the potential loss of clock and pseudorandom number code synchronization. When these terminals are used only to interconnect into the public switched telephony networks (PSTNs) through large, hub‚Äêlike gateway stations, they can employ flat‚Äêplate antenna technology. The complete terminal can thereby be packaged into a briefcase so that it is easily transportable for personal use. Copyright ¬© 1992 John Wiley &amp; Sons, Ltd.</t>
  </si>
  <si>
    <t>235-242</t>
  </si>
  <si>
    <t>Fang, R. J.F.</t>
  </si>
  <si>
    <t>Clarksburg</t>
  </si>
  <si>
    <t>Comsat Laboratories</t>
  </si>
  <si>
    <t>Fang R.</t>
  </si>
  <si>
    <t>Personal communications via iNTELSAT K&lt;inf&gt;u&lt;/inf&gt;‚Äêband transponders</t>
  </si>
  <si>
    <t>10.1002/sat.4600100507</t>
  </si>
  <si>
    <t>2-s2.0-0026916624</t>
  </si>
  <si>
    <t>['scattering characteristics', 'reduction technique', 'phased arrays', 'novel characteristics', 'microstrip antennas', 'microstrip antenna', 'infinite arrays', 'including switchable', 'freedom offered', 'ferrite substrates', 'extra degree', 'dynamic wide', 'biased ferrite', 'arrays printed', 'also presented']</t>
  </si>
  <si>
    <t>Radiation and scattering characteristics of microstrip antennas and arrays printed on ferrite substrates with a normal magnetic bias field are described. The extra degree of freedom offered by the biased ferrite can be used to obtain a number of novel characteristics, including switchable and tunable circularly polarized radiation from a microstrip antenna having a single feed point, dynamic wide-angle impedance matching for phased arrays of microstrip antennas, and a switchable radar cross section (RCS) reduction technique for microstrip antennas. Results are obtained from full-wave moment method solutions for single microstrip antennas and infinite arrays of microstrip antennas. A cavity model solution for a circular patch antenna on a biased ferrite substrate is also presented, to aid in understanding the operation of these antennas. ¬© 1992 IEEE</t>
  </si>
  <si>
    <t>1084-1092</t>
  </si>
  <si>
    <t>Radiation and Scattering Characteristics of Microstrip Antennas on Normally Biased Ferrite Substrates</t>
  </si>
  <si>
    <t>10.1109/8.166534</t>
  </si>
  <si>
    <t>2-s2.0-0026916639</t>
  </si>
  <si>
    <t>['wind observations', 'vertical axis', 'thus making', 'ship radar', 'rotate around', 'recorded signal', 'receiving antennas', 'one removes', 'ocean waves', 'looking toward', 'instrument consists', 'gravity domain', 'directional spectra', 'data sets', 'buoy measurements', 'aircraft platforms', '35 ghz']</t>
  </si>
  <si>
    <t>We present the French radar system RESSAC, used from aircraft platforms for measuring directional spectra of ocean waves in the gravity domain (wavelengths from 30 to 400 m). The instrument consists of a C-band (5.35 GHz) FM/CW radar system. The transmitting and receiving antennas are looking toward the surface at a low incidence angle (‚âà 14¬∞ for the center or the antenna beam), and rotate around a vertical axis. When processing the data, one removes the known antenna gain pattern from the recorded signal, thus making it possible to estimate the sea surface slope variance, which in turn is used to determine the tilt modulation transfer function, without the need of any external wind measurement. Fully normalized spectra obtained from RESSAC are presented and compared to other data sets (nondirectional frequency spectra from buoy measurements, directional spectra from a ship radar and from a sea-state model). The consistency is in general very satisfactory, and the estimates of sea surface slope variance inferred from RESSAC are consistent with the wind observations and with previous results found in the literature. ¬© 1992 IEEE</t>
  </si>
  <si>
    <t>981-995</t>
  </si>
  <si>
    <t>60104081;60104081;60104081;60104081;60104081-60004156</t>
  </si>
  <si>
    <t>7005025866;6701375868;7003999325;7201921560;7801591583</t>
  </si>
  <si>
    <t>Hauser, Dani√®le;Caudal, G√©rard;Vidal-Madjar, Daniel;Laurent, Georges;Lancelin, Philippe</t>
  </si>
  <si>
    <t>France;Netherlands</t>
  </si>
  <si>
    <t>Issy-les-Moulineaux;Wageningen</t>
  </si>
  <si>
    <t>Orange Labs;Wageningen University &amp; Research</t>
  </si>
  <si>
    <t>60104081;60004156</t>
  </si>
  <si>
    <t>Hauser D.</t>
  </si>
  <si>
    <t>RESSAC: A new airborne FM/CW radar ocean wave spectrometer</t>
  </si>
  <si>
    <t>10.1109/36.175333</t>
  </si>
  <si>
    <t>2-s2.0-0026917456</t>
  </si>
  <si>
    <t>['¬© 1992', 'tower falls', 'severely limited', 'rights reserved', 'results show', 'property boundaries', 'performance measurements', 'paran antenna', 'neighborhood complaints', 'mount vernon', 'guy cables', 'ground system', 'ground area', 'aesthetic value', '660 khz', '5 kw', '282 mv', '175 mv', '1470 khz', '10 kw', '1 km']</t>
  </si>
  <si>
    <t>A PARAN (Perimeter Current Antenna) antenna was constructed, tested and licensed at radio station KAPS in Mount Vernon, Washington. This was done to facilitate a broadcast station upgrade from 1470 kHz, 0.5 kw, DA-D to 660 kHz, 1/10 kw, ND, U. A PARAN antenna has a place for the broadcaster when his site is severely limited as to height and ground area. Both current distribution versus height measurements and full field proof of performance measurements were made to prove the antenna's efficiency. The results show that a PARAN antenna can produce a radiation field better than 282 mV/m/lkw at 1 km (175 mV/m/lkw at 1 mi). Other work includes bandwidth evaluation measurements and radiation hazard measurements. This provides a solution to site problems due to neighborhood complaints of the aesthetic value, FAA height limit requirements, lack of space for the guy cables, insufficient ground space to the property boundaries in case the tower falls, and a lacking ground area for the ground system. ¬© 1992, IEEE. All rights reserved.</t>
  </si>
  <si>
    <t>163-166</t>
  </si>
  <si>
    <t>Frese, George M.</t>
  </si>
  <si>
    <t>Wenatchee</t>
  </si>
  <si>
    <t>P.E. Consulting</t>
  </si>
  <si>
    <t>Frese G.M.</t>
  </si>
  <si>
    <t>Paran antenna for use where horizontal and vertical space is limited</t>
  </si>
  <si>
    <t>10.1109/11.158669</t>
  </si>
  <si>
    <t>2-s2.0-0026922860</t>
  </si>
  <si>
    <t>['without initialization', 'uses initialization', 'usable bandwidth', 'techniques include', 'recursive filters', 'order filter', 'limited number', 'francis ltd', 'finite number', 'filters processing', 'conventional filters', 'bandwidth techniques', 'also used']</t>
  </si>
  <si>
    <t>New bandwidth analysis techniques for digital recursive filters used in phased array step scan radars are presented. The analysis is applicable to filters processing a finite number of samples with or without initialization. The techniques include the calculation of the usable and the 3 dB bandwidths. The bandwidth techniques are used to study the effect of processing a limited number of samples and initialization of the pass-band of conventional filters. They are also used to evaluate the pass-band of recursive filters with optimum clutter rejection. Such techniques are applied to simplify the design of a first-order filter which uses initialization and maximizes the usable bandwidth. ¬© 1992 Tayor and Francis Ltd.</t>
  </si>
  <si>
    <t>539-547</t>
  </si>
  <si>
    <t>60008524;60012070</t>
  </si>
  <si>
    <t>57222050810;7003660043</t>
  </si>
  <si>
    <t>Al-Ahmad, Hussian;Lockhart, Gordon B.</t>
  </si>
  <si>
    <t>Leeds;Bradford</t>
  </si>
  <si>
    <t>University of Leeds;University of Bradford</t>
  </si>
  <si>
    <t>60012070;60008524</t>
  </si>
  <si>
    <t>Al-Ahmad H.</t>
  </si>
  <si>
    <t>Bandwidth techniques for digital recursive filters used in step scan radars</t>
  </si>
  <si>
    <t>10.1080/00207219208925687</t>
  </si>
  <si>
    <t>2-s2.0-0026923111</t>
  </si>
  <si>
    <t>['¬© 1992', 'two varactors', 'rights reserved', 'panel antenna', 'output power', 'outer dimensions', 'n obtained', 'modulator uses', 'km transmission', 'glass substrate', 'figure receiver', 'differential phase', 'differential gain', 'dielectric resonator', 'db noise', '42 db', '300 g', '3 %,', '22 dbm', '2 ¬∞.', '13 dbi']</t>
  </si>
  <si>
    <t>A compact, low-cost, light-weight FPU transmitter developed for emergency news gathering is described. It consists of a 7-GHz-band FET direct frequency modulator and a flat-panel antenna. The modulator uses an FET, a dielectric resonator, and two varactors. The employment of two varactors magnetically coupled with the dielectric resonator results in good modulation linearity and, therefore, a linealizer before the modulator is not required.The modulator has an output power of 22 dBm, differential gain of less than 3%, and differential phase of less than 2¬∞.The antenna is constructed of four rectangular microstrip patches on a Teflon-glass substrate and has outer dimensions of 90 mm x 90 mm and a gain of 13 dBi.The dimensions of the transmitter are 60 mm x 45 mm x 90 mm and the weight is 300 g. Using the transmitter with a 4-dB noise-figure receiver and a 60-cm-diameter parabolic receiving antenna, the unweighted S/N obtained for an NTSC TV signal is 42 dB after a 10-km transmission. ¬© 1992, IEEE. All rights reserved.</t>
  </si>
  <si>
    <t>187-191</t>
  </si>
  <si>
    <t>60103907;60103907;60103907;60103907</t>
  </si>
  <si>
    <t>7006511710;55465678000;55461669400;7402736806</t>
  </si>
  <si>
    <t>Mitsumoto, Hideo;Imai, Kazuo;FujITa, Masaru;Murata, Takao</t>
  </si>
  <si>
    <t>Mitsumoto H.</t>
  </si>
  <si>
    <t>A 7-GHZ-band subminiature FPU transmitter</t>
  </si>
  <si>
    <t>10.1109/11.158673</t>
  </si>
  <si>
    <t>2-s2.0-0026923112</t>
  </si>
  <si>
    <t>['vectorial coupling', 'tm waves', 'numerical method', 'horizontal discontinuities', 'field generated', 'electromagnetic fields', 'copyright 1992']</t>
  </si>
  <si>
    <t>In this paper a numerically efficient algorithm is developed for solving the problem of nonaxisymmetric wave propagation in cylindrically layered media with horizontal discontinuities. For an off‚Äêaxis source in cylindrically layered media, because the nonaxisymmetry of the waves gives rise to the vectorial coupling between TE and TM waves, the modeling of the wave propagation becomes much more difficult than for a centered (axisymmetric) source. However, the numerical mode‚Äêmatching method proposed here calculates very efficiently the electromagnetic fields in cylindrically layered media with horizontal discontinuities. Several numerical examples are given to verify the numerical method and to illustrate the applications of this method in the calculation of the field generated by a magnetic dipole source. Copyright 1992 by the American Geophysical Union.</t>
  </si>
  <si>
    <t>569-581</t>
  </si>
  <si>
    <t>September-October 1992</t>
  </si>
  <si>
    <t>57190242812;26643168800</t>
  </si>
  <si>
    <t>Liu, Qing‚ÄêHuo ‚ÄêH;Chew, Weng Cho</t>
  </si>
  <si>
    <t>Liu Q.</t>
  </si>
  <si>
    <t>Diffraction of nonaxisymmetric waves in cylindrically layered media by horizontal discontinuities</t>
  </si>
  <si>
    <t>10.1029/92RS00910</t>
  </si>
  <si>
    <t>2-s2.0-0026923561</t>
  </si>
  <si>
    <t>North Atlantic Treaty Organization</t>
  </si>
  <si>
    <t>NATO</t>
  </si>
  <si>
    <t>['synchronization leads', 'special case', 'reconstructed phases', 'problem arises', 'polarization characteristics', 'phases uniquely', 'paper addresses', 'near field', 'n dimensions', 'general problem', 'following questions', 'directions must', 'amplitude measurements']</t>
  </si>
  <si>
    <t>This paper addresses the problem of determining the relative phases among the components of a monochromatic electromagnetic field at a single point based on amplitude measurements only. This problem arises in many practical situations, from the determination of the polarization characteristics of an antenna in its near field to the design of electromagnetic field probes that provide phase information without the need for synchronization leads. In this paper, we answer the following questions: 1) How is the phase information reconstruction from amplitude measurements? 2) Do amplitude measurements contain enough information to reconstruct the phases uniquely? 3) How many amplitude measurements are required? and 4) In what directions must the amplitude measurements be taken to ensure that the reconstructed phases are unique? To answer these questions, we propose and solve a more general problem in n dimensions, the special case where n = 3 being the solution to the problem above. ¬© 1992 IEEE</t>
  </si>
  <si>
    <t>1805-1811</t>
  </si>
  <si>
    <t>60005455;60022134</t>
  </si>
  <si>
    <t>57198994821;35615541000</t>
  </si>
  <si>
    <t>Nguyen, D. B.;Berntsen, Svend</t>
  </si>
  <si>
    <t>Denmark;United States</t>
  </si>
  <si>
    <t>Aalborg;New Haven</t>
  </si>
  <si>
    <t>Aalborg University;Yale University</t>
  </si>
  <si>
    <t>60022134;60005455</t>
  </si>
  <si>
    <t>Nguyen D.</t>
  </si>
  <si>
    <t>The Reconstruction of the Relative Phases and Polarization of the Electromagnetic Field Based on Amplitude Measurements</t>
  </si>
  <si>
    <t>10.1109/22.156608</t>
  </si>
  <si>
    <t>2-s2.0-0026923775</t>
  </si>
  <si>
    <t>['wiley company', 'well suited', 'small characteristics', 'signal transmission', 'shortening ratio', 'pcn handset', 'inc .,', 'handset operating', 'experimentally achieved', '880 mhz', '25 mils']</t>
  </si>
  <si>
    <t>antenna diversity | meander line | Printed circuit | shortened dipole antenna</t>
  </si>
  <si>
    <t>A shortened dipole antenna using meander line is designed for the personal communication network (PCN) handset operating at center frequency f0 = 880 MHz. The shortened dipole antenna is printed on a Duroid 6010 substrate with dielectric constant Œµr = 10.5 and thickness = 25 mils. A shortening ratio (SR) of 45.9% is experimentally achieved with the printed‚Äêcircuit dipole antenna (PCDA) of 9.2‚Äêcm length as compared to the Œª0/2 linear dipole antenna. Owing to the planar, lightweight, thin, and small characteristics, the PCDA using meander line is well suited for signal transmission and reception of the PCN handset, in which it may be built in, and various antenna diversity schemes for fading reduction may be utilized. ¬© 1992 John Wiley &amp; Sons, Inc. Copyright ¬© 1992 Wiley Periodicals, Inc., A Wiley Company</t>
  </si>
  <si>
    <t>477-480</t>
  </si>
  <si>
    <t>60012392;60095366</t>
  </si>
  <si>
    <t>23568867200;7006030775</t>
  </si>
  <si>
    <t>Yu, Cheng‚ÄêCheh ‚ÄêC;Ju, Kung‚ÄêMin ‚ÄêM</t>
  </si>
  <si>
    <t>Ministry of Transportation and Communications, Taiwan;National Taipei University of Technology</t>
  </si>
  <si>
    <t>60095366;60012392</t>
  </si>
  <si>
    <t>Yu C.‚Äê.</t>
  </si>
  <si>
    <t>Printed‚Äêcircuit dipole antenna for personal communication network handset</t>
  </si>
  <si>
    <t>10.1002/mop.4650051002</t>
  </si>
  <si>
    <t>2-s2.0-0026923804</t>
  </si>
  <si>
    <t>DPP88-18384</t>
  </si>
  <si>
    <t>['tunnel junction', 'slot antennas', 'slot antenna', 'size junctions', 'quite low', 'optical mixer', 'new quasi', 'modest strength', 'mixer uses', 'method calculation', 'magnetic field', 'low impedance', 'josephson effect', 'impedance characteristics', 'allows micron', '500 ghz', '490 ghz', '420 k']</t>
  </si>
  <si>
    <t>We describe a new quasi-optical SIS mixer designed for efficient radiation coupling. The mixer uses a twin-slot antenna which has the advantages of a good beam pattern and a low impedance. The radiation and impedance characteristics of the antenna were obtained from a moment-method calculation. Tapered superconducting microstrip transmission lines are used to carry the radiation from the slot antennas to the tunnel junction. The effective impedance seen by the tunnel junction is quite low, about 4 Œ©, which allows micron-size junctions to be used at 500 GHz. The mixers have been fabricated using Nb/Al-oxide/Nb tunnel junctions and a receiver noise temperature of 420 K (DSB) was measured at 490 GHz, which is the best yet obtained for a quasi-optical mixer at this frequency. The comparatively large junction area increases the mixer saturation power and allows strong suppression of noise from the Josephson effect by the application of a magnetic field of modest strength. ¬© 1992 IEEE</t>
  </si>
  <si>
    <t>1797-1804</t>
  </si>
  <si>
    <t>60031581;60009037</t>
  </si>
  <si>
    <t>7004482405;23974476000</t>
  </si>
  <si>
    <t>Zmuidzinas, Jonas;LeDuc, H. G.</t>
  </si>
  <si>
    <t>California Institute of Technology;Jet Propulsion Laboratory</t>
  </si>
  <si>
    <t>Zmuidzinas J.</t>
  </si>
  <si>
    <t>Quasi-Optical Slot Antenna SIS Mixers</t>
  </si>
  <si>
    <t>10.1109/22.156607</t>
  </si>
  <si>
    <t>2-s2.0-0026923852</t>
  </si>
  <si>
    <t>['transient response', 'time ranges', 'theoretically valid', 'satisfactory accuracy', 'illuminated regions', 'electromagnetic pulse', 'cylinder surface', 'cylinder axis', 'copyright 1992', 'analytical expression', 'analysis performed']</t>
  </si>
  <si>
    <t>The transient response of a perfectly conducting circular cylinder to an electromagnetic pulse of a double exponential type has been investigated, and a new analytical expression has been derived for the induced current density on the cylinder surface. The analysis performed in this paper is based on the frequency domain eigenfunction solution of the surface current density and yields an analytical expression which is theoretically valid for both the shadow and illuminated regions and for all the time ranges. Numerical calculations show that results for the entire time range after the instant the initial incident wave front has passed the cylinder axis can easily be obtained from this single analytical expression. For very large time values, only the first few terms in the expression are needed to give a satisfactory accuracy. Copyright 1992 by the American Geophysical Union.</t>
  </si>
  <si>
    <t>561-567</t>
  </si>
  <si>
    <t>11339363100;16425224200</t>
  </si>
  <si>
    <t>Ma, J.;Ciric, I. R.</t>
  </si>
  <si>
    <t>Ma J.</t>
  </si>
  <si>
    <t>Transient response of a circular cylinder to an electromagnetic pulse</t>
  </si>
  <si>
    <t>10.1029/92RS01648</t>
  </si>
  <si>
    <t>2-s2.0-0026923925</t>
  </si>
  <si>
    <t>['¬© 1992', 'pulsed operation', 'fabrication process', 'emitted radiation', 'bridge technology', 'active layers', '92 ghz', '6 mw', '6 ghz', '50 mw']</t>
  </si>
  <si>
    <t>Monolithic integrated IMPATT diodes are manufactured as millimeter wave power generators in slot line resonator-antennas. Silicon molecular beam epitaxy (Si-MBE) is used for the growth of the active layers. A fabrication process with a self stopping etchant, self aligned contacts, silicon nitride passivation and air-bridge technology is used. The emitted radiation of the millimeter wave transmitter chip is 2.6 mW at 90.6 GHz in cw-operation and 50 mW at 92 GHz in pulsed operation. ¬© 1992.</t>
  </si>
  <si>
    <t>717-720</t>
  </si>
  <si>
    <t>Microelectronic Engineering</t>
  </si>
  <si>
    <t>7003507147;7003971679;7004589090;7004495079</t>
  </si>
  <si>
    <t>Strohm, K. M.;Buechler, J.;Luy, J. F.;Sch√§ffler, F.</t>
  </si>
  <si>
    <t>Strohm K.</t>
  </si>
  <si>
    <t>A Silicon technology for active high frequency circuits</t>
  </si>
  <si>
    <t>016793179290529Z</t>
  </si>
  <si>
    <t>10.1016/0167-9317(92)90529-Z</t>
  </si>
  <si>
    <t>2-s2.0-0026924220</t>
  </si>
  <si>
    <t>['¬© 1992', 'wave method', 'voltage term', 'simple full', 'rights reserved', 'new model', 'fed antenna', 'electrical engineers']</t>
  </si>
  <si>
    <t>Antennas | Microstrip antennas</t>
  </si>
  <si>
    <t>A simple full-wave method for analysing rectangular microstrip antennas is presented. The problem of voltage term calculation is elucidated in the case of the microstripline-fed antenna. A new model for calculating the voltage term is proposed and compared to the other two models taken from literature. ¬© 1992, The Institution of Electrical Engineers. All rights reserved.</t>
  </si>
  <si>
    <t>1886-1888</t>
  </si>
  <si>
    <t>60000961;60159855;109861582</t>
  </si>
  <si>
    <t>7003852951;35618374900;36704201400</t>
  </si>
  <si>
    <t>≈†ipu≈°, Z.;Bartoliƒá, J.;Stipetiƒá, B.</t>
  </si>
  <si>
    <t>Croatia;Croatia;Croatia</t>
  </si>
  <si>
    <t>Zagreb;Zagreb;Zagreb</t>
  </si>
  <si>
    <t>University of Zagreb, Faculty of Electrical Engineering and Computing;Institute Ruder Boskovic;TTU Nikola Tesla</t>
  </si>
  <si>
    <t>60159855;60000961;109861582</t>
  </si>
  <si>
    <t>≈†ipu≈° Z.</t>
  </si>
  <si>
    <t>Input impedance of rectangular patch antenna fed by microstrip line</t>
  </si>
  <si>
    <t>10.1049/el:19921207</t>
  </si>
  <si>
    <t>2-s2.0-0026925002</t>
  </si>
  <si>
    <t>['vlf band', 'two effects', 'subionospheric propagation', 'studies involving', 'south pole', 'siple transmitter', 'siple station', 'simulated transmissions', 'similar facility', 'signal frequency', 'received power', 'qtm modes', 'preferential excitation', 'modes along', 'model may', 'mode structure', 'minimum decreasing', 'lower end', 'lower attenuation', 'important implications', 'elevation angle', 'different orientations', 'copyright 1992', 'arrival heights', 'appropriate choice', 'antenna arrangement', '5 khz']</t>
  </si>
  <si>
    <t>During 1986, a series of special VLF transmissions at ‚àº3 kHz and ‚àº5 kHz were made from the crossed dipole antenna at Siple Station, Antarctica, which simulated transmissions from a single horizontal dipole at a number of different orientations. The subionospheric signals thus excited were recorded at four Antarctic stations: Faraday, Halley, South Pole and Arrival Heights (McMurdo Sound). The signals excited broadside to the dipole were seen to exhibit characteristics notably different from those of signals excited along the axis of the antenna, showing a minimum in received power (the depth of the minimum decreasing for the more highly attenuating paths) and increases in apparent arrival azimuth error and elevation angle. A simple computer model for mode propagation close to 5 kHz in the Antarctic Earth‚Äêionosphere waveguide showed that these variations were the consequence of two effects: the preferential excitation of quasi‚Äêtransverse magnetic (QTM) modes along the axis of the antenna and the lower attenuation of quasi‚Äêtransverse electric (QTE) modes (with respect to QTM modes) over the Antarctic ice sheet. These results have important implications for studies involving the subionospheric propagation of signals with frequencies at the lower end of the VLF band and over highly attenuating surfaces, showing that QTE modes play a significant and sometimes dominant role. The propagation characteristics derived from the model may be applied to studies of the effect of burst energetic electron precipitation on subionospheric VLF signals (the Trimpi effect). Furthermore, the mode structure of subionospheric VLF signals radiated from the Siple transmitter, or a similar facility in Antarctica, may be controlled through the appropriate choice of signal frequency and antenna arrangement. Copyright 1992 by the American Geophysical Union.</t>
  </si>
  <si>
    <t>593-610</t>
  </si>
  <si>
    <t>57189670262;22035915400;7201701621;56957036700;7201795486</t>
  </si>
  <si>
    <t>Cotton, P. D.;Smith, A. J.;Wolf, T. G.;Poulsen, W. L.;Carpenter, D. L.</t>
  </si>
  <si>
    <t>Cotton P.</t>
  </si>
  <si>
    <t>The propagation of mixed polarization VLF (f ‚â§5 kHz) radio waves in the Antarctic Earth‚Äêionosphere waveguide</t>
  </si>
  <si>
    <t>10.1029/92RS00908</t>
  </si>
  <si>
    <t>2-s2.0-0026925635</t>
  </si>
  <si>
    <t>['successfully implemented', 'microstrip discontinuities', 'measured ones', 'domain mixed', 'arbitrary shape', 'analytical evaluation']</t>
  </si>
  <si>
    <t>A spatial-domain mixed-potential integral equation method is developed for the analysis of microstrip discontinuities and antennas of arbitrary shape. The algorithm is based on roof-top basis functions on a rectangular and triangular mixed grid and analytical evaluation of the quadruple moment integrals involved. The algorithm is successfully implemented into an accurate, efficient and versatile computer program. The numerical results agree with the measured ones very well. ¬© 1992 IEEE</t>
  </si>
  <si>
    <t>1741-1747</t>
  </si>
  <si>
    <t>60000221;60000221</t>
  </si>
  <si>
    <t>7403319959;7403974887</t>
  </si>
  <si>
    <t>Chang, David C.;Zheng, Jian X.</t>
  </si>
  <si>
    <t>Electromagnetic Modeling of Passive Circuit Elements in MMIC</t>
  </si>
  <si>
    <t>10.1109/22.156600</t>
  </si>
  <si>
    <t>2-s2.0-0026925682</t>
  </si>
  <si>
    <t>['¬© 1992', 'rights reserved', 'model measurements', 'ghz measurements', 'cross planes', 'bltsa type', 'antenna patterns', '56 ¬∞', '50 ¬∞', '45 ghz']</t>
  </si>
  <si>
    <t>Tapered slotline endfire antennas, of BLTSA type, have been fabricated on 1.7-um thin Si02-SbN4 (c, = 4.5) membranes. Antenna patterns in the E-, H-, D- and D-cross planes have been measured at the design frequency 348 GHz, with bismuth micro bolometer detectors. The antennas have approximately 12 dB directivity, and the -10-dB beam widths are 50¬∞ and 56¬∞ in the E- and -planes, respectively. The 348-GHz measurements have been compared with model measurements at 45 GHz, and show good agreement. ¬© 1992, IEEE. All rights reserved.</t>
  </si>
  <si>
    <t>357-358</t>
  </si>
  <si>
    <t>60000990;60000990;60000990;60000990;60025778;60025778</t>
  </si>
  <si>
    <t>57198357260;7006412694;7005304586;57169884400;7004646209;57211614875</t>
  </si>
  <si>
    <t>Ekstrom, H.;Acharya, P. R.;Kollberg, E. L.;Jacobsson, S.;Gearhart, S.;Rebeiz, G. M.</t>
  </si>
  <si>
    <t>United States;Sweden</t>
  </si>
  <si>
    <t>Ann Arbor;Gothenburg</t>
  </si>
  <si>
    <t>University of Michigan, Ann Arbor;Chalmers University of Technology</t>
  </si>
  <si>
    <t>60025778;60000990</t>
  </si>
  <si>
    <t>Ekstrom H.</t>
  </si>
  <si>
    <t>348-GHz Endfire Slotline Antennas on Thin Dielectric Membranes</t>
  </si>
  <si>
    <t>10.1109/75.153618</t>
  </si>
  <si>
    <t>2-s2.0-0026925907</t>
  </si>
  <si>
    <t>['within 8', 'values approaching', 'upper limit', 'tunnel junction', 'total bandwidth', 'submillimeter band', 'simple open', 'radiation field', 'photolithographic processing', 'noise measurements', 'measured bandwidth', 'important aspect', 'good match', 'design incorporates', 'coupling efficiencies', 'computer modeling', 'characteristic frequencies', '500 k', '492 ghz', '475 ghz', '426 ghz', '395 ghz', '318 ghz', '230 k', '220 k', '200 k', '1 œºm2']</t>
  </si>
  <si>
    <t>We have designed, fabricated, and tested a quasi-optical submillimeter wave receiver with an Nb/AlOx/Nb tunnel junction. This design incorporates a hybrid antenna fed by a planar logarithmic spiral structure in order to couple to the radiation field from the telescope. An important aspect is a novel matching circuit which requires several layers of photolithographic processing on top of the actual tunneling device, only possible with a refractory superconductor like Nb. Computer modeling of the device correctly predicted the measured bandwidth and the characteristic frequencies to within 8% as measured by SIS direct detection using a Fourier Transform Spectrometer. We have obtained a good match from 200 to 475 GHz between the antenna and a relatively large area (1 Œºm2) tunnel junction with œâRnC ‚âà 2‚Äì4. This compares to a matching circuit consisting of a simple open-ended inductive stub that attains only a few percent of total bandwidth in the submillimeter band or inductively tuned SIS arrays where the upper limit of operation is currently below the submillimeter band. Noise measurements were made at 318 GHz, 395 GHz, 426 GHz, and 492 GHz, yielding uncorrected double sideband receiver noise temperatures of 200 K, 230 K, 220 K, and 500 K, respectively. Using the same optics, coupling efficiencies between the receiver and the Caltech Submillimeter Telescope were found to have values approaching those achieved by the best waveguide horn based receiver systems. ¬© 1992 IEEE.</t>
  </si>
  <si>
    <t>165-175</t>
  </si>
  <si>
    <t>60031581;60031581;60009037;60009037</t>
  </si>
  <si>
    <t>6603300492;7401766885;23974476000;6701313709</t>
  </si>
  <si>
    <t>B√ºttgenbach, Thomas H.;Phillips, T. G.;LeDuc, Henry G.;Maker, Paul D.</t>
  </si>
  <si>
    <t>B√ºttgenbach T.</t>
  </si>
  <si>
    <t>A Fixed Tuned Broadband Matching Structure for Submillimeter SIS Receivers</t>
  </si>
  <si>
    <t>10.1109/77.160156</t>
  </si>
  <si>
    <t>2-s2.0-0026926118</t>
  </si>
  <si>
    <t>['two sources', 'sensor gain', 'phase errors', 'overlapping subarrays', 'nonoverlapping subarrays', 'music suggests', 'meansquare error', 'maximum aperture', 'general expression', 'found provided', 'field sources', 'explicit solutions', 'esprit direction', 'esprit depends', 'cases studied', 'arbitrary number']</t>
  </si>
  <si>
    <t>In this correspondence, a general expression for the meansquare error (MSE) of the ESPRIT direction-of-arrival (DOA) estimation of narrow-band, far-field sources under random sensor perturbations is derived. Explicit solutions for the case of an arbitrary ESPRIT array geometry with one and two sources are given. Solutions for the case of a uniform linear array (ULA) and arbitrary number of sources are found provided that the number of sensors is large. For this case, it is found that the MSE of ESPRIT with maximum aperture (i.e., maximum-overlapping subarrays) is lower than that of ESPRIT with nonoverlapping subarrays. A comparison with MUSIC suggests that the MSE for MUSIC is lower than that for ESPRIT. Furthermore, for the cases studied here, it is shown that the MSE of ESPRIT depends only on sensor phase errors while that of MUSIC is dependent on both sensor gain and phase errors. ¬© 1992 IEEE</t>
  </si>
  <si>
    <t>2353-2358</t>
  </si>
  <si>
    <t>60021508;60021508</t>
  </si>
  <si>
    <t>6603267788;7501575331</t>
  </si>
  <si>
    <t>Soon, V. C.;Huang, Y. F.</t>
  </si>
  <si>
    <t>Notre Dame</t>
  </si>
  <si>
    <t>University of Notre Dame</t>
  </si>
  <si>
    <t>Soon V.</t>
  </si>
  <si>
    <t>An Analysis of ESPRIT Under Random Sensor Uncertainties</t>
  </si>
  <si>
    <t>10.1109/78.157239</t>
  </si>
  <si>
    <t>2-s2.0-0026926151</t>
  </si>
  <si>
    <t>['vertical variations', 'useful information', 'several beams', 'receiving array', 'outrigger array', 'outrigger antenna', 'new experiment', 'midradar ranges', 'first time', 'echo intensity', 'eastward electrojets', 'e region', 'copyright 1992', 'coherent radar', 'closely related', 'backscatter altitude']</t>
  </si>
  <si>
    <t>In a new experiment a coherent radar has been operated as an interferometer in order to measure the vertical variations of electron density fluctuations in the auroral E region. This was accomplished by placing an outrigger array of yagis in front of the permanent receiving array at the Scandinavian Twin Auroral Radar Experiment radar site in Malvik, Norway. The radar was operated in a mode that allowed the measurement of cross‚Äêcorrelation coefficients between the outrigger antenna and several beams of the receiving array for 25 consecutive backscatter ranges. This provided, for the first time, the capability of studying the backscatter altitude and the dynamic height variations of 1‚Äêm auroral irregularities in the E region. In addition, autocorrelations for a number of lags in each of the beams were determined. In this paper we discuss the technique and several experimental details and present results obtained in both the westward and eastward electrojets. We conclude that useful information on relative backscatter altitudes can be obtained from midradar ranges during spatially homogeneous electrojet conditions. Preliminary results show the mean backscatter layer altitude and width undergoing regular variations which often are closely related to concurrent changes observed in the echo intensity and irregularity phase velocity. Copyright 1992 by the American Geophysical Union.</t>
  </si>
  <si>
    <t>743-758</t>
  </si>
  <si>
    <t>6506356748;6603751954;6701855957;55432418400</t>
  </si>
  <si>
    <t>Ierkic, H. M.;Haldoupis, C.;Moorcroft, D. R.;Nielsen, E.</t>
  </si>
  <si>
    <t>Ierkic H.</t>
  </si>
  <si>
    <t>Coherent radar interferometry of vertical irregularity structures in the auroral E region</t>
  </si>
  <si>
    <t>10.1029/92RS01233</t>
  </si>
  <si>
    <t>2-s2.0-0026926402</t>
  </si>
  <si>
    <t>['œ ¥', 'theoretical results', 'model based', 'mhz applicators', 'intracavitary hyperthermia', 'hr profiles', 'heating rate', 'experimental results', 'directivity due', 'coating diameter', 'antenna diameter', '6 ),']</t>
  </si>
  <si>
    <t>In this paper a model based on transmission line theory is used to predict the behavior of an eccentrically coated asymmetric antenna applicator for use in intracavitary hyperthermia. Theoretical results for the heating rate (HR) of the applicators are compared to experimental results. The experimental results were obtained at City of Hope National Medical Center using four different 915-MHz applicators, each with a different antenna size and eccentricity of the coating. A parameter Œ¥ is denned where Œ¥ &lt;&lt; 1.0 is a thin wire approximation; Œ¥ is primarily a function of the eccentricity of the coating, the antenna diameter, and the coating diameter. It is found that when Œ¥ ‚â§ 0.5, the theoretical model works well. In particular, it predicts the directivity due to the eccentricity of the coating. However, as this eccentricity is increased or as the antenna diameter is increased (Œ¥ ‚â• 0.6), the model no longer accurately predicts directivity. Thus, the model that can be used to predict the HR profiles for an eccentrically coated asymmetric antenna only when Œ¥ ‚â§ 0.5. ¬© 1992 IEEE</t>
  </si>
  <si>
    <t>935-942</t>
  </si>
  <si>
    <t>60018208;60018208;60007474;60007474</t>
  </si>
  <si>
    <t>6602959124;6701821440;24452192400;7102481508</t>
  </si>
  <si>
    <t>Manry, Charles W.;Broschat, Shira Lynn;Chou, Chung Kwang;McDougall, John A.</t>
  </si>
  <si>
    <t>Pullman;Duarte</t>
  </si>
  <si>
    <t>Washington State University Pullman;City of Hope National Med Center</t>
  </si>
  <si>
    <t>60018208;60007474</t>
  </si>
  <si>
    <t>Manry C.W.</t>
  </si>
  <si>
    <t>An Eccentrically Coated Asymmetric Antenna Applicator for Intracavitary Hyperthermia Treatment of Cancer</t>
  </si>
  <si>
    <t>10.1109/10.256427</t>
  </si>
  <si>
    <t>2-s2.0-0026926552</t>
  </si>
  <si>
    <t>['¬© 1992', 'rights reserved', 'results show', 'propagation constant', 'dielectric overlay']</t>
  </si>
  <si>
    <t>The effect of a dielectric overlay on the propagation constant of a microstripline on a circular cylindrical surface is examined here, using dyadic Green‚Äôs functions. The results show that this effect is substantial when the values of the relative dielectric permittivity and thickness of the overlay are increased. ¬© 1992, IEEE. All rights reserved.</t>
  </si>
  <si>
    <t>359-360</t>
  </si>
  <si>
    <t>60024989-60029570;60024989-60029570;60024989-60029570;60029570</t>
  </si>
  <si>
    <t>7201708217;6506671745;35617724800;7004822283</t>
  </si>
  <si>
    <t>da Costa Silva, Franklin;Barroso de Assis Fonseca, Sergio;Soares, Antonio Jose Martins;Giarola, Attilio Jose</t>
  </si>
  <si>
    <t>Brazil;Brazil</t>
  </si>
  <si>
    <t>Campinas;Brasilia</t>
  </si>
  <si>
    <t>Universidade Estadual de Campinas;Universidade de Bras√≠lia</t>
  </si>
  <si>
    <t>60029570;60024989</t>
  </si>
  <si>
    <t>da Costa Silva F.</t>
  </si>
  <si>
    <t>Effect of a Dielectric Overlay in a Micro on a Circular Cylindrical Surface</t>
  </si>
  <si>
    <t>10.1109/75.153619</t>
  </si>
  <si>
    <t>2-s2.0-0026926918</t>
  </si>
  <si>
    <t>['square value', 'simple computer', 'sidelobe ratio', 'response control', 'redundant array', 'proposed approach', 'one frequency', 'numerical results', 'maximum mainlobe', 'imposing one', 'frequency band', 'francis ltd', 'conventional array', 'beam pattern', 'basic idea', 'array weights', 'array response', 'array parameters', 'array manifold', 'array geometry', 'array aperture', 'also made', 'also illustrated', 'aided approach']</t>
  </si>
  <si>
    <t>A simple computer-aided approach is used to design the beam pattern of an array with arbitrary geometrical shape with maximum mainlobe-to-average-sidelobe ratio. The basic idea of the approach is to minimize the mean-square value of the array response in certain directional regions while imposing one or several directional gain constraints at one frequency or over a frequency band of interest with respect to the array weights (array weight synthesis) or array geometry (array aperture synthesis) or other array parameters which define the array manifold. In this paper, the proposed approach is applied in both array aperture and array weight synthesis. To verify the performance of the approach, numerical results are obtained to compare the response of an array designed using the proposed approach with that of the conventional array. In the case of array aperture synthesis, comparison is also made with the non-redundant array and in the case of the array weight synthesis, the performance of the proposed approach is also illustrated in conjunction with null-response control. ¬© 1992 Tayor and Francis Ltd.</t>
  </si>
  <si>
    <t>653-664</t>
  </si>
  <si>
    <t>Ng, Boon Poh</t>
  </si>
  <si>
    <t>Singapore Polytechnic</t>
  </si>
  <si>
    <t>Ng B.</t>
  </si>
  <si>
    <t>Designing array patterns with optimum inter-element spacings and optimum weights using a computer-aided approach</t>
  </si>
  <si>
    <t>10.1080/00207219208925700</t>
  </si>
  <si>
    <t>2-s2.0-0026927313</t>
  </si>
  <si>
    <t>['true velocity', 'time domain', 'spaced antenna', 'simulated data', 'results show', 'results obtained', 'refractive index', 'measuring winds', 'interferometer methods', 'interferometer analysis', 'frequency domain', 'copyright 1992', 'computer simulation', 'clear air']</t>
  </si>
  <si>
    <t>A computer simulation of scattering from inhomogeneities in the refractive index is used to compare the spaced antenna and interferometer methods for measuring winds in clear air, both with and without turbulent fading. The results show that the spaced antenna analysis which is carried out in the time domain and the interferometer analysis which is carried out in the frequency domain are equivalent in terms of the information that the two methods yield. A data analysis method, equivalent to full correlation analysis, which can be carried out in the frequency domain is presented. The method is applied to model‚Äêgenerated, simulated data in order to extract the typical full correlation analysis output parameters such as the apparent and true velocity. The results obtained are consistent with the model input parameters. Copyright 1992 by the American Geophysical Union.</t>
  </si>
  <si>
    <t>759-768</t>
  </si>
  <si>
    <t>7005113174;35598897600</t>
  </si>
  <si>
    <t>Sheppard, E. L.;Larsen, M. F.</t>
  </si>
  <si>
    <t>Sheppard E.</t>
  </si>
  <si>
    <t>Analysis of model simulations of spaced antenna/radar interferometer measurements</t>
  </si>
  <si>
    <t>10.1029/92RS00856</t>
  </si>
  <si>
    <t>2-s2.0-0026927729</t>
  </si>
  <si>
    <t>['two channel', 'receive mode', 'provide compact', 'phased arrays', 'low cost', 'carriertonoise ratio', 'acoustooptic devices', '8 db', '5 db', '1 mhz']</t>
  </si>
  <si>
    <t>A novel optical control system using nematic liquid crystals and acoustooptic devices is introduced that can provide compact, lightweight, low cost, transmit/receive mode, highperformance (&gt; 6 bits), truly analog, 0-2œÄ phase control for large (e.g., 5000 element) phased arrays. Modulo-2œÄ phase control is demonstrated for a 120 MHz carrier, with a carriertonoise ratio of 116.8 dB/Hz at 1 MHz and a signal dynamic range of 55.5 dB at 1 MHz. A novel time‚Äêmultiplexed, two channel, radar beam scanning approach is introduced to provide fast 200 beams/s antenna scanning rates. ¬© 1992 IEEE</t>
  </si>
  <si>
    <t>1072-1075</t>
  </si>
  <si>
    <t>A Compact High-Performance Optical Control System for Phased Array Radars</t>
  </si>
  <si>
    <t>10.1109/68.157153</t>
  </si>
  <si>
    <t>2-s2.0-0026928214</t>
  </si>
  <si>
    <t>['¬© 1992', 'rights reserved', 'rectangular patch', 'radiating elements', 'radiated phase', 'external source', 'electrical engineers', 'described consisting', 'beam scanning', '40 ¬∞', '360 ¬∞']</t>
  </si>
  <si>
    <t>Antenna arrays | Antennas</t>
  </si>
  <si>
    <t>A four-element microstrip active patch array with beam scanning is described consisting of locked patch oscillators with DC bias phase control. The radiating elements are formed by transistor oscillators whose frequency is controlled by a rectangular patch. The oscillators are locked to an external source. Control of the radiated phase is achieved by varying the bias on the transistor. Close to 360¬∞ of radiated phase control can be achieved from each element by locating two oscillators on each patch. Measured results indicate that beam scanning in excess of 40¬∞ can be achieved. ¬© 1992, The Institution of Electrical Engineers. All rights reserved.</t>
  </si>
  <si>
    <t>2056-2057</t>
  </si>
  <si>
    <t>60009658;60009658</t>
  </si>
  <si>
    <t>57213425197;7003982481</t>
  </si>
  <si>
    <t>Hall, P. S.;Haskins, P. M.</t>
  </si>
  <si>
    <t>Microstrip active patch array with beam scanning</t>
  </si>
  <si>
    <t>10.1049/el:19921317</t>
  </si>
  <si>
    <t>2-s2.0-0026929308</t>
  </si>
  <si>
    <t>['wire antenna', 'long thin', 'film antennas', 'fabricated thin', 'electrical loss', 'antenna properties']</t>
  </si>
  <si>
    <t>IR detector | Long-wire antenna | Mixer | Thin-film antenna | Warm carrier device</t>
  </si>
  <si>
    <t>Thin-film warm carrier devices which had 100-, 400- and 450-Œºm-long thin-film antennas were fabricated, and antenna properties at C02 laser frequency were investigated. It was found that the fabricated thin-film antenna works as a long- wire antenna with electrical loss for C02 laser radiation. ¬© 1992 IOP Publishing Ltd.</t>
  </si>
  <si>
    <t>3359-3361</t>
  </si>
  <si>
    <t>10 R</t>
  </si>
  <si>
    <t>60004176;60004176;60024322;60004680</t>
  </si>
  <si>
    <t>55361726600;7004555963;35449597700;36042342800</t>
  </si>
  <si>
    <t>Shimizu, Takashi;Yasuoka, Yoshizumi;Gamo, Kenji;Namba, Susumu</t>
  </si>
  <si>
    <t>Suita;Nagasaki;Yokosuka</t>
  </si>
  <si>
    <t>Osaka University;Nagasaki Institute of Applied Science;National Defense Academy of Japan</t>
  </si>
  <si>
    <t>60024322;60004680;60004176</t>
  </si>
  <si>
    <t>Shimizu T.</t>
  </si>
  <si>
    <t>Thin-film long-wire antenna for 10 6 Œºm c0&lt;inf&gt;2&lt;/inf&gt; laser radiation</t>
  </si>
  <si>
    <t>10.1143/JJAP.31.3359</t>
  </si>
  <si>
    <t>2-s2.0-0026929759</t>
  </si>
  <si>
    <t>['¬© 1992', 'simple method', 'rights reserved', 'new type', 'input impedances', 'electrical engineers', 'dipole array']</t>
  </si>
  <si>
    <t>Antenna arrays | Antennas | Dipole antennas | Input impedances</t>
  </si>
  <si>
    <t>A simple method for synthesising a given radiation pattern from a new type of dipole array, an unequal element array, is described. The input impedances of the elements are the same and the lengths and the radii of the dipoles are different. ¬© 1992, The Institution of Electrical Engineers. All rights reserved.</t>
  </si>
  <si>
    <t>2048-2049</t>
  </si>
  <si>
    <t>60010421;60010421</t>
  </si>
  <si>
    <t>56092910000;7409376286</t>
  </si>
  <si>
    <t>Chen, W.;Zhang, S. M.</t>
  </si>
  <si>
    <t>Southwest Jiaotong University</t>
  </si>
  <si>
    <t>Chen W.</t>
  </si>
  <si>
    <t>Design of dipole arrays with equal element impedances</t>
  </si>
  <si>
    <t>10.1049/el:19921312</t>
  </si>
  <si>
    <t>2-s2.0-0026930089</t>
  </si>
  <si>
    <t>['¬© 1992', 'studied using', 'significant differences', 'rights reserved', 'monopoles embedded', 'finite array', 'electrical engineers', 'dielectric slab', 'array analysis']</t>
  </si>
  <si>
    <t>Antenna arrays | Antennas | Monopoles | Phased arrays</t>
  </si>
  <si>
    <t>A finite array of monopoles embedded in a dielectric slab is studied using a rigorous yet efficient spectral domain moment method. Computed input impedance data are compared with data from an infinite-array analysis. Significant differences are observed, even for relatively large arrays. ¬© 1992, The Institution of Electrical Engineers. All rights reserved.</t>
  </si>
  <si>
    <t>2079-2080</t>
  </si>
  <si>
    <t>Smolders, A. B.</t>
  </si>
  <si>
    <t>Smolders A.</t>
  </si>
  <si>
    <t>Finite array of monopoles embedded in a grounded dielectric slab</t>
  </si>
  <si>
    <t>10.1049/el:19921333</t>
  </si>
  <si>
    <t>2-s2.0-0026930193</t>
  </si>
  <si>
    <t>['various transmit', 'various subsystems', 'test results', 'test procedures', 'receive subsystems', 'receive end', 'overall transmit', 'new x', 'measurements made', 'frequency stability', 'frequency stabilities', 'end systems', 'enable high', 'assessment led']</t>
  </si>
  <si>
    <t>This article presents techniques for measuring the frequency stability of a deep space station that was configured with a new X-band transmitter subsystem to enable high-quality radio science data to be obtained for a Gravity Wave Experiment. The instrument and test procedures for performing frequency stability measurements in the field are described. Test results from measurements made on various transmit and receive subsystems, as well as the overall transmit-receive end-to-end systems below the antenna feed horn are presented. The subsystem test data proved to be useful for assessing the frequency stabilities of various subsystems. This assessment led to design improvements needed to meet stringent frequency stability requirements for forthcoming gravity wave experiments. ¬© 1992 IEEE</t>
  </si>
  <si>
    <t>577-587</t>
  </si>
  <si>
    <t>Otoshi, Tom Y.;Franco, Manuel M.</t>
  </si>
  <si>
    <t>Otoshi T.</t>
  </si>
  <si>
    <t>Measurements of a Deep Space Station Fractional Frequency Stability to the 10&lt;sup&gt;-15&lt;/sup&gt; Level</t>
  </si>
  <si>
    <t>10.1109/19.177326</t>
  </si>
  <si>
    <t>2-s2.0-0026931323</t>
  </si>
  <si>
    <t>['treated volume', 'transvenous catheter', 'tissue surface', 'threatening arrhythmias', 'radial penetration', 'overall volume', 'myocardium via', 'microwave antenna', 'mediate life', 'laser light', 'heating patterns', 'heating pattern', 'heated tissue', 'heat sources', 'heat source', 'heart wall', 'energy sources', 'energy applied', 'efficient manner', 'cardiac tissue', '550 khz']</t>
  </si>
  <si>
    <t>A highly localized burst of energy applied to the myocardium via a transvenous catheter-mounted power source can be used to destroy endocardial tissue regions which mediate life-threatening arrhythmias. In the past, high-voltage direct current pulses, radio-frequency (RF) current, and laser light have been used as energy sources. In this paper, the use of 2450 MHz microwave energy applied via a miniature coaxial cable-mounted helical coil antenna designed specifically for this application was investigated as a means to increase the treated volume of cardiac tissue in a controllable and efficient manner during ablation. Using an array of fiber optic temperature probes implanted in a saline-perfused, tissue-equivalent gel phantom model designed to simulate the myocardium during ablation, the heating pattern from the microwave antenna was characterized and compared to that induced by a commercial RF electrode catheter at 550 kHz. Effects of variable contact angle between the heat source and heart wall were assessed in terms of the radial penetration and overall volume of heated tissue. Heating patterns from the RF electrodes dropped off much more abruptly both radially and axially than the microwave antenna such that the volume of effectively heated tissue was more than ten times larger for the microwave antenna when the heat sources were well-coupled to the tissue, and more than four times larger for the microwave antenna when the sources were angled 30¬∞ away from the tissue surface. ¬© 1992 IEEE</t>
  </si>
  <si>
    <t>1086-1095</t>
  </si>
  <si>
    <t>60025038-115568959;60023691;60023691</t>
  </si>
  <si>
    <t>36875556700;7005772755;7005859498</t>
  </si>
  <si>
    <t>Wonnell, Tracy L.;Stauffer, Paul R.;Langberg, Jonathan J.</t>
  </si>
  <si>
    <t>Berkeley;San Francisco;Martinez</t>
  </si>
  <si>
    <t>University of California, Berkeley;University of California, San Francisco;Ralph M. Parsons Company</t>
  </si>
  <si>
    <t>60025038;60023691;115568959</t>
  </si>
  <si>
    <t>Wonnell T.L.</t>
  </si>
  <si>
    <t>Evaluation of Microwave and Radio Frequency Catheter Ablation in a Myocardium-Equivalent Phantom Model</t>
  </si>
  <si>
    <t>10.1109/10.161341</t>
  </si>
  <si>
    <t>2-s2.0-0026931368</t>
  </si>
  <si>
    <t>['wiley company', 'values computed', 'sufficient accuracy', 'present procedure', 'paper presents', 'multibeam operation', 'measured values', 'manufacturing errors', 'large due', 'large antenna', 'inc .,', 'high gain', 'evaluation error', 'assembling error', 'aperture diameter', 'accurate evaluation']</t>
  </si>
  <si>
    <t>gravity compensation | jig | photogrammetry | satellite‚Äêborne antenna | Structural mathematical model | thermal deformation</t>
  </si>
  <si>
    <t>The satellite‚Äêborne antenna is large due to the requirement for a high gain and a multibeam operation. The construction is soft to reduce the weight as much as possible. Therefore, it is difficult to carry out the performance evaluation test on the ground with the configuration in the orbit. This paper presents a method for accurate evaluation of a large antenna in orbit. First, the electrical test results on the ground with a weight deformation made as small as possible is compared with the numerical results based on the measured values of the manufacturing errors so that the evaluation error is obtained. Next, the performance in orbit is obtained by adding the evaluation error to the values computed from the measured fabrication error and assembling error and thermal deformation analysis value. The present procedure was applied to a Ka‚Äêband multibeam antenna with an aperture diameter of 3.5 and 2.5 m on board the ETS‚ÄêVI satellite. It is shown that the evaluation can be done with sufficient accuracy. Copyright ¬© 1992 Wiley Periodicals, Inc., A Wiley Company</t>
  </si>
  <si>
    <t>79-88</t>
  </si>
  <si>
    <t>60025555;60025555;60025555;60025555</t>
  </si>
  <si>
    <t>6603786095;7102235358;57206124011;7102161856</t>
  </si>
  <si>
    <t>Itanami, Takao;Kumazawa, Hiroyuki;Kondo, Akira;Ohata, Kohei</t>
  </si>
  <si>
    <t>In‚Äêorbit electrical performance evaluation of large satellite‚Äêborne antenna</t>
  </si>
  <si>
    <t>10.1002/ecja.4410751007</t>
  </si>
  <si>
    <t>2-s2.0-0026931522</t>
  </si>
  <si>
    <t>['¬© 1992', 'transmit frequency', 'stay resonant', 'rights reserved', 'miniature hand', 'integral antennas', 'held vhf', 'electrical engineers']</t>
  </si>
  <si>
    <t>Antennas | Loop antennas</t>
  </si>
  <si>
    <t>A miniature etched loop antenna, self-adjusting to stay resonant at the transmit frequency, is described. The antenna is ideal for miniature hand-held VHF and UHF crystalcontrolled transmitters with integral antennas. ¬© 1992, The Institution of Electrical Engineers. All rights reserved.</t>
  </si>
  <si>
    <t>2075-2076</t>
  </si>
  <si>
    <t>60001565;60001565</t>
  </si>
  <si>
    <t>7202579012;7003793845</t>
  </si>
  <si>
    <t>White, F.;van der Walt, P. W.</t>
  </si>
  <si>
    <t>Stellenbosch</t>
  </si>
  <si>
    <t>Stellenbosch University</t>
  </si>
  <si>
    <t>White F.</t>
  </si>
  <si>
    <t>Miniature self-adjusting loop antenna</t>
  </si>
  <si>
    <t>10.1049/el:19921330</t>
  </si>
  <si>
    <t>2-s2.0-0026931727</t>
  </si>
  <si>
    <t>['¬© 1992', 'solve difficulties', 'rights reserved', 'receivers within', 'range distribution', 'provide point', 'low cost', 'initially developed', 'final link', 'electrical engineers', 'business customers']</t>
  </si>
  <si>
    <t>A 29 GHz radio system was initially developed to solve difficulties with providing a satellite-based racing information video distribution service direct to business customers where satellite antennas could not be provided at the customers‚Äô premises. The system was used for the final link for distributing the service. Short-range distribution is provided from a 29 GHz transmitter to a number of receivers within a circular coverage area. The system has also been adapted to provide point-to-point video transmission for other services. Minimum-cost manufacturing techniques were considered from the outset to ensure that the radio equipment could be produced at low cost in the production volumes anticipated. ¬© 1992, The Institution of Electrical Engineers. All rights reserved.</t>
  </si>
  <si>
    <t>285-290</t>
  </si>
  <si>
    <t>60014174;60014174</t>
  </si>
  <si>
    <t>55466060900;7201726792</t>
  </si>
  <si>
    <t>Scott, R. P.I.;Cooke, P. J.</t>
  </si>
  <si>
    <t>Ipswich</t>
  </si>
  <si>
    <t>British Telecom Research Lab</t>
  </si>
  <si>
    <t>Scott R.P.I.</t>
  </si>
  <si>
    <t>29 GHz radio systems for video distribution and transmission applications</t>
  </si>
  <si>
    <t>10.1049/ecej:19920049</t>
  </si>
  <si>
    <t>2-s2.0-0026932291</t>
  </si>
  <si>
    <t>['wiley company', 'total mass', 'surface density', 'sidelobe levels', 'sidelobe level', 'output power', 'output efficiency', 'mesh reflector', 'inc .,', 'important measures', 'frequency reuse', 'effects produced', 'effective mass', 'communication equipment', 'aperture diameter', 'antenna aperture']</t>
  </si>
  <si>
    <t>communication satellite | Mesh reflector antenna | mobile communication equipment | sidelobe level</t>
  </si>
  <si>
    <t>Reducing sidelobe levels and lowering the effective mass of the equipment are important measures in the design of large deployable mesh reflector multibeam antennas used for mobile communication satellites with frequency reuse. In this paper, a method of converting from sidelobe levels to effective mass is described. Then the effects produced by the sidelobe level on the mass of the mesh reflector and the communication equipment are analyzed in the case of a cluster‚Äêfed offset parabolic mesh reflector antenna. The surface density of the mesh reflector decreases with an increase in the aperture diameter, and the output efficiency of the solid‚Äêstate power amplifier decreases with an increase in output power. Next, assuming one transponder for each beam and using the EIRP of all the beams as a parameter, the relations between the sidelobe level, the minimum communication equipment mass, and the antenna aperture are described. The relation between the gain and the number of beams when the communication equipment mass is minimum is derived and the ratio of mesh reflector mass to the total mass of communication equipment is determined. Copyright ¬© 1992 Wiley Periodicals, Inc., A Wiley Company</t>
  </si>
  <si>
    <t>104-115</t>
  </si>
  <si>
    <t>117241439;117241439;117241439;117241439;117241439</t>
  </si>
  <si>
    <t>57199845202;7003864682;6602770635;7403670878;6603145037</t>
  </si>
  <si>
    <t>Sato, Shin‚ÄêIchi ‚ÄêI;Iso, Akio;Orikasa, Teruaki;Sugimoto, Toshio;Dooi, Yoshikazu</t>
  </si>
  <si>
    <t>Space Communications Research Corp</t>
  </si>
  <si>
    <t>Sato S.</t>
  </si>
  <si>
    <t>Reduction of lower sidelobe levels in a large deployable mesh reflector antenna as a means of decreasing the effective mass of communication equipment</t>
  </si>
  <si>
    <t>10.1002/ecja.4410751009</t>
  </si>
  <si>
    <t>2-s2.0-0026932357</t>
  </si>
  <si>
    <t>['¬© 1992', 'upper plate', 'spiral slots', 'spiral slot', 'single arm', 'rights reserved', 'return loss', 'lower plates', 'element technique', 'electromagnetically coupled', 'electrical engineers', 'axial ratio']</t>
  </si>
  <si>
    <t>Antenna arrays | Antennas | Slot antennas</t>
  </si>
  <si>
    <t>A spiral slot antenna consisting of a single arm is etched into the upper plate of a triplate transmission line. Power on a feed strip line located between the upper and lower plates of the triplate is electromagnetically coupled to the spiral slot. The configuration of the spiral slot is optimised for radiation of a circularly polarised wave. An array antenna consisting of spiral slots, to which a pair-element technique is applied, shows wideband characteristics for the return loss and axial ratio. ¬© 1992, The Institution of Electrical Engineers. All rights reserved.</t>
  </si>
  <si>
    <t>2088-2090</t>
  </si>
  <si>
    <t>60030526;60030526;60030526;60030526;60009551</t>
  </si>
  <si>
    <t>55633340100;36878981000;7003298527;57220533028;7403255155</t>
  </si>
  <si>
    <t>Nakano, H.;Nakayama, K.;Mimaki, H.;Yamauchi, J.;Hirose, K.</t>
  </si>
  <si>
    <t>Tokyo;Fujisawa</t>
  </si>
  <si>
    <t>Hosei University;Shonan Institute of Technology</t>
  </si>
  <si>
    <t>60030526;60009551</t>
  </si>
  <si>
    <t>Single-arm spiral slot antenna fed by a triplate transmission line</t>
  </si>
  <si>
    <t>10.1049/el:19921339</t>
  </si>
  <si>
    <t>2-s2.0-0026932784</t>
  </si>
  <si>
    <t>['¬© 1992', 'wind accelerations', 'similar magnitudes', 'possible reasons', 'paper discusses', 'measured response', 'increased monotonically', 'dynamically wind', 'acceleration response']</t>
  </si>
  <si>
    <t>This paper discusses some measurements of acceleration response of a dynamically wind-sensitive lattice tower. The measurements have been compared with predictions of the along-wind response using random vibration theory and available design information. The along- and cross-wind accelerations both increased monotonically with mean wind speed, and were of similar magnitudes to each other. The predictions of the along-wind response generally underestimated the measured response; possible reasons for this are suggested in the paper. ¬© 1992.</t>
  </si>
  <si>
    <t>2101-2109</t>
  </si>
  <si>
    <t>Journal of Wind Engineering and Industrial Aerodynamics</t>
  </si>
  <si>
    <t>60029470;60029470;60029470</t>
  </si>
  <si>
    <t>7403240451;57197304460;7102144761</t>
  </si>
  <si>
    <t>Holmes, J. D.;Schafer, B. L.;Banks, R. W.</t>
  </si>
  <si>
    <t>Commonwealth Scientific and Industrial Research Organization</t>
  </si>
  <si>
    <t>Holmes J.</t>
  </si>
  <si>
    <t>Wind-induced vibration of a large broadcasting tower</t>
  </si>
  <si>
    <t>0167-6105(92)90640-V</t>
  </si>
  <si>
    <t>10.1016/0167-6105(92)90640-V</t>
  </si>
  <si>
    <t>2-s2.0-0026933605</t>
  </si>
  <si>
    <t>['¬© 1992', 'results may', 'relevantly interesting', 'relevant aspects', 'present paper', 'broadcasting antennas']</t>
  </si>
  <si>
    <t>In the present paper some relevant aspects of a three years research work on broadcasting antennas are shown. Some results may be relevantly interesting for the design of this kind of structures. ¬© 1992.</t>
  </si>
  <si>
    <t>2077-2088</t>
  </si>
  <si>
    <t>60032350;60021859;60021859;60021859;60021859</t>
  </si>
  <si>
    <t>7005978066;57221688294;7003424627;7004546782;16220465900</t>
  </si>
  <si>
    <t>Augusti, G.;Bartoli, G.;Borri, C.;Gusella, V.;Spinelli, P.</t>
  </si>
  <si>
    <t>Rome;Florence</t>
  </si>
  <si>
    <t>Sapienza Universit√† di Roma;Universit√† degli Studi di Firenze</t>
  </si>
  <si>
    <t>60032350;60021859</t>
  </si>
  <si>
    <t>Augusti G.</t>
  </si>
  <si>
    <t>Wind load and response of broadcasting antennas: Three years of research work in cooperation with RAI</t>
  </si>
  <si>
    <t>0167-6105(92)90638-Q</t>
  </si>
  <si>
    <t>10.1016/0167-6105(92)90638-Q</t>
  </si>
  <si>
    <t>2-s2.0-0026933613</t>
  </si>
  <si>
    <t>['scan blindness', 'rights reserved', 'maintain keeping', 'grating lobe', 'element spacing', 'approximate equation']</t>
  </si>
  <si>
    <t>An approximate equation for the computation of scan blindness in the E-plane of a printed phased array is given. The scan blindness occurs before the onset of the grating lobe, requiring the re-calculation of the element spacing to maintain keeping the scan blindness out of the required scanned area. ¬© 1992 IEEE. All rights reserved.</t>
  </si>
  <si>
    <t>53-54</t>
  </si>
  <si>
    <t>57189501138;7401717954</t>
  </si>
  <si>
    <t>Schrank, Hal;Patel, Parbuh D.</t>
  </si>
  <si>
    <t>Approximate Location of Scan-Blindness Angle in Printed Phased Arrays</t>
  </si>
  <si>
    <t>10.1109/74.163814</t>
  </si>
  <si>
    <t>2-s2.0-0026938139</t>
  </si>
  <si>
    <t>['¬© 1992', 'usually calculated', 'suspension wire', 'surface displacements', 'surface cable', 'support structures', 'structural sensitivity', 'space application', 'shall also', 'sensitivity matrix', 'sage publications', 'rights reserved', 'recursive modification', 'preliminary analysis', 'prediction error', 'numerical simulations', 'modeling errors', 'modeling error', 'model simplification', 'mesh surface', 'material properties', 'major characteristic', 'iterative adjustment', 'influence coefficients', 'flexible reflectors', 'experiment using', 'error due', 'effective adjustment', 'converge efficiently', 'cable networks', 'backup network', 'automatically corrected', 'antenna reflector', 'analytical model', 'algorithm allows', 'adjustment process', 'adjustment mechanisms', 'adjustment length']</t>
  </si>
  <si>
    <t>A recursive shape adjustment algorithm is proposed, which will be used for flexible antenna reflectors for space application. The antenna reflector is composed of flexible mesh surface, cable networks, and support structures. Length adjustment mechanisms are attached to the suspension wire between the surface cable and the backup network, and the shape of the mesh surface is controlled by the adjustment mechanisms. For the purpose of effective adjustment, the matrix of influence coefficients (sensitivity matrix) of the adjustment length to the surface displacements is needed, and the matrix is usually calculated by analytical model. But some modeling errors, such as prediction error of material properties or error due to model simplification, are unavoidable in the preliminary analysis. Besides, the sensitivity matrix may change during the process of adjustment because of nonlinearity of the structure in some cases. To avoid the above problems, a recursive shape adjustment algorithm is proposed. The major characteristic of the algorithm is the recursive modification of the sensitivity matrix based on the be havior of the system in the iterative adjustment. Using this algorithm, the modeling error is automatically corrected in the adjustment process and the procedure will converge efficiently. The effectiveness of the algorithm is confirmed by numerical simulations and an experiment using a model of a large antenna reflector. Since this algorithm allows the change or modeling error of structural sensitivity, it shall also be useful for the on-board shape control of flexible reflectors. ¬© 1992, Sage Publications. All rights reserved.</t>
  </si>
  <si>
    <t>646-658</t>
  </si>
  <si>
    <t>1045389X</t>
  </si>
  <si>
    <t>60101699;60101699;60101699;60101699;60000809</t>
  </si>
  <si>
    <t>7201900580;56472098600;55471626900;7402500351;7403691800</t>
  </si>
  <si>
    <t>Tabata, Masaki;Yamamoto, Kazuo;Inoue, Toshio;Noda, Takahiko;Miura, Koryo</t>
  </si>
  <si>
    <t>Tokyo;Sagamihara</t>
  </si>
  <si>
    <t>Mitsubishi Electric Corporation;JAXA Institute of Space and Astronautical Science</t>
  </si>
  <si>
    <t>60101699;60000809</t>
  </si>
  <si>
    <t>Tabata M.</t>
  </si>
  <si>
    <t>Shape Adjustment of a Flexible Space Antenna Reflector</t>
  </si>
  <si>
    <t>10.1177/1045389X9200300407</t>
  </si>
  <si>
    <t>2-s2.0-0026938182</t>
  </si>
  <si>
    <t>['¬© 1992', 'quadratic constraint', 'proposed technique', 'paper presents', 'optimal weights', 'linear constraints', 'limiting solution', 'formulation results', 'element failure', 'effective algorithm', 'also identifies']</t>
  </si>
  <si>
    <t>Array pattern synthesis | element failure</t>
  </si>
  <si>
    <t>This paper presents a simple and effective algorithm to regain sidelobe suppression lost due to element failure with narrowest possible beamwidth. The formulation results in a constrained optimization problem involving a quadratic constraint and a set of linear constraints on the weights. The paper presents an efficient numerical technique to obtain the optimal weights. It also identifies the limiting solution to the proposed constrained optimization problem. Numerical results show that the proposed technique is very useful in optimizing the beampattern in the presence of element failure. ¬© 1992.</t>
  </si>
  <si>
    <t>7102842938;57211729330</t>
  </si>
  <si>
    <t>Er, M. H.;Hui, S. K.</t>
  </si>
  <si>
    <t>Array pattern synthesis in the presence of faulty elements</t>
  </si>
  <si>
    <t>0165-1684(92)90099-I</t>
  </si>
  <si>
    <t>10.1016/0165-1684(92)90099-I</t>
  </si>
  <si>
    <t>2-s2.0-0026938188</t>
  </si>
  <si>
    <t>['wiley company', 'typical reduction', 'normal incidence', 'inc .,', 'corner reflectors', 'achieved using']</t>
  </si>
  <si>
    <t>backscattering | corner reflectors | Radar cross‚Äêsection | reflection gratings</t>
  </si>
  <si>
    <t>Reduction of radar cross‚Äêsection of dihedral corner reflectors using simulated corrugated surface (SCS) is reported. This technique is found to be more effective in the reduction of RCS or corner reflectors for normal incidence. A typical reduction of 40‚Äì50 dB is achieved using this method. ¬© 1992 John Wiley &amp; Sons, Inc. Copyright ¬© 1992 Wiley Periodicals, Inc., A Wiley Company</t>
  </si>
  <si>
    <t>557-559</t>
  </si>
  <si>
    <t>6508095680;7005956560;7004362848;57218539158;56259735900</t>
  </si>
  <si>
    <t>Ajaikumar, V.;Jose, K. A.;Aanandan, C. K.;Mohanan, P.;Nair, K. G.</t>
  </si>
  <si>
    <t>Ajaikumar V.</t>
  </si>
  <si>
    <t>Backscattering reduction of corner reflectors using scs technique</t>
  </si>
  <si>
    <t>10.1002/mop.4650051105</t>
  </si>
  <si>
    <t>2-s2.0-0026938402</t>
  </si>
  <si>
    <t>['superconducting components', 'source signal', 'reflected signal', 'particularly suitable', 'mismatched load', 'method may', 'matching network', 'dissipative losses', 'design criteria', 'circuit performance', 'appropriate phase', 'amplitude weightings']</t>
  </si>
  <si>
    <t>A novel impedance matching technique is presented in which the reflected signal from a mismatched load is recombined, with appropriate phase and amplitude weightings, with the source signal so that, in principle, all the power from the source is delivered to the load. The method may be particularly suitable for transmit antenna matching units, especially those employing electrically small antennas and superconducting components. Results are derived to establish both design criteria and circuit performance, in terms of loss and bandwidth, in the presence of dissipative losses in the matching network.</t>
  </si>
  <si>
    <t>397-400</t>
  </si>
  <si>
    <t>Oct</t>
  </si>
  <si>
    <t>Brennan, P. V.</t>
  </si>
  <si>
    <t>Brennan P.</t>
  </si>
  <si>
    <t>Impedance matching method using passive lossless feedback</t>
  </si>
  <si>
    <t>10.1049/ip-h-2.1992.0070</t>
  </si>
  <si>
    <t>2-s2.0-0026938674</t>
  </si>
  <si>
    <t>['typical geometries', 'results obtained', 'rectangular waveguide', 'moment method', 'good agreement', 'conventional analysis']</t>
  </si>
  <si>
    <t>The moment method of analysis as applied to conventional broadwall slot radiators in rectangular waveguide has been extended to accommodate the presence of an external parallel plate polarizer. This has been achieved by imaging the half space Green's function, which is used in the conventional analysis, in the `perfectly' conducting parallel planes. The results obtained are shown to be in good agreement with vector network analyzer measurements on typical geometries.</t>
  </si>
  <si>
    <t>414-420</t>
  </si>
  <si>
    <t>Sangster, A. J.</t>
  </si>
  <si>
    <t>Edinburgh</t>
  </si>
  <si>
    <t>Heriot-Watt University</t>
  </si>
  <si>
    <t>Sangster A.</t>
  </si>
  <si>
    <t>Scattering analysis of a waveguide slot radiator enclosed in a parallel plate polarizer</t>
  </si>
  <si>
    <t>10.1049/ip-h-2.1992.0073</t>
  </si>
  <si>
    <t>2-s2.0-0026938732</t>
  </si>
  <si>
    <t>['wiley company', 'three structures', 'theoretical results', 'stratified medium', 'space domain', 'solved using', 'preferred direction', 'multilayered media', 'microstrip line', 'integral equation', 'inc .,', 'different levels', 'conducting patches', 'article reviews', 'arbitrary shapes']</t>
  </si>
  <si>
    <t>This article reviews an integral equation technique to efficiently solve printed structures consisting of conducting patches, slots, and ground planes residing in a stratified medium. The integral equation is cast into a mixed potential form and solved in the space domain. Both the electric and magnetic surface currents are considered as general two‚Äêdimensional surface currents with no prescribed or preferred direction. Thus, arbitrary shapes for patches and slots can be considered. After the formulation in the space domain, the integral equation is solved using the method of moments. Theoretical results are compared with measurements for three structures. These structures are: a wide slot antenna excited by a microstrip line; a microstrip line‚Äêslot line‚Äêmicrostrip line transition; and transitions between microstrip lines embedded at different levels of a multilayered media. ¬© 1992 John Wiley &amp; Sons, Inc. Copyright ¬© 1992 Wiley Periodicals, Inc., A Wiley Company</t>
  </si>
  <si>
    <t>273-285</t>
  </si>
  <si>
    <t>6507195458;7406228773;7006665188</t>
  </si>
  <si>
    <t>Barlatey, Lionel;Smith, Hugh;Mosig, Juan</t>
  </si>
  <si>
    <t>Barlatey L.</t>
  </si>
  <si>
    <t>Printed radiating structures and transitions in multilayered substrates</t>
  </si>
  <si>
    <t>10.1002/mmce.4570020409</t>
  </si>
  <si>
    <t>2-s2.0-0026938744</t>
  </si>
  <si>
    <t>['vector multiplications', 'surface patching', 'speed matrix', 'periodic ).', 'mom ).', 'memory required', 'iterative solution', 'impedance matrix', 'field excitation', 'electrically connected', 'discretized efie', 'dimensional structure', 'authors present', 'arbitrary three', 'antenna problems']</t>
  </si>
  <si>
    <t>The authors present a method of applying fast Fourier transform (FFT) techniques to the solution of the electric field integral equation (EFIE) on finite periodic bodies using the method-of-moments (MoM). These techniques are used to speed matrix-vector multiplications in an iterative solution of the discretized EFIE, and to save memory space required for storing the impedance matrix. An individual array element can have arbitrary three- dimensional structure and be electrically connected to its neighbors. The method is independent of the type of basis functions used, of the method of surface patching, and of the field excitation (which need not be periodic). The algorithm can be applied both to scattering and to antenna problems. The authors demonstrate improvements in speed-of-execution and memory required.</t>
  </si>
  <si>
    <t>401-406</t>
  </si>
  <si>
    <t>60005304;60005304;60005304;60005304</t>
  </si>
  <si>
    <t>6603958219;6602665091;7004848095;7101728662</t>
  </si>
  <si>
    <t>Wandzura, S. M.;Thorington, C. B.;Turley, R. S.;Hamilton, L. R.</t>
  </si>
  <si>
    <t>Wandzura S.M.</t>
  </si>
  <si>
    <t>Fast fourier transform techniques for solving the electric field integral equation for a periodic body</t>
  </si>
  <si>
    <t>10.1049/ip-h-2.1992.0071</t>
  </si>
  <si>
    <t>2-s2.0-0026938778</t>
  </si>
  <si>
    <t>['viable alternative', 'using multipoint', 'urban environment', 'unique features', 'simple propagation', 'results indicate', 'performance exceeds', 'optical fibres', 'novel architecture', 'interference models', 'data traffic', 'combine time', 'capacity even']</t>
  </si>
  <si>
    <t>Using multipoint-radio link systems constitutes a viable alternative to copper and optical fibres for high-capacity local distribution of telephone and data traffic. In the paper, a novel architecture for a fixed cellular radio system is proposed. The proposed system uses electronically steerable antennas to combine time and 'space' multiplexing. Assuming an urban environment and a high user density, the performance of the system is estimated for some simple propagation and interference models. Results indicate that, owing to the time-space multiplexing technique, the performance exceeds the performance of conventional multipoint systems by an order of magnitude. Owing to the unique features of the system, several central stations may be operated at the same site at the same frequency, to boost the capacity even more.</t>
  </si>
  <si>
    <t>533-538</t>
  </si>
  <si>
    <t>60002014;60002014</t>
  </si>
  <si>
    <t>7102225810;6506133976</t>
  </si>
  <si>
    <t>Zander, J.;Ahl, K. A.</t>
  </si>
  <si>
    <t>The Royal Institute of Technology (KTH)</t>
  </si>
  <si>
    <t>Zander J.</t>
  </si>
  <si>
    <t>Capacity of time-space switched cellular radio link systems for metropolitan area networks</t>
  </si>
  <si>
    <t>10.1049/ip-i-2.1992.0071</t>
  </si>
  <si>
    <t>2-s2.0-0026938783</t>
  </si>
  <si>
    <t>['waveguide co', 'supporting medium', 'permittivity tensor', 'ordinate system', 'new data', 'dispersive properties', 'dependent characteristics', 'biaxial substrates', 'asymmetric structure', '40 ghz']</t>
  </si>
  <si>
    <t>The frequency-dependent characteristics of shielded asymmetric microstrip lines on uniaxial and biaxial substrates are presented in this memorandum. The permittivity tensor of the supporting medium is assumed to have off- diagonal elements due to the misalignment between the waveguide co-ordinate system and that of the material. New data for the dispersive properties of the asymmetric structure are provided for frequencies up to 40 GHz.</t>
  </si>
  <si>
    <t>421-423</t>
  </si>
  <si>
    <t>60032503;60032503</t>
  </si>
  <si>
    <t>7402460414;7005879718</t>
  </si>
  <si>
    <t>Ho, T. Q.;Beker, B.</t>
  </si>
  <si>
    <t>Ho T.Q.</t>
  </si>
  <si>
    <t>Asymmetric microstrip lines on anisotropic substrates with material axes inclined in the transverse plane</t>
  </si>
  <si>
    <t>10.1049/ip-h-2.1992.0074</t>
  </si>
  <si>
    <t>2-s2.0-0026938811</t>
  </si>
  <si>
    <t>['various te', 'tm modes', 'tm cases', 'subsequently computed', 'resonant frequency', 'radiation field', 'post resonator', 'new configuration', 'moment method', 'integral equation', 'independent te', 'impedance matrix', 'function techniques', 'frequency plane', 'field distribution', 'dielectric post', 'conducting cavity', 'antenna structure', 'annular slot']</t>
  </si>
  <si>
    <t>A new configuration for a flush-mounted resonator antenna is presented in which the antenna is formed by a conducting cavity with a dielectric post, and radiates through an annular slot in the upper ground plane. An aperture magnetic current integral equation is used to model the slot, and the effect of the post resonator and cavity are included via Green's function techniques. The formulation is presented for the azimuthally-independent TE and TM cases. The moment method is applied to the integral equation, and the complex resonant frequencies for the antenna structure are found by searching for the zeroes of the determinant of the impedance matrix in the complex-frequency plane. The radiation Q factor, slot-field distribution, and radiation field are subsequently computed at the resonant frequency. Various TE and TM modes have been investigated for different geometrical configurations.</t>
  </si>
  <si>
    <t>453-458</t>
  </si>
  <si>
    <t>60010491;60010491;60010491</t>
  </si>
  <si>
    <t>57205973667;7006839683;7004961387</t>
  </si>
  <si>
    <t>Di, X.;Glisson, A. W.;Michalski, K. A.</t>
  </si>
  <si>
    <t>University</t>
  </si>
  <si>
    <t>University of Mississippi</t>
  </si>
  <si>
    <t>Di X.</t>
  </si>
  <si>
    <t>Analysis of a dielectric resonator antenna in a cylindrical conducting cavity : TE and TM modes</t>
  </si>
  <si>
    <t>10.1049/ip-h-2.1992.0080</t>
  </si>
  <si>
    <t>2-s2.0-0026939508</t>
  </si>
  <si>
    <t>['wiley company', 'theoretical background', 'surface waves', 'several examples', 'scattering parameters', 'physical effects', 'numerical results', 'losses due', 'inc .,', 'field components', 'feeding structure', 'dyadic green', 'different techniques', 'current distribution', 'arbitrary shape']</t>
  </si>
  <si>
    <t>This article is a survey of the theoretical background for full‚Äêwave spectral‚Äêdomain analysis of open microstrip discontinuities of arbitrary shape. The spectral‚Äêdomain dyadic Green's function, which takes into account all the physical effects, such as radiation and surface waves, is used to formulate an electric field integral equation. The method of moments is then employed to find the current distribution on the microstrips, and subsequently, the scattering parameters of the junctions. Since all field components can be expressed in terms of the dyadic Green's function and the current distribution, the losses due to both radiation and surface waves are further determined through a rigorous Poynting vector analysis. To model the discontinuities of arbitrary shape, both rectangular and triangular subdomain functions are used as the current expansion functions in the moment method procedure. In addition, the semi‚Äêinfinite traveling wave functions are applied to simulate the feeding structure and isolate individual junction effects. Several examples are demonstrated to illustrate the utility of different techniques in this analysis. Comparison of some numerical results with available experimental data shows excellent agreement. Finally, this approach is most natural for the characterization of 3‚ÄêD integrated circuits and the design of printed antennas including excitation circuit effects. ¬© 1992 John Wiley &amp; Sons, Inc. Copyright ¬© 1992 Wiley Periodicals, Inc., A Wiley Company</t>
  </si>
  <si>
    <t>224-240</t>
  </si>
  <si>
    <t>60027550;60027550;60027550;60027550</t>
  </si>
  <si>
    <t>7006453948;7004468161;56161418400;57191003360</t>
  </si>
  <si>
    <t>Horng, Tzyy‚ÄêSheng ‚ÄêS;Alexopoulos, Nicolaos G.;Wu, Shih‚ÄêChang ‚ÄêC;Yang, Hung‚ÄêYu ‚ÄêY</t>
  </si>
  <si>
    <t>Horng T.</t>
  </si>
  <si>
    <t>Full‚Äêwave spectral‚Äêdomain analysis for open microstrip discontinuities of arbitrary shape including radiation and surface‚Äêwave losses (invited paper)</t>
  </si>
  <si>
    <t>10.1002/mmce.4570020404</t>
  </si>
  <si>
    <t>2-s2.0-0026939523</t>
  </si>
  <si>
    <t>Natur og Univers, Det Frie Forskningsr√•d</t>
  </si>
  <si>
    <t>FNU, DFF</t>
  </si>
  <si>
    <t>['terahertz time', 'standard techniques', 'spectra cover', 'range difficult', 'nonpolar liquids', 'imaginary part', 'frequency response', 'far infrared', 'domain spectroscopy', 'dielectric response', 'carbon tetrachloride']</t>
  </si>
  <si>
    <t>Using a newly developed terahertz time-domain spectrometer based on photoconductive dipole antennas driven by femtosecond laser pulses, we have measured the absorption and index of refraction for benzene, carbon tetrachloride and cyclohexane in the far infrared. the spectra cover the region from 3‚Äì66 cm-1, where the dielectric response of the nonpolar liquids is dominated by collision induced dipole moments. with terahertz time-domain spectroscopy, information on both the real and imaginary part of the frequency response is obtained in a range difficult to access by standard techniques. ¬© 1992 IEEE.</t>
  </si>
  <si>
    <t>2518-2522</t>
  </si>
  <si>
    <t>60019160;60019160</t>
  </si>
  <si>
    <t>57216247389;35560442800</t>
  </si>
  <si>
    <t>Pedersen, J. E.;Keiding, S. R.</t>
  </si>
  <si>
    <t>Odense</t>
  </si>
  <si>
    <t>Syddansk Universitet</t>
  </si>
  <si>
    <t>Pedersen J.E.</t>
  </si>
  <si>
    <t>Thz Time-Domain Spectroscopy of Nonpolar Liquids</t>
  </si>
  <si>
    <t>10.1109/3.159558</t>
  </si>
  <si>
    <t>2-s2.0-0026940053</t>
  </si>
  <si>
    <t>['rectangular domains', 'groove guide', 'domain decomposition', 'analyzed using']</t>
  </si>
  <si>
    <t>In this paper, a groove guide has been analyzed using the mode matching technique employing three domains in place of the two domains used in the conventional mode matching formulation. This approach has been shown to be computationally more accurate. The computed results match very well with the experimentally measured values. This method of domain decomposition can be applied to waveguide structures whose cross section can be subdivided into rectangular domains.</t>
  </si>
  <si>
    <t>449-452</t>
  </si>
  <si>
    <t>60021988;60021988</t>
  </si>
  <si>
    <t>57202724725;6603942863</t>
  </si>
  <si>
    <t>Inderjit, ;Sachidananda, M.</t>
  </si>
  <si>
    <t>Kanpur</t>
  </si>
  <si>
    <t>Indian Institute of Technology Kanpur</t>
  </si>
  <si>
    <t>Inderjit</t>
  </si>
  <si>
    <t>Rigorous analysis of a groove guide</t>
  </si>
  <si>
    <t>10.1049/ip-h-2.1992.0079</t>
  </si>
  <si>
    <t>2-s2.0-0026940114</t>
  </si>
  <si>
    <t>['various parameters', 'studied using', 'slot inclined', 'slot dimensions', 'resonant frequency', 'input impedance', 'general case', 'equivalent circuit', 'designing antennas', 'circular polarization', 'analysis could']</t>
  </si>
  <si>
    <t>The problem of an aperture-coupled patch antenna is studied using the spectral domain technique. The general case of a slot inclined to both the feedline and the patch is considered. The equivalent circuit for the structure is obtained and the effects of various parameters, such as slot dimensions and inclination on the resonant frequency and on the input impedance, are studied. Comparison between theory and measurement shows good agreement. The analysis could be useful in designing antennas for dual frequency operation or for circular polarization where inclined slots could be used.</t>
  </si>
  <si>
    <t>459-464</t>
  </si>
  <si>
    <t>7402673635;35566584200;57027512900</t>
  </si>
  <si>
    <t>Bhattacharyya, A. K.;Antar, Y. M.M.;Ittipiboon, A.</t>
  </si>
  <si>
    <t>Spectral domain analysis of aperture-coupled microstrip patch antennas</t>
  </si>
  <si>
    <t>10.1049/ip-h-2.1992.0081</t>
  </si>
  <si>
    <t>2-s2.0-0026940329</t>
  </si>
  <si>
    <t>['transmission line', 'single filling', 'multilayer structure', 'idg structure', 'guide parameters', 'determined concerning', 'bandwidth exceeding']</t>
  </si>
  <si>
    <t>Inset Dielectric Guide has been proposed as a transmission line for millimeter wave circuits and antennas. However, little has been determined concerning the guide parameters which control the bandwidth of the guide or the achievable bandwidth limits. In order to investigate these parameters we have analyzed the IDG structure in the case where the dielectric filling may be a multilayer structure. As a result, we have found that while IDG with a single filling can have a bandwidth exceeding that of rectangular metal waveguide, the use of just two dielectric layers can give bandwidths exceeding those typical of double ridge waveguide. ¬© 1992 IEEE</t>
  </si>
  <si>
    <t>1910-1917</t>
  </si>
  <si>
    <t>60030480;60031624;60031624</t>
  </si>
  <si>
    <t>7004068328;56838078200;56253019800</t>
  </si>
  <si>
    <t>Pennock, Steve R.;Izzat, Narian;Rozzi, Tullio</t>
  </si>
  <si>
    <t>Very Wideband Operation of Twin-layer Inset Dielectric Guide</t>
  </si>
  <si>
    <t>10.1109/22.159628</t>
  </si>
  <si>
    <t>2-s2.0-0026940628</t>
  </si>
  <si>
    <t>['without needing', 'significant result', 'receivers operating', 'preceding stage', 'practical low', 'parabolic antenna', 'noise performance', 'noise block', 'noise amplifier', 'mmic lnb', 'mmic chips', 'mix ),', 'lna ),', 'ghz mixer', 'ghz low', 'first report', 'dro ),', 'dielectric resonator', 'almost noise', 'active elements', 'achieved without', '40 cm', '12 ghz']</t>
  </si>
  <si>
    <t>A monolithic microwave integrated circuit (MMIC) family was demonstrated as a low-noise block down-converter (LNB) for use in direct broadcast satellite (DBS) receivers operating from 11.7 to 12 GHz. A 12-GHz low-noise amplifier (LNA), a 12-GHz mixer (MIX), a 10.7-GHz dielectric resonator oscillator (DRO), and a 1-GHz IF amplifier (IFA) were designed with GaAs MMIC technology. This is the first report of MMIC's for an LNB with pulse-doped GaAs MESFET's as the active elements. These MMIC chips were designed to form a complete LNB function with the exception of the dielectric resonator. The most significant result of this work is that practical low-noise performance can now be achieved without the use of high electron mobility transistors (HEMT's) in a preceding stage of the MMIC LNB. Almost noise-free satellite broadcast TV pictures were seen by using a parabolic antenna, 40 cm in diameter, without needing any additional circuit adjustment. ¬© 1992 IEEE</t>
  </si>
  <si>
    <t>1413-1420</t>
  </si>
  <si>
    <t>1558173X</t>
  </si>
  <si>
    <t>IEEE Journal of Solid-State Circuits</t>
  </si>
  <si>
    <t>60003765;60003765;60003765;60003765;60003765;60003765;60003765</t>
  </si>
  <si>
    <t>35589200700;56218711200;7403109638;6701527439;7003799660;7202615628;55624468613</t>
  </si>
  <si>
    <t>Shiga, Nobuo;Sekiguchi, Takeshi;Nakajima, Shigeru;Otobe, Kenji;Kuwata, Nobuhiro;Matsuzaki, Ken Ichiro;Hayashi, Hideki</t>
  </si>
  <si>
    <t>Osaka</t>
  </si>
  <si>
    <t>Sumitomo Electric Industries, Ltd.</t>
  </si>
  <si>
    <t>Shiga N.</t>
  </si>
  <si>
    <t>MMIC Family for DBS Down-Converter with Pulse-Doped GaAs MESFET's</t>
  </si>
  <si>
    <t>10.1109/4.156445</t>
  </si>
  <si>
    <t>2-s2.0-0026940682</t>
  </si>
  <si>
    <t>['¬© 1992', 'vibration suppression', 'smart structures', 'sage publications', 'rights reserved', 'experimental results', 'de veloped', 'actuator simultaneously']</t>
  </si>
  <si>
    <t>The development of smart structures has seen many applications both in areas of acoustics and vibrations. We will explore a problem in vibration suppression where the application of smart structures is not only logical but necessary. This system is the control of a flexible ribbed antenna structure. In order to better incorporate smart structures into the vibration suppression problem, a methodology for utilizing a single piezoceramic segment as both a sensor and an actuator simultaneously has been de veloped. The technique for accomplishing this will be presented, and experimental results for the structure will be shown. ¬© 1992, Sage Publications. All rights reserved.</t>
  </si>
  <si>
    <t>659-667</t>
  </si>
  <si>
    <t>60003915;60032083;60032083</t>
  </si>
  <si>
    <t>7402249590;7005746381;7101824262</t>
  </si>
  <si>
    <t>Garcia, Ephrahim;Dosch, Jeff;Inman, Daniel J.</t>
  </si>
  <si>
    <t>Buffalo;Nashville</t>
  </si>
  <si>
    <t>University at Buffalo, The State University of New York;Vanderbilt University</t>
  </si>
  <si>
    <t>60032083;60003915</t>
  </si>
  <si>
    <t>Garcia E.</t>
  </si>
  <si>
    <t>The Application of Smart Structures to the Vibration Suppression Problem</t>
  </si>
  <si>
    <t>10.1177/1045389X9200300408</t>
  </si>
  <si>
    <t>2-s2.0-0026941265</t>
  </si>
  <si>
    <t>['tilted ionospheres', 'signal strength', 'profile differences', 'primary difference', 'presented showing', 'paper discusses', 'one contains', 'method adopted', 'joining layers', 'ionospheric absorption', 'f valley', 'appropriate combination', 'antenna patterns', 'analytical solutions']</t>
  </si>
  <si>
    <t>The paper discusses a technique for fitting quasiparabolic layers to measured vertical electron density profiles. The method adopted is to represent individual ionospheres by the appropriate combination of E, E-F valley, F1 and F2 layers connected by joining layers. The method produces quite accurate representations of measured ionospheric profiles. The advantage of using quasiparabolic layers is that analytical solutions of various ray parameters can be obtained, including the effect on signal strength of ray tube divergence. Furthermore, tilted ionospheres can also be considered. The methods are illustrated by application to two vertical electron density profiles obtained from the same ionogram. The primary difference in the profiles is that one contains an E-F valley. Results are presented showing not only the effects of the profile differences, but also the effects of tilts, antenna patterns and ionospheric absorption.</t>
  </si>
  <si>
    <t>407-413</t>
  </si>
  <si>
    <t>60006925;60006925</t>
  </si>
  <si>
    <t>24545701600;57207098435</t>
  </si>
  <si>
    <t>Dyson, P. L.;Bennett, J. A.</t>
  </si>
  <si>
    <t>La Trobe University</t>
  </si>
  <si>
    <t>Dyson P.L.</t>
  </si>
  <si>
    <t>Exact ray path calculations using realistic ionospheres</t>
  </si>
  <si>
    <t>10.1049/ip-h-2.1992.0072</t>
  </si>
  <si>
    <t>2-s2.0-0026941428</t>
  </si>
  <si>
    <t>['wiley company', 'substrate thickness', 'substrate permittivity', 'perpendicular orientations', 'numerical results', 'mutual impedance', 'mutual coupling', 'inc .,', 'feed positions', 'comprehensive study', 'cavity model']</t>
  </si>
  <si>
    <t>microstrip | mutual coupling | Patch antenna</t>
  </si>
  <si>
    <t>A comprehensive study of the mutual coupling between two rectangular microstrip patch antennas is presented. Using the cavity model, numerical results for both mutual impedance and mutual coupling parameter are given for the E‚Äêplane, H‚Äêplane, diagonal, and perpendicular orientations. The effects of substrate thickness, substrate permittivity, and feed positions are discussed. ¬© 1992 John Wiley &amp; Sons, Inc. Copyright ¬© 1992 Wiley Periodicals, Inc., A Wiley Company</t>
  </si>
  <si>
    <t>572-576</t>
  </si>
  <si>
    <t>115487206;60021624;60021624;60026717</t>
  </si>
  <si>
    <t>7101890953;7501501369;6602901687;24522606100</t>
  </si>
  <si>
    <t>Huynh, Tan;Lee, Kai‚ÄêFong ‚ÄêF;Chebolu, Siva Rao;Lee, R. Q.</t>
  </si>
  <si>
    <t>Cleveland;Toledo;Dallas</t>
  </si>
  <si>
    <t>NASA Glenn Research Center;The University of Toledo;Decibel Products</t>
  </si>
  <si>
    <t>60026717;60021624;115487206</t>
  </si>
  <si>
    <t>Huynh T.</t>
  </si>
  <si>
    <t>Mutual coupling between rectangular microstrip patch antennas</t>
  </si>
  <si>
    <t>10.1002/mop.4650051109</t>
  </si>
  <si>
    <t>2-s2.0-0026941443</t>
  </si>
  <si>
    <t>['wiley company', 'recent claim', 'linearly independnet', 'linear independence', 'inc .,']</t>
  </si>
  <si>
    <t>Basis functions | functional analysis | linear independence | method of moments | testing functions</t>
  </si>
  <si>
    <t>The question of the linear independence of testing functions used in the method of moments is studied. Using functional analysis a recent claim that certain testing functions are not linearly independnet is shown to be incorrect. ¬© 1992 John Wiley &amp; Sons. Inc. Copyright ¬© 1992 Wiley Periodicals, Inc., A Wiley Company</t>
  </si>
  <si>
    <t>590-592</t>
  </si>
  <si>
    <t>60008609;60008609;60008609</t>
  </si>
  <si>
    <t>7101834416;6701869025;6603636914</t>
  </si>
  <si>
    <t>Kaye, M.;Pasala, K. M.;Reuster, D.</t>
  </si>
  <si>
    <t>Kaye M.</t>
  </si>
  <si>
    <t>On the linear independence of testing functions used in the method of moments</t>
  </si>
  <si>
    <t>10.1002/mop.4650051113</t>
  </si>
  <si>
    <t>2-s2.0-0026941729</t>
  </si>
  <si>
    <t>International Business Machines Corporation</t>
  </si>
  <si>
    <t>IBM</t>
  </si>
  <si>
    <t>['spatial profile', 'scanning range', 'radiated waveform', 'radiated pulses', 'pump beam', 'photoconducting antennas', 'latter property', 'frequency content', 'free space', 'emitted radiation', 'electrically steerable', 'bit spacing', '6 ps', '40 ¬∞.']</t>
  </si>
  <si>
    <t>We describe an array of photoconducting antennas which generates electrically controllable millimeter wave and submillimeter wave radiation in free space. Under quasi-sinusoidal optical illumination, the emitted radiation is directional and electrically steerable, and can be scanned through an angle of over 40¬∞. the center of the scanning range can be adjusted by changing the angle of incidence of the pump beam. the far-field radiation pattern of the array is measured and discussed. Also, some properties of the array under illumination by a short optical pulse are demonstrated. These include electrical control of the frequency content of the signal, and mapping of the spatial profile of the applied electric field onto the radiated waveform. the latter property can be used to multiplex information presented in parallel into a train of radiated pulses with a bit spacing of 6 ps. ¬© 1992 IEEE.</t>
  </si>
  <si>
    <t>2291-2301</t>
  </si>
  <si>
    <t>60030162;60030162;60030162;60030162</t>
  </si>
  <si>
    <t>6603945990;24325456000;7410280543;7003905455</t>
  </si>
  <si>
    <t>Froberg, Nan M.;Hu, Bin Bin;Zhang, Xi Cheng;Auston, David H.</t>
  </si>
  <si>
    <t>New York</t>
  </si>
  <si>
    <t>Columbia University</t>
  </si>
  <si>
    <t>Froberg N.</t>
  </si>
  <si>
    <t>Terahertz Radiation From a Photoconducting Antenna Array</t>
  </si>
  <si>
    <t>10.1109/3.159536</t>
  </si>
  <si>
    <t>2-s2.0-0026941942</t>
  </si>
  <si>
    <t>['squinted beam', 'sequential rotation', 'paper clarifies', 'measured results', 'input vswr', 'computed results', 'antenna configurations']</t>
  </si>
  <si>
    <t>The application of sequentially rotated feeding to dual polarization antennas can lead not only to the well known improvements in crosspolarization and input VSWR, but also to significantly better polarization isolation. There are, however, many such antenna configurations that can be envisaged, and this paper clarifies the design and performance by application of first-order analytical methods. Improved crosspolarization suppression and polarization isolation result for dual linear arrays, and, for dual circular antennas, crosspolarization and input VSWR are improved. Investigation of several configurations indicates that isolation improvement cannot be achieved in the dual circular case except when the array is operated with a squinted beam. Measured results are presented that demonstrate this advance, and, together with computed results, indicate that the combination of sequential rotation and squinted beam produces dual circularly polarized arrays with many desirable performance features.</t>
  </si>
  <si>
    <t>465-471</t>
  </si>
  <si>
    <t>Dual polarization antenna arrays with sequentially rotated feeding</t>
  </si>
  <si>
    <t>10.1049/ip-h-2.1992.0082</t>
  </si>
  <si>
    <t>2-s2.0-0026941953</t>
  </si>
  <si>
    <t>['update times', 'update time', 'square root', 'residuals obtained', 'position residual', 'mean number', 'former filter', 'executes manoeuvres', 'estimation errors', 'cube root', 'chosen according', 'best compromise']</t>
  </si>
  <si>
    <t>The effects of incorporating a time-varying update time into three-tracking algorithms based on the Œ±Œ≤- and Œ±Œ≤Œ≥-filters are presented and compared. The resulting performance figures are presented, these being the means square errors, the mean update time and the mean number of updates. The update times are chosen according to the inverse of either the square root or cube root of the position residual. As expected, the Œ±Œ≤Œ≥-filter yields larger update times during the manoeuvre than those obtained with the Œ±Œ≤-filter, as the residuals obtained with the former filter are smaller during the manoeuvre. It is found that the best compromise between the number of updates and estimation errors is obtained when the update time is chosen according to the inverse of the square root of the residual when the Œ±Œ≤-filter is being used, and the inverse of the cube root of the residual when the Œ±Œ≤Œ≥-filter is being used. Finally, a discussion is presented as to how a combination of the Œ±Œ≤- and Œ±Œ≤Œ≥-filters can be made to track a target which executes manoeuvres.</t>
  </si>
  <si>
    <t>336-342</t>
  </si>
  <si>
    <t>60015138;60015138;60015138;60015138</t>
  </si>
  <si>
    <t>6507148388;56961674700;7005475256;7004481204</t>
  </si>
  <si>
    <t>Munu, M.;Harrison, I.;Wilkin, D.;Woolfson, M. S.</t>
  </si>
  <si>
    <t>Nottingham</t>
  </si>
  <si>
    <t>University of Nottingham</t>
  </si>
  <si>
    <t>Munu M.</t>
  </si>
  <si>
    <t>Comparison of adaptive target-tracking algorithms for phased-array radar</t>
  </si>
  <si>
    <t>10.1049/ip-f-2.1992.0047</t>
  </si>
  <si>
    <t>2-s2.0-0026941968</t>
  </si>
  <si>
    <t>['united states', 'two overwater', 'showing consistency', 'refractivity profile', 'receiving sites', 'propagation links', 'parramore island', 'lookout tower', 'generally due', 'fades relative', 'fade levels', 'fact occur', 'extreme subrefraction', 'earlier period', 'copyright 1992', 'calculated fades', 'assateague beach', 'arbitrarily defined', 'approximately 7', 'antenna locations', 'also derived', '7 hours', '7 ghz', '54 db', '39 km', '20 db', '2 hours']</t>
  </si>
  <si>
    <t>We examine signal fading statistics over a 1‚Äêyear period corresponding to two overwater, line‚Äêof‚Äêsight, propagation links in the mid‚ÄêAtlantic coast of the United States. These links are composed of a transmitter on a tower at Parramore Island, Virginia, operating at 4.7 GHz, sending simultaneous CW signals to two receiver systems located on a lighthouse and a lookout tower on Assateague Beach, Virginia, at distances of 44 and 39 km, respectively. The receiving sites are separated by approximately 5 km. Cumulative fade distributions corresponding to yearly, monthly, and diurnal time scales were derived. The annual distributions showed fades in excess of 49 and 54 dB during approximately 7.7 hours of the year, for the lighthouse and lookout tower links, respectively. Fade duration statistics corresponding to sustained attenuation events were also derived. These events, which were arbitrarily defined as having fades relative to free space powers in excess of 20 dB for durations of 2 hours or more, are believed to be generally due to extreme subrefractive conditions. Analysis of synoptic weather conditions and nearby rawinsonde data during four sustained deep fading periods showed atmospheric conditions consistent with extreme subrefraction, where the refractivity height profiles had positive lapse rates. A measured refractivity profile, having a positive lapse rate, was injected into a propagation model based on an approximation to the scalar Helmholtz wave equation, and fade levels in the vicinity of the antenna locations were calculated. Although the refractivity profile was measured during an earlier period in the vicinity of the links, it was obtained over the water and showed an extreme positive lapse rate in refractivity, indicating that such profiles do in fact occur. Furthermore, the calculated fades were noted to have the same range of values as measured during the sustained deep fade events, showing consistency with the hypothesis that severe subrefraction may be the cause of these events. Copyright 1992 by the American Geophysical Union.</t>
  </si>
  <si>
    <t>813-828</t>
  </si>
  <si>
    <t>November-December 1992</t>
  </si>
  <si>
    <t>7005208323;7005875949;6602785231</t>
  </si>
  <si>
    <t>Goldhirsh, Julius;Dockery, G. Daniel;Musiani, Bert H.</t>
  </si>
  <si>
    <t>Goldhirsh J.</t>
  </si>
  <si>
    <t>Fade statistics and propagation events at C band for two overwater, line‚Äêof‚Äêsight propagation paths over a 1‚Äêyear period</t>
  </si>
  <si>
    <t>10.1029/92RS01775</t>
  </si>
  <si>
    <t>2-s2.0-0026942817</t>
  </si>
  <si>
    <t>['used solely', 'small compared', 'sidelobe region', 'pattern formation', 'null steering', 'imposed nulls', 'ground plane', 'element positions', 'double nulls', 'array elements', 'adaptive array']</t>
  </si>
  <si>
    <t>Null steering in an adaptive array is realized by elemental position perturbations. Small position perturbations are assumed, which is valid when the number of imposed nulls is small compared to the number of array elements. The null steering has been achieved for an eight-element monopole array over a ground plane. The array illumination function is used solely for pattern formation and can also be used for main beam steering. Single and double nulls are realized in the sidelobe region. The experimental results prove the validity of null steering by controlling the element positions. ¬© 1992 IEEE</t>
  </si>
  <si>
    <t>1431-1434</t>
  </si>
  <si>
    <t>60009506;60009506</t>
  </si>
  <si>
    <t>36182437100;7005550811</t>
  </si>
  <si>
    <t>Dawoud, M. M.;Ismail, T. H.</t>
  </si>
  <si>
    <t>Saudi Arabia</t>
  </si>
  <si>
    <t>Dhahran</t>
  </si>
  <si>
    <t>King Fahd University of Petroleum and Minerals</t>
  </si>
  <si>
    <t>Dawoud M.</t>
  </si>
  <si>
    <t>Experimental Verification of Null Steering by Element Position Perturbations</t>
  </si>
  <si>
    <t>10.1109/8.202722</t>
  </si>
  <si>
    <t>2-s2.0-0026942834</t>
  </si>
  <si>
    <t>['theoretical predictions', 'sba computer', 'previously reported', 'previous methods', 'numerical integration', 'measurements performed', 'larger directivity', 'first three', 'first harmonic', 'dimensional analysis', 'described using', 'cos …∏,', 'aided designs']</t>
  </si>
  <si>
    <t>The first three-dimensional analysis of a short backfire antenna (SBA) is described using the vector mode matching method. The computation is efficient for a model that uses only the first harmonic, cos …∏, and that deforms the path of numerical integration. This model is useful for SBA computer-aided designs. A larger directivity than previously reported is obtained with the aid of this model. The theoretical predictions of the radiation pattern yield better agreement than previous methods when compared with measurements performed on a prototype. ¬© 1992 IEEE</t>
  </si>
  <si>
    <t>1434-1438</t>
  </si>
  <si>
    <t>60000745;60000745;60000745</t>
  </si>
  <si>
    <t>35446329800;7404804587;26643168800</t>
  </si>
  <si>
    <t>Otto, Gregory P.;Lu, Caicheng;Chew, Weng Cho</t>
  </si>
  <si>
    <t>Otto G.</t>
  </si>
  <si>
    <t>Circular Short Backfire Antenna Modeling</t>
  </si>
  <si>
    <t>10.1109/8.202723</t>
  </si>
  <si>
    <t>2-s2.0-0026942966</t>
  </si>
  <si>
    <t>['thus constituting', 'space wavelength', 'original sommerfeld', 'observation points', 'lateral separation', 'large parameter', 'grounded double', 'field behavior', 'exact green', 'efficient tool', 'efficient closed', 'developed via', 'asymptotic solution', 'asymptotic expressions', 'asymptotic development']</t>
  </si>
  <si>
    <t>In this paper, an efficient closed-form asymptotic representation for the grounded double-layer (substrate-super-strate) Green's function is presented. The formulation is valid for both source (a horizontal electric dipole) and observation points anywhere inside the superstrate or at the interfaces. The asymptotic expressions are developed via a steepest descent evaluation of the original Sommerfeld-type integral representation of the Green's function, and the large parameter in this asymptotic development is proportional to the lateral separation between source and observation points. The asymptotic solution is shown to agree with the exact Green's function for lateral distances even as small as a few tenths of the free-space wavelength, thus constituting a very efficient tool for analyzing printed circuits/antennas. Also, since the asymptotic approximation gives separate contributions pertaining to the different wave phenomena, it thus provides physical insight into the field behavior, as shown through the examples. ¬© 1992 IEEE</t>
  </si>
  <si>
    <t>1357-1366</t>
  </si>
  <si>
    <t>;60003500</t>
  </si>
  <si>
    <t>7202222050;35579308700</t>
  </si>
  <si>
    <t>Marin, M. A.;Pathak, Prabhakar H.</t>
  </si>
  <si>
    <t>Marin M.A.</t>
  </si>
  <si>
    <t>An Asymptotic Closed-Form Representation for the Grounded Double-Layer Surface Green's Function</t>
  </si>
  <si>
    <t>10.1109/8.202713</t>
  </si>
  <si>
    <t>2-s2.0-0026942967</t>
  </si>
  <si>
    <t>['wide band', 'theoretical nakagami', 'signal statistics', 'signal reliability', 'performance evaluation', 'observations near', 'northern boundary', 'morphological aspects', 'l band', 'equinoctial months', 'deep fading', 'copyright 1992', '5 ghz', '4 ghz']</t>
  </si>
  <si>
    <t>Satellite radio systems suffer loss of information in a wide band of frequencies during periods of intense ionospheric scintillation activity when the received signal undergoes rapid and deep fading. In order to assess the problem and to determine a proper fade margin for an Earth‚Äêspace link, system engineers require information on signal statistics as well as on the morphological aspects of scintillations. Our observations near the northern boundary of the equatorial scintillation belt at (18.9¬∞ N geomagnetic) within the Indian zone show that the signal at 4/1.5 Ghz has faded often beyond 10 dB pp, and at times beyond 24 dB pp at 4 Ghz during equinoctial months of high solar activity during the years of 1989‚Äì1990. In addition to the morphology at 4 Ghz, information on signal statistics, such as cumulative amplitude distribution function, fade rate distribution, and signal reliability for different message lengths for some events of scintillations, both at C and L band, has been presented. The theoretical Nakagami m distribution has been found to be the best for describing various levels of fade. Autocorrelation and power‚Äêspectrum analysis have been used to estimate average fade rates and ground correlation distances. Performance evaluation of satellite Earth terminals using small antennas has been carried out to show the vulnerability of the system in the hostile ionospheric environment notwithstanding the advanced modulation systems being employed. Copyright 1992 by the American Geophysical Union.</t>
  </si>
  <si>
    <t>955-969</t>
  </si>
  <si>
    <t>35464438500;6701556417;7401453208</t>
  </si>
  <si>
    <t>Banerjee, P. K.;Dabas, R. S.;Reddy, B. M.</t>
  </si>
  <si>
    <t>Banerjee P.</t>
  </si>
  <si>
    <t>C and L band transionospheric scintillation experiment: Some results for applications to satellite radio systems</t>
  </si>
  <si>
    <t>10.1029/92RS01307</t>
  </si>
  <si>
    <t>2-s2.0-0026943062</t>
  </si>
  <si>
    <t>['using cgm', 'storage requirements', 'squares solution', 'solved using', 'rectangular matrix', 'numerical results', 'normal form', 'near fields', 'matrix one', 'matrix equation', 'integral equation', 'field transformation', 'field measurements', 'field data', 'far fields', 'experimental near', 'efficiently performed', 'computing far', 'cgm ),', 'certain conditions', 'certain approximations', 'antenna regardless', 'alternate method']</t>
  </si>
  <si>
    <t>An alternate method is presented for computing far-field antenna patterns from near-field measurements. The method utilizes near-field data to determine equivalent magnetic current sources over a fictitious planar surface that encompasses the antenna, and these currents are used to ascertain the far fields. Under certain approximations, the currents should produce the correct far fields in all regions in front of the antenna regardless of the geometry over which the near-field measurements are made. An electric field integral equation (EFIE) is developed to relate the near fields to the equivalent magnetic currents. Method of moments (MOM) procedure is used to transform the integral equation into a matrix one. The matrix equation is solved using the conjugate gradient method (CGM), and in the case of a rectangular matrix, a least-squares solution for the currents is found without explicitly computing the normal form of the equation. Near-field to far-field transformation for planar scanning may be efficiently performed under certain conditions by exploiting the block Toeplitz structure of the matrix and using CGM and fast Fourier transform (CGFFT), thereby drastically reducing computation time and storage requirements. Numerical results are presented for several antenna configurations by extrapolating the far fields using synthetic and experimental near-field data. ¬© 1992 IEEE</t>
  </si>
  <si>
    <t>1348-1356</t>
  </si>
  <si>
    <t>;60030551</t>
  </si>
  <si>
    <t>7003762585;55650323300</t>
  </si>
  <si>
    <t>Petre, Peter;Sarkar, Tapan K.</t>
  </si>
  <si>
    <t>Petre P.</t>
  </si>
  <si>
    <t>Planar Near-Field to Far-Field Transformation Using an Equivalent Magnetic Current Approach</t>
  </si>
  <si>
    <t>10.1109/8.202712</t>
  </si>
  <si>
    <t>2-s2.0-0026943082</t>
  </si>
  <si>
    <t>['therefore avoided', 'successive pattern', 'significant numbers', 'radiation patterns', 'procedure terminates', 'problems associated', 'prespecified values', 'phase values', 'paper presents', 'individual elements', 'identical elements', 'equispaced arrays', 'constraints ensure', 'array meet']</t>
  </si>
  <si>
    <t>This paper presents a simple iterative algorithm which can be used to find array weights that produce array patterns with a given look direction and an arbitrary sidelobe specification. Unlike traditional approaches, the method is not restricted to linear, equispaced arrays of identical elements. In-stead, the method can be applied to nonuniform array geometries in which the individual elements have arbitrary (and differing) radiation patterns. The method is iterative and uses sequential updating to ensure that peak sidelobe levels in the array meet the specification. Computation of each successive pattern is based on the solution of a linearly constrained least squares problem. The constraints ensure that the magnitudes of the sidelobes at the locations of the previous peaks move to the prespecified values. Phase values for the sidelobes do not change during this process and problems associated with choosing a specific phase value are therefore avoided. Experimental evidence suggests that the procedure terminates in remarkably few iterations, even for arrays with significant numbers of elements. ¬© 1992 IEEE</t>
  </si>
  <si>
    <t>2737-2746</t>
  </si>
  <si>
    <t>60029311;60029311</t>
  </si>
  <si>
    <t>7402541743;7101833999</t>
  </si>
  <si>
    <t>Tseng, Ching Yih;Griffiths, Lloyd J.</t>
  </si>
  <si>
    <t>A Simple Algorithm to Achieve Desired Patterns for Arbitrary Arrays</t>
  </si>
  <si>
    <t>10.1109/78.165660</t>
  </si>
  <si>
    <t>2-s2.0-0026943262</t>
  </si>
  <si>
    <t>['relative contribution', 'radiation patterns', 'predicted results', 'multifrequency operation', 'microstrip line', 'impedance matching', 'ground plane', 'good agreement', 'galerkin method', 'experimental data', 'different resonances', 'different frequencies', 'analyzed using']</t>
  </si>
  <si>
    <t>A microstrip antenna composed of parallel dipole resonators of different lengths fed by a rectangular slot cut in the ground plane of a microstrip line is analyzed using an integral equation technique solved in the spectral domain using the Galerkin method of moments. Multifrequency operation of this antenna is demonstrated using two different configurations. Experimental data are shown to be in good agreement with predicted results. The fundamental parameters influencing the realization of multifrequency operation, as well as impedance matching of the different resonances, are studied. Lastly, the radiation patterns of the antenna at different frequencies and the relative contribution of the dipoles to the radiation are investigated. ¬© 1992 IEEE</t>
  </si>
  <si>
    <t>1367-1374</t>
  </si>
  <si>
    <t>60014313;60014313</t>
  </si>
  <si>
    <t>6603231347;7006061921</t>
  </si>
  <si>
    <t>Croq, Frederic;Pozar, David M.</t>
  </si>
  <si>
    <t>Croq F.</t>
  </si>
  <si>
    <t>Multifrequency Operation of Microstrip Antennas Using Aperture Coupled Parallel Resonators</t>
  </si>
  <si>
    <t>10.1109/8.202714</t>
  </si>
  <si>
    <t>2-s2.0-0026943308</t>
  </si>
  <si>
    <t>['various combinations', 'uhf links', 'subscriber moving', 'subscriber antenna', 'speeds ranging', 'somewhat better', 'reflected rays', 'ray path', 'qpsk modulations', 'multiray model', 'moving subscribers', 'modem performance', 'microsite spacing', 'microcellular environment', 'microcell site', 'measured data', 'mathematical model', 'local geometry', 'lineal microcell', 'interference levels', 'generally similar', 'cumulative distribution', 'computed using', 'compare meausrement', 'based results', 'based characterizations', 'average bit', '96 km']</t>
  </si>
  <si>
    <t>Cumulative distribution estimates are presented for the one-second-average bit-error-rate (BER) which would be experienced on UHF links in a microcellular environment. We assume that users (subscribers) are moving at speeds ranging from quasi-stationary (e.g., pedestrians with portables) to 96 km/h. We concentrate on lineal (as opposed to area) microcells. These are defined as cells in which there is always a line-of-sight (LOS) ray path between the microcell site (or microsite) antenna and the subscriber antenna, in addition to road-reflected and/or building-reflected rays. Using extensive UHF data collected in Manhattan, we characterize, point-by-point, the signal and interference levels for a subscriber moving in a lineal microcell. Combining these measurement-based characterizations with a mathematical model of modem performance, the population of BER is calculated over the microcell, from which we compute its cumulative distribution. Results are presented for both uplink (subscriber-to-microsite) and downlink (microsite-to-subscriber) transmissions, for both BPSK and QPSK modulations, for both nondiversity and selection diversity receivers, for various subscriber speeds, and for various combinations of microsite spacing and frequency reuse factor. We also present results for microcells in different city streets, to discern the influence of local geometry; and we compare meausrement-based results with those computed using a multiray propagation model developed for lineal urban microcells. We find that, for moving subscribers, simple diversity recepti on gives dramatic benefits in grade-of-service (percent of time that BER is below a specified threshold value); and that uplink and downlink transmission quality tend to be similar, with the latter being somewhat better. Finally, we find that performance estimates based on the multiray model are generally similar to those based on measured data, and that they tend to be conservative. ¬© 1992 IEEE</t>
  </si>
  <si>
    <t>414-423</t>
  </si>
  <si>
    <t>7003808036;7004878411;7103274705</t>
  </si>
  <si>
    <t>Amitay, Noach;Greenstein, Larry J.;Owens, G. J.</t>
  </si>
  <si>
    <t>Amitay N.</t>
  </si>
  <si>
    <t>Measurement-Based Estimates of Bit-Error-Rate Performance in Urban LOS Microcells at 900MHz</t>
  </si>
  <si>
    <t>10.1109/25.182592</t>
  </si>
  <si>
    <t>2-s2.0-0026943334</t>
  </si>
  <si>
    <t>['wideband transmission', 'technique known', 'relative benefits', 'antenna diversity']</t>
  </si>
  <si>
    <t>By employing the technique known as the matched filter bound, we derive analytical expressions for the distribution and average of the bit-error-rate in an ideal space diversity mobile radio receiver. Each diversity branch receives from a frequency-selective Rayleigh fading channel of arbitrary delay profile, and is subjected to additive Gaussian noise of arbitrary spectral shape. Numerical results calculated from the analytical expressions give insight into the relative benefits of antenna diversity and wideband transmission over the mobile radio channel. ¬© 1992 IEEE</t>
  </si>
  <si>
    <t>356-362</t>
  </si>
  <si>
    <t>60020585-60021378-60099616;60020585</t>
  </si>
  <si>
    <t>7404528567;7202593581</t>
  </si>
  <si>
    <t>Clark, Martin V.;Kennedy, William</t>
  </si>
  <si>
    <t>New Zealand;United States;New Zealand</t>
  </si>
  <si>
    <t>Auckland;Murray;Christchurch</t>
  </si>
  <si>
    <t>Spark New Zealand;Nokia Bell Labs;University of Canterbury</t>
  </si>
  <si>
    <t>60099616;60021378;60020585</t>
  </si>
  <si>
    <t>Clark M.V.</t>
  </si>
  <si>
    <t>Matched Filter Performance Bounds for Diversity Combining Receivers in Digital Mobile Radio</t>
  </si>
  <si>
    <t>10.1109/25.182584</t>
  </si>
  <si>
    <t>2-s2.0-0026943422</t>
  </si>
  <si>
    <t>['proposed approach', 'paper presents', 'nulling weights', 'noise subspaces', 'noise subspace', 'music algorithm', 'general case', 'estimated angles', 'data snapshots', 'concurrent nulling', 'array antenna']</t>
  </si>
  <si>
    <t>This paper presents an approach for concurrent nulling and location (CANAL) of multiple interferences impinging on an array antenna. The approach is based on the principle of constructing the signal and the noise subspaces from the nulling weights which correspond to different steering directions. In this respect, the data snapshots and their estimated covariance matrix are not required. Similar to the MUSIC algorithm, the basis of the noise subspace are then used to form a spectrum in which the peak locations define the estimated angles of arrivals. Applebaum optimum weights are employed to delineate the properties of the proposed approach under the assumption of narrow band uncorrelated jamming sources, and providing that the number of steering directions exceeds the number of interferences. The CANAL is presented for the general case of unknown noise power. The effect of the desired signal presence on the performance is discussed. ¬© 1992 IEEE</t>
  </si>
  <si>
    <t>2658-2668</t>
  </si>
  <si>
    <t>Amin, Moeness G.</t>
  </si>
  <si>
    <t>Villanova</t>
  </si>
  <si>
    <t>Villanova University</t>
  </si>
  <si>
    <t>Amin M.</t>
  </si>
  <si>
    <t>Concurrent Nulling and Locations of Multiple Interferences in Adaptive Antenna Arrays</t>
  </si>
  <si>
    <t>10.1109/78.165653</t>
  </si>
  <si>
    <t>2-s2.0-0026943451</t>
  </si>
  <si>
    <t>['spaced antenna', 'poststatistics steering', 'copyright 1992', 'compare favorably', 'arecibo initiative']</t>
  </si>
  <si>
    <t>Multiple‚Äêreceiver MF radar data acquired during the Arecibo Initiative in Dynamics of the Atmosphere 1989 campaign are used to demonstrate the viability of wind velocity estimation with poststatistics steering (PSS) technique. PSS wind estimates are shown to compare favorably with spaced antenna (true) and interferometric wind estimates. Copyright 1992 by the American Geophysical Union.</t>
  </si>
  <si>
    <t>775-782</t>
  </si>
  <si>
    <t>6602639146;7103338067;7004340222</t>
  </si>
  <si>
    <t>S√ºr√ºc√º, Fahri;Franke, Patricia M.;Kudeki, Erhan</t>
  </si>
  <si>
    <t>S√ºr√ºc√º F.</t>
  </si>
  <si>
    <t>On the use of software beam synthesis in multiple‚Äêreceiver MF radar wind estimation</t>
  </si>
  <si>
    <t>10.1029/92RS01427</t>
  </si>
  <si>
    <t>2-s2.0-0026943727</t>
  </si>
  <si>
    <t>['various locations', 'urban microcells', 'study control', 'simple two', 'rural microcells', 'paper presents', 'multiray propagation', 'may provide', 'deleterious effects', 'deep nulls', 'computer simulation', 'basic model']</t>
  </si>
  <si>
    <t>This paper presents the model and implementation principles governing the computer simulation of line-of-sight (LOS) microcell wave propagation. Multiray propagation above a plane earth constitutes the basic model. For rural microcells, we use two rays while, for urban microcells, we use 10 rays propagating in a dielectric ‚Äúcanyon.‚Äù We apply the model to two relevant problems. In the first, we study control of electric field falloff with distance, r. In the second, we demonstrate the advantages of switched transversal antenna diversity. Power falloff rates of 1/r&lt;sup&gt;4&lt;/sup&gt;and 1/r&lt;sup&gt;6&lt;/sup&gt;were obtained for simple two-element array structures. This may provide an additional interference control tool in the layout and design of microcells. The interference between the various rays propagating in lineal urban microcells results in deep nulls at various locations. The deleterious effects of these nulls can be eliminated by employing simple switched transverse antenna diversity. ¬© 1992 IEEE</t>
  </si>
  <si>
    <t>337-342</t>
  </si>
  <si>
    <t>Amitay, Noach</t>
  </si>
  <si>
    <t>Modeling and Computer Simulation of Wave Propagation in Lineal Line-of-Sight Microcells</t>
  </si>
  <si>
    <t>10.1109/25.182582</t>
  </si>
  <si>
    <t>2-s2.0-0026943993</t>
  </si>
  <si>
    <t>['wiley company', 'used widely', 'two types', 'two systems', 'standard system', 'ssb system', 'sideband antennas', 'quantitative prediction', 'predict accurately', 'mutual coupling', 'main source', 'main emphasis', 'inherent error', 'induced currents', 'induced current', 'inc .,', 'express accurately', 'errors caused', 'error caused', 'dvor ),', 'dsb system', 'derive experimentally', 'counterpoise whereas', 'conventional analysis', 'antenna elements', 'analysis method']</t>
  </si>
  <si>
    <t>antenna impedance | Doppler VOR (DVOR) | generating mechanism | inherent bearing error | mutual coupling | prediction method</t>
  </si>
  <si>
    <t>Of the Doppler VHF omnidirectional range (DVOR), the DSB‚Äêtype DVOR has begun to be used widely as a standard system in Japan. The objective of this paper is to derive an analysis method for quantitative prediction of the inherent directional error of the DSB‚Äêtype DVOR. The main emphasis is the error caused by the mutual coupling of the DVOR antenna elements. First, from the combination of the antenna elements, the two types of mutual coupling are considered. A method is presented which can derive experimentally the amount of induced currents on the antennas. The analysis method for the error caused by the induced current is investigated. By combining the method with the conventional analysis of the errors caused by the counterpoise and distributers, a total analysis method is constructed. To evaluate the accuracy of the obtained analysis method, the results are compared with the experimental results obtained by the DVOR test stations. This analysis method is found to predict accurately the inherent error in the DSB‚Äêtype DVOR as well as to express accurately the errors in the SSB system. The sources of the error are different in the two systems. It is found that the main source of the error in the SSB system is the counterpoise whereas in the DSB system it is the mutual coupling between the carrier and sideband antennas. Copyright ¬© 1992 Wiley Periodicals, Inc., A Wiley Company</t>
  </si>
  <si>
    <t>37-46</t>
  </si>
  <si>
    <t>Yamamoto, Kazuo</t>
  </si>
  <si>
    <t>Chofu</t>
  </si>
  <si>
    <t>Electronic Navigation Research Institute</t>
  </si>
  <si>
    <t>Yamamoto K.</t>
  </si>
  <si>
    <t>Analysis of intrinsic bearing error in doppler VOR</t>
  </si>
  <si>
    <t>10.1002/ecja.4410751104</t>
  </si>
  <si>
    <t>2-s2.0-0026944049</t>
  </si>
  <si>
    <t>['usual concept', 'uniform half', 'transverse resonance', 'rectangular geometry', 'paper addresses', 'open waveguides', 'latter come', 'including structures', 'general problem', 'general principle', 'discrete modes', 'derive bound', 'cylindrical fibers', 'continuous spectrum', 'continuous modes', 'antenna element', 'actually guiding']</t>
  </si>
  <si>
    <t>Apart from possibly a few discrete modes, open waveguides, including structures that are not actually guiding, possess a continuous spectrum. The latter come into play in the presence of discontinuities or where the guide is acting as an antenna element. Discrete modes, where they exist, are often obtained using the principle of transverse resonance. The continuum has only been investigated for one-dimensional or separable cross sections, such as layered dielectric slabs, uniform half-spaces, and cylindrical fibers. This paper addresses the general problem of nonseparable open guide cross sections in rectangular geometry; its purpose is to replace the usual concept of transverse resonance by a more general principle, from which we derive bound and continuous modes, as well as outline practical algorithms for their evaluation. ¬© 1992 IEEE</t>
  </si>
  <si>
    <t>1283-1291</t>
  </si>
  <si>
    <t>60030480;60030480</t>
  </si>
  <si>
    <t>56253019800;35516302600</t>
  </si>
  <si>
    <t>Rozzi, T.;Sewell, Phillip D.</t>
  </si>
  <si>
    <t>Bath</t>
  </si>
  <si>
    <t>University of Bath</t>
  </si>
  <si>
    <t>The Continuous Spectrum of Open Waveguides of Nonseparable Cross Section</t>
  </si>
  <si>
    <t>10.1109/8.202705</t>
  </si>
  <si>
    <t>2-s2.0-0026944104</t>
  </si>
  <si>
    <t>['weight processor', 'time delays', 'stability problem', 'simple time', 'quadrature component', 'paper shows', 'paper focuses', 'nonzero frequency', 'lms algorithm', 'greatly affected', 'digital implementation', 'delay conditions', 'delay case', 'compensation procedure', 'analytical supplement']</t>
  </si>
  <si>
    <t>This paper focuses on the stability problem that exists in adaptive antenna arrays when the weighting functions operate at a nonzero frequency. It begins with the application of the LMS algorithm when the weights are written in terms of an inphase and a quadrature component. The behavior of the signal processing algorithm is then described by a set of coupled differential equations which are derived under zero-delay conditions. When time delays that may be present in the feedback loops due to filtering are taken into account, the stability and therefore the performance of the array are greatly affected. This paper shows how stability can be achieved by a simple time-compensation procedure. Simulation results show that interference rejection comparable to the zero-delay case is experienced. The importance of this study is twofold: 1) it is an analytical supplement to an experimental array built with the same type of weights, and 2) it provides the condition of stability that will allow a digital implementation of the weight processor. ¬© 1992 IEEE</t>
  </si>
  <si>
    <t>1438-1444</t>
  </si>
  <si>
    <t>Bouktache, Essaid</t>
  </si>
  <si>
    <t>Westville</t>
  </si>
  <si>
    <t>Purdue University Northwest</t>
  </si>
  <si>
    <t>Bouktache E.</t>
  </si>
  <si>
    <t>On the Stability of Adaptive Antenna Arrays with Weights at an Intermediate Frequency</t>
  </si>
  <si>
    <t>10.1109/8.202724</t>
  </si>
  <si>
    <t>2-s2.0-0026944272</t>
  </si>
  <si>
    <t>['resonant frequency', 'gtd ).', 'geometric theory', 'broadside null', '50 %.']</t>
  </si>
  <si>
    <t>The TM&lt;inf&gt;01&lt;/inf&gt; mode of a circular resonant microstrip cavity has been used to produce an omnidirectional vertically polarized antenna with a broadside null. Interlaced circumferential slots were added, resulting in reductions in the resonant frequency of up to 50%. The performance of this antenna when mounted on the roof of an automobile has been analyzed through the application of the geometric theory of diffraction (GTD). Chebychev matching networks have been investigated to implement a broad-band impedance match to the antenna. ¬© 1992 IEEE</t>
  </si>
  <si>
    <t>60017592;</t>
  </si>
  <si>
    <t>7003819332;7005951187</t>
  </si>
  <si>
    <t>Petosa, Aldo;Strickland, Peter C.</t>
  </si>
  <si>
    <t>Petosa A.</t>
  </si>
  <si>
    <t>Analysis of a Low Profile Slotted Microstrip Antenna for Cellular Mobile Radio</t>
  </si>
  <si>
    <t>10.1109/25.182585</t>
  </si>
  <si>
    <t>2-s2.0-0026944367</t>
  </si>
  <si>
    <t>['weight vector', 'source number', 'output interference', 'noise powers', 'first analyze', 'finite samples', 'dmi method', 'desired signal', 'degraded mostly', 'convergence properties', 'based beamformer', 'arbitrary geometry', 'antenna arrays']</t>
  </si>
  <si>
    <t>In this paper, we first analyze the performance of the DMI method for antenna arrays of arbitrary geometry by asymptotical statistical analysis techniques. The effects of eigenspace disturbance caused by finite samples on the output interference and noise powers are examined under the unit gain constraint in the direction of the desired signal. Analysis results show that the performance of the DMI method is degraded mostly by the disturbed noise subspace. That suggests the eigenspace-based beamformer in which the weight vector is computed by using the signal-plus-interference subspace component of the sample correlation matrix. Convergence properties of the eigenspace-based beamformer are evaluated for both the cases that the source number is known and overestimated. Theoretical analyses validated by computer simulations indicate that the eigenspace-based beamformer has an improved convergence rate than the DMI method. ¬© 1992 IEEE</t>
  </si>
  <si>
    <t>1336-1347</t>
  </si>
  <si>
    <t>7404274990;7401672122</t>
  </si>
  <si>
    <t>Chang, Lena;Yeh, Chien Chung</t>
  </si>
  <si>
    <t>Chang L.</t>
  </si>
  <si>
    <t>Performance of DMI and Eigenspace-Based Beamformers</t>
  </si>
  <si>
    <t>10.1109/8.202711</t>
  </si>
  <si>
    <t>2-s2.0-0026944491</t>
  </si>
  <si>
    <t>['retransmission trials', 'overall throughput', 'improve performance', 'finite number', 'capture effect', 'base stations']</t>
  </si>
  <si>
    <t>It has been reported that the capture effect can improve performance of slotted ALOHA systems. We can expect further improvement by increasing the number of base stations. The performance of such slotted ALOHA systems with multiple base stations is analyzed with the aid of the equilibrium point analysis. Not only the capture effect but also the packet dropping due to the finite number of retransmission trials are taken into account. The numerical results indicate that the finite number of retransmission trials mainly contributes to the improvement of the packet dropping probability in the range of the light input traffic, while the number of base stations mainly contributes to the improvement of the overall throughput and the average transmission delay in the range of the heavy input traffic. ¬© 1992 IEEE</t>
  </si>
  <si>
    <t>448-454</t>
  </si>
  <si>
    <t>Sakakibara, Katsumi</t>
  </si>
  <si>
    <t>Amagasaki</t>
  </si>
  <si>
    <t>College of Industrial Technology, Amagasaki</t>
  </si>
  <si>
    <t>Sakakibara K.</t>
  </si>
  <si>
    <t>Performance Approximation of a Multi-Base Station Slotted ALOHA for Wireless Lan‚Äôs</t>
  </si>
  <si>
    <t>10.1109/25.182596</t>
  </si>
  <si>
    <t>2-s2.0-0026944541</t>
  </si>
  <si>
    <t>['wire scattering', 'wire scatterers', 'wire length', 'wire antennas', 'superchiral regimes', 'sufficient length', 'scattering patterns', 'normalized chirality', 'greatly reduced', 'fundamental principles', 'electromagnetic chirality', 'current distributions', 'classify radiation', 'cause radiation']</t>
  </si>
  <si>
    <t>The effect of chirality on thin wire antennas and scatterers in unbounded chiral material is examined through the application of fundamental principles and the examination of several canonical examples. In particular, the interplay between normalized chirality and wire length is investigated to classify radiation and scattering patterns. Chirality induces rapid decay in the currents on such wires, resulting in mountain-peak-shaped current distributions characteristic of wire antennas and bow-tie-shaped current distributions characteristic of wire scatterers of sufficient length. These current distributions, in turn, cause radiation and scattering patterns which exhibit a chirality-dependent forbidden zone for both antennas and scatterers. In this zone, the fields are greatly reduced. These distinctive results lead naturally to the classification of wire scattering and radiation into subchiral, chiral, and superchiral regimes. All results are understood from the underlying physical principles of electromagnetic chirality, and are related to values of a dimensionless parameter involving normalized chirality and normalized wire length. ¬© 1992 IEEE</t>
  </si>
  <si>
    <t>1273-1282</t>
  </si>
  <si>
    <t>60102562;60102562;60102562;60102562</t>
  </si>
  <si>
    <t>7006013598;7410102362;56883195000;6602927057</t>
  </si>
  <si>
    <t>Jaggard, Dwight L.;Liu, John C.;Grot, Annette;Pelet, Philippe</t>
  </si>
  <si>
    <t>Jaggard D.L.</t>
  </si>
  <si>
    <t>Radiation and Scattering from Thin Wires in Chiral Media</t>
  </si>
  <si>
    <t>10.1109/8.202704</t>
  </si>
  <si>
    <t>2-s2.0-0026944685</t>
  </si>
  <si>
    <t>['wiley company', 'signal level', 'paper describes', 'ocean surface', 'navigation assistance', 'moving vehicle', 'magnitude increased', 'level variation', 'inc .,', 'frequency range', 'frequency components', 'fourier transform', 'fading range', 'experimental results', 'elevation angle', 'components less', '6 dbi', '6 db', '45 ¬∞', '25 hz', '10 ¬∞.', '10 ¬∞', '10 db', '1 hz']</t>
  </si>
  <si>
    <t>antennas | communication equipment‚Äêborne moving vehicle | mobile satellite communication | Radio wave propagation | satellite navigation system</t>
  </si>
  <si>
    <t>This paper describes the results of the radio propagation experiment between an aircraft or a ship and a ground earth station by means of the Engineering Test Satellite V (ETS‚ÄêV) as a part of the navigation experiment program which is aimed at developing the technology for utilizing a satellite for navigation assistance by a ship and for control of an aircraft of the ocean. First, the antenna on a moving vehicle is summarized. Next, the experimental results with each moving vehicle are described with regard to the magnitude and the periodicity of the received signal level. The results were analyzed and the cause of the level variation was found in some cases. The magnitude of the variation of the signal level (fading range) was about 6 dB at the maximum for the elevation angle of the satellite from 45¬∞ to less than 10¬∞ in the case of the experiment with an aircraft. In the case of a ship, the magnitude increased with a decreasing satellite elevation angle. In the case of a one‚Äêelement antenna with a gain of 6 dBi, the magnitude of variation was more than 10 dB at an elevation angle of 10¬∞. The periodicity of the variation was investigated by deriving the frequency components by means of the Fourier transform. In most cases for an aircraft, no remarkable frequency characteristic was observed and the spectrum was flat at the frequency range of less than 25 Hz. On the other hand, in the case of a ship, the components less than 1 Hz are predominant at a low satellite elevation angle. Hence, it is clear that the nature of the reflection is different in the aircraft and the ship. For the latter, the reflection from the ocean surface is predominant. Copyright ¬© 1992 Wiley Periodicals, Inc., A Wiley Company</t>
  </si>
  <si>
    <t>89-98</t>
  </si>
  <si>
    <t>Migaki, Mitsuhiko</t>
  </si>
  <si>
    <t>Migaki M.</t>
  </si>
  <si>
    <t>Radio propagation characteristics in navigation experiment using ETS‚ÄîV satellite</t>
  </si>
  <si>
    <t>10.1002/ecja.4410751109</t>
  </si>
  <si>
    <t>2-s2.0-0026944781</t>
  </si>
  <si>
    <t>['wideband results', 'wide range', 'radiation patterns', 'increasing interest', 'electromagnetic problems', 'difference time', 'antenna impedance', 'antenna geometries', 'antenna applications', 'absolute gain']</t>
  </si>
  <si>
    <t>The finite-difference time-domain (FDTD) method has been applied to a wide range of electromagnetic problems, with increasing interest in antenna applications. Results have been reported for antenna impedance and for radiation patterns for a variety of antenna geometries. In this paper, the calculation of absolute gain and radiation efficiency using FDTD will be discussed. The approach described utilizes pulsed excitation, so that wideband results are available from a single FDTD computation. The approach is demonstrated for a simple wire antenna geometry, and is validated by comparison with results obtained using the method of moments. ¬© 1992 IEEE</t>
  </si>
  <si>
    <t>1403-1407</t>
  </si>
  <si>
    <t>7005852706;7005036134</t>
  </si>
  <si>
    <t>Luebbers, Raymond J.;Beggs, John</t>
  </si>
  <si>
    <t>Luebbers R.J.</t>
  </si>
  <si>
    <t>FDTD Calculation of Wideband Antenna Gain and Efficiency</t>
  </si>
  <si>
    <t>10.1109/8.202717</t>
  </si>
  <si>
    <t>2-s2.0-0026944820</t>
  </si>
  <si>
    <t>['unacceptable number', 'scheme offers', 'mutual coupling', 'microstrip antenna', 'low number', 'fixed combinations', 'expansion functions', 'copyright 1992', 'combined scheme', 'calculated results']</t>
  </si>
  <si>
    <t>A new expansion scheme is introduced to solve the integral equations describing a microstrip antenna with the method of moments. The scheme offers both flexibility and a low number of expansion functions and thus an acceptable calculation time. The basic idea consists of constructing secondary entire domain expansion functions as fixed combinations of primary expansion functions. This special concept allows the solution of several problems concerning rapid variations of the currents on the patches in an efficient way without having to deal with an unacceptable number of expansion functions to describe the mutual coupling between the patches. The efficiency of the combined scheme is illustrated by a comparison of measured and calculated results for a linear eight‚Äêelement microstrip array antenna. Copyright 1992 by the American Geophysical Union.</t>
  </si>
  <si>
    <t>Use of a combined expansion scheme to analyze microstrip antennas with the method of moments</t>
  </si>
  <si>
    <t>10.1029/92RS01647</t>
  </si>
  <si>
    <t>2-s2.0-0026944864</t>
  </si>
  <si>
    <t>['using first', 'theoretical expressions', 'spatial smoothing', 'smoothing steps', 'show explicitly', 'results show', 'predicted results', 'practical situations', 'power gain', 'output power', 'mean values', 'finite number', 'extensively studied', 'excellent agreement', 'error vector', 'develop expressions', 'desired signal', 'data perturbations', 'data performance', 'beamformer nerformance', 'arbitrary array', 'also dlleviate', 'also develop']</t>
  </si>
  <si>
    <t>Recently, the performance of a minimum variance distortionless response (MVDR) beamformer has been extensively studied for the case when a true or asymptotic covariance matrix is available. In practical situations, however, we only have a finite number of snapshots of data from which the array covariance matrix can be estimated. In this paper, we analyze the finite-data performance of this beamformer with and without spatial smoothing, using first-order perturbation theory. In particular, we develop expressions for the mean values of the power gain in any direction of interest, the output power and the norm of the weight-error vector, as a function of the number of snapshots and the number of smoothing steps. We show that, in general, the smoothing, in addition to decorrelating the sources, can also dlleviate the effects of finite-data perturbations. Next, we reduce the above expressions to the case when no spatial smoothing is used. These expressions are valid for an arbitrary array and for arbitrarily correlated signals. For this case, we also develop an expression for the variance of the power gain. We simplify these expressions for a single interference case to show explicitly how the SNR, spacing of the interference from the desired signal and the corre-lation between them influence the beamformer nerformance. Simulations are used to verify the usefulness of the theoretical expressions and the results show an excellent agreement with predicted results. ¬© 1992 IEEE</t>
  </si>
  <si>
    <t>2726-2736</t>
  </si>
  <si>
    <t>Raghunath, Kalavai J.;Reddy, V. Umapathi</t>
  </si>
  <si>
    <t>Finite Data Performance Analysis of MVDR Beamformer with and without Spatial Smoothing</t>
  </si>
  <si>
    <t>10.1109/78.165659</t>
  </si>
  <si>
    <t>2-s2.0-0026945029</t>
  </si>
  <si>
    <t>['wiley company', 'used together', 'stable frequency', 'small fluctuations', 'signal within', 'recording systems', 'radiowave carrier', 'phase stable', 'paper describes', 'open loops', 'local signal', 'inc .,', 'high g', 'heterodyne receiver', 'elevation angle', 'continuous phase']</t>
  </si>
  <si>
    <t>Allan variance values | deep‚Äêspace probe | Doppler frequency shift | ecliptic plane | Occultation</t>
  </si>
  <si>
    <t>A radio science experiment was carried out when the deep‚Äêspace probe Voyager‚Äê2 travelled behind Neptune. This paper describes the receiving and recording systems which were developed for the experiment and gives a summary of the experiment itself. The object of the experiment was to detect the very small fluctuations in the phase and amplitude of the radiowave carrier as it passed through the atmosphere and rings of Neptune. To achieve this, a 64‚Äêm diameter antenna and high‚Äêperformance maser amplifiers were used together and a high G/T value was obtained. The heterodyne receiver was controlled by open loops and the local signal was changed with continuous phase to match the predicted Doppler value, stabilizing the signal within the bandwidth. A local frequency generator with stable frequency and phase and a signal bandwidth filter were developed. Also, to counter antenna distortion caused by changes in the elevation angle, a method of compensation was introduced which kept the phase stable and suppressed gain reduction. Copyright ¬© 1992 Wiley Periodicals, Inc., A Wiley Company</t>
  </si>
  <si>
    <t>59-71</t>
  </si>
  <si>
    <t>100340532;100340532;100340532;100340532;100340532;100340532;60024784;60031293;60101699</t>
  </si>
  <si>
    <t>7402167894;35619718500;7007038960;23030809700;7405749923;57218129459;56234843400;7801637816;7402492423</t>
  </si>
  <si>
    <t>Takano, Tadashi;Yamamoto, Zenichi;Hirosawa, Haruto;Hayashi, Tomonao;Yamada, Mitsuo;Kawashima, Nobuki;Mizuno, Eiichi;Oh‚ÄêHashi, Seiichi;Tsuchiya, Makio</t>
  </si>
  <si>
    <t>Japan;Japan;Japan;Japan</t>
  </si>
  <si>
    <t>Tokyo;Tokyo;Kanazawa;Sagamihara</t>
  </si>
  <si>
    <t>Mitsubishi Electric Corporation;NEC Corporation;Kanazawa University;Inst. of Space and Aero. Science</t>
  </si>
  <si>
    <t>60101699;60031293;60024784;100340532</t>
  </si>
  <si>
    <t>Takano T.</t>
  </si>
  <si>
    <t>Receiving system for the voyager‚Äê2 neptune occultation experiment</t>
  </si>
  <si>
    <t>10.1002/ecja.4410751106</t>
  </si>
  <si>
    <t>2-s2.0-0026945173</t>
  </si>
  <si>
    <t>['wiley company', 'transmission lines', 'theoretical prediction', 'superdirective antenna', 'structure works', 'set arbitrarily', 'present method', 'maximum gain', 'input impedance', 'inc .,', 'identical length', 'gain increases', 'feeding method', 'feeding becomes', 'experimental results', 'element spacing', 'element lengths', 'demonstrated since', 'characteristic impedance', 'cascaded connection']</t>
  </si>
  <si>
    <t>Antenna | cascade connection | dipole array | end fire array | superdirectivity</t>
  </si>
  <si>
    <t>With a view to realizing a superdirective antenna, an endfire array consisting of parallel dipole elements is analyzed. As a feeding method, a cascaded connection of all elements by transmission lines is proposed. A possibility of a superdirectivity and a basic design guideline are found for the case where an element spacing and the characteristic impedance of the connecting transmission lines are set arbitrarily. As the element spacing is reduced, the antenna becomes smaller and the gain increases, although the feeding becomes more difficult. Hence, the case of a finite‚Äêelement spacing is discussed. First, it is demonstrated that the maximum gain as a superdirective antenna is obtained by adjustment of the element lengths and the lengths of the connecting transmission line. Further, it is shown that the optimum element length for the maximum gain is near the half‚Äêwavelength even if all elements have an identical length for ease of design and that such a structure works as a superdirective antenna. Based on the findings, a quarter‚Äêwavelength spacing, three‚Äêelement array is designed. The validity of the present method is demonstrated since the experimental results for the input impedance, gain, and directivity agree well with the theoretical prediction. Copyright ¬© 1992 Wiley Periodicals, Inc., A Wiley Company</t>
  </si>
  <si>
    <t>80-88</t>
  </si>
  <si>
    <t>60018429;60018429;60018429</t>
  </si>
  <si>
    <t>56036522400;7201867655;57191019329</t>
  </si>
  <si>
    <t>Nakamura, Takashi;Miyagawa, Shin‚ÄêIchi ‚ÄêI;Yckokawa, Senji</t>
  </si>
  <si>
    <t>Gifu</t>
  </si>
  <si>
    <t>Gifu University</t>
  </si>
  <si>
    <t>Nakamura T.</t>
  </si>
  <si>
    <t>Superdirective cascaded dipole array</t>
  </si>
  <si>
    <t>10.1002/ecja.4410751108</t>
  </si>
  <si>
    <t>2-s2.0-0026945363</t>
  </si>
  <si>
    <t>['twist reflector', 'normalized curves', 'loss factor', 'grating parameters', 'free space', 'experimental results', 'dielectric material', 'close agreement']</t>
  </si>
  <si>
    <t>Millimeter wave twist reflector design procedure is described. Effective dielectric constant for capacitive susceptance correction for a unidirectional planar grating at the interface of free space and dielectric material in the twist reflector environment is introduced. The loss factor of the dielectric material has been accounted for the prediction of twist reflector performance. With the introduction of these corrections experimental results are found to be in close agreement with the theory. Normalized curves for the design of twist reflector in terms of grating parameters, dielectric substrate relative permitivity and dielectric material thickness are presented. Experimental results are given for millimeter wave twist reflector. ¬© 1992 IEEE</t>
  </si>
  <si>
    <t>1423-1426</t>
  </si>
  <si>
    <t>;60023311;60231908</t>
  </si>
  <si>
    <t>7006446492;7005435644;6602878075</t>
  </si>
  <si>
    <t>Borkar, V. G.;Pandharipande, V. M.;Ethiraj, R.</t>
  </si>
  <si>
    <t>Hyderabad;Hyderabad</t>
  </si>
  <si>
    <t>University College of Science, Saifabad;Osmania University</t>
  </si>
  <si>
    <t>60231908;60023311</t>
  </si>
  <si>
    <t>Borkar V.G.</t>
  </si>
  <si>
    <t>Millimeter Wave Twist Reflector Design Aspects</t>
  </si>
  <si>
    <t>10.1109/8.202720</t>
  </si>
  <si>
    <t>2-s2.0-0026945554</t>
  </si>
  <si>
    <t>['unambiguously measure', 'successfully applied', 'specific frequencies', 'intrinsic characteristics', 'highly accurate', 'higher order', 'electromagnetic modes', 'corrugated waveguide', 'commonly used', 'band modes', 'arbitrary geometry', 'analytical technique', '1 ))']</t>
  </si>
  <si>
    <t>A novel, highly accurate (0.1-0.5%) synthetic technique for determining the complete dispersive characteristics of electromagnetic modes in a spatially periodic structure is presented. It was successfully applied for the cases of the fundamental (TM0(1)) as well as higher order (TM0(2), TM0(3)) pass-band modes in a corrugated waveguide. This structure is commonly used in relativistic backward wave oscillators, traveling wave tubes, extended interaction oscillators and a variety of multiwave Cerenkov generators. An appropriately shorted periodic structure resonates at specific frequencies. To accurately and unambiguously measure these frequencies we used unique antenna radiators to excite pure modes in the circuit under test. An analytical technique to derive the complete dispersion relation using the experimentally measured resonances is presented. This technique, which is based on the intrinsic characteristics of spatially periodic structures, is applicable to slow wave structures of arbitrary geometry. ¬© 1992 IEEE</t>
  </si>
  <si>
    <t>2086-2094</t>
  </si>
  <si>
    <t>60020304;60020304;60020304;60020304;60020304;60020304;60020304-60033252;60020304</t>
  </si>
  <si>
    <t>14067332100;7006145701;7006030583;7409437382;7202910759;7006881018;7005406308;35496740400</t>
  </si>
  <si>
    <t>Guo, Hezhong;Carmel, Yuval;Lou, Weiran R.;Chen, Leemian;Rodgers, John;Abe, David K.;Destler, William;Granatstein, Victor L.</t>
  </si>
  <si>
    <t>Adelphi;College Park</t>
  </si>
  <si>
    <t>U.S. Army Research Laboratory;University of Maryland, College Park</t>
  </si>
  <si>
    <t>60033252;60020304</t>
  </si>
  <si>
    <t>Guo H.</t>
  </si>
  <si>
    <t>A Novel Highly Accurate Synthetic Technique for Determination of the Dispersive Characteristics in Periodic Slow Wave Circuits</t>
  </si>
  <si>
    <t>10.1109/22.168767</t>
  </si>
  <si>
    <t>2-s2.0-0026945677</t>
  </si>
  <si>
    <t>['¬© 1992', 'vi ).', 'usually difficult', 'two kinds', 'system parameters', 'system level', 'suspending system', 'statistically predicted', 'rights reserved', 'paper describes', 'latch mechanism', 'initial characteristics', 'initial characteristic', 'individual parts', 'helical spring', 'ground verification', 'ground conditions', 'gravity effects', 'gravitational effects', 'environmental testing', 'easily obtained', 'development stages', 'deployment tests', 'deployment motion', 'deployment mechanism', 'characteristic history', 'american institute']</t>
  </si>
  <si>
    <t>This paper describes a precise verification procedure for antenna-deployment mechanisms using ground-deployment test data. Ground-deployment tests are carried out for a communication antenna reflector for the Engineering Test Satellite VI (ETS-VI). The antenna-deployment mechanism studied consisted of a bearing, a helical spring, a chassis, and a latch mechanism. The characteristics of individual parts were measured under, space and ground conditions. Then the initial characteristic of a deployment mechanism is statistically predicted. Ground verification of a deployment mechanism is usually difficult because of atmospheric and gravitational effects especially at the system level. Therefore, a new verification procedure is employed. Two kinds of suspending system are developed to compensate for gravity effects. The characteristics of a deployment mechanism can be estimated by identifying system parameters for the equation of deployment motion. This estimation procedure covers all development stages, so that a characteristic history of a deployment mechanism can be easily obtained. Atmospheric and gravitational effects on deployment motion are taken into account as system parameters. It is clarified that all mechanical parts retain their initial characteristics during assembly and environmental testing. ¬© 1992 by the American Institute of Aeronautics and Astronautics, Inc. All rights reserved.</t>
  </si>
  <si>
    <t>835-841</t>
  </si>
  <si>
    <t>60025555-117806456;60025555-117806456</t>
  </si>
  <si>
    <t>7003764625;6701546237</t>
  </si>
  <si>
    <t>Meguro, Akira;Mitsugi, Jin</t>
  </si>
  <si>
    <t>Nippon Telegraph and Telephone Corporation;Communication Satellite Technology Laboratory</t>
  </si>
  <si>
    <t>60025555;117806456</t>
  </si>
  <si>
    <t>Meguro A.</t>
  </si>
  <si>
    <t>Ground verification of deployment dynamics of large mdeployable space structures</t>
  </si>
  <si>
    <t>10.2514/3.25539</t>
  </si>
  <si>
    <t>2-s2.0-0026945844</t>
  </si>
  <si>
    <t>['technique avoids', 'surface waves', 'stratified media', 'sommerfeld integrals', 'slot columns', 'single columns', 'scan admittance', 'resonant excitation', 'quite general', 'one dimension', 'mutual coupling', 'moment method', 'method practical', 'infinitely periodic', 'infinite extent', 'give confidence', 'finitely periodic', 'finite thickness', 'directed slots', 'dielectric slabs', 'conducting plane', 'asm ),', 'arbitrary shape', 'arbitrary orientation', 'another dimension', 'analytical approximation', 'although results', 'admittance calculations']</t>
  </si>
  <si>
    <t>Arrays of slots with arbitrary orientation in a conducting plane which are infinitely periodic in one dimension and finitely periodic in another dimension are considered. The perfect conducting plane extends infinitely, and is bounded on each side by dielectric slabs of finite thickness and infinite extent. Single columns of slots are represented by equivalent magnetic scattering currents, which are solved for via the moment method. The mutual coupling (admittance) between slot columns in the presence of the stratified media is found by the array scanning method (ASM), which expresses the admittance as the average of the scan admittance of an artificially constructed doubly infinite array of slots over all real scan angles. The technique avoids the use of Sommerfeld integrals, but still gives rise to singularities at scan angles corresponding to the resonant excitation of surface waves. An analytical approximation is made to remove these surface wave singularities, thus making numerical implementation of the method practical. An approximate geometrical optics technique based on the free space periodic Green's function is used to give confidence in the admittance calculations. Fast Fourier transforms (FFT's) are used to accelerate the filling of a large admittance matrix in the moment method. Although results are shown for axial-directed slots, the method is quite general and may be extended to thin slot elements of arbitrary shape and orientation. ¬© 1992 IEEE</t>
  </si>
  <si>
    <t>1324-1335</t>
  </si>
  <si>
    <t>60020251;60003500</t>
  </si>
  <si>
    <t>7401822183;35550481500</t>
  </si>
  <si>
    <t>Skinner, J. Paul;Munk, Benedikt A.</t>
  </si>
  <si>
    <t>Wright-Patterson AFB;Columbus</t>
  </si>
  <si>
    <t>United States Air Force Institute of Technology;The Ohio State University</t>
  </si>
  <si>
    <t>Skinner J.</t>
  </si>
  <si>
    <t>Mutual Coupling Between Parallel Columns of Periodic Slots in a Ground Plane Surrounded by Dielectric Slabs</t>
  </si>
  <si>
    <t>10.1109/8.202710</t>
  </si>
  <si>
    <t>2-s2.0-0026945941</t>
  </si>
  <si>
    <t>['vector addition', 'underdense signals', 'temperate latitude', 'signal envelope', 'overdense trails', 'overdense signals', 'nk signals', 'nk ),', 'meteor burst', 'little effect', 'first 0', 'february 1990', 'early stages', 'diversity system', 'correlation variations', 'correlation values', 'copyright 1992', 'antenna separation']</t>
  </si>
  <si>
    <t>The potential for meteor burst (MB) spaced antenna diversity is studied using cross‚Äêcorrelation techniques at a temperate latitude, using 37‚ÄêMHz signals scattered over an 800‚Äêkm path. Approximately 9 hours of data were analyzed from a 2‚Äêday period in February 1990, when the antenna separation was 10Œª. The correlation variations with time of signals with durations ‚â• 0.75 s, which were categorized as ‚Äúunderdense,‚Äù ‚Äúoverdense,‚Äù or ‚Äúnot known‚Äù (NK), were investigated. The cross‚Äêcorrelation coefficients of signals from underdense and overdense trails are high when correlated over their total signal envelopes, but this is not true when the signal envelope is segmented in time. NK signals are observed to be more uncorrelated than underdense or overdense signals and are, therefore, likely to be the most advantageous to a diversity system. Analysis of data from all three categories combined shows that 40% of signals with duration ‚â• 0.75 s have correlation values of less than 0.6 after the first 0.25 s. The correlation‚Äêtime dependency observed for NK and underdense signals is not identified for the overdense signal category. It is proposed that for underdense and NK signals the correlation‚Äêtime dependency is due to the vector addition of other weak signal modes. These weak signal modes, however, have little effect on overdense signals which, typically, exhibit higher signal powers in the early stages of the signal envelope. Copyright 1992 by the American Geophysical Union.</t>
  </si>
  <si>
    <t>841-849</t>
  </si>
  <si>
    <t>7202963778;57204345637;7103210716</t>
  </si>
  <si>
    <t>Shukla, Anil K.;Cannon, Paul S.;Lester, Mark</t>
  </si>
  <si>
    <t>Shukla A.</t>
  </si>
  <si>
    <t>Spaced antenna diversity in temperate latitude meteor burst systems operating near 40 MHz: Variation of signal cross‚Äêcorrelation coefficient with time</t>
  </si>
  <si>
    <t>10.1029/92RS00855</t>
  </si>
  <si>
    <t>2-s2.0-0026946092</t>
  </si>
  <si>
    <t>['whose solution', 'three antennas', 'physical transition', 'loaded antennas', 'layered solution', 'large distances', 'integral applies', 'integral ).', 'insulated antennas', 'input admittance', 'direct calculation', 'dense medium', 'bare antennas', 'asymptotic evaluation', 'antenna current']</t>
  </si>
  <si>
    <t>A quasistatic layered approximation is used to simplify the layered solution for insulated antennas to the solution of a generalized impedance boundary value problem, whose solution is expressed in terms of an integral. This integral applies to three different cases of antennas: insulated antennas imbedded in a dense medium, insulated antennas imbedded in air (dielectriC-Coated antennas), and impedance-loaded antennas. These three antennas are referred to as loaded antennas. The branch cut contribution for large distances is given by the Sommerfeld space wave formula. The physical transition of loaded antennas to bare antennas is investigated through the asymptotic evaluation of this integral. Simple uniform formulas for loaded antenna current are derived and generalized to cover the same range of validity as the integral (there is a typically large parameter available for expansion of the integral). The direct calculation for the input admittance of loaded antennas is found to be consistent with the derived uniform formula for antenna current. For insulated antennas in a dense medium, the complete transmission line theory (defined in this paper) is found to be adequate to describe antenna current through the transition to bare antennas. ¬© 1992 IEEE</t>
  </si>
  <si>
    <t>1313-1323</t>
  </si>
  <si>
    <t>7410237435;7003397779</t>
  </si>
  <si>
    <t>Chen, Kenneth C.;Warne, Larry K.</t>
  </si>
  <si>
    <t>Chen K.</t>
  </si>
  <si>
    <t>A Uniformly Valid Loaded Antenna Theory</t>
  </si>
  <si>
    <t>10.1109/8.202709</t>
  </si>
  <si>
    <t>2-s2.0-0026946140</t>
  </si>
  <si>
    <t>['œªc denotes', 'time owing', 'thermal fields', 'signal phase', 'sensitive function', 'practical system', 'nearly optimally', 'focal plane', 'focal feed', 'example considered', 'effectively ofd', 'available power', 'antenna gain', 'antenna efficiency', 'also associated', 'adaptively combining']</t>
  </si>
  <si>
    <t>Adaptive algorithms | Antenna | Multifeed arrays | Signal processing | Signal reconstruction</t>
  </si>
  <si>
    <t>For a mechanical antenna system with a perfect parabolic reflector surface of diameter D the antenna gain is proportional to (D/Œªc)2, where Œªc denotes the received carrier wavelength. However, for a practical system an increase in D/Œªc is also associated with a decrease in antenna efficiency due to the imperfect reflector surface. Since the antenna efficiency is a very sensitive function of the RMS surface deviation or effectively ofD/Œªc, the loss in efficiency can more than offset the increase in directivity. The loss in efficiency results owing to the dispersion of the signal in the focal plane, with the result that only a fraction of the available signal power is collected by the focal feed. A configuration wherein several feeds are placed in the focal plane of the antenna is considered so as to capture all the available power. However, the signal phase and amplitude at the outputs of the various feeds vary randomly with time owing to the time‚Äêvarying deformation of the reflector surface induced, for example, by vibrational modes set up by gravitational or thermal fields or wind. Coherent signal combining techniques based on an adaptive least‚Äêsquares algorithm are investigated for nearly optimally and adaptively combining the outputs of these feeds. The performances of the two proposed versions of the least‚Äêsquares algorithm are evaluated by simulations. It is shown for the example considered that both the adaptive least‚Äêsquares algorithms are capable of offsetting most of the loss in the antenna gain incurred owing to reflector surface deformations. Copyright ¬© 1992 John Wiley &amp; Sons, Ltd.</t>
  </si>
  <si>
    <t>561-588</t>
  </si>
  <si>
    <t>International Journal of Adaptive Control and Signal Processing</t>
  </si>
  <si>
    <t>Kumar, R.</t>
  </si>
  <si>
    <t>Long Beach</t>
  </si>
  <si>
    <t>California State University Long Beach</t>
  </si>
  <si>
    <t>Kumar R.</t>
  </si>
  <si>
    <t>Multi‚Äêelement array signal reconstruction with adaptive least‚Äêsquares algorithms</t>
  </si>
  <si>
    <t>10.1002/acs.4480060605</t>
  </si>
  <si>
    <t>2-s2.0-0026947096</t>
  </si>
  <si>
    <t>['stationary processes', 'spectrum estimation', 'simulations show', 'resolution performance', 'reblurring procedure', 'observation window', 'new method', 'negativity constraint', 'estimate subject', 'error performance', 'divergence measure', 'correspondence presents', 'broad band', 'blurring effect', 'antenna array']</t>
  </si>
  <si>
    <t>This correspondence presents a new method for spectrum estimation (either narrow band or broad band in nature) based on minimization of Csiszar's (1975) I-divergence measure is introduced. The blurring effect of the observation window (or antenna array) is minimized by applying a nonlinear deconvolution procedure. This algorithm has subsequently been shown to minimize the I-divergence between the spectrum and its estimate subject to a non-negativity constraint. Here the method is applied to the spectrum estimation problem for stationary processes. A reblurring procedure is used to regularize the method. Simulations show that the method offers error performance comparable to that of MUSIC, although the resolution performance is inferior. The method is iterative, allowing a tradeoff between resolution and error performance, and can be implemented using fast FFT hardware. ¬© 1992 IEEE</t>
  </si>
  <si>
    <t>2863-2866</t>
  </si>
  <si>
    <t>White, Langford B.</t>
  </si>
  <si>
    <t>Defence Science and Technology Group</t>
  </si>
  <si>
    <t>White L.</t>
  </si>
  <si>
    <t>Spectrum Estimation by Iterative Minimization of the IDivergence Measure</t>
  </si>
  <si>
    <t>10.1109/78.165681</t>
  </si>
  <si>
    <t>2-s2.0-0026947163</t>
  </si>
  <si>
    <t>['wire antennas', 'voltage source', 'time step', 'thevenin equivalent', 'small cells', 'scattering dipole', 'resistive load', 'receiving antenna', 'nonlinear load', 'nonlinear equation', 'model output', 'measured data', 'kvl equation', 'iterative approach', 'fdtd cell', 'domain solution', 'domain approach', 'dipole terminated', 'dipole current', 'constitutive parameters', 'computational space', 'calculated using']</t>
  </si>
  <si>
    <t>Both a frequency-domain and finite-difference, time-domain solution to scattering by a dipole terminated in a nonlinearity are described and evaluated with respect to measured data. The objective of this work is to estimate externally generated intermodulation product interference levels. The frequency-domain solution models the scattering dipole by its Thevenin equivalent, and then applies Kirchoffs Voltage Law to find the current through the nonlinear load; because the current-voltage relationship across the load is non-linear, an iterative approach is used to solve the KVL equation. Model output is the dipole current at intermodulation product frequencies of interest. In the finite-difference, time-domain approach, a computational space is divided into small cells, with the constitutive parameters of each cell set separately. Most cells contain free space, but some contain the wire antennas, and other contain the voltage source, a resistive load, or the nonlinear diode load. In the FDTD cell which contains the nonlinear load, a nonlinear equation is solved at each time step. The time domain calculations are continued until steady state conditions are reached, then the third harmonic power level at the receiving antenna is calculated using a Fast Fourier Transform. ¬© 1992 IEEE</t>
  </si>
  <si>
    <t>416-422</t>
  </si>
  <si>
    <t>60027576;60027576;60001439</t>
  </si>
  <si>
    <t>6701547029;7202118492;7005852706</t>
  </si>
  <si>
    <t>Chamberlin, Kent A.;Morrow, Jarrett D.;Luebbers, Raymond J.</t>
  </si>
  <si>
    <t>Durham;University Park</t>
  </si>
  <si>
    <t>University of New Hampshire Durham;Pennsylvania State University</t>
  </si>
  <si>
    <t>60027576;60001439</t>
  </si>
  <si>
    <t>Chamberlin K.A.</t>
  </si>
  <si>
    <t>Frequency-Domain and Finite-Difference, Time Domain Solutions to a Nonlinearally-Terminated Dipole: Theory and Validation</t>
  </si>
  <si>
    <t>10.1109/15.179274</t>
  </si>
  <si>
    <t>2-s2.0-0026947166</t>
  </si>
  <si>
    <t>['yielding specimens', 'whole mounts', 'thoroughly macerated', 'structures noted', 'single larva', 'mounting larvae', 'mounted specimens', 'light microscopy', 'integumentary scales', 'head capsule', 'greatly facilitated', 'fatty material', 'fat globules', 'enhanced transparency', 'eliminate confusion', 'dorsal orientation', 'contrast microscopy', 'clearer views', 'carbol fuchsin', 'anal mounds', 'anal comb', 'allowing examination']</t>
  </si>
  <si>
    <t>Techniques are described for making permanent slide-mounted specimens. Larvae were thoroughly macerated in KOH to remove soft internal tissue, yielding specimens with enhanced transparency and allowing examination of most of the exoskeleton in a single larva. Fatty material was removed in acetone to eliminate confusion of fat globules with sensilla in the cuticle. The more sclerotized exoskeletal elements, such as integumentary scales and the body sclerites together with their setae and sensilla, were highlighted by staining with carbol fuchsin. Resolution of numbers and arrangement of setae, especially those on the dorsum of the head capsule, in the anal comb, and on the anal mounds, was greatly facilitated by mounting larvae in dorsal orientation. Clearer views of the antennae and mouthparts were obtained, in orientations seldom achieved in whole mounts, by dissecting the head capsule. Discrimination of many taxonomically valuable features was enhanced by the use of phase-contrast microscopy. Interpretation of structures noted in light microscopy was complemented using scanning electron microscopy. The latter allowed differentiation between surface and internal cuticular structures.</t>
  </si>
  <si>
    <t>953-959</t>
  </si>
  <si>
    <t>Pilgrim, R. L.</t>
  </si>
  <si>
    <t>New Zealand</t>
  </si>
  <si>
    <t>Christchurch</t>
  </si>
  <si>
    <t>University of Canterbury</t>
  </si>
  <si>
    <t>Pilgrim R.</t>
  </si>
  <si>
    <t>Preparation and examination of flea larvae (Siphonaptera) by light and electron microscopy.</t>
  </si>
  <si>
    <t>10.1093/jmedent/29.6.953</t>
  </si>
  <si>
    <t>2-s2.0-0026949522</t>
  </si>
  <si>
    <t>['¬© 1992', 'rights reserved', 'notch antenna', 'new design', 'fet oscillator', 'electrical engineers', 'active antenna', '98 ghz', '9 mw']</t>
  </si>
  <si>
    <t>Active antennas | Antennas</t>
  </si>
  <si>
    <t>A new design for an active antenna in which an FET oscillator is integrated with a notch antenna has been demonstrated. The structure radiates 8.9 mW of power at a frequency of 6.98 GHz. The FET active notch antenna is suitable for use as a low cost transmitter or in quasioptical power combining arrays. ¬© 1992, The Institution of Electrical Engineers. All rights reserved.</t>
  </si>
  <si>
    <t>2239-2240</t>
  </si>
  <si>
    <t>6506081845;55714833100;7404879378</t>
  </si>
  <si>
    <t>Leverich, W. K.;Wu, X. D.;Chang, K.</t>
  </si>
  <si>
    <t>Leverich W.</t>
  </si>
  <si>
    <t>New FET active notch antenna</t>
  </si>
  <si>
    <t>10.1049/el:19921439</t>
  </si>
  <si>
    <t>2-s2.0-0026953202</t>
  </si>
  <si>
    <t>['wiley company', 'theoretical techniques', 'physical optics', 'near field', 'inc .,', 'bistatic cases', 'antenna calculations', 'analytical solution']</t>
  </si>
  <si>
    <t>bistatic | near field | physical optics | Radar cross‚Äêsection (R.C.S.)</t>
  </si>
  <si>
    <t>In this article the analytical solution of physical optics in near field for a perfectly conducting body is obtained. The mono‚Äê and bistatic cases are shown and compared with other theoretical techniques. This approach is new und permits deeper investigation of a variety of problems such as radar cross‚Äêsection (R.C.S.) and antenna calculations or measurements. ¬© 1992 John Wiley &amp; Sons. Inc. Copyright ¬© 1992 Wiley Periodicals, Inc., A Wiley Company</t>
  </si>
  <si>
    <t>653-657</t>
  </si>
  <si>
    <t>60013650;60008055</t>
  </si>
  <si>
    <t>6701365631;57213585153</t>
  </si>
  <si>
    <t>Pouliguen, P.;Desclos, L.</t>
  </si>
  <si>
    <t>Bruz;</t>
  </si>
  <si>
    <t>CELAR Centre d'√âlectronique de l'Armement;INSA France</t>
  </si>
  <si>
    <t>Pouliguen P.</t>
  </si>
  <si>
    <t>An application of physical optics for near‚Äêfield monoor bistatic diffraction calculations</t>
  </si>
  <si>
    <t>10.1002/mop.4650051215</t>
  </si>
  <si>
    <t>2-s2.0-0026953711</t>
  </si>
  <si>
    <t>['¬© 1992', 'truss elements', 'truss constructions', 'time constants', 'thin bodies', 'temperature differences', 'much smaller', 'much larger', 'elements surface', 'dynamical mechanisms', 'corresponding dimensions', 'conductive lengths', 'analytical study', 'analytical evaluations', 'ambient temperature', 'allow one']</t>
  </si>
  <si>
    <t>Analytical study of dynamical mechanisms of the temperature differences between the elements of truss constructions under uniform heat transfer conditions is completed. The time-dependent temperature differences are associated with the different thermal time constants of the truss elements. In this study the truss elements are assumed to be the rods with low Biot numbers that allow one to consider them as thermally-thin bodies. The conductive lengths of the rods are supposed to be much smaller than the corresponding dimensions that allow one to neglect the conductive heat transfer. Analytical evaluations of the temperature differences are made for the following stepwise changing and oscillatory operating parameters: the ambient temperature; the heat flux density on the elements surface; and the convective heat transfer coefficient. The temperature differences are shown to be small for the two operating conditions limits. Firstly, for the case when all the time constants of the elements are much larger than the period of the operating parameters oscillation. Secondly, for the case when the time constants of all the elements are much smaller than the period of the oscillations. ¬© 1992.</t>
  </si>
  <si>
    <t>2805-2813</t>
  </si>
  <si>
    <t>International Journal of Heat and Mass Transfer</t>
  </si>
  <si>
    <t>60105314;60105314</t>
  </si>
  <si>
    <t>7004067175;7004485403</t>
  </si>
  <si>
    <t>Baum, Igor V.;Louchev, Oleg A.</t>
  </si>
  <si>
    <t>The Energy Research Institute of the Russian Academy of Sciences</t>
  </si>
  <si>
    <t>Baum I.</t>
  </si>
  <si>
    <t>Dynamical mechanisms of the temperature differences arising under uniform heat exchange conditions</t>
  </si>
  <si>
    <t>10.1016/0017-9310(92)90301-8</t>
  </si>
  <si>
    <t>2-s2.0-0026954103</t>
  </si>
  <si>
    <t>['¬© 1992', 'two transmit', 'transmitter diversity', 'single transmit', 'significantly improve', 'rights reserved', 'receive antennas', 'receive antenna', 'portable stations', 'portable station', 'experimentally investigated', 'electrical engineers', 'cochannel interference', 'base station']</t>
  </si>
  <si>
    <t>Mobile radio systems</t>
  </si>
  <si>
    <t>Transmitter diversity, which employs a single transmit/ receive antenna at the portable stations and two transmit/ receive antennas at the base station, is experimentally investigated for a TDMA/TDD (time division duplex) mobile radio system. Experimental results show that transmitter diversity can significantly improve the BER (bit error rate) performance of the portable station, due to AWGN (additive white gaussian noise), delay spread, and CCI (cochannel interference) in Rayleigh fading environments. ¬© 1992, The Institution of Electrical Engineers. All rights reserved.</t>
  </si>
  <si>
    <t>2201-2202</t>
  </si>
  <si>
    <t>60025555;60025555</t>
  </si>
  <si>
    <t>55411183500;7004892535</t>
  </si>
  <si>
    <t>Sawahashi, M.;Inukai, Y.</t>
  </si>
  <si>
    <t>Sawahashi M.</t>
  </si>
  <si>
    <t>Transmitter diversity effect in TDMA/TDD mobile radio transmission</t>
  </si>
  <si>
    <t>10.1049/el:19921414</t>
  </si>
  <si>
    <t>2-s2.0-0026954190</t>
  </si>
  <si>
    <t>['radiation patterns', 'quite difficult', 'monopole antenna', 'moments approach', 'input impedance', 'good agreement', 'gain results', 'frequency result', 'domain method', 'difference time', 'dielectric layer', 'covered box', 'conducting box', 'box coated', 'bare box']</t>
  </si>
  <si>
    <t>The ability of the finite-difference time-domain method to calculate radiation patterns, input impedance, and gain for a monopole antenna on a conducting box is demonstrated. Results are given for the bare box and with the box coated with a dielectric layer. Radiation patterns are compared with measurements and with the method of moments for the bare box. Radiation patterns for the dielectriC-Covered box and all impedance and gain results are compared with measurements only. Good agreement is obtained in all cases. The FDTD approach includes the dielectric covering quite easily, while this would be quite difficult for a method of moments approach. The FDTD method requires similar computer time as the method of moments for a single-frequency result, but produces widebandwidth impedance and gain results with much less computer time. ¬© 1992 IEEE</t>
  </si>
  <si>
    <t>1577-1583</t>
  </si>
  <si>
    <t>60001439;60008435;60008435;60008435</t>
  </si>
  <si>
    <t>7005852706;55574215963;7201851714;56779495700</t>
  </si>
  <si>
    <t>Luebbers, Raymond;Chen, Li;Uno, Toru;Adachi, Saburo</t>
  </si>
  <si>
    <t>Japan;United States</t>
  </si>
  <si>
    <t>Sendai;University Park</t>
  </si>
  <si>
    <t>Tohoku University;Pennsylvania State University</t>
  </si>
  <si>
    <t>60008435;60001439</t>
  </si>
  <si>
    <t>FDTD Calculation of Radiation Patterns, Impedance, and Gain for a Monopole Antenna on a Conducting Box</t>
  </si>
  <si>
    <t>10.1109/8.204752</t>
  </si>
  <si>
    <t>2-s2.0-0026960674</t>
  </si>
  <si>
    <t>['tilted blades', 'stationary method', 'slowly rotating', 'section spectra', 'rotational velocity', 'physical theory', 'physical optics', 'observation angles', 'linear array', 'fan need', 'fan array', 'experimental results']</t>
  </si>
  <si>
    <t>The monostatic radar cross-section spectra of a rotating-fan array, with tilted blades, are investigated. The high-frequency theoretical treatment of a slowly rotating and electrically large scatterer is based on the quasi-stationary method with the physical optics/physical theory of diffraction (PO/PTD) technique. Only the Œ∏Œ∏ polarization case is considered here, although the œàœà polarization case can be treated in the same way. The solution is applicable to any observation angles, and, except for the condition of the same rotational velocity, each fan need not have the same number of blades and dimensions or the same spacing. An example, a linear array with two synchronously rotating fans, each with three identical tilted blades, is presented. The agreement between the theoretical and experimental results is acceptable.</t>
  </si>
  <si>
    <t>495-499</t>
  </si>
  <si>
    <t>Dec</t>
  </si>
  <si>
    <t>60079715;60079715</t>
  </si>
  <si>
    <t>7404656814;35619743900</t>
  </si>
  <si>
    <t>Yang, T. L.;Bor, S. S.</t>
  </si>
  <si>
    <t>National Defense University Taiwan</t>
  </si>
  <si>
    <t>Yang T.L.</t>
  </si>
  <si>
    <t>Monostatic radar cross-section spectra of a rotating-fan array, with tilted plate metal blades, in the PO/PTD approximation</t>
  </si>
  <si>
    <t>10.1049/ip-h-2.1992.0089</t>
  </si>
  <si>
    <t>2-s2.0-0026960814</t>
  </si>
  <si>
    <t>['updated occasionally', 'steady state', 'sources individually', 'significant changes', 'new algorithm', 'natural process', 'lms algorithm', 'linear power', 'inversion array', 'individually tracked', 'incidental cancellation', 'implementation complexity', 'different sources', 'beamformer outputs', 'adaptive processing']</t>
  </si>
  <si>
    <t>A new algorithm for separating and tracking multiple directional sources in a linear power-inversion array is proposed and investigated. In this algorithm, the sources are separated by using an adaptive beamformer whose responses consist of perfect steerable nulls. By using the LMS algorithm for adaptive processing of the beamformer outputs to minimize the array output power and examining the adaptive weights employed, these nulls can be adjusted to track the sources individually so that the beamformer outputs will be due to different sources in the steady state. With this algorithm, the problem of incidental cancellation is eliminated and the enhancement of multiple moving sources becomes a natural process. Also, since the sources are individually tracked and the beamformer is only updated occasionally when significant changes in the environment are detected, the algorithm possesses fast tracking behaviour and its implementation complexity is comparable with that of beamformer-based adaptive arrays using the LMS algorithm.</t>
  </si>
  <si>
    <t>477-482</t>
  </si>
  <si>
    <t>7202596473;7402701962;7005101794</t>
  </si>
  <si>
    <t>Ko, C. C.;Wen, J.;Chin, F.</t>
  </si>
  <si>
    <t>Ko C.C.</t>
  </si>
  <si>
    <t>Adaptive null-steering algorithm for separating multiple directional sources in linear power-inversion arrays</t>
  </si>
  <si>
    <t>10.1049/ip-h-2.1992.0086</t>
  </si>
  <si>
    <t>2-s2.0-0026961906</t>
  </si>
  <si>
    <t>['white noise', 'weighting coefficients', 'systematic procedure', 'quiescent response', 'problem identical', 'paper describes', 'nonadaptive arrays', 'first constraint', 'desired signal', 'broadband arrays', 'beamformer response', 'arbitrary specification', 'additional constraints']</t>
  </si>
  <si>
    <t>This paper describes a simple, systematic procedure for designing linear constraints in minimum variance beamformers which allows an arbitrary specification of the quiescent response the beamformer response when only white noise is present. In this approach, the first constraint is dedicated to the imposition of a desired quiescent response, and additional constraints are included to assure proper reception of the desired signal. The function of these additional constraints is to make the overall beamformer response equal the quiescent response in the desired signal region so that the signal is not cancelled when it is present. Optionally, the response can also be fixed in other regions of interest by adding more constraints. This design procedure clearly demonstrates that the key to designing efficient constraints lies in finding the weighting coefficients which specify the desired quiescent response a problem identical to the synthesis of desired beam patterns for nonadaptive arrays. Using two recently developed algorithms to synthesize desired quiescent responses, the effectiveness of this new design procedure is illustrated by examples in both narrowband and broadband arrays. ¬© 1992 IEEE</t>
  </si>
  <si>
    <t>1533-1542</t>
  </si>
  <si>
    <t>A Unified Approach to the Design of Linear Constraints in Minimum Variance Adaptive Beamformers</t>
  </si>
  <si>
    <t>10.1109/8.204744</t>
  </si>
  <si>
    <t>2-s2.0-0026962128</t>
  </si>
  <si>
    <t>['wave characterization', 'wave antenna', 'previous data', 'numerical results', 'matching procedure', 'guide leaky', 'described based', 'accurate way']</t>
  </si>
  <si>
    <t>A full-wave characterization of the groove-guide leaky-wave antenna is described based on the mode-matching procedure. All higher order modes are taken into account, and the radiating open end is treated in a concise and accurate way by using the generalized scattering matrix technique. The formulation is versatile and rigorous. Numerical results are compared with previous data. ¬© 1992 IEEE</t>
  </si>
  <si>
    <t>489-491</t>
  </si>
  <si>
    <t>60032315;60032315</t>
  </si>
  <si>
    <t>7403600719;7005437929</t>
  </si>
  <si>
    <t>Ma, Zhewang;Yamashita, Eikichi</t>
  </si>
  <si>
    <t>The University of Electro-Communications</t>
  </si>
  <si>
    <t>Ma Z.</t>
  </si>
  <si>
    <t>A New Method for the Characterization of Groove-Guide Leaky-Wave Antenna with an Asymmetrically Located Metal Strip</t>
  </si>
  <si>
    <t>10.1109/75.173404</t>
  </si>
  <si>
    <t>2-s2.0-0026962841</t>
  </si>
  <si>
    <t>['¬± 1', 'reflection parameters', 'frequency range', 'evaluated experimentally', 'errors due', '9 %.', '30 mhz', '200 mhz', '1000 mhz']</t>
  </si>
  <si>
    <t>An accurate electric field strength standard for the frequency range of 30 MHz to 1000 MHz has been developed in a full anechoic chamber with one-sigma uncertainty less than ¬±1.9%. Reflection parameters of walls at frequencies below 200 MHz are evaluated experimentally, and the errors due to these waves are compensated in the standard and calibrations of the antennas. ¬© 1992 IEEE</t>
  </si>
  <si>
    <t>997-1000</t>
  </si>
  <si>
    <t>Matsui, Toshimi</t>
  </si>
  <si>
    <t>Electrotechnical Office</t>
  </si>
  <si>
    <t>Matsui T.</t>
  </si>
  <si>
    <t>30‚Äì1000 mhz field strength standard developed in anechoic chamber</t>
  </si>
  <si>
    <t>10.1109/19.199380</t>
  </si>
  <si>
    <t>2-s2.0-0026963451</t>
  </si>
  <si>
    <t>['useful tool', 'speed brakes', 'search mode', 'rcs data', 'range track', 'programmable waveforms', 'obtained using', 'monopulse comparator', 'loop angle', 'isar images', 'dish system', 'data indicates', 'counterclockwise orbits', 'controlled path', 'acquisition mode', '4 ghz']</t>
  </si>
  <si>
    <t>ISAR images and RCS data of a Mooney 231 aircraft, obtained using an advanced portable instrumentation radar system, are presented. The Mooney 231 flew in a controlled path in both clockwise and counterclockwise orbits, and successively with gear down, flaps in the take-off position and with the speed brakes up. The radar used operates in the 7‚Äì11 GHz region, has a maximum continuous bandwidth of 4 GHz, has programmable waveforms, uses a transmitter with 200 watts peak power and can be operated in a search mode with open-loop manual alignment or in an acquisition mode with a closed-loop angle and range track. The antenna configuration consists of a 3-dish system, utilizing a single-polarity transmit antenna, a track receive antenna-monopulse comparator, and a dual-polarity receive antenna. The data indicates that this system is a useful tool for RCS signature diagnostics of aircraft in flight. ¬© 1992 IEEE</t>
  </si>
  <si>
    <t>951-956</t>
  </si>
  <si>
    <t>56285929400;7006093636</t>
  </si>
  <si>
    <t>Jain, Atul;Patel, Indu</t>
  </si>
  <si>
    <t>Jain A.</t>
  </si>
  <si>
    <t>Ground-to-air imaging radar for rcs measurements</t>
  </si>
  <si>
    <t>10.1109/19.199441</t>
  </si>
  <si>
    <t>2-s2.0-0026963455</t>
  </si>
  <si>
    <t>['te modes', 'special case', 'resonant modes', 'radiation patterns', 'planar substrate', 'higher gain', 'field components', 'conical substrate', 'conical patch', 'conical cavity', 'azimuthal angle', 'analytical expressions', 'analytic expressions', 'also studied', 'also resonate']</t>
  </si>
  <si>
    <t>Biconical microstrip antennas having a conical patch over a conical substrate are investigated. Analytical expressions for the field distribution inside the conical cavity are developed in a spherical coordinate system and used to determine the eigenvalues of the resonant modes. It is found that, in addition to the axially symmetric modes, TE modes can also resonate which are asymmetric and dependent on the azimuthal angle. For coaxial probe excitation of the cavity its analytic expressions for the field components are determined and used to investigate the antenna input parameters and radiation patterns. The special case of a conical patch microstrip antenna with a planar substrate is also studied. It is shown that, in comparison with circular disc microstrip antennas, a conical patch yields a wider impedance bandwidth and higher gain.</t>
  </si>
  <si>
    <t>483-490</t>
  </si>
  <si>
    <t>7406588622;8092251400</t>
  </si>
  <si>
    <t>Lin, Y.;Shafai, L.</t>
  </si>
  <si>
    <t>Lin Y.</t>
  </si>
  <si>
    <t>Analysis of biconical microstrip antennas</t>
  </si>
  <si>
    <t>10.1049/ip-h-2.1992.0087</t>
  </si>
  <si>
    <t>2-s2.0-0026963608</t>
  </si>
  <si>
    <t>['¬© 1992', 'various psks', 'used regardless', 'signal components', 'signal component', 'reasonable number', 'paper suggests', 'paper addresses', 'optimal weights', 'multipath fading', 'multipath effects', 'modulation technique', 'mobile communications', 'mobile communication', 'large number', 'known symbols', 'iteratively computing', 'formulated independently', 'extensive analysis', 'excitation vector', 'efficient way', 'distinct clusters', 'cgm shown', 'arrival may', 'arrival angles', 'arrival angle', 'array performances', 'array designed', 'antenna elements', 'antenna element', 'antenna array']</t>
  </si>
  <si>
    <t>Adaptive antenna | conjugate gradient method | fading | mobile communication | multipath</t>
  </si>
  <si>
    <t>This paper addresses a multipath fading problem occurring in mobile communications. At each antenna element, there arrives a number of clusters of signals each of which consists of a large number of signal components with their own arrival angles. The clusters are distinguished from each other by distinct group delays. This paper suggests a new efficient method of eliminating the multipath fading that can be used regardless of modulation technique. Since the problem is formulated independently from the arrival angle of each signal component, the array can resolve the multipath effects with a reasonable number of antenna elements even when there exist a large number of signal components. The angles of arrival may be distributed very closely to each other. In fact, the array designed in this paper can reduce the multipath effects once the number of antenna elements is equal to the number of distinct clusters. The new method utilizes a modified conjugate gradient method (CGM) for iteratively computing the optimal weights of the antenna elements. To generate the excitation vector which is required by the CGM, it is assumed that a set of known symbols are sent at each frame. This paper includes many practical examples of various PSKs and 16QAM, and the array performances are shown in many different signal environments in terms of bit-error-rate (BER) performance. From the extensive analysis and various computer simulations, we conclude that the CGM shown in this paper is suitable to adapt for an antenna array in an efficient way for mobile communication. ¬© 1992.</t>
  </si>
  <si>
    <t>319-333</t>
  </si>
  <si>
    <t>60001558;60030551</t>
  </si>
  <si>
    <t>55413900600;55650323300</t>
  </si>
  <si>
    <t>Choi, Seungwon;Sarkar, Tapan K.</t>
  </si>
  <si>
    <t>United States;South Korea</t>
  </si>
  <si>
    <t>Syracuse;Daejeon</t>
  </si>
  <si>
    <t>Syracuse University;Electronics and Telecommunications Research Institute</t>
  </si>
  <si>
    <t>60030551;60001558</t>
  </si>
  <si>
    <t>Choi S.</t>
  </si>
  <si>
    <t>Adaptive antenna array utilizing the conjugate gradient method for multipath mobile communication</t>
  </si>
  <si>
    <t>016516849290090J</t>
  </si>
  <si>
    <t>10.1016/0165-1684(92)90090-J</t>
  </si>
  <si>
    <t>2-s2.0-0026964051</t>
  </si>
  <si>
    <t>ATM 90-12709</t>
  </si>
  <si>
    <t>['unmagnetized ions', 'studied experimentally', 'space plasmas', 'radiation patterns', 'pulsed currents', 'penetrate deeply', 'parameter regime', 'nonlinear effects', 'magnetic antennas', 'like configurations', 'high conductivity', 'formula omitted', 'form cerenkov', 'excite waves', 'electromagnetically force', 'electrodynamic tethers', 'current closure', 'collisional plasma', 'charged particles', 'biased electrodes', 'beam injections', 'auroral arcs', 'active experiments']</t>
  </si>
  <si>
    <t>In a large laboratory plasma the properties of time-varying current systems have been studied experimentally. The parameter regime of interest involves magnetized electrons and unmagnetized ions. Pulsed currents are generated by (i) collection/emission of charged particles by/from biased electrodes and (ii) induction of currents by time-varying and moving magnetic fields. Such situations may arise in space plasmas during active experiments (electrodynamic tethers, beam injections, magnetic antennas) or naturally in unstable current systems (auroral arcs, current sheets). In the laboratory complete measurements of three-dimensional, time-varying vector fields of the total current density [formula omitted] are obtained from magnetic probe measurements. Pulsed currents are observed to propagate at the speed of whistler wave packets. Their field structure form flux-rope-like configurations which are electromagnetically force-free [formula omitted]. Moving sources induce ‚Äúeddy‚Äù currents which excite waves and form Cerenkov-like whistler ‚Äúwings.‚Äù The radiation patterns of moving magnetic antennas and electrodynamic tethers have been investigated. The current closure between tethered electrodes across B0 has been mapped. Nonlinear effects of large-amplitude, antenna-launched whistler pulses have been observed. These involve a new modulational instability in which a channel of high conductivity is formed which permits the wave/currents to penetrate deeply into a collisional plasma. ¬© 1992 IEEE</t>
  </si>
  <si>
    <t>787-796</t>
  </si>
  <si>
    <t>IEEE Transactions on Plasma Science</t>
  </si>
  <si>
    <t>60027550;60027550;60027550</t>
  </si>
  <si>
    <t>7004643397;7005745994;6603263209</t>
  </si>
  <si>
    <t>Stenzel, R. L.;Urrutia, J. M.;Rousculp, C.</t>
  </si>
  <si>
    <t>Stenzel R.</t>
  </si>
  <si>
    <t>Transport of Time-Varying Plasma Currents by Whistler Wave Packets</t>
  </si>
  <si>
    <t>10.1109/27.199529</t>
  </si>
  <si>
    <t>2-s2.0-0026965981</t>
  </si>
  <si>
    <t>['‚ äòstate', '¬© 1992', 'wanted signals', 'transformations subject', 'system designers', 'rights reserved', 'paper indicates', 'limiting constraints', 'image space', 'electrical engineers', 'antenna aperture']</t>
  </si>
  <si>
    <t>The paper indicates, for the benefit of system designers, how and to what extent independently available information - or generic characteristics derived from the signal itself - can be used to enhance the extraction of wanted signals in the presence of noise or interference. To bring out the commonalities in apparently different problems or methods, it uses the ‚Äòstate-space‚Äô concept, common to the dimensions of time, frequency, antenna aperture and image space, and it treats signal processing as a sequence of transformations subject to a set of limiting constraints. ¬© 1992, The Institution of Electrical Engineers. All rights reserved.</t>
  </si>
  <si>
    <t>373-382</t>
  </si>
  <si>
    <t>Benjamin, R.</t>
  </si>
  <si>
    <t>Benjamin R.</t>
  </si>
  <si>
    <t>Signal processing principles for systems analysis and design</t>
  </si>
  <si>
    <t>10.1049/ecej:19920067</t>
  </si>
  <si>
    <t>2-s2.0-0026972498</t>
  </si>
  <si>
    <t>['transmission coefficient', 'multilayer structure', 'induced currents', 'element current', 'distance separating', 'aperture fields', 'analysis described']</t>
  </si>
  <si>
    <t>A coupled integral equation formulation of analyzing a generalized multilayer frequency selective surface is described. An iterative spectral technique has been adopted for the calculation of the induced currents, aperture fields and the plane wave transmission coefficient. In this scheme, the error is minimized using variational expressions for the element current in each of the unit cell areas of the multilayer structure. The effect of the distance separating the arrays and state of incidence to the rate of convergence and the transmission coefficient is discussed. The analysis described in the paper is not restricted to identical element geometries.</t>
  </si>
  <si>
    <t>60000891;60000891;60000891</t>
  </si>
  <si>
    <t>6701852001;6505474232;35562114200</t>
  </si>
  <si>
    <t>Stylianou, A.;Debono, P.;Vardaxoglou, J. C.</t>
  </si>
  <si>
    <t>Iterative computation of current and field distributions in multilayer frequency selective surfaces</t>
  </si>
  <si>
    <t>10.1049/ip-h-2.1992.0095</t>
  </si>
  <si>
    <t>2-s2.0-0026980528</t>
  </si>
  <si>
    <t>['various topics', 'strains caused', 'intrinsic dependence', 'frequency established', 'diverse nature']</t>
  </si>
  <si>
    <t>active isolation | vibration isolation</t>
  </si>
  <si>
    <t>Successful precision engineering is the balance of robustness of the machine and how benign the environment can be made through isolation to minimize the strains caused by vibration that compromise a machine's accuracy. This paper discusses principally the process of isolating a machine from the disturbances which come from the ground, air and utilities which serve it. Principles are reviewed and the intrinsic dependence on frequency established. Requirements are discussed and the hardware realizations currently available are reviewed. A number of examples of systems with unusually demanding requirements are given to illustrate the diverse nature of the solutions in practice. Some new developing areas are identified as the various topics are presented. ¬© 1992 CIRP.</t>
  </si>
  <si>
    <t>711-718</t>
  </si>
  <si>
    <t>CIRP Annals - Manufacturing Technology</t>
  </si>
  <si>
    <t>DeBra, D. B.</t>
  </si>
  <si>
    <t>DeBra D.</t>
  </si>
  <si>
    <t>Vibration Isolation of Precision Machine Tools and Instruments</t>
  </si>
  <si>
    <t>S0007850607632570</t>
  </si>
  <si>
    <t>10.1016/S0007-8506(07)63257-0</t>
  </si>
  <si>
    <t>2-s2.0-0026981261</t>
  </si>
  <si>
    <t>['transmitted beam', 'phased array', 'paper describes', 'novel design', 'feedback link', 'computer simulations', 'automatically tracks']</t>
  </si>
  <si>
    <t>SHARP is a proposed airborne platform consisting of a light aircraft powered by microwave energy beamed to it from the ground. This paper describes a novel design for a phased array which automatically tracks the aircraft as it flies on station. It uses a feedback link through the transmitted beam. Computer simulations are presented. ¬© 1992 IEEE</t>
  </si>
  <si>
    <t>1565-1567</t>
  </si>
  <si>
    <t>East, Thomas W.R.</t>
  </si>
  <si>
    <t>East T.</t>
  </si>
  <si>
    <t>A Self-Steering Array for the SHARP Microwave-Powered Aircraft</t>
  </si>
  <si>
    <t>10.1109/8.204748</t>
  </si>
  <si>
    <t>2-s2.0-0026981724</t>
  </si>
  <si>
    <t>['three functions', 'system operated', 'surface measurements', 'specular points', 'sea surface', 'rapidly evaluated', 'ptr ),', 'pointing errors', 'obtain closed', 'modified fsir', 'mara system', 'height pdf', 'fsir ),', 'form expressions', 'certain properties']</t>
  </si>
  <si>
    <t>An algorithm has been developed to model the average return power waveforms available from general radar altimeter systems, such as the Multimode Airborne Radar Altimeter (MARA) system operated at NASA Goddard Space Flight Center Wallops Flight Facility. The algorithm is based on a convolutional model comprised of three functions: the average flat surface impulse response (FSIR), the radar system point target response (PTR), and the height pdf of the specular points on the sea surface, The FSIR is modified to account for the asymmetric antenna beam used by the MARA system, and then certain properties of this modified FSIR are exploited to obtain closed-form expressions that can be rapidly evaluated. An FFT convolution routine is used to further speed up the computations. The result is an algorithm that can be used to study the effects of pointing errors in surface measurements. ¬© 1992 IEEE</t>
  </si>
  <si>
    <t>1478-1488</t>
  </si>
  <si>
    <t>7005137403;7406465664</t>
  </si>
  <si>
    <t>Newkirk, Michael H.;Brown, Gary S.</t>
  </si>
  <si>
    <t>Newkirk M.H.</t>
  </si>
  <si>
    <t>Issues Related to Waveform Computations for Radar Altimeter Applications</t>
  </si>
  <si>
    <t>10.1109/8.204738</t>
  </si>
  <si>
    <t>2-s2.0-0026981725</t>
  </si>
  <si>
    <t>['telemetry ic', 'resonant frequency', 'pm low', 'paper presents', 'measuring 2', 'implantable instruments', 'good results', 'full implementation', 'fast prototyping', 'communication requirements', 'automatic resonant', 'antenna variations', 'amplitude detector', '9 mm']</t>
  </si>
  <si>
    <t>This paper presents an implantable digital telemetry integrated circuit that uses an automatic resonant-fre-quency search technique to adapt to antenna variations. A VCO and an amplitude detector are used to search for the antenna's resonant frequency at the start of each transmission. The chip is designed to meet the communication requirements of a microprocessor-based telemetry system for the fast prototyping of implantable instruments for biomedical research applications. A full implementation of the telemetry IC, measuring 2.5 mm x 2.9 mm, was fabricated in a 1.2-pm low-voltage CMOS process and tested with good results. ¬© 1992 IEEE</t>
  </si>
  <si>
    <t>1826-1832</t>
  </si>
  <si>
    <t>60011271-60004923-60020536-60019357</t>
  </si>
  <si>
    <t>Fernald, Kenneth W.</t>
  </si>
  <si>
    <t>United States;United States;United States;United States</t>
  </si>
  <si>
    <t>Palo Alto;Research Triangle Park;Angleton;Raleigh</t>
  </si>
  <si>
    <t>Hewlett-Packard Inc.;MCNC;Intermedics, Inc.;NC State University</t>
  </si>
  <si>
    <t>60020536;60019357;60011271;60004923</t>
  </si>
  <si>
    <t>Fernald K.</t>
  </si>
  <si>
    <t>A Self-Tuning Digital Telemetry IC for Use in a Microprocessor-Based Implantable Instrument</t>
  </si>
  <si>
    <t>10.1109/4.173112</t>
  </si>
  <si>
    <t>2-s2.0-0026983633</t>
  </si>
  <si>
    <t>['¬© 1992', 'waveguide transitions', 'transient fields', 'subsequently treated', 'special case', 'numerical approach', 'moving bunches', 'method transforms', 'metallic waveguides', 'matrix mathematics', 'large variety', 'integral equations', 'frequency modes', 'although derived']</t>
  </si>
  <si>
    <t>A numerical approach for the solution of Maxwell's equations is presented. Based on a finite difference Yee lattice the method transforms each of the four Maxwell equations into an equivalent matrix expression that can be subsequently treated by matrix mathematics and suitable numerical methods for solving matrix problems. The algorithm, although derived from integral equations, can be considered to be a special case of finite difference formalisms. A large variety of two- and three-dimensional field problems can be solved by computer programs based on this approach: electrostatics and magnetostatics, low-frequency eddy currents in solid and laminated iron cores, high-frequency modes in resonators, waves on dielectric or metallic waveguides, transient fields of antennas and waveguide transitions, transient fields of free-moving bunches of charged particles etc. ¬© 1992.</t>
  </si>
  <si>
    <t>22-39</t>
  </si>
  <si>
    <t>Computer Physics Communications</t>
  </si>
  <si>
    <t>60011226;60011226;60011226;60011226;60011226;60011226;60011226;60030635;60011226;60011226;60011226;60011226;60007774;60011226;60011226;60030635;60011226</t>
  </si>
  <si>
    <t>56133280900;6603544872;6701446833;7003354473;6603605665;6603869403;6701600281;56283794200;57216077468;6508012142;7402515225;57197310602;57220457071;7402577808;7006068674;55998432500;7006967228</t>
  </si>
  <si>
    <t>Bartsch, Michael;Dehler, Micha;Dohlus, Martin;Ebeling, Frank;Hahne, Peter;Klatt, Reinhard;Krawczyk, Frank;Marx, Michaela;Min, Zhang;Pr√∂pper, Thomas;Schmitt, Dietmar;Sch√ºtt, Petra;Steffen, Bernhard;Wagner, Bernhard;Weiland, Thomas;Wipf, Susan G.;Wolter, Heike</t>
  </si>
  <si>
    <t>Hamburg;Darmstadt;J√ºlich</t>
  </si>
  <si>
    <t>Deutsches Elektronen-Synchrotron (DESY);Technische Universit√§t Darmstadt;Forschungszentrum J√ºlich (FZJ)</t>
  </si>
  <si>
    <t>60030635;60011226;60007774</t>
  </si>
  <si>
    <t>Bartsch M.</t>
  </si>
  <si>
    <t>Solution of Maxwell's equations</t>
  </si>
  <si>
    <t>001046559290026U</t>
  </si>
  <si>
    <t>10.1016/0010-4655(92)90026-U</t>
  </si>
  <si>
    <t>2-s2.0-0026985266</t>
  </si>
  <si>
    <t>['solution suggested', 'realistic assumption', 'less complex', 'independent numbers', 'generalized solution', 'direction constraint', 'communication reinvestigates', 'coherent jammers', 'array elements']</t>
  </si>
  <si>
    <t>This communication reinvestigates the solution suggested by Luthra in 1986 to the adaptive nulling problem with a look-direction constraint in the presence of coherent jammers, but under the realistic assumption of independent numbers of array elements and of coherent jammers. Some limitations of this solution are pointed out. A generalized solution is proposed which has additional useful merits of being less complex and of increased adaptation speed. Computer simulations validated the correctness of the presented theoretical arguments. ¬© 1992 IEEE</t>
  </si>
  <si>
    <t>1568-1571</t>
  </si>
  <si>
    <t>60032320;60002575;60032320</t>
  </si>
  <si>
    <t>6602688915;7005492000;6504743924</t>
  </si>
  <si>
    <t>El-Ayadi, M. Hatem;Al-Hussaini, Emad K.;El-Hakeim, Eid A.</t>
  </si>
  <si>
    <t>Military Technical College, Cairo;Cairo University, Faculty of Engineering</t>
  </si>
  <si>
    <t>60032320;60002575</t>
  </si>
  <si>
    <t>El-Ayadi M.</t>
  </si>
  <si>
    <t>A Generalized Solution to the Adaptive Nulling Problem in the Presence of Coherent Jammers</t>
  </si>
  <si>
    <t>10.1109/8.204749</t>
  </si>
  <si>
    <t>2-s2.0-0026986888</t>
  </si>
  <si>
    <t>['totally ignored', 'scattering matrix', 'recent interest', 'radar system', 'radar response', 'radar polarimetry', 'polarimetric response', 'new technique', 'mueller matrix', 'measurements usually', 'measurement accuracy', 'measured response', 'may compromise', 'magnitude variations', 'located along', 'large number', 'independent samples', 'illumination integral', 'illuminating fields', 'illuminated area', 'distributed target', 'data based', 'characterized completely', 'calibration accuracy', 'boresight direction', 'accurately calibrated']</t>
  </si>
  <si>
    <t>The recent interest in radar polarimetry has led to the development of several calibration techniques to retrieve the Mueller matrix of a distributed target from the multipolarization backscatter measurements recorded by a radar system. Because a distributed target is regarded as a statistically uniform random medium, the measurements usually are conducted for a large number of independent samples (usually spatially independent locations), from which the appropriate statistics characterizing the elements of the Mueller matrix can be derived. Existing calibration methods rely on two major assumptions. The first is that the illuminated area of the distributed target is regarded as a single equivalent point target located along the antenna's boresight direction, and that the statistics of the scattering from all of the measured equivalent point targets (representing the spatially independent samples observed by the radar) are indeed the same as the actual scattering statistics of the distributed target. The second assumption pertains to the process by which the actual measurements made by the radar for a given illuminated area are transformed into the scattering matrix of that area. The process involves measuring the radar response of a point calibration target of known scattering matrix, located along the boresight direction of the antenna, and then modifying the measured response by a constant, known as the illumination integral, when observing the distributed target. The illumination integral accounts for only magnitude variations of the illuminating fields. Thus, possible phase variations or antenna crosstalk variations (between orthogonal polarization channels) across the beam are totally ignored, which may compromise the calibration accuracy. To rectify this deficiency of existing calibration techniques, a new technique is proposed with which the radar polarization distortion matrix is characterized completely by measuring the polarimetric response of a sphere over the entire main lobe of the antenna, rather than along only the boresight direction. Additionally, the concept of a ‚Äúdifferential Mueller matrix‚Äù is introduced, and by defining and using a correlation-calibration matrix derived from the measured radar distortion matrices, the differential Mueller matrix is accurately calibrated. Comparison of data based on the previous and the new techniques shows significant improvement in the measurement accuracy of the copolarized and cross-polarized phase difference statistics. ¬© 1992 IEEE</t>
  </si>
  <si>
    <t>1524-1532</t>
  </si>
  <si>
    <t>Measurement and Calibration of Differential Mueller Matrix of Distributed Targets</t>
  </si>
  <si>
    <t>10.1109/8.204743</t>
  </si>
  <si>
    <t>2-s2.0-0026986890</t>
  </si>
  <si>
    <t>['surface waves', 'space plasmas', 'particle acceleration', 'mode converted', 'laboratory experiment', 'interesting phenomena', 'inhomogeneous plasma', 'geomagnetic pulsations', 'cylindrical finite', 'aligned currents']</t>
  </si>
  <si>
    <t>A laboratory experiment has been done in connection with interesting phenomena in space plasmas such as geomagnetic pulsations in the magnetosphere or particle acceleration by the kinetic Alfven wave in field-aligned currents of auroral circuit Fast waves or MHD surface waves in a cylindrical finite-Œ≤ plasma have been observed to be mode converted into kinetic Alfven waves at the Alfv√©n resonance layer. The surface waves were excited using small loop antennas located at the edge of the inhomogeneous plasma to simulate those on the magnetosphere or plasmapause. ¬© 1992 IEEE</t>
  </si>
  <si>
    <t>622-625</t>
  </si>
  <si>
    <t>Amagishi, Yoshimitsu</t>
  </si>
  <si>
    <t>Shizuoka</t>
  </si>
  <si>
    <t>Shizuoka University</t>
  </si>
  <si>
    <t>Amagishi Y.</t>
  </si>
  <si>
    <t>Laboratory Experiment on Kinetic Alfven Waves in Connection with Phenomena in Space Plasmas</t>
  </si>
  <si>
    <t>10.1109/27.199502</t>
  </si>
  <si>
    <t>2-s2.0-0026987576</t>
  </si>
  <si>
    <t>['propagation properties', 'parameters governing', 'numerical results', 'general features', 'fundamental mode', 'fresnel number', 'fourier treatment', 'focused aperture', 'focal region', 'finite numbers', 'field structure', 'field reconstruction', 'equations describing', 'complete set', 'closely related', 'beam modes', 'analysis based', 'also applicable']</t>
  </si>
  <si>
    <t>Propagation properties of elementary beam modes are derived and used to examine the structure of the focal region of a focused aperture. Some general features of the field structure are obtained by approximating the field with a suitable fundamental Gaussian beam. The parameters governing the beam are found to be closely related to the Fresnel number of the system. It is then shown how the equations describing the fundamental mode are also applicable to a complete set of modes. The relationship between an analysis based on beam modes and a Fourier treatment is shown. Numerical results are presented which show the accuracy of field reconstruction for finite numbers of modes.</t>
  </si>
  <si>
    <t>513-520</t>
  </si>
  <si>
    <t>Lamb, J. W.</t>
  </si>
  <si>
    <t>National Radio Astronomy Observatory Tucson</t>
  </si>
  <si>
    <t>Lamb J.</t>
  </si>
  <si>
    <t>Beam-mode expansion applied to focal-region fields</t>
  </si>
  <si>
    <t>10.1049/ip-h-2.1992.0092</t>
  </si>
  <si>
    <t>2-s2.0-0026989415</t>
  </si>
  <si>
    <t>Australian Research Council</t>
  </si>
  <si>
    <t>ARC</t>
  </si>
  <si>
    <t>['paper discusses', 'many applications', 'francis ltd', 'flexible enough', 'digitally processing', 'beam scanning', 'basic task']</t>
  </si>
  <si>
    <t>For many applications, existing phased arrays prove to be costly, bulky and not flexible enough to meet operational requirements. This explains the present trends towards monolithic array design; integration of microwave front end; and beam-forming by using digital signal processing (DSP) techniques. This paper discusses a phased array direction finder based on programmable digital signal processing microdevices, whereby the basic task of beam scanning is carried out by digitally processing the down-converted antenna signals. ¬© 1992 Taylor &amp; Francis Ltd.</t>
  </si>
  <si>
    <t>1133-1142</t>
  </si>
  <si>
    <t>60028333;60028333</t>
  </si>
  <si>
    <t>7102344747;6701570944</t>
  </si>
  <si>
    <t>Vu, T. B.;Jonas, G.</t>
  </si>
  <si>
    <t>Vu T.</t>
  </si>
  <si>
    <t>A DSP-based direction finder</t>
  </si>
  <si>
    <t>10.1080/00207219208925783</t>
  </si>
  <si>
    <t>2-s2.0-0026989714</t>
  </si>
  <si>
    <t>['white noise', 'plane waves', 'noise subspace', 'music estimator', 'imposing constraints', 'frequency regions', 'existing techniques', 'calibration technique', 'basic idea']</t>
  </si>
  <si>
    <t>In the paper a self-calibration technique is proposed to handle the bearing estimation problem involving unknown perturbed sensor location. This calibration technique is applied on the MUSIC estimator in finding the direction of arrival (DOA) of plane waves in white noise. The basic idea of the technique is to maximize the total output power from the MUSIC estimator in the directional or frequency regions of interest while imposing constraints on the length of projection of the signal position vector (SPV) on the noise subspace. This technique exhibits relatively stable performance over other existing techniques in the sense that it converges to the required solution consistently. However, this is achieved at the expense of heavy computational load. This is illustrated with numerical results obtained from the computer studies conducted.</t>
  </si>
  <si>
    <t>521-525</t>
  </si>
  <si>
    <t>Ng, B. P.</t>
  </si>
  <si>
    <t>Array shape self-calibration technique for direction finding problems</t>
  </si>
  <si>
    <t>10.1049/ip-h-2.1992.0093</t>
  </si>
  <si>
    <t>2-s2.0-0026989806</t>
  </si>
  <si>
    <t>N00014-85-K-0603</t>
  </si>
  <si>
    <t>['stress current', 'plasma processes', 'photoresist ashing', 'oxide integrity', 'interface stability', 'electrode surfaces', 'electrode area', 'edge length']</t>
  </si>
  <si>
    <t>The dependence of the plasma-induced oxide charging current on Al electrode geometry has been studied. The stress current is collected only through the electrode surfaces not covered by the photoresist during plasma processes, and therefore is proportional to the edge length of the electrode during etching and proportional to the electrode area during photoresist ashing. Knowing the measured oxide charging currents, one should be able to predict the impact of these processes on oxide integrity and interface stability for a given antenna geometry more accurately. ¬© 1992 IEEE</t>
  </si>
  <si>
    <t>600-602</t>
  </si>
  <si>
    <t>60121438;60121438</t>
  </si>
  <si>
    <t>7404012153;35594318600</t>
  </si>
  <si>
    <t>Shin, Hyungcheol;Hu, Chenming</t>
  </si>
  <si>
    <t>Berkeley</t>
  </si>
  <si>
    <t>University of California, Berkeley</t>
  </si>
  <si>
    <t>Shin H.</t>
  </si>
  <si>
    <t>Dependence of Plasma-Induced Oxide Charging Current on Al Antenna Geometry</t>
  </si>
  <si>
    <t>10.1109/55.192857</t>
  </si>
  <si>
    <t>2-s2.0-0026993978</t>
  </si>
  <si>
    <t>['put forward', 'optic transmission', 'monopulse patterns', 'control signals', 'control multiple', 'also considered']</t>
  </si>
  <si>
    <t>Following an outline of established optical techniques for the generation and distribution of reference and control signals for phased array antennas, two novel approaches are put forward: (i) a `nondispersive prism', controlling agile single beams or monopulse patterns, and (ii) a `lens fed model array', which can control multiple, independent antenna beams. The prospects of fibre-optic transmission for other functions in the array are also considered.</t>
  </si>
  <si>
    <t>7202211079;7004751445</t>
  </si>
  <si>
    <t>Benjamin, R.;Seeds, A. J.</t>
  </si>
  <si>
    <t>Optical beam forming techniques for phased array antennas</t>
  </si>
  <si>
    <t>10.1049/ip-h-2.1992.0094</t>
  </si>
  <si>
    <t>2-s2.0-0026994284</t>
  </si>
  <si>
    <t>['transient behavior', 'system solver', 'single snapshot', 'simulations verify', 'sensor elements', 'previous work', 'optimum beamformer', 'new approach', 'grouped array', 'good performance', 'generalized rank', 'desired signal', 'correspondence presents', 'concept exploits', 'antenna weights', 'adaptive reconstruction', 'adaptive beamforming']</t>
  </si>
  <si>
    <t>This correspondence presents a new approach to adaptive beamforming (adaptive reconstruction of a desired signal in the presence of interferers and noise) using just a single snapshot to calculate the antenna weights. As in previous work in this field, a structured and grouped array of sensor elements is assumed. The concept exploits the induced special data structure, which can be described as a generalized rank-one eigenvalue problem and can be solved by means of a linear (overdetermined) system solver. Arbitrary signal statistics are allowed and no difficulties with nonstationary and coherent interferers arise. Furthermore, there does not exist any transient behavior of the algorithm. Simulations verify its very good performance in comparison with the optimum beamformer. ¬© 1992 IEEE</t>
  </si>
  <si>
    <t>3055-3058</t>
  </si>
  <si>
    <t>60019722;60019722</t>
  </si>
  <si>
    <t>7404485615;6504583473</t>
  </si>
  <si>
    <t>Ali, Markus E.;Schreib, Franz</t>
  </si>
  <si>
    <t>Technical University of Munich</t>
  </si>
  <si>
    <t>Ali M.</t>
  </si>
  <si>
    <t>Adaptive Single Snapshot Beamforming: A New Concept for the Rejection of Nonstationary and Coherent Interferers</t>
  </si>
  <si>
    <t>10.1109/78.175748</t>
  </si>
  <si>
    <t>2-s2.0-0026995447</t>
  </si>
  <si>
    <t>['wiley company', 'wavefront samples', 'two types', 'strong reflector', 'sophisticated algorithms', 'second calibrates', 'resolution comparable', 'radiation field', 'proved successful', 'latter class', 'inc .,', 'human vision', 'extracts information', 'correlation estimates', 'basic algorithm']</t>
  </si>
  <si>
    <t>Self‚Äêcalibration of a phased antenna array is required when distortions in the array are not known a priori and cannot be measured, or when turbulence in the propagation medium perturbs the radiation field. Two types of self‚Äêcalibration procedures are discussed that have proved successful in experimental high‚Äêresolution two‚Äêdimensional microwave radar imaging. Each extracts information from the backscattered reradiation field to deduce a compensating weight vector for the phased array antenna. The first depends upon the presence of a strong reflector in the field of view of the transmitter. The second calibrates the array from correlation estimates of wavefront samples in the array. The basic algorithm in each group is described, along with two more sophisticated algorithms in the latter class. Two‚Äêdimensional radar images of airplanes are shown with resolution comparable to human vision. The performance of each algorithm and comparisons between them are illustrated by these images of targets and by simulation experiments.¬©1993 John Wiley &amp; Sons Inc Copyright ¬© 1992 Wiley Periodicals, Inc., A Wiley Company</t>
  </si>
  <si>
    <t>275-284</t>
  </si>
  <si>
    <t>International Journal of Imaging Systems and Technology</t>
  </si>
  <si>
    <t>Winter 1992</t>
  </si>
  <si>
    <t>Steinberg, Bernard D.</t>
  </si>
  <si>
    <t>Steinberg B.D.</t>
  </si>
  <si>
    <t>Self‚Äêcalibration of large phased‚Äêarray antennas for radar</t>
  </si>
  <si>
    <t>10.1002/ima.1850040407</t>
  </si>
  <si>
    <t>2-s2.0-0026997250</t>
  </si>
  <si>
    <t>['sidelobe level', 'noise ratio', 'microwave signal', 'laser model', 'image mask', 'external modulator', 'electrical conversion', 'aperture size', 'antenna sidelobe']</t>
  </si>
  <si>
    <t>In this paper, the carrier-to-noise ratio of the microwave signal and reduction of the antenna sidelobe are discussed for an optically controlled array antenna whose microwave aperture distribution is generated and controlled using Fourier transform and optical / electrical conversion. A two-laser model using two laser diodes whose frequency difference is set to the desired microwave frequency is proposed and compared with a single-laser model using an external modulator. The two-laser model seems do be favorable from the viewpoint of available laser diode output power. The required laser output for the two-laser model can be about 10 dB less than that for the single-laser model. Moreover, relationships between the antenna radiation characteristics and the aperture size of an image mask are investigated. It is clarified that the sidelobe level can be reduced about 20 dB without changing the gain and beamwidth by using a reference optical beam with a tapered amplitude distribution. ¬© 1992 IEEE</t>
  </si>
  <si>
    <t>1459-1465</t>
  </si>
  <si>
    <t>60001271;60001271;60001271</t>
  </si>
  <si>
    <t>7402423697;7006680804;35595788800</t>
  </si>
  <si>
    <t>Konishi, Yoshihiko;Chujo, Wataru;Fujise, Masayuki</t>
  </si>
  <si>
    <t>Konishi Y.</t>
  </si>
  <si>
    <t>Carrier-to-Noise Ratio and Sidelobe Level in a Two-Laser Model Optically Controlled Array Antenna Using Fourier Optics</t>
  </si>
  <si>
    <t>10.1109/8.204736</t>
  </si>
  <si>
    <t>2-s2.0-0026997992</t>
  </si>
  <si>
    <t>['time maintaining', 'therefore applicable', 'simultaneously controlling', 'sidelobe level', 'radiation pattern', 'power functional', 'point design', 'mainlobe shape', 'linear arrays', 'lens surface', 'francis ltd', 'feed array', 'broader class', 'brief description', 'based radar']</t>
  </si>
  <si>
    <t>In the course of developing a point design of a bootlace lens antenna for a space-based radar, a versatile radiation pattern synthesis technique capable of simultaneously controlling the mainlobe shape as well as the sidelobe level has been developed for planar phased arrays. Utilizing certain minimax properties of a power functional, the method does not rely on the shape of special mathematical functions and is therefore applicable to a broader class of arrays. After a brief description of its principle, which is based on the extension of an earlier procedure developed for linear arrays by the same author, the technique was applied to the synthesis of the radiation pattern of a feed array of the space-fed lens antenna. The objective is to obtain as closely as possible a two-dimensional gaussian illumination function on the lens surface, while at the same time maintaining a low sidelobe level to minimize the feed loss due to spill-over. Results of this synthesis are presented and discussed. ¬© 1992 Taylor &amp; Francis Ltd.</t>
  </si>
  <si>
    <t>1363-1372</t>
  </si>
  <si>
    <t>60029575-115596366</t>
  </si>
  <si>
    <t>El Segundo;Whittier</t>
  </si>
  <si>
    <t>Aerospace Corporation, USA;Wang Engineering and Research</t>
  </si>
  <si>
    <t>60029575;115596366</t>
  </si>
  <si>
    <t>Wang H.</t>
  </si>
  <si>
    <t>Synthesis of planar array radiation patterns as applied in the design of a space-fed lens antenna</t>
  </si>
  <si>
    <t>10.1080/00207219208925806</t>
  </si>
  <si>
    <t>2-s2.0-0026998053</t>
  </si>
  <si>
    <t>['slow response', 'novel time', 'mhz carrier']</t>
  </si>
  <si>
    <t>Nematic liquid crystal (NLC) technology-based optical systems for controlling phased array antennas are presented. These systems can provide low cost, high quality (&gt; 6 bit), phase-based antenna control for very large phased arrays (e.g., 5000 elements). An experiment demonstrating NLC-based antenna phase control is performed, with 0-3œÄ phase shift measured for a 60-MHz carrier. A novel time-multiplexed radar beam scanning approach is introduced to counter the slow response of the NLC‚Äôs, allowing fast 200 beams/s antenna scanning rates. ¬© 1992 IEEE</t>
  </si>
  <si>
    <t>1974-1984</t>
  </si>
  <si>
    <t>Journal of Lightwave Technology</t>
  </si>
  <si>
    <t>Riza N.A.</t>
  </si>
  <si>
    <t>Liquid Crystal-Based Optical Control of Phased Array Antennas</t>
  </si>
  <si>
    <t>10.1109/50.202805</t>
  </si>
  <si>
    <t>2-s2.0-0026998929</t>
  </si>
  <si>
    <t>['multilayered quarter', 'microwave range', 'experimental results']</t>
  </si>
  <si>
    <t>A multilayered quarter-wave zone plate reflector antenna operating in the microwave range is presented. The theory for designing the reflector and experimental results are given. An efficiency of 55% was obtained with a prototype reflector antenna. ¬© 1992 IEEE</t>
  </si>
  <si>
    <t>470-471</t>
  </si>
  <si>
    <t>60008524;60008524</t>
  </si>
  <si>
    <t>55911871600;7201743596</t>
  </si>
  <si>
    <t>Guo, Y. J.;Barton, S. K.</t>
  </si>
  <si>
    <t>Bradford</t>
  </si>
  <si>
    <t>University of Bradford</t>
  </si>
  <si>
    <t>Guo Y.</t>
  </si>
  <si>
    <t>A High-Efficiency Quarter-Wave Zone Plate Reflector</t>
  </si>
  <si>
    <t>10.1109/75.173397</t>
  </si>
  <si>
    <t>2-s2.0-0026999468</t>
  </si>
  <si>
    <t>['thus demonstrating', 'periodic structures', 'element method', 'electromagnetic equations', 'dimensional model']</t>
  </si>
  <si>
    <t>The effect of the substrate structure modification on the E-plane scanning performance in large microstrip arrays is studied with the aid of a two-dimensional model. The goal is to alleviate scan blindness effects. The finite-element method of lines is used to solve the electromagnetic equations, thus demonstrating its applicability to open, periodic structures. ¬© 1992 IEEE</t>
  </si>
  <si>
    <t>492-494</t>
  </si>
  <si>
    <t>Davidovitz, Marat</t>
  </si>
  <si>
    <t>Davidovitz M.</t>
  </si>
  <si>
    <t>Extension of the E-Plane Scanning Range in Large Microstrip Arrays by Substrate Modification</t>
  </si>
  <si>
    <t>10.1109/75.173405</t>
  </si>
  <si>
    <t>2-s2.0-0027003078</t>
  </si>
  <si>
    <t>['obtained analytical', 'ideal antenna']</t>
  </si>
  <si>
    <t>We have obtained analytical and universally applicable numerical results for the maximum possible gain achievable by an ideal antenna for which the size and quality factor Q are specified. ¬© 1992 IEEE</t>
  </si>
  <si>
    <t>1586-1588</t>
  </si>
  <si>
    <t>Fante, Ronald L.</t>
  </si>
  <si>
    <t>Fante R.</t>
  </si>
  <si>
    <t>Maximum Possible Gain for an Arbitrary Ideal Antenna with Specified Quality Factor</t>
  </si>
  <si>
    <t>10.1109/8.204754</t>
  </si>
  <si>
    <t>2-s2.0-0027003716</t>
  </si>
  <si>
    <t>['wiley company', 'wide angle', 'trial fabrication', 'test results', 'radiation characteristics', 'paper discusses', 'optimum value', 'moving body', 'inc .,', 'icosahedron arrangement', 'fabrication method', 'fabrication accuracy', 'electrical characteristics', 'conformal arrays', 'conformal array']</t>
  </si>
  <si>
    <t>Conformal array | microstrip antenna | mobile satellite communication | spherical array</t>
  </si>
  <si>
    <t>In the case of mobile satellite communication antennas for automobiles and aircraft, a necessary electrical characteristic is to scan the beam over a wide angle. Also, from the viewpoint of aerodynamics and design, conformal arrays are desirable which are fit to the shape of the moving body. This paper discusses the radiation characteristics of a conformal array suitable for mobile satellite communications. In addition, a one‚Äêpiece fabrication of a conformal array is carried out and its electrical characteristics are evaluated. First, it is shown by means of computation of a 16‚Äêelement partial spherical array with icosahedron arrangement that the radiation characteristics can be varied by adjusting the curvature in the conformal array and there exists an optimum value. Next, a trial fabrication is carried out to establish a one‚Äêpiece fabrication technique. The test results are described for a 16‚Äêelement hemispherical array made by a vacuum‚Äêforming method and a 16‚Äêelement partial spherical array made by a roundfaced compression method which is employed to improve the fabrication accuracy of a thin partial spherical array. Excellent single‚Äêelement characteristics and array radiation characteristics are obtained with the 16‚Äêelement partial spherical array using the round‚Äêfaced compression method. Hence, the validity of the fabrication method is verified. Copyright ¬© 1992 Wiley Periodicals, Inc., A Wiley Company</t>
  </si>
  <si>
    <t>97-108</t>
  </si>
  <si>
    <t>60001271;60001271;60001271;60001271</t>
  </si>
  <si>
    <t>7006680804;7402423697;7003501820;35595788800</t>
  </si>
  <si>
    <t>Chujo, Wataru;Konishi, Yoshihiko;Ohtaki, Yukio;Fujise, Masayuki</t>
  </si>
  <si>
    <t>Conformal array antenna for mobile satellite communications</t>
  </si>
  <si>
    <t>10.1002/ecja.4410751209</t>
  </si>
  <si>
    <t>2-s2.0-0027003767</t>
  </si>
  <si>
    <t>['widely used', 'tunable antenna', 'radiation polarization', 'radiation frequency', 'prior work', 'patch antennas', 'one polarization', 'monolithically integrable', 'linear polarization', 'hence phase', 'ferrite film', 'feed patch']</t>
  </si>
  <si>
    <t>Patch antennas are widely used because they are lightweight, conformal and easy to manufacture. Their principal disadvantage‚Äînarrow instantaneous bandwidth‚Äîhas led to the investigation of the incorporation of ferrites with patches to obtain magnetic tuning of the radiation frequency of the patch. A square, single-feed patch, fabricated on a ferrite film, that produced orthogonally polarized, well-formed radiation patterns is described. The application of a small in-plane magnetic field tuned the frequency, and hence phase, of one polarization only. Prior work on patch antennas fabricated on bulk ferrite substrates demonstrated magnetic tuning, but only linear polarization was obtained. The present work indicates that 1) thin ferrite films, which are monolithically integrable, may be useful for a magnetically-tunable antenna, and 2) the radiation polarization of the patch can be varied by the application of a small in-plane magnetic bias field. ¬© 1992 IEEE</t>
  </si>
  <si>
    <t>483-485</t>
  </si>
  <si>
    <t>60076904;60029472</t>
  </si>
  <si>
    <t>6603719894;35561475200</t>
  </si>
  <si>
    <t>Rainville, P. J.;Harackiewicz, F. J.</t>
  </si>
  <si>
    <t>Wright-Patterson AFB;Carbondale</t>
  </si>
  <si>
    <t>Air Force Materiel Command;Southern Illinois University Carbondale</t>
  </si>
  <si>
    <t>Rainville P.</t>
  </si>
  <si>
    <t>Magnetic Tuning of a Microstrip Patch Antenna Fabricated on a Ferrite Film</t>
  </si>
  <si>
    <t>10.1109/75.173402</t>
  </si>
  <si>
    <t>2-s2.0-0027005639</t>
  </si>
  <si>
    <t>['well within', 'waves respond', 'wave types', 'vertical structure', 'trapped waves', 'time variation', 'temporal variability', 'southern france', 'show clearly', 'seriously affected', 'range reported', 'radar technique', 'quite moderate', 'previous observational', 'observed tendency', 'motion field', 'likely result', 'horizontal velocities', 'favourable opportunity', 'episodic enhancements', 'detailed examination', 'critical evaluation', 'complex terrain', 'change sign', 'broadly consistent', 'bodily rotation']</t>
  </si>
  <si>
    <t>The tropospheric and lower stratospheric response to flow over complex terrain is investigated using observations of vertical and horizontal motions made by a clear‚Äêair Doppler radar stationed at Toulon in southern France. Analysis of the data has disclosed that episodic enhancements in the variability of vertical and horizontal velocities are due to lee waves excited by obstacles located within 5 km of the radar. Three separate cases of lee‚Äêwave activity are studied. Two‚Äêdimensional linear perturbation theory and existing three‚Äêdimensional simulation results, for appropriate parameter values, are used as guides to check against the vertical structure observed by radar. the magnitudes of vertical velocities observed during lee‚Äêwave incidence are well within the range reported in previous observational and numerical simulation studies. From a detailed examination of one of the cases of trapped waves, the time variation, observed by the radar, of timescales of less than an hour, has emerged as the likely result of small directional changes in the upstream winds causing a bodily rotation of the downstream three‚Äêdimensional wave pattern centred on the wave‚Äêgenerating obstacle. the observed tendency of the vertical‚Äêvelocity perturbation to change sign with time above the radar location follows as a consequence of the presence of large horizontal gradients in the motion field, which are inherent in the structure of three‚Äêdimensional lee waves. The temporal variability of the lee‚Äêwave pattern has allowed the radar to sweep out a partial horizontal cross‚Äêsection, revealing vertical circulation features that are broadly consistent with gravity‚Äêwave behaviour. However, analysis of the effects of finite antenna beam spacing on the sampled data indicates that a spurious phase‚Äêshift might have been introduced between the vertical and horizontal velocity perturbations observed in the cross‚Äêsection. In contrast, the measured vertical velocities are not seriously affected by finite beam‚Äêwidth effects. The lee waves examined in this study are quite moderate, nevertheless, this circumstance has provided a favourable opportunity to conduct a critical evaluation of the capabilities and limitations of this radar technique for observing lee‚Äêwave phenomena in general. We have been able to show clearly how the incidence and vertical structure of the waves respond to the synoptic‚Äêscale situation. In particular we have been able to distinguish between trapped and vertically propagating waves and to relate a transition between these wave types to synoptic‚Äêscale changes in the static stability structure. Copyright ¬© 1992 Royal Meteorological Society</t>
  </si>
  <si>
    <t>597-627</t>
  </si>
  <si>
    <t>1477870X</t>
  </si>
  <si>
    <t>Quarterly Journal of the Royal Meteorological Society</t>
  </si>
  <si>
    <t>July 1992 Part A</t>
  </si>
  <si>
    <t>60027550;101168133;60027550</t>
  </si>
  <si>
    <t>7004091067;56231896500;24922408200</t>
  </si>
  <si>
    <t>Ralph, F. M.;Crochet, M.;Venkateswaran, S. V.</t>
  </si>
  <si>
    <t>United States;France</t>
  </si>
  <si>
    <t>Los Angeles;La Garde</t>
  </si>
  <si>
    <t>University of California, Los Angeles;Laboratoire de Sondages Electromagn√©tiques de l'Environnement Terrestre</t>
  </si>
  <si>
    <t>60027550;101168133</t>
  </si>
  <si>
    <t>Ralph F.</t>
  </si>
  <si>
    <t>A Study of Mountain Lee Waves Using Clear‚ÄêAir Radar</t>
  </si>
  <si>
    <t>10.1002/qj.49711850602</t>
  </si>
  <si>
    <t>2-s2.0-0027009221</t>
  </si>
  <si>
    <t>['vegetation layer', 'vegetation canopy', 'transfer theory', 'total emission', 'tenuous medium', 'soybeans canopy', 'row direction', 'row crops', 'radiative transfer', 'phase function', 'microwave frequency', 'francis ltd', 'emitting object', 'emitting medium', 'emission process', 'emission model', 'anisotropic albedo']</t>
  </si>
  <si>
    <t>It has been known that the emission from row crops strongly depends on the direction of vegetation row structures relative to the polarization of radiometric rccciving antenna. The purpose of the paper is to develop an emission model to interpret the existing emission data of row crop canopy and to aid in understanding the emission process for a row structured vegetation layer or other anisolropically-emitting medium. The vegetation layer of row crops is modelled as a random slab embedded with small thermally emitting spheroids with major axis aligned parallel to the row crop direction. The effects of geometric row structure of vegetation layer can be accounted for by assuming that each thermally-emitting object such as a leaf is aligned to a ccrtain preferred direction. The vegetation canopy is a tenuous medium at microwave frequency so that it is possible to use the radiative transfer theory in emission model. The total emission from the canopy is given in a simple algebraic form based on the zero-order radiative transfer theory. The single scattering albedo for a spheroid and its phase function are derived in order lo use in the radiative transfer-based emission computation. The effects of layer azimuthal dependence on emission are accounted for by using an anisotropic albedo in the transfer theory. The developed emission theory favourably compares with the brightness temperature measured over the soybeans canopy, and verifies that a maximum emission reception occurs when the receiving antenna polarization state is perpendicular to the row direction. The emission theory may also find applications in the interpretation of optical and infrared emission data taken from an anisotropic thermal medium. ¬© 1992 Taylor and Francis Ltd.</t>
  </si>
  <si>
    <t>2975-2982</t>
  </si>
  <si>
    <t>Eom, H. J.</t>
  </si>
  <si>
    <t>Daejeon</t>
  </si>
  <si>
    <t>Korea Advanced Institute of Science and Technology</t>
  </si>
  <si>
    <t>Eom H.</t>
  </si>
  <si>
    <t>A thermal microwave emission model for row-structured vegetation</t>
  </si>
  <si>
    <t>10.1080/01431169208904096</t>
  </si>
  <si>
    <t>2-s2.0-0027009297</t>
  </si>
  <si>
    <t>['two locations', 'significantly different', 'produce loud', 'males patrolling', 'hind legs', 'expanded tibiae', 'emergence site', 'audible buzzes']</t>
  </si>
  <si>
    <t>Males begin emerging before females, and patrol over the emergence site, although some males also fly near sunflower Helianthus annuus plants, the exclusive food source of the females. The sizes of males patrolling at these two locations, and those collected while mating were not significantly different. Courtship behaviour involves use of the fore- and mid-legs, the metasoma (abdomen), antennae, and the indirect flight muscles to produce loud, audible buzzes. The hind legs have expanded tibiae which are used for clasping the female. Females rarely mated more than once when held in cages. -from Authors</t>
  </si>
  <si>
    <t>431-442</t>
  </si>
  <si>
    <t>Apidologie</t>
  </si>
  <si>
    <t>57197489454;6603541155;7005363431</t>
  </si>
  <si>
    <t>Wcislo, W. T.;Minckley, R. L.;Spangler, H. C.</t>
  </si>
  <si>
    <t>Wcislo W.T.</t>
  </si>
  <si>
    <t>Pre-copulatory courtship behavior in a solitary bee, Nomia triangulifera Vachal (Hymenoptera: Halictidae)</t>
  </si>
  <si>
    <t>10.1051/apido:19920505</t>
  </si>
  <si>
    <t>2-s2.0-0027011332</t>
  </si>
  <si>
    <t>['wiley company', 'volume changes', 'systems consist', 'sampling device', 'respiratory movements', 'respiration rate', 'remote sensing', 'received signal', 'processing devices', 'pressure pulse', 'microwave generator', 'make use', 'inc .,', 'heart rate', 'fluid volume', 'energy radiated', 'distances greater', 'display unit', 'body surface', 'approximately 0', '35 ghz', '0 mw']</t>
  </si>
  <si>
    <t>edema | heart rate | non‚Äêinvasive sensing | pulse pressure wave | remote sensing | respiration rate</t>
  </si>
  <si>
    <t>The ability non‚Äêinvasively to detect and monitor the movement of tissues and organs from outside the body provides many worthwhile areas of potential biomedical applications. Several non‚Äêinvasive microwave techniques for contact and remote sensing of circulatory and respiratory movements and volume changes have been developed. In general, these systems consist of a microwave generator, a sampling device, a transmitting‚Äêreceiving antenna, a set of signal‚Äêconditioning and processing devices, and a display unit. They operate at continuous‚Äêwave frequencies between 1 and 35 GHz and make use of amplitude and phase information derived from the received signal. The average power density of energy radiated by present systems ranges from approximately 0.001‚Äì1.0 mW/cm2. These systems are capable of registering instantaneous changes in fluid volume, pressure pulse, heart rate, and respiration rate in contact with body surface or at distances greater than 30 m, or behind thick layers of non‚Äêconductive walls. 1992 Wiley‚ÄêLiss, Inc. Copyright ¬© 1992 Wiley‚ÄêLiss, Inc., A Wiley Company</t>
  </si>
  <si>
    <t>557-565</t>
  </si>
  <si>
    <t>1521186X</t>
  </si>
  <si>
    <t>Bioelectromagnetics</t>
  </si>
  <si>
    <t>Lin, James C.</t>
  </si>
  <si>
    <t>University of Illinois at Chicago</t>
  </si>
  <si>
    <t>Lin J.</t>
  </si>
  <si>
    <t>Microwave sensing of physiological movement and volume change: A review</t>
  </si>
  <si>
    <t>10.1002/bem.2250130610</t>
  </si>
  <si>
    <t>2-s2.0-0027022165</t>
  </si>
  <si>
    <t>['wiley company', 'temperature changes', 'steady state', 'rf exposure', 'response change', 'resonant frequency', 'regulated increase', 'primary source', 'neural signal', 'monitored continuously', 'microwave fields', 'inc .,', 'far field', 'efficient stimulus', 'e polarization', 'directly proportional', 'detailed analyses', 'data indicate', 'cool environments', 'body heating', 'antenna within', 'animal model', 'anechoic chamber', '90 min', '450 mhz', '10 min']</t>
  </si>
  <si>
    <t>body temperature | metabolic heat production | squirrel monkey | thermoregulation | whole‚Äêbody resonance</t>
  </si>
  <si>
    <t>Because exposure to microwave fields at the resonant frequency may generate heat deep in the body, hyperthermia may result. This problem has been examined in an animal model to determine both the thresholds for response change and the steady‚Äêstate thermoregulatory compensation for body heating during exposure at resonant (450 MHz) and supraresonant (2,450 MHz) frequencies. Adult male squirrel monkeys, held in the far field of an antenna within an anechoic chamber, were exposed (10 min or 90 min) to either 450‚ÄêMHz or 2,450‚ÄêMHz CW fields (E polarization) in cool environments. Whole‚Äêbody SARs ranged from 0‚Äì6 W/kg (450 MHz) and 0‚Äì9 W/kg (2,450 MHz). Colonic and several skin temperatures, metabolic heat production, and evaporative heat loss were monitored continuously. During brief RF exposures in the cold, the reduction of metabolic heat production was directly proportional to the SAR, but 2,450‚ÄêMHz energy was a more efficient stimulus than was the resonant frequency. In the steady state, a regulated increase in deep body temperature accompanied exposure at resonance, not unlike that which occurs during exercise. Detailed analyses of the data indicate that temperature changes in the skin are the primary source of the neural signal for a change in physiological interaction processes during RF exposure in the cold. 1992 Wiley‚ÄêLiss, Inc. Copyright ¬© 1992 Wiley‚ÄêLiss, Inc., A Wiley Company</t>
  </si>
  <si>
    <t>497-512</t>
  </si>
  <si>
    <t>60002557-60005455;60002557;60002557</t>
  </si>
  <si>
    <t>7005831657;7202518964;7005716289</t>
  </si>
  <si>
    <t>Adair, Eleanor R.;Adams, Barbara W.;Hartman, Sharon K.</t>
  </si>
  <si>
    <t>New Haven;New Haven</t>
  </si>
  <si>
    <t>Yale University;John B. Pierce Foundation Laboratory</t>
  </si>
  <si>
    <t>60005455;60002557</t>
  </si>
  <si>
    <t>Adair E.R.</t>
  </si>
  <si>
    <t>Physiological interaction processes and radio‚Äêfrequency energy absorption</t>
  </si>
  <si>
    <t>10.1002/bem.2250130606</t>
  </si>
  <si>
    <t>2-s2.0-0027024439</t>
  </si>
  <si>
    <t>['¬© 1992', 'various themes', 'scientific area', 'rights reserved', 'protecting agents', 'photosynthetic plants', 'mainly performed', 'bright light', 'biological functions', 'antenna complexes', '1 ].']</t>
  </si>
  <si>
    <t>Studies on carotenoids have advanced on various themes of chemistry, biochemistry and other scientific area, concurrently, those on biological functions and activities have been mainly performed in the fields of photosynthetic plants, algae and bacteria, and two major functions have been revealed: 1) a light harvesting role in the antenna complexes of the chloroplast in photosynthesis. 2) as protecting agents against the harmful photooxidative effects of bright light [1]. ¬© 1992, Center for Academic Publications Japan. All rights reserved.</t>
  </si>
  <si>
    <t>469-472</t>
  </si>
  <si>
    <t>Journal of Nutritional Science and Vitaminology</t>
  </si>
  <si>
    <t>Miki, W.</t>
  </si>
  <si>
    <t>Kamaishi</t>
  </si>
  <si>
    <t>Marine Biotechnology Institute, Iwate</t>
  </si>
  <si>
    <t>Miki W.</t>
  </si>
  <si>
    <t>Recent Advances in Carotenoid Studies- Metabolisms and Bioactivities -</t>
  </si>
  <si>
    <t>10.3177/jnsv.38.Special_469</t>
  </si>
  <si>
    <t>2-s2.0-0027026442</t>
  </si>
  <si>
    <t>['¬© 1992', 'wing size', 'wing length', 'wind tunnel', 'successful copulation', 'spruce budworm', 'slower responses', 'rights reserved', 'overt behavior', 'orgyia leucostigma', 'one antenna', 'none copulated', 'moving away', 'mating behavior', 'males responded', 'males position', 'male white', 'male response', 'located females', 'glass rods', 'first contacted', 'fewer matings', 'females walking', 'females showed', 'female moths', 'equally high', 'entomological society', 'clem .)]', 'choristoneura fumiferana', 'appropriately alongside', 'also resulted', 'airborne pheromone', '9 %).', '88 contacts', '7 %)', '11 %),']</t>
  </si>
  <si>
    <t>The mating behavior of spruce budworm [Choristoneura fumiferana (Clem.)] moths was studied in a wind tunnel. Of 88 contacts between male and female moths, 64 (73%) resulted in successful copulation. Failures were a result of males losing contact during courtship (11%), and females walking or flying, either when first contacted (7%) or when males attempted copulation (9%). Females showed no overt behavior other than moving away. Removal of the male labial palps had no effect on responses, which indicates that these structures have no role in courtship. Males with antennae completely removed did not respond to airborne pheromone and, therefore, none copulated. Removal of one antenna or half of both antennae of the males did not reduce the numbers of males that located females, but did result in slower responses and fewer matings. It also resulted in changes in male courtship behavior, which suggest that males depend upon their antennae to position themselves appropriately alongside the female when attempting to copulate. Analyses of male response to models of female moths constructed from glass rods with wings of male spruce budworm or male white-marked tussock moth [Orgyia leucostigma (J.E. Smith)] attached showed that males position themselves approximately halfway along the wing length of the model, with no dependance on its wing size or the length of the male's antennae. Responses were equally high to both spruce budworm and to tussock moth wings, but no males responded to glass rods in the absence of wings. ¬© 1992, Entomological Society of Canada. All rights reserved.</t>
  </si>
  <si>
    <t>273-286</t>
  </si>
  <si>
    <t>0008347X</t>
  </si>
  <si>
    <t>The Canadian Entomologist</t>
  </si>
  <si>
    <t>60002929;60002929</t>
  </si>
  <si>
    <t>7202084425;6508272475</t>
  </si>
  <si>
    <t>Sanders, C. J.;Lucuik, G. S.M.</t>
  </si>
  <si>
    <t>Sault Ste Marie</t>
  </si>
  <si>
    <t>Great Lakes Forestry Centre</t>
  </si>
  <si>
    <t>Sanders C.J.</t>
  </si>
  <si>
    <t>Mating behavior of spruce budworm moths, choristoneura fumiferana (clem.) (Lepidoptera: Tortricidae)</t>
  </si>
  <si>
    <t>10.4039/Ent124273-2</t>
  </si>
  <si>
    <t>2-s2.0-0027029747</t>
  </si>
  <si>
    <t>['wiley company', 'single antenna', 'roofmounted configuration', 'rapid growth', 'radio channel', 'public exposure', 'paper describes', 'near field', 'measured values', 'maximal number', 'main beam', 'issues pertaining', 'inc .,', 'electromagnetic energy', 'corresponding values', 'continuous operation', 'antenna type', 'analytical technique', 'additional measurements', '30 w', '30 mw', '3 mw', '100 œºw', '10 nw']</t>
  </si>
  <si>
    <t>cellular‚Äêradio | electromagnetic environment | microwave | potential exposure</t>
  </si>
  <si>
    <t>Because of a heightened public awareness of issues pertaining to the use of electromagnetic energy, concurrent with a rapid growth of the cellular telephone industry, a study was initiated to characterize the electromagnetic environment associated with typical cellsite antennas. In particular, the radio‚Äêfrequency electromagnetic (RF) fields in the vicinity of several antenna towers, ranging in height from 46‚Äì82 m, were characterized by measurement. In all cases, the antennas were omnidirectional co‚Äêlinear arrays. The maximal power densities considered representative of public exposure were found to be less than 100 ŒºW/m2 (10 nW/cm2) per radio channel. Comparison of measured values with the corresponding values that were calculated from the free‚Äêspace transmission formula indicated that the analytical technique is conservative (i.e., overestimates field levels). The measured and corresponding analytical values were found to be well below accepted exposure limits even when extrapolated to simultaneous and continuous operation of the maximal number of transmitters that would be expected to be installed at a cell‚Äêsite. Additional measurements were made in the near field of the same antenna type in a roofmounted configuration. At a distance of 0.7 m from the antenna, the maximal power density in the main beam was found to be less than 30 W/m2 (3 mW/cm2) when normalized to sixteen radio channels (the maximal number used on a single antenna) and less than 30 mW/m2 (3ŒºW/m2) at 70 m. In all cases, the effective radiated power (ERP) by each radio channel was 100 W referenced to a half‚Äêwave dipole. This paper describes the instrumentation and measurement techniques used for this study and provides a summary of the results. 1992 Wiley‚ÄêLiss, Inc. Copyright ¬© 1992 Wiley‚ÄêLiss, Inc., A Wiley Company</t>
  </si>
  <si>
    <t>527-542</t>
  </si>
  <si>
    <t>60021378;60021378</t>
  </si>
  <si>
    <t>57194051478;6507815177</t>
  </si>
  <si>
    <t>Petersen, R. C.;Testagrossa, P. A.</t>
  </si>
  <si>
    <t>Petersen R.</t>
  </si>
  <si>
    <t>Radio‚Äêfrequency electromagnetic fields associated with cellular‚Äêradio cell‚Äêsite antennas</t>
  </si>
  <si>
    <t>10.1002/bem.2250130608</t>
  </si>
  <si>
    <t>2-s2.0-0027032419</t>
  </si>
  <si>
    <t>['using log', 'suppressant devices', 'site repair', 'realistic expectations', 'problems due', 'poor conditions', 'periodic antennas', 'mount st', 'instrument packaging', 'corrosive gases', 'circuit damage']</t>
  </si>
  <si>
    <t>The major problems affecting the low-power telemetry networks at Mount St. Helens have been weather and corrosive gases, with power supply problems secondary. Lightning and vandalism have also been concerns. These problems can be minimized with proper site preparation and instrument packaging. Airtight instrument cases protect sensitive electronic equipment from corrosive gases and moisture. Nonmetal instrument cases are used in highly corrosive environments where metal cases quickly deteriorate. Problems due to rime ice formation on the antennas are minimized by using antennas protected by radomes or by using log-periodic antennas. Circuit damage from lightning and from improper power connections during battery changes may be minimized by grounding and use of diodes and transient-suppressant devices. On-site repair and maintenance is made more difficult by poor conditions, requiring prior planting and realistic expectations. -from Authors</t>
  </si>
  <si>
    <t>25-36</t>
  </si>
  <si>
    <t>US Geological Survey Bulletin</t>
  </si>
  <si>
    <t>7102750610;7401956370;6506623126</t>
  </si>
  <si>
    <t>Lockhart, A. B.;Murray, T. L.;Furukawa, B. T.</t>
  </si>
  <si>
    <t>Lockhart A.</t>
  </si>
  <si>
    <t>Operating low-power telemetry networks in severe environments</t>
  </si>
  <si>
    <t>2-s2.0-0027036480</t>
  </si>
  <si>
    <t>['useful tool', 'underlying soils', 'signal attenuation', 'road embankment', 'peat deposit', 'latter case', 'existing road', 'depth estimation', 'bottom topography', '100 mhz']</t>
  </si>
  <si>
    <t>GPR is a very useful tool for sounding the bottom topography of a peat deposit and for estimating the nature of the underlying soils. Soundings can be performed through the existing road or beside it, depth estimation being earlier in the latter case, as signal attenuation is not a problem. Radar also gives information about the existing multiyear ice under the road embankment, the thawing of which may cause uneven settlement. The best antenna frequency for these surveys is 100 MHz. -from Authors</t>
  </si>
  <si>
    <t>293-305</t>
  </si>
  <si>
    <t>Special Paper - Geological Survey of Finland</t>
  </si>
  <si>
    <t>56458620900;6508331917;7103316876</t>
  </si>
  <si>
    <t>Saarenketo, T.;Hietala, K.;Salmi, T.</t>
  </si>
  <si>
    <t>Saarenketo T.</t>
  </si>
  <si>
    <t>GPR applications in geotechnical investigations of peat for road survey purposes</t>
  </si>
  <si>
    <t>2-s2.0-0027036633</t>
  </si>
  <si>
    <t>['survey line', 'simplified built', 'sectional planes', 'practical experience', 'online focusing', 'fundamental research', 'array data', 'antenna array']</t>
  </si>
  <si>
    <t>An idea is presented for a new generation 3D ground radar system, based on both fundamental research and practical experience with the current ground radar in civil engineering applications. The new system would have an antenna array with the array axis perpendicular to the direction of the survey line. A simplified built-in macro subsoil model controls the online focusing of the array data in cross-sectional planes. Focusing of the data in the direction of the survey line is accomplished off-line by seismic migration algorithms, based on more detailed subsoil models which are updated. -from Authors</t>
  </si>
  <si>
    <t>35-40</t>
  </si>
  <si>
    <t>56584432000;15519030600</t>
  </si>
  <si>
    <t>Van Deen, J. K.;De Feijter, J. W.</t>
  </si>
  <si>
    <t>Van Deen J.</t>
  </si>
  <si>
    <t>Three-dimensional ground probing radar</t>
  </si>
  <si>
    <t>2-s2.0-0027039399</t>
  </si>
  <si>
    <t>['transmitting pulse', 'transmitting antenna', 'sample transformation', 'receiving one', 'paper reviews', 'micro computer', 'main uses', 'logarithm amplifying', 'linear amplifying', 'gpr ).', 'developed process']</t>
  </si>
  <si>
    <t>This paper reviews the developed process, character, system, and main uses of Ground Penetrating Radar (GPR). Subsurface Impulse Imaging Radar (SIIR) has been developed with transmitting pulse of 100 KHz repeated frequency, 5 ns pulse width and 150 V double-direction pulse amplitude. The antenna is bow-tiedipolestyle. The transmitting antenna and receiving one are separate. Received return wave is transformed to displayable slow signal by means of the sample transformation method. Transmitting, receiving, sample transformation, linear amplifying, logarithm amplifying, TGC (Time-Gain-Control) and parameter change etc. are carried out under the control of micro computer. -from Authors</t>
  </si>
  <si>
    <t>71-77</t>
  </si>
  <si>
    <t>60007333;60007333;60007333;60007333;60007333</t>
  </si>
  <si>
    <t>7409568848;7409600626;7409799350;7409946060;57214635036</t>
  </si>
  <si>
    <t xml:space="preserve">Zhang Junrong, ;Liu Fengyu, ;Wang Hongqi, ;Chen Meng, ;He Yan, </t>
  </si>
  <si>
    <t>Changchun</t>
  </si>
  <si>
    <t>Northeast Institute of Geography and Agricultural Ecology Chinese Academy of Sciences</t>
  </si>
  <si>
    <t>Zhang Junrong</t>
  </si>
  <si>
    <t>The development of subsurface impulse imaging radar and its application</t>
  </si>
  <si>
    <t>2-s2.0-0027039401</t>
  </si>
  <si>
    <t>['simple relations']</t>
  </si>
  <si>
    <t>Concepts involving operational properties of Ground Penetrating Radar are presented. Simple relations for depth of penetration for both the low and high frequency windows are discussed. A relatively new antenna, the Active Isolation Antenna is discussed and sample results obtained using it are presented. -Authors</t>
  </si>
  <si>
    <t>7202838408;56679100400;7401475811</t>
  </si>
  <si>
    <t>Peters, L.;Poirier, M.;Barnes, M.</t>
  </si>
  <si>
    <t>Peters L.</t>
  </si>
  <si>
    <t>General ground penetrating radar (GPR) concepts</t>
  </si>
  <si>
    <t>2-s2.0-0027040812</t>
  </si>
  <si>
    <t>['visual signals', 'spectral purity', 'pinus cedrus', 'oriented toward', 'olfactory signals', 'melampyrum pratense', 'linaria vulgaris', 'landing signals', 'landing reaction', 'key stimuli', 'innate behaviour', 'guide area', 'floral guides', 'entomphilous flowers', 'corolla colour', 'combined presentation', 'bumble bee', 'bombus lucorum', 'artificial flower', 'artifical flowers', 'areas contacted', 'antennal reaction']</t>
  </si>
  <si>
    <t>The innate behaviour of flower-naive Bombus terrestris and Bombus lucorum was observed at artifical flowers that consisted of a corolla and a guide area. A set of key stimuli was found to release a sequence of reactions, including the bee's approach, antennal reaction, and landing. Approach from a distance was released by the spectral purity of the corolla colour. The antennal reaction, which is the first antennal contact at an artificial flower, and occurs while the bumble bee is in flight, was oriented toward those areas with colours of the highest spectral purity. The landing reaction was released by visual and olfactory signals from the areas contacted during the antennal reaction. The combined presentation of visual signals from the anthers and olfactory signals from the pollen most effectively promoted landing. The antennal reaction allows precise alignment for landing and the antennal tips contact the the visually conspicuous guide areas. The pollen and anthers, as well as the floral guides, which act as landing signals, of entomphilous flowers (Linaria vulgaris, Melampyrum pratense) possess olfactory qualities. The pollen of one anemophilous plant (Pinus cedrus) exhibits no such qualities. -from Author</t>
  </si>
  <si>
    <t>2139-2144</t>
  </si>
  <si>
    <t>Canadian Journal of Zoology</t>
  </si>
  <si>
    <t>Lunau, K.</t>
  </si>
  <si>
    <t>Lunau K.</t>
  </si>
  <si>
    <t>Innate recognition of flowers by bumble bees: orientation of antennae to visual stamen signals</t>
  </si>
  <si>
    <t>10.1139/z92-288</t>
  </si>
  <si>
    <t>2-s2.0-0027043664</t>
  </si>
  <si>
    <t>['specific one', 'six mongooses', 'seven mongooses', 'second method', 'long period', 'herpestes ichneumon', 'general one', 'first month', 'first method', 'collared one', 'collar antennae', 'capture effort', '91 boxtrap', '25 mongooses']</t>
  </si>
  <si>
    <t>Two trapping techniques were used, a general one, applied to catch any Herpestes ichneumon, and a specific one, applied to recapture already known individuals in dens. With the first method, 25 mongooses were trapped 42 times using boxtraps. Capture effort was 91 boxtrap-days per individual. With the second method, seven mongooses were trapped nine times using different procedures. Capture effort was 3.2 attemps per individual. Twenty-six mongooses were radio-collared one or more times and ear-tagged. No method of marking was useful for a long period. Mongooses frequently removed their radio-collars and ear-tags, radio-collar antennae were broken in the first month of tracking, and some mongooses suffered abrasions on the neck. -from Authors</t>
  </si>
  <si>
    <t>76-79</t>
  </si>
  <si>
    <t>South African Journal of Wildlife Research</t>
  </si>
  <si>
    <t>60006627;60006627</t>
  </si>
  <si>
    <t>56512553700;7005815395</t>
  </si>
  <si>
    <t>Palomares, F.;Delibes, M.</t>
  </si>
  <si>
    <t>Sevilla</t>
  </si>
  <si>
    <t>CSIC- Estaci√≥n Biol√≥gica de Do√±ana EBD</t>
  </si>
  <si>
    <t>Palomares F.</t>
  </si>
  <si>
    <t>An evaluation of techniques for capturing and radio-collaring large grey mongooses</t>
  </si>
  <si>
    <t>2-s2.0-0027044093</t>
  </si>
  <si>
    <t>['strong argument', 'simulated 7', 'polar orbit', 'past flight', 'new mexico', 'nature reflecting', 'motion profiles', 'minimum 12', 'low satellite', 'leveling concerns', 'less pronounced', 'hz trajectory', 'gps determined', 'gps constellation', 'fixed receiver', 'consulting records', 'assumed payload', 'adopted trajectory', '300 km']</t>
  </si>
  <si>
    <t>Consulting records of a past flight, 1-Hz trajectory, and (roll, pitch, yaw) motion profiles were adopted for a simulated 7.5-hour balloon flight over New Mexico. The assumed payload of the balloon was an inertial ring laser gyro strap-down system and a three-antenna, minimum 12-channel global positioning system (GPS) receiver. The adopted trajectory was assumed to be GPS determined and interferometric in nature reflecting a second, ground-fixed receiver. A successful balloon experiment would be a strong argument for a "high-low' satellite tracking mission involving the GPS constellation and a dedicated, polar orbit, low satellite (altitude Œµ 160 km, 300 km) possessing the same payload. At such an altitude the leveling concerns are less pronounced. Such a spaceborne mission would allow for a downward continued gravity mapping over all heretofore inaccessible Earth surface regions. -from Author</t>
  </si>
  <si>
    <t>8853-8864</t>
  </si>
  <si>
    <t>B6</t>
  </si>
  <si>
    <t>Gleason, D. M.</t>
  </si>
  <si>
    <t>Gleason D.</t>
  </si>
  <si>
    <t>Extracting gravity vectors from the integration of global positioning system and inertial navigation system data</t>
  </si>
  <si>
    <t>10.1029/92JB00429</t>
  </si>
  <si>
    <t>2-s2.0-0027046332</t>
  </si>
  <si>
    <t>['unfrozen water', 'uhf band', 'three sites', 'taliks exist', 'several traverses', 'radar reflections', 'prudhoe bay', 'probable source', 'meters beyond', 'gravels provided', 'gravel structure', 'frozen mound', 'floodplain throughout', 'extensive reservoir', 'depth limit', 'deep near', 'allowed detail', '5 km2']</t>
  </si>
  <si>
    <t>Short‚Äêpulse radar operating in the UHF band was used to search for unfrozen water beneath ice blisters and within the gravels of the Sagavanirktok River floodplain near Prudhoe Bay, Alaska. The investigations were carried out in early April 1991, when daily mean air temperatures still were below ‚àí20¬∞C. The radar pulse spectrum was centered near 400 MHz and the radar time range was set to cover about 10 m depth. The flat, snow‚Äêcovered surface allowed good antenna‚Äêground coupling, and the ice and gravels provided a low‚Äêloss propagation medium that allowed detail of the gravel structure to be seen in the data. Grids of several traverses were profiled at three sites, all within an area of about 0.5 km2. Unfrozen water was inferred from the strength and polarization of the radar reflections. One site contained a large icing blister beneath which an extensive reservoir was mapped and seen to extend several tens of meters beyond the mound. Data from two other sites indicated taliks 5‚Äì7 m deep near a frozen mound and within the gravels. One of the profiles extended 700 m across the floodplain and revealed other high‚Äêreflectivity targets, which were presumed to be water, within about 7 m of the surface; a deeper sounding confirmed this depth limit. It is concluded that taliks exist in the floodplain throughout the winter and are a probable source for the numerous icing mounds seen along most Arctic rivers east of Prudhoe Bay. This paper is not subject to U.S. copyright. Published in 1992 by the American Geophysical Union.</t>
  </si>
  <si>
    <t>2925-2936</t>
  </si>
  <si>
    <t>Water Resources Research</t>
  </si>
  <si>
    <t>7005508584;6602149727;7004291820</t>
  </si>
  <si>
    <t>Arcone, Steven A.;Chacho, Edward F.;Delaney, Allan J.</t>
  </si>
  <si>
    <t>Arcone S.</t>
  </si>
  <si>
    <t>Short‚Äêpulse radar detection of groundwater in the Sagavanirktok River Floodplain in early spring</t>
  </si>
  <si>
    <t>10.1029/92WR01308</t>
  </si>
  <si>
    <t>2-s2.0-0027047109</t>
  </si>
  <si>
    <t>N01-CM-87245</t>
  </si>
  <si>
    <t>['spatial resolution', 'single formula', 'several two', 'rights reserved', 'radial distances', 'polyacrylamide gel', 'physical properties', 'penetration depth', 'intracavitary applicator', 'interstitial antenna', 'internal wavelength', 'hyperthermia applicators', 'good agreement', 'experimental three', 'distributions composed', 'different depths', 'desired form', 'conductivity dispersion', 'commonly used', 'actual muscle', 'actual geometry', '500 mhz', '3 ghz', '2450 mhz', '1 mm']</t>
  </si>
  <si>
    <t>Dielectric properties | Hyperthermia applicators | Phantom | Polyacrylamide gel | SAR distribution</t>
  </si>
  <si>
    <t>A muscle-simulating material made of polyacrylamide gel (PAG) for testing various kinds of hyperthermia applicators was investigated. The permittivity and conductivity dispersion of PAG, as well as an internal wavelength and penetration depth, were in good agreement with those of actual muscle at frequencies between 500 MHz and 3 GHz. A single formula for PAG covering three ISM bands, most commonly used for hyperthermia, 433, 915 and 2450 MHz, is presented. The physical properties of the PAG phantom allow any desired form or shape to be moulded, including shapes conforming to the actual geometry of an interstitial or intracavitary applicator. Utilization of a multilayer phantom makes possible the generation of experimental three-dimensional specific absorption rate (SAR) distributions composed from several two-dimensional SAR images at different depths or radial distances from the applicator. Spatial resolution of 1 mm can be achieved. The two-dimensional SAR distributions at different depth values for commercial superficial applicator, an interstitial antenna and a new oesophageal applicator are presented. ¬© 1992 Informa UK Ltd All rights reserved: reproduction in whole or part not permitted.</t>
  </si>
  <si>
    <t>795-807</t>
  </si>
  <si>
    <t>60029311;60029311;60029311;60029311</t>
  </si>
  <si>
    <t>16209358500;7005395085;7006549540;7006372174</t>
  </si>
  <si>
    <t>Surowiec, A.;Shrivastava, P. N.;Astrahan, M.;Petrovich, Z.</t>
  </si>
  <si>
    <t>Surowiec A.</t>
  </si>
  <si>
    <t>Utilization of a multilayer polyacrylamide phantom for evaluation of hyperthermia applicators</t>
  </si>
  <si>
    <t>10.3109/02656739209005027</t>
  </si>
  <si>
    <t>2-s2.0-0027054458</t>
  </si>
  <si>
    <t>['wiley company', 'theoretical results', 'potential use', 'inc .,']</t>
  </si>
  <si>
    <t>antennas | blazed gratings | frequency scanning | Strip gratings</t>
  </si>
  <si>
    <t>The potential use of planar periodic gratings, consisting of thin conducting strips, as frequency scanned gratings is investigated. The analysis is based on a modal expansion method, Floquet's theorem, and the method of moments. Experimental and theoretical results are presented. ¬© 1992 John Wiley &amp; Sons, Inc. Copyright ¬© 1992 Wiley Periodicals, Inc., A Wiley Company</t>
  </si>
  <si>
    <t>713-715</t>
  </si>
  <si>
    <t>Lagerholm, Robert</t>
  </si>
  <si>
    <t>Lagerholm R.</t>
  </si>
  <si>
    <t>Study of metallic strip gratings for frequency scanning</t>
  </si>
  <si>
    <t>10.1002/mop.4650051402</t>
  </si>
  <si>
    <t>2-s2.0-0027066588</t>
  </si>
  <si>
    <t>['transmits data', 'telemetering data', 'sufficient batteries', 'sign analog', 'minute intervals', 'gas concentration', 'electronic devices', 'digital converter', 'analog voltages']</t>
  </si>
  <si>
    <t>Telemetering data from electronic devices that sense ground tilt, temperature, strain, gas concentration, and other phenomena can provide valuable information regarding current or impending volcanic activity. To facilitate such monitoring, a low-data-rate digital telemetry system was developed that transmits data at 10-minute intervals over VHF/UHF radio links to a central receiving site. Analog voltages are ditigized with a 12-bit-plus-sign analog-to-digital converter in the field. The data are transmitted in Bell 103 format. A 9-gallon steel drum houses the entire transmitter including radio, antenna, and sufficient batteries to power the unit for a year. -from Author</t>
  </si>
  <si>
    <t>Murray, T. L.</t>
  </si>
  <si>
    <t>Murray T.L.</t>
  </si>
  <si>
    <t>A low-data rate digital telemetry system</t>
  </si>
  <si>
    <t>2-s2.0-0027067129</t>
  </si>
  <si>
    <t>['wiley blackwell', 'water column', 'two bundles', 'trochonerilla mobilis', 'three antennae', 'strong ring', 'simple chaetae', 'rights reserved', 'moscow zoo', 'mobile animals', 'geographical origin', 'et sp', 'also able']</t>
  </si>
  <si>
    <t>A nerillid species new to science is described from the marine aquarium system of Moscow Zoo. Trochonerilla mobilis gen. et sp.n. is characterized by eight chaetigerous segments, three antennae, absence of palps, parapodia with two bundles of simple chaetae and pygidium with two anal cirri. In contrast to other eight‚Äêsegmented nerillids, Trochonerilla mobilis are very active and mobile animals. They are also able to swim through the water column by means of the strong ring of cilia on the first chaetigerous segment. Their geographical origin is unknown. Copyright ¬© 1992, Wiley Blackwell. All rights reserved</t>
  </si>
  <si>
    <t>251-254</t>
  </si>
  <si>
    <t>Zoologica Scripta</t>
  </si>
  <si>
    <t>60007457;60007457</t>
  </si>
  <si>
    <t>6602952962;6508009325</t>
  </si>
  <si>
    <t>TZETLIN, ALEXANDER B.;SAPHONOV, MICH AIL V.</t>
  </si>
  <si>
    <t>TZETLIN A.</t>
  </si>
  <si>
    <t>Trochonerilla mobilis gen. et sp.n., a meiofaunal nerillid (Annelida, Polychaeta) from a marine aquarium in Moscow</t>
  </si>
  <si>
    <t>030032569290007T</t>
  </si>
  <si>
    <t>10.1111/j.1463-6409.1992.tb00329.x</t>
  </si>
  <si>
    <t>2-s2.0-0027071525</t>
  </si>
  <si>
    <t>['second generation', 'scientific spacecraft', 'orbit infrastructure', 'optical terminals', 'next century', 'microgravity free', 'main classes', 'leo ),', 'ground segment', 'geostationary satellites']</t>
  </si>
  <si>
    <t>Starting from the likely user scenario at the beginning of the next century, the evolution of the European Data Relay System into a second generation is presented in terms of innovative system architectures, which are compared from the point of view of space/ground segment and cost. The main classes of users considered include the In-Orbit Infrastructure (i.e. Columbus) and the vehicles to support it (i.e. Hermes and its successors), Earth observation platforms, microgravity free-flyers and scientific spacecraft. The second generation of data relay spacecraft will typically be equipped with an S-band multiple access antenna for low data rate communications with users in low Earth orbit (LEO), and optical terminals for high data rate communication with both LEO and geostationary satellites. -from Authors</t>
  </si>
  <si>
    <t>273-287</t>
  </si>
  <si>
    <t>Space Technology: Industrial &amp; Commercial Applications</t>
  </si>
  <si>
    <t>60029398;60029398;60029398</t>
  </si>
  <si>
    <t>7003443021;57201577900;7005121805</t>
  </si>
  <si>
    <t>De Agostini, A.;Puccio, A.;Zanotti, G.</t>
  </si>
  <si>
    <t>European Space Agency - ESA</t>
  </si>
  <si>
    <t>De Agostini A.</t>
  </si>
  <si>
    <t>A European advanced data relay system</t>
  </si>
  <si>
    <t>2-s2.0-0027072379</t>
  </si>
  <si>
    <t>['laboratory results', 'height effects', 'good results', 'good agreement', 'frequency shift', 'cylindrical targets', 'clayey soil', 'channel system']</t>
  </si>
  <si>
    <t>Field and laboratory tests companing GSSI antennas were carried out on cylindrical targets. In general there was a good agreement between the field and laboratory results, in gain, height effects, frequency shift and polarization. Very good results were obtained with a combination of a 500 MHz transimitter and a 300 MHz receiver. It is concluded that a multi-channel system is needed to get good target resolution, especially in clayey soil. -Authors</t>
  </si>
  <si>
    <t>111-118</t>
  </si>
  <si>
    <t>60030710;60030710;60030710</t>
  </si>
  <si>
    <t>6603342445;15519030600;6507913795</t>
  </si>
  <si>
    <t>Greeuw, G.;De Feijter, J. W.;Kathage, A. F.</t>
  </si>
  <si>
    <t>GeoDelft - Delft Geotechnics</t>
  </si>
  <si>
    <t>Greeuw G.</t>
  </si>
  <si>
    <t>Field and laboratory tests on line scatterers</t>
  </si>
  <si>
    <t>2-s2.0-0027073415</t>
  </si>
  <si>
    <t>['wiley blackwell', 'wet weight', 'weight occurred', 'tree leaves', 'thus g', 'sexual maturity', 'segments cannot', 'second pairs', 'roeseli reached', 'roeseli kept', 'rights reserved', 'relatively faster', 'range 3', 'quantitatively related', 'power function', 'newborn animals', 'naturally decaying', 'natural populations', 'moult number', 'mean interval', 'maturation times', 'maturation time', 'logistic curve', 'linearly related', 'life span', 'latter species', 'isolated specimens', 'interspecific differences', 'intermoult interval', 'inflection point', 'highly significant', 'growth conformed', 'gammarus fossarum', 'flagellar segments', 'exponentially related', 'dry weight', 'constant mixture', 'cephalic length', 'body size', 'aquatic macrophytes', '96 days', '850 days', '85 days', '58 mg', '41 mg', '403 days', '355 days', '13 mg', '10 moults', '10 mg']</t>
  </si>
  <si>
    <t>1. The total body length, cephalic length, wet weight and dry weight was measured in juveniles, males and females of Gammarus fossarum and G. roeseli kept in the laboratory. Numbers of flagellar segments on the first and second pairs of antennae of G. fossarum and G. roeseli were quantitatively related to body size and in stars. The addition of segments cannot be used to identify particular instars of individuals or to determine their ages in natural populations. 2. At experimental temperatures ranging from 3.8 to 20.2¬∞C, the number of moults, duration of intermoults, maturation times and specific growth rates were studied from birth in isolated specimens. Sexual maturity was reached after 9 or 10 moults, at a mean wet weight of c. 5mg for females and c. 7mg for males of G. fossarum, and at c. 10 mg for females and c. 13 mg for males of G. roeseli. At 3.8¬∞C neither species reached sexual maturity within 550 days. 3. The mean interval between moults was observed from birth to sexual maturity and was linearly related to moult number and exponentially related to age. The relationship between each intermoult interval, or the maturation time, and the experimental water temperature was described by a power function. Maturation times increased from 96 days at 20.2¬∞C to 355 days at 7.9¬∞C in G. fossarum, and 85 days to 403 days in G. roeseli. 4. Over the range 3.8‚Äì20.2¬∞C there was a log‚Äîlog relationship between temperature and specific growth rates. Growth was maximal at 20.2¬∞C in newborn animals as well as in small sexually mature animals; interspecific differences were highly significant. 5. Increase in body wet weight of G. fossarum and G. roeseli fed ad libitum on a constant mixture of autumn‚Äêshed, naturally decaying, tree leaves and aquatic macrophytes was followed to senescence and death. The instantaneous or specific growth rate was maximal near birth, at c. 7.98% wet weight day‚àí1 in G. fossarum and 9.03% in G. roeseli. At ‚â•12¬∞C, growth conformed to a logistic curve; maximum absolute increments in weight occurred about half‚Äêway through a life span of 280‚Äì300 days at 20¬∞C, 380‚Äì420 days at 16¬∞C and 550‚Äì600 days at 12¬∞C. Some individuals lived longer than 850 days at ‚â§12¬∞C. The wet weight at birth was 0.112mg for G. fossarum and 0.123mg for G. roeseli. Asymptotic mean body weights of males and females were, respectively, 61 and 41 mg for G. fossarum and 87 and 58 mg for G. roeseli. However, G. roeseli reached the inflection point of the logistic curve significantly faster than G. fossarum. In the latter species, growth and maturation were relatively faster at temperatures below 12¬∞C, whereas they were faster in G. roeseli at 16‚Äì20¬∞C. Thus G. fossarum is adapted to summer‚Äêcool streams and G. roeseli is adapted to summer‚Äêwarm streams. Copyright ¬© 1992, Wiley Blackwell. All rights reserved</t>
  </si>
  <si>
    <t>211-225</t>
  </si>
  <si>
    <t>Freshwater Biology</t>
  </si>
  <si>
    <t>P√ñCKL, MANFRED</t>
  </si>
  <si>
    <t>P√ñCKL M.</t>
  </si>
  <si>
    <t>Effects of temperature, age and body size on moulting and growth in the freshwater amphipods Gammarus fossarum and G. roeseli</t>
  </si>
  <si>
    <t>10.1111/j.1365-2427.1992.tb00534.x</t>
  </si>
  <si>
    <t>2-s2.0-0027073980</t>
  </si>
  <si>
    <t>['wiley company', 'valley levels', 'table appears', 'open literature', 'numerically optimizing', 'much help', 'maximum numbers', 'inc .,', 'formulas tabulated', 'first time', 'exciting currents', 'even number', 'element antennas', 'either unsymmetrical', 'clearly stated', 'author knows', 'array factor', 'arbitrary odd', '2 ],']</t>
  </si>
  <si>
    <t>arbitrary numerical array synthesis | array factor | Linear antenna array</t>
  </si>
  <si>
    <t>The lines of reasoning on the maximum numbers of independent adjustable parameters, peaks, and valleys in an arbitrarily shaped linear factor are clearly stated and the corresponding characteristics table is also completely constructed in this article. The array factor may be either unsymmetrical or symmetrical, and with arbitrary odd or even number of exciting currents. So far as the author knows, this table appears for the first time in the open literature, and it is believed to be of much help to the designers of equispaced linear antenna arrays when numerically optimizing the differently specified peak and valley levels of the array factor by adjusting the available independent parameters related to the exciting currents in the element antennas. When the formulas tabulated in the array factor characteristics table are used to compare with the synthesized results using the well‚Äêknown numerical method for optimizing the synthesis of an arbitrary shaped array factor by Orchard, Elliott, and Stern [1] and Elliott [2], they show exact agreement. ¬© 1992 John Wiley &amp; Sons, Inc. Copyright ¬© 1992 Wiley Periodicals, Inc., A Wiley Company</t>
  </si>
  <si>
    <t>732-736</t>
  </si>
  <si>
    <t>Yu, Cheng‚ÄêCheh ‚ÄêC</t>
  </si>
  <si>
    <t>National Taipei University of Technology</t>
  </si>
  <si>
    <t>Yu C.</t>
  </si>
  <si>
    <t>On the maximum numbers of independent adjustable parameters, peaks, and valleys in arbitrarily shaped linear array factor</t>
  </si>
  <si>
    <t>10.1002/mop.4650051409</t>
  </si>
  <si>
    <t>2-s2.0-0027084066</t>
  </si>
  <si>
    <t>['survey lines', 'side slopes', 'run 15', 'rock contact', 'reduce stripping', 'radar data', 'planning restoration', 'pit based', 'mine planning', 'maximum depth', 'map bauxite', 'line placement', 'haul road', '9 meters']</t>
  </si>
  <si>
    <t>Ground penetrating radar was used to map bauxite. Survey lines were run 15 m apart over areas previously assessed by drilling. An 80 MHz antenna provided excellent profiles of the bauxite/rock contact, with a maximum depth of penetration to about 9 meters. Where the depth of bauxite exceeded radar penetration, the depth was estimated based upon the side slopes of the pit, if possible, or boring(s) were located in the pit based on the radar data. This data has been useful for mine planning, to reduce stripping, to aid in haul road and drag-line placement, and to aid in planning restoration. -from Authors</t>
  </si>
  <si>
    <t>229-236</t>
  </si>
  <si>
    <t>60017787;60017787</t>
  </si>
  <si>
    <t>16445558600;6602935467</t>
  </si>
  <si>
    <t>Benson, R.;Yuhr, L.</t>
  </si>
  <si>
    <t>Miami</t>
  </si>
  <si>
    <t>Technos, Inc.</t>
  </si>
  <si>
    <t>Benson R.</t>
  </si>
  <si>
    <t>Assessment of bauxite reserves using ground penetrating radar</t>
  </si>
  <si>
    <t>2-s2.0-0027084530</t>
  </si>
  <si>
    <t>['vibration stimulus', 'state 1', 'small increase', 'reduced latency', 'predominating state', 'light period', 'leucophaea maderae', 'ld 12', 'isolated animals', 'gentle shaking', 'establish whether', 'data support', 'dark period', 'dark onset', 'compensatory response', 'cockroaches showed', 'cages whenever', 'body posture', 'blaberus giganteus', 'behavioural response', 'arousal threshold', 'antennae touching', 'animals exhibited', '12 h']</t>
  </si>
  <si>
    <t>keywords cockroach | rest deprivation | vigilance</t>
  </si>
  <si>
    <t>SUMMARY‚ÄÇ Our objective was to investigate whether sleep‚Äêlike states occur in the cockroach, Blaberus giganteus by applying the methods formerly used for another cockroach species, Leucophaea maderae and the scorpions, Heterometrus and Pandinus. The behaviour of isolated animals (n= 10) kept under LD 12:12 h was recorded by time‚Äêlapse video for three consecutive 24‚Äêh periods. Nine behavioural states were scored for 1‚Äêmin real‚Äêtime epochs. Rest was subdivided into 4 sub‚Äêstates on the basis of body posture and the position of the antennae. The cockroaches showed a nocturnal behaviour exhibiting a bout of locomotion at dark onset which lasted several hours, and a preference for rest in the light period. Immobility with both the body and the antennae touching the substrate (state 1) was the predominating state in the light period. In order to establish whether the sub‚Äêstates of rest represented different levels of vigilance the arousal threshold was measured by determining the latency of a behavioural response to a vibration stimulus. The levels of arousal differed significantly in four behavioural states in the light period but not in the dark period. In state 1 the animals exhibited the lowest arousal whereas in the activity states arousal was the highest. The state with the highest arousal threshold occurred in the beginning of the light period. Thereafter, arousal progressively increased and remained relatively high during the dark period. The effect of 6‚Äêh deprivation of rest by the gentle shaking of the cages whenever the animals were immobile, resulted in a reduced latency to state 1, a small increase of state 1 and a more prominent initial increase of activity during recovery. In conclusion, this study provides evidence for the existence of a 24‚Äêh variation of vigilance in the cockroach. It further indicates that a ‚Äòrest deficit‚Äô gives rise to a compensatory response. The data support the notion that sleep‚Äêlike states are present in these insects. ¬© 1992 European Sleep Research Society</t>
  </si>
  <si>
    <t>231-239</t>
  </si>
  <si>
    <t>Journal of Sleep Research</t>
  </si>
  <si>
    <t>60012614;60012614</t>
  </si>
  <si>
    <t>57204373226;6603419672</t>
  </si>
  <si>
    <t>TOBLER, IRENE;NEUNER‚ÄêJEHLE, MARTIN</t>
  </si>
  <si>
    <t>Zurich</t>
  </si>
  <si>
    <t>University of Zurich</t>
  </si>
  <si>
    <t>TOBLER I.</t>
  </si>
  <si>
    <t>24‚Äêh variation of vigilance in the cockroach Blaberus giganteus</t>
  </si>
  <si>
    <t>10.1111/j.1365-2869.1992.tb00044.x</t>
  </si>
  <si>
    <t>2-s2.0-0027086824</t>
  </si>
  <si>
    <t>['wiley company', 'vertical magnetization', 'obtained using', 'numerical computation', 'normalized longitudinal', 'microstrip line', 'inc .,', 'ferrite substrate', 'f )]', 'dispersive properties', 'different frequencies', 'characteristic impedance', 'accurately evaluated']</t>
  </si>
  <si>
    <t>dispersion | ferrite substrate | Microstrip line</t>
  </si>
  <si>
    <t>The normalized longitudinal and transverse current distributions of a microstrip line on a ferrite substrate are obtained using the spectral domain approach for vertical magnetization. The dispersive properties of the line [characteristic impedance and effective permeability Œºeff (f)] are accurately evaluated. The new current distributions speed up the numerical computation of the parameters at different frequencies. ¬© 1992 John Wiley &amp; Sons, Inc. Copyright ¬© 1992 Wiley Periodicals, Inc., A Wiley Company</t>
  </si>
  <si>
    <t>742-745</t>
  </si>
  <si>
    <t>60000237;60000237;60000237</t>
  </si>
  <si>
    <t>6603435676;6504612089;6506867066</t>
  </si>
  <si>
    <t>Hindy, Moataza A.;Mitkess, A. A.;Elsohly, A. A.</t>
  </si>
  <si>
    <t>Bahrain</t>
  </si>
  <si>
    <t>Sakhir</t>
  </si>
  <si>
    <t>University of Bahrain</t>
  </si>
  <si>
    <t>Hindy M.</t>
  </si>
  <si>
    <t>Application of convolution approach for microstrip lines on ferrite substrate</t>
  </si>
  <si>
    <t>10.1002/mop.4650051412</t>
  </si>
  <si>
    <t>2-s2.0-0027087686</t>
  </si>
  <si>
    <t>['scour holes', 'penetrating radar', 'megahertz antennas', 'maximum depth', 'infilled material', 'gpr records', 'gpr data', 'flowing water', 'flood conditions', 'features also']</t>
  </si>
  <si>
    <t>Flowing water can erode streambeds around bridge foundations, causing scour holes that can threaten the stability and safety of bridges. Measuring the maximum depth of scour when it occurs, during flood conditions, is difficult. Ground-penetrating radar (GPR) methods were used during normal flow conditions to determine the thickness of infilled material in scour holes. The GPR data were collected by floating modified 80- to 300-megahertz antennas on the water surface around bridge piers. Other features also were delineated on GPR records, including buried riprap material, exposed bridge footings, and a former stream channel. -from Authors</t>
  </si>
  <si>
    <t>285-292</t>
  </si>
  <si>
    <t>60011347;60011347;60011347</t>
  </si>
  <si>
    <t>6602846654;6506096252;7101619986</t>
  </si>
  <si>
    <t>Haeni, F. P.;Placzek, G.;Trent, R. E.</t>
  </si>
  <si>
    <t>Reston</t>
  </si>
  <si>
    <t>United States Geological Survey</t>
  </si>
  <si>
    <t>Haeni F.</t>
  </si>
  <si>
    <t>Use of ground-penetrating radar to investigate refilled scour holes at bridge foundations</t>
  </si>
  <si>
    <t>2-s2.0-0027089037</t>
  </si>
  <si>
    <t>['various modes', 'transmission events', 'timing circuitry', 'system controller', 'range 80', 'five channel', 'filtering functions', 'different channels', 'data acquisition', 'computer controlled', 'center frequencies', 'cdp method', 'also possible', '1000 mhz']</t>
  </si>
  <si>
    <t>A five channel, computer controlled, multistatic, wideband impulse radar has been developed. The radar has five synchronized channels that can be configured in various modes. Each channel can be equipped with transducers having center frequencies in the range 80-1000 MHz. When operated in the simultaneous firing mode the delay between transmission events of different channels is programmable so that beamsteering can be obtained. It is also possible to generate continuous velocity determination using the CDP method. The system controller manages the timing circuitry and the gain and filtering functions and an external workstation type of computer sends commands to the system controller and performs the data acquisition. -Author</t>
  </si>
  <si>
    <t>57-63</t>
  </si>
  <si>
    <t>Ulriksen, P.</t>
  </si>
  <si>
    <t>Lunds Tekniska H√∂gskola</t>
  </si>
  <si>
    <t>Ulriksen P.</t>
  </si>
  <si>
    <t>Multistatic radar system - MRS</t>
  </si>
  <si>
    <t>2-s2.0-0027090539</t>
  </si>
  <si>
    <t>['system design', 'recent advances', 'putting demands', 'produce systems', 'penetration requirements', 'increased dramatically', 'growing range', 'centre frequency']</t>
  </si>
  <si>
    <t>The acceptance and use of Subsurface Interface Radar (SIR) has increased dramatically over the last five years. New and increasingly diverse applications are putting demands on manufacturers to produce systems that can satisfy the growing range of resolution and penetration requirements. Recent advances in antenna and system design are discussed. Since impulse radar systems transmit wide bandwidth signals, a variable frequency transmitter was developed. This was done to test the concept of varying the centre frequency of a broad bandwidth antenna. A new high speed multiple channel radar system is described. -from Author</t>
  </si>
  <si>
    <t>13-19</t>
  </si>
  <si>
    <t>Fenner, T. J.</t>
  </si>
  <si>
    <t>Ratzeburg</t>
  </si>
  <si>
    <t>Geophysical Survey Systems Inc</t>
  </si>
  <si>
    <t>Fenner T.</t>
  </si>
  <si>
    <t>Recent advances in subsurface interface radar technology</t>
  </si>
  <si>
    <t>2-s2.0-0027100644</t>
  </si>
  <si>
    <t>['transformed measurements', 'three types', 'possible importance', 'pca results', 'ontogenetic allometry', 'nine species', 'multigroup situations', 'individual variation', 'habitat use', 'good fit', 'evolutionary allometry', 'eight characters', 'developmental origin', 'cpca ),', 'covariance matrices', 'common pattern', 'characters considered', 'authors discuss', 'allometric variation', '02342 ).']</t>
  </si>
  <si>
    <t>Static, ontogenetic, and evolutionary allometry in all five larval instarts of nine species of Gerris and Aquarius were compared. Common principal component analysis (CPCA), a generalization extending principal component analysis (PCA) to multigroup situations, was carried out on covariance matrices of log-transformed measurements of eight characters of antennae and legs. For all three types of allometry, a good fit of the model of simple multivariate allometry was found, and PCA results were similar in all instars and species, which justifies the use of CPCA to estimate a common pattern of allometric variation for each of the three types of allometry. There was a fairly close association between static and ontogenetic allometry, which indicates at least in part a developmental origin of individual variation. Evolutionary allometry differed markedly from static and ontogenetic allometry, with leg segments displaying strongly positive allometry. The authors discuss the possible importance of differences in habitat use for the evolution of the characters considered. (See also 93L/02342). -from Authors</t>
  </si>
  <si>
    <t>601-620</t>
  </si>
  <si>
    <t>140(4)</t>
  </si>
  <si>
    <t>60030835;60030835</t>
  </si>
  <si>
    <t>7004588456;7201478555</t>
  </si>
  <si>
    <t>Klingenberg, C. P.;Zimmermann, M.</t>
  </si>
  <si>
    <t>University of Alberta</t>
  </si>
  <si>
    <t>Klingenberg C.P.</t>
  </si>
  <si>
    <t>Static, ontogenetic, and evolutionary allometry: a multivariate comparison in nine species of water striders</t>
  </si>
  <si>
    <t>10.1086/285430</t>
  </si>
  <si>
    <t>2-s2.0-0027100925</t>
  </si>
  <si>
    <t>['supramolecular assembly', 'subunit composition', 'several points', 'regulated differently', 'ps1 core', 'ps 1', 'product relationship', 'monospecific antibody', 'mature corn', 'lhc 1', 'larger band', 'iv chlorophyll', 'initiated transition', 'induced assembly', 'induced appearance', 'individual subunits', 'etiolated tissue', 'etiolated corn', 'decline correlated', 'chlorophyll biosynthesis', 'binding antenna', 'antibody identified', '5 kda']</t>
  </si>
  <si>
    <t>The structure and supramolecular assembly of the soybean photosystem 1 (PS 1) chlorophyll a/b-binding antenna (LHC 1) was examined. We identified the subunit composition of LHC 1 in soybean and followed the accumulation of individual subunits during light-induced assembly. We observed four LHC 1 subunits, at 23, 22, 21 and 20.5 kDa, obtained partial sequence information by amino-terminal sequence analysis, and classified the 20.5, 22, and 21 kDa subunits as being encoded by type I, II, and IV chlorophyll a/b binding protein genes, respectively. Antisera against LHC 1 subunits were used to follow the accumulation of individual subunits during the light-initiated transition from etioplast to chloroplast. Several points are noteworthy. First, monospecific antibody against the 22 kDa subunit decorated a 25 kDa peptide in etiolated tissue, which declined during maturation. This decline correlated with the light-induced appearance of mature 22 kDa peptide, suggesting a precursor/product relationship. Second, the same antibody identified a 22 kDa protein in mature corn, but not a larger band in etiolated corn, suggesting that LHC 1 accumulation is regulated differently between species before the onset of chlorophyll biosynthesis. Third, the mature 22 kDa subunit appeared somewhat later than the other LHC 1 peptides during greening, implying that this subunit is less intimately associated with the PS1 core than are the subunits appearing earlier in development.</t>
  </si>
  <si>
    <t>347-356</t>
  </si>
  <si>
    <t>Plant physiology and biochemistry : PPB / Soci√©t√© fran√ßaise de physiologie v√©g√©tale</t>
  </si>
  <si>
    <t>60000689;60000689;60000689;60000689</t>
  </si>
  <si>
    <t>7401911285;6603828459;6701622388;7004630406</t>
  </si>
  <si>
    <t>Henry, R. L.;Armbrust, T.;Gallegos, G.;Guikema, J. A.</t>
  </si>
  <si>
    <t>Manhattan</t>
  </si>
  <si>
    <t>Kansas State University</t>
  </si>
  <si>
    <t>Henry R.</t>
  </si>
  <si>
    <t>Characterization of photosystem 1 chlorophyll a/b-binding apoprotein accumulation in developing soybean using type-specific antibodies.</t>
  </si>
  <si>
    <t>2-s2.0-0027106085</t>
  </si>
  <si>
    <t>['¬© 1992', 'traditional method', 'rights reserved', 'presented using', 'operational frequency', 'minimal effect', 'finite element', 'electrical engineers', 'distributed loading']</t>
  </si>
  <si>
    <t>Antennas | Radar cross-sections</t>
  </si>
  <si>
    <t>A scheme is presented for reducing the RCS of patch antennas outside their operational band without compromising gain performance. This is achieved by placing a narrow resistive strip (distributed loading) around the periphery of the patch which has minimal effect at the operational frequency of the patch. Results are presented using a finite element-boundary integral code demonstrating the effectiveness of this scheme over the traditional method of using lumped loads. ¬© 1992, The Institution of Electrical Engineers. All rights reserved.</t>
  </si>
  <si>
    <t>2322-2323</t>
  </si>
  <si>
    <t>7102576479;57197887563;7501723639</t>
  </si>
  <si>
    <t>Volakis, J. L.;Alexanian, A.;Lin, J. M.</t>
  </si>
  <si>
    <t>Broadband RCS reduction of rectangular patch by using distributed loading</t>
  </si>
  <si>
    <t>10.1049/el:19921494</t>
  </si>
  <si>
    <t>2-s2.0-0027111010</t>
  </si>
  <si>
    <t>['¬© 1992', 'rights reserved', 'relatively insensitive', 'obtained without', 'microstrip antennas', 'matching circuit', 'electrical engineers', 'coplanar waveguide']</t>
  </si>
  <si>
    <t>Antenna feeders | Coplanar waveguide | Microstrip antennas</t>
  </si>
  <si>
    <t>A coplanar waveguide (CPW) loop is shown to be an effective low VSWR feed for microstrip antennas. The low VSWR transition between the CPW and the antenna is obtained without the use of a matching circuit, and it is relatively insensitive to the position of the antenna and the feed. ¬© 1992, The Institution of Electrical Engineers. All rights reserved.</t>
  </si>
  <si>
    <t>2272-2274</t>
  </si>
  <si>
    <t>57191378936;57218985569</t>
  </si>
  <si>
    <t>Smith, R. L.;Williams, J. T.</t>
  </si>
  <si>
    <t>Smith R.L.</t>
  </si>
  <si>
    <t>Coplanar waveguide feed for microstrip patch antennas</t>
  </si>
  <si>
    <t>10.1049/el:19921462</t>
  </si>
  <si>
    <t>2-s2.0-0027111028</t>
  </si>
  <si>
    <t>['¬© 1992', 'versatile module', 'rights reserved', 'resonating element', 'nonresonant slot', 'multipatch arrays', 'multilayer structure', 'feeding microstrips', 'electrical engineers', 'direct connection', 'different configurations', 'alternative configurations', 'active generation']</t>
  </si>
  <si>
    <t>Antennas | Microstrip | Oscillators</t>
  </si>
  <si>
    <t>A multilayer structure, based on a patch antenna coupled through a nonresonant slot to a pair of feeding microstrips is a versatile module which can be used as a radiating and resonating element in a number of different configurations. Direct connection to a low cost transistor in a feedback loop results in a very simple active antenna, as reported in the Letter. Different termination conditions at the four microstrip ports give rise to a number of alternative configurations for active generation/detection and multipatch arrays. ¬© 1992, The Institution of Electrical Engineers. All rights reserved.</t>
  </si>
  <si>
    <t>2277-2279</t>
  </si>
  <si>
    <t>100674781;100674781;100674781;100674781;100674781</t>
  </si>
  <si>
    <t>7004851623;7005998607;55798245300;56224684200;7004354936</t>
  </si>
  <si>
    <t>Avitabile, G. F.;Maci, S.;Biffi Gentili, G.;Roselli, L.;Manes, G. F.</t>
  </si>
  <si>
    <t>Florence</t>
  </si>
  <si>
    <t>Dipartimento di Ingegneria Elettronica</t>
  </si>
  <si>
    <t>Avitabile G.</t>
  </si>
  <si>
    <t>Two-port active coupled microstrip antenna</t>
  </si>
  <si>
    <t>10.1049/el:19921465</t>
  </si>
  <si>
    <t>2-s2.0-0027111046</t>
  </si>
  <si>
    <t>['¬© 1992', 'small size', 'rights reserved', 'reflector interface', 'logarithmic spiral', 'electrical engineers']</t>
  </si>
  <si>
    <t>Integrated optics | Optical waveguides</t>
  </si>
  <si>
    <t>A new bend configuration with curved corner reflector in the form of a logarithmic spiral is proposed. It is shown that this structure has a small size and very low bend loss for a large bending angle and small refractive index difference at the reflector interface. ¬© 1992, The Institution of Electrical Engineers. All rights reserved.</t>
  </si>
  <si>
    <t>2283-2285</t>
  </si>
  <si>
    <t>60028333;60028333;100327059</t>
  </si>
  <si>
    <t>7003692931;7402159467;6603613065</t>
  </si>
  <si>
    <t>Hatami-Hanza, H.;Chu, P. L.;Nayyer, J.</t>
  </si>
  <si>
    <t>Australia;Japan</t>
  </si>
  <si>
    <t>Sydney;Funabashi</t>
  </si>
  <si>
    <t>UNSW Sydney;Sumitomo Cement Co. Ltd.</t>
  </si>
  <si>
    <t>60028333;100327059</t>
  </si>
  <si>
    <t>Hatami-Hanza H.</t>
  </si>
  <si>
    <t>Low-loss optical waveguide-bend configuration with curved corner reflector</t>
  </si>
  <si>
    <t>10.1049/el:19921469</t>
  </si>
  <si>
    <t>2-s2.0-0027111066</t>
  </si>
  <si>
    <t>['¬© 1992', 'rights reserved', 'possible ).', 'measurements confirm', 'gps receiver', 'given analysis', 'factor 7', 'electrical engineers']</t>
  </si>
  <si>
    <t>Antennas | Radionavigation</t>
  </si>
  <si>
    <t>The effects of multipath when rotating the antenna of a GPS receiver are investigated. It is demonstrated that range errors decrease considerably (a factor 7 is possible). Measurements confirm the given analysis. ¬© 1992, The Institution of Electrical Engineers. All rights reserved.</t>
  </si>
  <si>
    <t>2286-2288</t>
  </si>
  <si>
    <t>6507757790;6506336551</t>
  </si>
  <si>
    <t>van den Brekel, B. J.H.;van Nee, D. J.R.</t>
  </si>
  <si>
    <t>van den Brekel B.</t>
  </si>
  <si>
    <t>GPS multipath mitigation by antenna movements</t>
  </si>
  <si>
    <t>10.1049/el:19921471</t>
  </si>
  <si>
    <t>2-s2.0-0027111088</t>
  </si>
  <si>
    <t>['¬© 1992', 'thin quarter', 'rights reserved', 'richmond method', 'radiation efficiency', 'numerical results', 'flat earth', 'electrical engineers']</t>
  </si>
  <si>
    <t>Antenna radiation patterns | Modelling</t>
  </si>
  <si>
    <t>Plots are presented of the radiation efficiency and directivity of a thin quarter-wave monopole element with a disc ground plane on flat Earth, as a function of the radius of the disc ground plane. Numerical results are from the Richmond method-of-moments program RICHMOND4. ¬© 1992, The Institution of Electrical Engineers. All rights reserved.</t>
  </si>
  <si>
    <t>2282-2283</t>
  </si>
  <si>
    <t>Weiner, M. M.</t>
  </si>
  <si>
    <t>Weiner M.</t>
  </si>
  <si>
    <t>Radiation efficiency and directivity of monopole elements with disc ground planes on flat earth</t>
  </si>
  <si>
    <t>10.1049/el:19921468</t>
  </si>
  <si>
    <t>2-s2.0-0027111096</t>
  </si>
  <si>
    <t>['wiley company', 'mutual coupling', 'inc .,', 'experimental results', 'excellent agreement', 'coupled elements']</t>
  </si>
  <si>
    <t>matched load | Microstrip | mutual coupling | series feeding</t>
  </si>
  <si>
    <t>Calculations and measurements of mutual coupling between two series‚Äêfed dipoles electromagnetically coupled transverse dipoles versus element spacing is presented. Calculations are based on an integral equation technique combined with a two‚Äêport model of the coupled elements. An excellent agreement between theoretical and experimental results is observed. Copyright ¬© 1992 Wiley Periodicals, Inc., A Wiley Company</t>
  </si>
  <si>
    <t>265-267</t>
  </si>
  <si>
    <t>60008134;60008134;60008134;60008134</t>
  </si>
  <si>
    <t>6506188281;7003348642;6701637532;22955400400</t>
  </si>
  <si>
    <t>Tessereau, S.;Floc'h, J. M.;Legay, H.;Citerne, J.</t>
  </si>
  <si>
    <t>CNRS Centre National de la Recherche Scientifique</t>
  </si>
  <si>
    <t>Tessereau S.</t>
  </si>
  <si>
    <t>Analysis and measurement of mutual coupling between two series‚Äêfed electromagnetically coupled transverse dipoles</t>
  </si>
  <si>
    <t>10.1002/mop.4650050607</t>
  </si>
  <si>
    <t>2-s2.0-0027112438</t>
  </si>
  <si>
    <t>257-259</t>
  </si>
  <si>
    <t>60000305;60026717;60026717;60000305</t>
  </si>
  <si>
    <t>7201417483;7006626132;24522606100;6603757979</t>
  </si>
  <si>
    <t>Richard, M. A.;Bhasin, K. B.;Lee, R. Q.;Claspy, P. C.</t>
  </si>
  <si>
    <t>Cleveland;Cleveland</t>
  </si>
  <si>
    <t>NASA Glenn Research Center;Case Western Reserve University</t>
  </si>
  <si>
    <t>60026717;60000305</t>
  </si>
  <si>
    <t>Performance of a k‚Äêband superconducting annular ring antenna</t>
  </si>
  <si>
    <t>10.1002/mop.4650050604</t>
  </si>
  <si>
    <t>2-s2.0-0027112444</t>
  </si>
  <si>
    <t>['wiley company', 'test cases', 'stationary condition', 'resonant frequency', 'optimization routine', 'numerical solutions', 'inc .,', 'experimental results', 'characteristic equation']</t>
  </si>
  <si>
    <t>full‚Äêwave analysis | Microstrip antennas | spectrum domain method | superstrate</t>
  </si>
  <si>
    <t>A computer code based on the full‚Äêwave analysis and the spectral domain approach was developed to predict the effect of superstates on the resonant frequency of rectangular microstrip antennas. The formulation is based on the method of moments using Galerkin technique with entire‚Äêdomain basis functions. The resonant frequency is calculated by using an optimization routine that searches for the stationary condition of the characteristic equation. Numerical solutions are obtained for some test cases and are verified by comparison with experimental results. Copyright ¬© 1992 Wiley Periodicals, Inc., A Wiley Company</t>
  </si>
  <si>
    <t>254-257</t>
  </si>
  <si>
    <t>7006080963;7401934487</t>
  </si>
  <si>
    <t>Ramahi, Omar M.;Lo, Y. T.</t>
  </si>
  <si>
    <t>Ramahi O.</t>
  </si>
  <si>
    <t>Superstrate effect on the resonant frequency of microstrip antennas</t>
  </si>
  <si>
    <t>10.1002/mop.4650050603</t>
  </si>
  <si>
    <t>2-s2.0-0027112445</t>
  </si>
  <si>
    <t>['wiley company', 'thin wires', 'letter discusses', 'inc .,', 'frequency domain', 'fourier transform']</t>
  </si>
  <si>
    <t>dielectric coatings | Finite‚Äêdifference time‚Äêdomain method | thin wires</t>
  </si>
  <si>
    <t>This Letter discusses the computation of the scattering and radiation by thin wires with a nondispersive dielectric coating using the finite‚Äêdifference time‚Äêdomain method. A Fourier transform is then performed on the time‚Äêdomain results to obtain the scattering and antenna radiation patterns in the frequency domain. Copyright ¬© 1992 Wiley Periodicals, Inc., A Wiley Company</t>
  </si>
  <si>
    <t>288-291</t>
  </si>
  <si>
    <t>6507050860;7004219095</t>
  </si>
  <si>
    <t>Boonzaaler, J. J.;Pistorius, C. W.I.</t>
  </si>
  <si>
    <t>Boonzaaler J.</t>
  </si>
  <si>
    <t>Radiation and scattering by thin wires with a dielectric coating‚Äîa finite‚Äêdifference time‚Äêdomain approach</t>
  </si>
  <si>
    <t>10.1002/mop.4650050614</t>
  </si>
  <si>
    <t>2-s2.0-0027112473</t>
  </si>
  <si>
    <t>['¬© 1992', 'waveguide array', 'verification measurements', 'two near', 'technique uses', 'rights reserved', 'electrical engineers', 'antenna geometry']</t>
  </si>
  <si>
    <t>Antenna measurements | Phase retrieval</t>
  </si>
  <si>
    <t>A phaseless cylindrical near-field/far-field transformation algorithm is described. The technique uses the measurement of two near-field intensity distributions and knowledge of the antenna geometry. Verification measurements are presented for a waveguide array. ¬© 1992, The Institution of Electrical Engineers. All rights reserved.</t>
  </si>
  <si>
    <t>2120-2122</t>
  </si>
  <si>
    <t>35390344800;6603451186;7403369332</t>
  </si>
  <si>
    <t>Tennant, A.;Junkin, G.;Anderson, A. P.</t>
  </si>
  <si>
    <t>Tennant A.</t>
  </si>
  <si>
    <t>Antenna far-field predictions from two phaseless cylindrical near-field measurements</t>
  </si>
  <si>
    <t>10.1049/el:19921361</t>
  </si>
  <si>
    <t>2-s2.0-0027112868</t>
  </si>
  <si>
    <t>['¬© 1992', 'rights reserved', 'qpsk .)', 'modem operating', 'electrical engineers', 'antenna diversity']</t>
  </si>
  <si>
    <t>Indoor radio systems | Radiocommunication</t>
  </si>
  <si>
    <t>The performance of an ideal quaternary PSK (QPSK.) modem operating on a 58 GHz indoor radio channel is evaluated. In addition, the performance improvement achievable with antenna diversity is indicated. These evaluations are based on measured multipath profiles obtained in eight indoor environments. The results are presented in terms of maximum achievable bit rate for a specified bit error rate requirement. ¬© 1992, The Institution of Electrical Engineers. All rights reserved.</t>
  </si>
  <si>
    <t>2152-2154</t>
  </si>
  <si>
    <t>16415286000;6508184836</t>
  </si>
  <si>
    <t>Smulders, P. F.M.;M√ºskens, H. T.</t>
  </si>
  <si>
    <t>Bit rate performance of millimetre-wave indoor radio systems</t>
  </si>
  <si>
    <t>10.1049/el:19921382</t>
  </si>
  <si>
    <t>2-s2.0-0027112911</t>
  </si>
  <si>
    <t>['¬© 1992', 'rights reserved', 'pulse transmission', 'frame rate', 'every annulus', 'electrical engineers', 'apply two']</t>
  </si>
  <si>
    <t>Annular arrays | Frame rate | Image processing | Two-way focusing | Ultrasonics</t>
  </si>
  <si>
    <t>It is shown by simulation and experiment that a very good lateral resolution in the ultrasonic annular array system can be obtained, without greatly sacrificing the frame rate, by using only a few annuli (one after another), instead of every annulus, for pulse transmission and by receiving the echo at all annuli to apply two-way continuous focusing. ¬© 1992, The Institution of Electrical Engineers. All rights reserved.</t>
  </si>
  <si>
    <t>2179-2180</t>
  </si>
  <si>
    <t>60032144;60032144;60032144</t>
  </si>
  <si>
    <t>55364774500;15036414400;7501833766</t>
  </si>
  <si>
    <t>Oh, J. T.;Park, J. C.;Park, S. B.</t>
  </si>
  <si>
    <t>Oh J.</t>
  </si>
  <si>
    <t>Continuous two-way focusing in ultrasonic annular array system without significant reduction in frame rate</t>
  </si>
  <si>
    <t>10.1049/el:19921398</t>
  </si>
  <si>
    <t>2-s2.0-0027112928</t>
  </si>
  <si>
    <t>['¬© 1992', 'upper plane', 'spiral arm', 'small number', 'rights reserved', 'radiation element', 'radiation characteristics', 'four spirals', 'fed without', 'electrical engineers', 'circular polarisation', 'circular aperture', 'balun circuit', '85 ghz']</t>
  </si>
  <si>
    <t>Spiral antennas</t>
  </si>
  <si>
    <t>A low-profile spiral antenna composed of a small number of turns is developed as a radiation element for circular polarisation. The spiral is fed without a balun circuit from a coplanar strip line located in the middle of two conducting planes. The upper plane has a circular aperture for the spiral to radiate. The spiral arm is optimised for 11.85 GHz. An array antenna consisting of four spirals is fabricated and the radiation characteristics are presented. ¬© 1992, The Institution of Electrical Engineers. All rights reserved.</t>
  </si>
  <si>
    <t>2130-2131</t>
  </si>
  <si>
    <t>60030526;60030526;60030526;60009551</t>
  </si>
  <si>
    <t>55633340100;6602986822;57220533028;7403255155</t>
  </si>
  <si>
    <t>Nakano, H.;Hirokawa, G.;Yamauchi, J.;Hirose, K.</t>
  </si>
  <si>
    <t>Spiral antenna with coplanar strip line feed</t>
  </si>
  <si>
    <t>10.1049/el:19921367</t>
  </si>
  <si>
    <t>2-s2.0-0027112933</t>
  </si>
  <si>
    <t>['¬© 1992', 'rights reserved', 'electrical engineers']</t>
  </si>
  <si>
    <t>Electromagnetic waves | Waveguides</t>
  </si>
  <si>
    <t>The concept of guiding waves using passive arrays as frequency dependent walls is outlined. A prototype waveguide structure with arrays of tripoles as inserts has been built and used to demonstrate the wave guiding phenomenon. ¬© 1992, The Institution of Electrical Engineers. All rights reserved.</t>
  </si>
  <si>
    <t>2122-2123</t>
  </si>
  <si>
    <t>7403386408;7003531756;35562114200</t>
  </si>
  <si>
    <t>Robinson, A. J.;Seager, R. D.;Vardaxoglou, J. C.</t>
  </si>
  <si>
    <t>Robinson A.J.</t>
  </si>
  <si>
    <t>Waveguide with resonant array inserts</t>
  </si>
  <si>
    <t>10.1049/el:19921362</t>
  </si>
  <si>
    <t>2-s2.0-0027112940</t>
  </si>
  <si>
    <t>['wiley company', 'waveguide walls', 'shown previously', 'rectangular waveguide', 'inc .,', 'electric field', 'current distribution', 'computed using']</t>
  </si>
  <si>
    <t>arrays | Edge slot | field distribution | rectangular waveguide | surface patch moment method computations</t>
  </si>
  <si>
    <t>A method‚Äêof‚Äêmoments surface patch formulation has been applied to examine edge slots in rectangular waveguide. The electric field in the aperture and the vicinity of the slot is computed using the solution for the current distribution on the waveguide walls. The results of such ‚Äúnumerical experimentation‚Äù are described in this article. The slot field distribution is shown to be near‚Äêcosinusoidal, with discontinuities at the corners of the waveguide which are more marked than has been shown previously. ¬© 1992 John Wiley &amp; Sons, Inc. Copyright ¬© 1992 Wiley Periodicals, Inc., A Wiley Company</t>
  </si>
  <si>
    <t>686-691</t>
  </si>
  <si>
    <t>34975061400;57203176700</t>
  </si>
  <si>
    <t>Jacobs, J. Pieter;McNamara, Derek A.</t>
  </si>
  <si>
    <t>Jacobs J.</t>
  </si>
  <si>
    <t>Theoretical evidence for the near‚Äêcosinusoidal electric field distribution of edge slots in rectangular waveguide</t>
  </si>
  <si>
    <t>10.1002/mop.4650051312</t>
  </si>
  <si>
    <t>2-s2.0-0027113080</t>
  </si>
  <si>
    <t>['wiley company', 'variational formulation', 'mutual impedance', 'inc .,']</t>
  </si>
  <si>
    <t>method of moments | Monopole | variational method</t>
  </si>
  <si>
    <t>A variational formulation of self‚Äêimpedance and mutual impedance of an electrically short vertical monopole above an infinite ground plane in a substrate is presented in this article. A comparison of self‚Äêimpedance with results from a mixed‚Äêpotential integral equation formulation and a comparison of mutual impedance with results from the method of moments are given. ¬© 1992 John Wiley &amp; Sons, Inc. Copyright ¬© 1992 Wiley Periodicals, Inc., A Wiley Company</t>
  </si>
  <si>
    <t>691-695</t>
  </si>
  <si>
    <t>Kwok, Sai Chong</t>
  </si>
  <si>
    <t>Kwok S.</t>
  </si>
  <si>
    <t>Analysis of a monopole in a substrate</t>
  </si>
  <si>
    <t>10.1002/mop.4650051313</t>
  </si>
  <si>
    <t>2-s2.0-0027113090</t>
  </si>
  <si>
    <t>['wiley company', 'inc .,', 'feeding structure', 'dipole arms', 'design details', 'bandwidth enhancement']</t>
  </si>
  <si>
    <t>Antenna | impedance bandwidth | microstrip dipole</t>
  </si>
  <si>
    <t>The design details of a new wideband half‚Äêwave microstrip dipole antenna, suitable for low‚Äêfrequency operation, having more than 5% 2:1 VSWR bandwidth, are presented. The bandwidth enhancement is achieved by proper end‚Äêloading of the dipole arms. The design includes stripline feeding mechanism to avoid unwanted radiation from the feeding structure. ¬© 1992 John Wiley &amp; Sons, Inc. Copyright ¬© 1992 Wiley Periodicals, Inc., A Wiley Company</t>
  </si>
  <si>
    <t>709-712</t>
  </si>
  <si>
    <t>7402866405;7004362848;7005956560;57218539158;56259735900</t>
  </si>
  <si>
    <t>Dey, Supriyo;Aanandan, C. K.;Jose, K. A.;Mohanan, P.;Nair, K. G.</t>
  </si>
  <si>
    <t>Dey S.</t>
  </si>
  <si>
    <t>Wideband microstrip dipole</t>
  </si>
  <si>
    <t>10.1002/mop.4650051317</t>
  </si>
  <si>
    <t>2-s2.0-0027113091</t>
  </si>
  <si>
    <t>['wiley company', 'tm11 mode', 'resonant resistance', 'resonant frequency', 'numerical results', 'input impedance', 'inc .,', 'impedance bandwidth', 'dielectric cover']</t>
  </si>
  <si>
    <t>dielectric cover | Microstrip antenna | spectral‚Äêdomain analysis</t>
  </si>
  <si>
    <t>A spectral‚Äêdomain analysis of a coaxially fed circular‚Äêdisk microstrip antenna with a dielectric cover is presented. Numerical results are given on input impedance, resonant frequency, and impedance bandwidth of the TM11 mode. It is found that the dielectric cover reduces the resonant frequency, decreases the resonant resistance, and increases the impedance bandwidth. ¬© 1992 John Wiley &amp; Sons, Inc. Copyright ¬© 1992 Wiley Periodicals, Inc., A Wiley Company</t>
  </si>
  <si>
    <t>701-704</t>
  </si>
  <si>
    <t>7402099663;7501503696</t>
  </si>
  <si>
    <t>Fan, Zhibo;Lee, Kal‚ÄêFong ‚ÄêF</t>
  </si>
  <si>
    <t>Input impedance of circular‚Äêdisk microstrip antennas with a dielectric cover</t>
  </si>
  <si>
    <t>10.1002/mop.4650051315</t>
  </si>
  <si>
    <t>2-s2.0-0027113093</t>
  </si>
  <si>
    <t>['¬© 1992', 'rights reserved', 'electrical engineers', 'assessed experimentally', 'allow colocation']</t>
  </si>
  <si>
    <t>Antennas | Frequency selective surfaces | Horn antennas</t>
  </si>
  <si>
    <t>A frequency selective horn prototype employing doublesquare array elements has been assessed experimentally. Results are shown which indicate that the concept will allow colocation of several high performance feed horns for integrated multiband operation. ¬© 1992, The Institution of Electrical Engineers. All rights reserved.</t>
  </si>
  <si>
    <t>1955-1956</t>
  </si>
  <si>
    <t>35562114200;7003531756;7403386408</t>
  </si>
  <si>
    <t>Vardaxoglou, J. C.;Seager, R. D.;Robinson, A. J.</t>
  </si>
  <si>
    <t>Vardaxoglou J.C.</t>
  </si>
  <si>
    <t>Realisation of frequency selective horn antenna incited from passive array</t>
  </si>
  <si>
    <t>10.1049/el:19921253</t>
  </si>
  <si>
    <t>2-s2.0-0027115383</t>
  </si>
  <si>
    <t>['¬© 1992', 'stacked three', 'scan angle', 'rights reserved', 'investigated experimentally', 'impedance bandwidth', 'high gain', 'experiments carried', 'electrical engineers', 'broadband aspects', '40 ¬∞', '20 db', '20 %,']</t>
  </si>
  <si>
    <t>Antenna arrays | Antennas | Microstrip antennas</t>
  </si>
  <si>
    <t>The broadband aspects of stacked three-layer electromagnetically coupled circular microstrip antenna arrays are investigated experimentally. Experiments carried out on 8- element linear microstrip antenna arrays, using optimised stacked three-layer circular microstrip antenna elements, configured in E- and H-planes, have exhibited an impedance bandwidth of 20%, with a high gain and a good pattern shape with sidelobe as well as crosspolarisation levels better than - 20 dB through a scan angle of 40¬∞ from the broadside. ¬© 1992, The Institution of Electrical Engineers. All rights reserved.</t>
  </si>
  <si>
    <t>1995-1997</t>
  </si>
  <si>
    <t>60072235;60014097</t>
  </si>
  <si>
    <t>6602103294;55574185943</t>
  </si>
  <si>
    <t>Revankar, U. K.;Kumar, A.</t>
  </si>
  <si>
    <t>Bengaluru;Bengaluru</t>
  </si>
  <si>
    <t>Electronics &amp; Radar Development Establishment India;Indian Institute of Science</t>
  </si>
  <si>
    <t>Revankar U.K.</t>
  </si>
  <si>
    <t>Broadband stacked three-layer circular microstrip antenna arrays</t>
  </si>
  <si>
    <t>10.1049/el:19921279</t>
  </si>
  <si>
    <t>2-s2.0-0027115428</t>
  </si>
  <si>
    <t>['¬© 1992', 'wide ramifications', 'theoretic formulations', 'rights reserved', 'revolution leading', 'phenomenon would', 'frequency domain', 'electrical engineers', 'detection problems', 'computer simulations', 'computational requirements', 'besides applications', 'antenna characteristics']</t>
  </si>
  <si>
    <t>Antennas | Wave propagation</t>
  </si>
  <si>
    <t>Computer simulations have shown a novel geodesic splitting on the paraboloid of revolution leading to a multiplicity of surface ray paths. Such a phenomenon would have wide ramifications for wave propagation problems in general, besides applications in target-detection problems and the computational requirements of ray-theoretic formulations such as the UTD, in computing the antenna characteristics in the high-frequency domain. ¬© 1992, The Institution of Electrical Engineers. All rights reserved.</t>
  </si>
  <si>
    <t>701-702</t>
  </si>
  <si>
    <t>7101680121;35449666300;6701695987</t>
  </si>
  <si>
    <t>Jha, R. M.;Edwards, D. J.;Sudhakar, V.</t>
  </si>
  <si>
    <t>Novel geodesic splitting on paraboloid of revolution with applications to ray-theoretic analysis</t>
  </si>
  <si>
    <t>10.1049/el:19920443</t>
  </si>
  <si>
    <t>2-s2.0-0027115657</t>
  </si>
  <si>
    <t>['¬© 1992', 'rights reserved', 'planar arrays', 'mcclellan transformation', 'makes use', 'electrical engineers', 'difference patterns']</t>
  </si>
  <si>
    <t>A technique for the synthesis of planar arrays with difference patterns, which makes use of a McClellan transformation, trigonometric addition formulas and linear array synthesis methods, is described. ¬© 1992, The Institution of Electrical Engineers. All rights reserved.</t>
  </si>
  <si>
    <t>753-754</t>
  </si>
  <si>
    <t>7003519884;57203176700</t>
  </si>
  <si>
    <t>Botha, E.;McNamara, D. A.</t>
  </si>
  <si>
    <t>Botha E.</t>
  </si>
  <si>
    <t>Direct synthesis of near-optimum difference patterns for planar arrays</t>
  </si>
  <si>
    <t>10.1049/el:19920476</t>
  </si>
  <si>
    <t>2-s2.0-0027115719</t>
  </si>
  <si>
    <t>['¬© 1992', 'thinned arrays', 'rights reserved', 'processing correlator', 'processed collectively', 'local signals', 'electrical engineers', 'different frequency', 'correlation processor', 'conceptual design', 'antenna signal']</t>
  </si>
  <si>
    <t>Antenna arrays | Interferometry | Radiometers | Remote sensing</t>
  </si>
  <si>
    <t>A correlation processor is proposed for interferometric microwave radiometers of thinned arrays. In this system, each antenna signal is frequency-shifted by local signals of different frequency. These signals are gathered and processed collectively to generate correlation signals between all pairs of antennas. A conceptual design of the collective-processing correlator for a six-antenna thinned array is shown. ¬© 1992, The Institution of Electrical Engineers. All rights reserved.</t>
  </si>
  <si>
    <t>779-781</t>
  </si>
  <si>
    <t>60024621;60024621;60024621</t>
  </si>
  <si>
    <t>7101888809;55473605800;54679741100</t>
  </si>
  <si>
    <t>Komiyama, K.;Kato, Y.;Iwasaki, T.</t>
  </si>
  <si>
    <t>Komiyama K.</t>
  </si>
  <si>
    <t>Collective-processing correlator system for imaging radiometer of thinned arrays</t>
  </si>
  <si>
    <t>10.1049/el:19920492</t>
  </si>
  <si>
    <t>2-s2.0-0027115721</t>
  </si>
  <si>
    <t>['¬© 1992', 'simulation results', 'scattering algorithm', 'rights reserved', 'new 3', 'model differs', 'electrical engineers']</t>
  </si>
  <si>
    <t>Modelling | Transmission lines</t>
  </si>
  <si>
    <t>A new 3-D graded TLM model for thin radiating wires is presented. The model differs from previous TLM models because the wire is modelled at the interfaces between cells, rather than through the centre of the node. The connection between the TLM symmetrical condensed-node link lines and the wire line forms a ‚Äòwire interface‚Äô. The scattering algorithm for the interface and simulation results are given. ¬© 1992, The Institution of Electrical Engineers. All rights reserved.</t>
  </si>
  <si>
    <t>728-729</t>
  </si>
  <si>
    <t>100362989;100362989</t>
  </si>
  <si>
    <t>36818445100;7201908627</t>
  </si>
  <si>
    <t>Wlodarczyk, A. J.;Johns, D. P.</t>
  </si>
  <si>
    <t>Kimberley Communications Consultants</t>
  </si>
  <si>
    <t>Wlodarczyk A.</t>
  </si>
  <si>
    <t>New wire interface for graded 3-D TLM</t>
  </si>
  <si>
    <t>10.1049/el:19920461</t>
  </si>
  <si>
    <t>2-s2.0-0027115733</t>
  </si>
  <si>
    <t>Academy of Finland</t>
  </si>
  <si>
    <t>JT9i14673</t>
  </si>
  <si>
    <t>NST</t>
  </si>
  <si>
    <t>['present type', 'numerical methods', 'mode conversion', 'magnetosonic wave', 'low values', 'loop antennae', 'faraday shield', 'conversion due', 'antenna radiating']</t>
  </si>
  <si>
    <t>Mode conversion of the magnetosonic wave to short wavelength modes in the edge plasma near the fast wave antenna is studied for ion cyclotron heating on Tokamaks. Analytical and numerical methods are developed to calculate the conversion due to a lower hybrid resonance and a fast wave polarization gradient for strongly inhomogeneous edge conditions. The results for an antenna radiating at high poloidal wavenumbers show that for low values of the toroidal refractive index a nearly complete conversion into the ion Bernstein mode occurs, provided the plasma density near the Faraday shield is at most of the order of the density at the lower hybrid resonance. For the present type of loop antennae the feeders effectively suppress radiation at high poloidal wavenumbers and the parasitic coupling remains low.</t>
  </si>
  <si>
    <t>957-976</t>
  </si>
  <si>
    <t>7005549464;7102290215</t>
  </si>
  <si>
    <t>Alava, M. J.;Heikkinen, J. A.</t>
  </si>
  <si>
    <t>Alava M.</t>
  </si>
  <si>
    <t>Mode conversion in the vicinity of a fast wave antenna in ICRF-heating</t>
  </si>
  <si>
    <t>074133359290095N</t>
  </si>
  <si>
    <t>10.1088/0741-3335/34/6/006</t>
  </si>
  <si>
    <t>2-s2.0-0039160493</t>
  </si>
  <si>
    <t>['verschiedenen kulturen', 'tropical bushes', 'stammt der', 'results allow', 'related species', 'potential defoliator', 'openings close', 'male systems', 'male moths', 'gland products', 'genital porus', 'fact pheromones', 'eversible hairbrush', 'biological control', 'america became']</t>
  </si>
  <si>
    <t>Tropical bushes (Chromolaena [Eupatorium] odoriferum) from America became a pest in old world cultures. Biological control of this plant was attempted by introducing the arctiid moth Pareuchaetes pseudoinsulata from its natural home area as a potential defoliator. We studied the female and male systems of putative pheromone glands of this moth. The females possess inner tubular glands with openings close to their genital porus. These glands contain hydrocarbons known as pheromones in related species. Only male antennae respond electrophysiologically to the odor of these glands. Male moths have a ventral, eversible hairbrush at the 7/8th abdominal intersegmental membrane. This brush contains small amounts of hydroxydanaidal, known as a male sex‚Äê and/or assembly‚Äêpheromone in other Lepidoptera. Antennae of both sexes respond strongly to this substance. Although no behavior experiments could be performed, our results allow the interpretation that these gland products are in fact pheromones. M√§nnchen‚Äê und Weibchenpheromone und deren Dr√ºsen bei dem als Unkrautvernichter eingesetzten Falter Pareuchaetes pseudoinsulata (Lep., Arctiidae) Mit seiner zirkumtropischen Ausbreitung wurde der mittelamerikanische Busch Chromolaena (Eupatorium) odorata (Asteraceae) zu einem der wichtigsten Schadfaktoren in verschiedenen Kulturen. Eine biologische Kontrolle dieses Busches wurde unter anderem durch den gleichfalls aus Mittelamerika stammenden B√§renspinner Pareuchaetes pseudoinsulata versucht. Da der gew√ºnschte Umfang des Befalls der B√ºsche durch das Insekt schwierig zu bestimmen ist, haben wir dessen vermutete Pheromone isoliert, um eine √úberwachung (Monitoring) im Feld zu erleichtern. Die Weibchen besitzen die bei dieser Falterfamilie √ºblichen inneren, r√∂hrenf√∂rmigen Dr√ºsenschl√§uche, welche mehrere geradkettige Kohlenwasserstoffe enthalten, die von verwandten Arten als Pheromone bekannt sind. Die M√§nnchen haben eine ventrale B√ºscheldr√ºse, die aus der 7/8‚ÄêAbdominalfalte aufgef√§chert werden kann. Aus den ca. 400 Duftschuppen des Organs isolierten wir etwa 10 Œºg des Dihydropyrrolizins Hydroxydanaidal. Diese Verbindung ist als M√§nnchenpheromon anderer Arctii‚Äêden und Danainen (Lepidoptera, Nymphalidae) bekannt und wird in allen genauer untersuchten F√§llen aus pflanzlichen Vorstufen (Pyrrolizidin‚ÄêAlkaloiden) aufgebaut. Da auch Chromolaena als Raupenfutter von Pareuchaetes diese Alkaloide enth√§lt, stammt der m√§nnliche Duftstoff vermutlich aus dieser Quelle. Der Beweis f√ºr die Pheromon‚ÄêNatur der Dr√ºsenprodukte beider Faltergeschlechter durch Verhaltensversuche steht noch aus, doch sprechen neben deren chemischer Natur der Duft‚Äêstoffe unsere elektrophysiologischen Experimente (Elektroantennogramm‚ÄêMessungen) daf√ºr, da√ü es sich um Pheromone handelt. 1992 Blackwell Verlag GmbH</t>
  </si>
  <si>
    <t>280-294</t>
  </si>
  <si>
    <t>Journal of Applied Entomology</t>
  </si>
  <si>
    <t>January/December 1992</t>
  </si>
  <si>
    <t>60005460;60005460;60005460;60005460</t>
  </si>
  <si>
    <t>7402111035;7201851300;6602370119;57195040521</t>
  </si>
  <si>
    <t>Schneider, D.;Schulz, S.;Kittmann, R.;Kanagaratnam, P.</t>
  </si>
  <si>
    <t>Schneider D.</t>
  </si>
  <si>
    <t>Pheromones and glandular structures of both sexes of the weed‚Äêdefoliator moth Pareuchaetes pseudoinsulata Rego Barros (Lep., Arctiidae)</t>
  </si>
  <si>
    <t>10.1111/j.1439-0418.1992.tb00666.x</t>
  </si>
  <si>
    <t>2-s2.0-0039278176</t>
  </si>
  <si>
    <t>['¬© 1992', 'theory takes', 'six orders', 'recent claims', 'mechanical treatment', 'mechanical enhancement', 'mechanial derivation', 'mass elements', 'crystalline structure', 'cross section', 'collective behavior', 'classical result']</t>
  </si>
  <si>
    <t>A quantum-mechanical treatment of a bar gravitational antenna is presented. The theory takes into account the crystalline structure of the bar and collective behavior of its mass elements. The low-frequency and high-frequency (Debye) modes of oscillations are considered. It is shown that the quantum-mechanial derivation of the absorption cross section of the gravitational antenna agrees totally with the classical result. The recent claims of a significant (six orders of magnitude) quantum-mechanical enhancement of the cross section are shown to be incorrect. ¬© 1992 The American Physical Society.</t>
  </si>
  <si>
    <t>2601-2608</t>
  </si>
  <si>
    <t>60000221-60007457</t>
  </si>
  <si>
    <t>Grishchuk, Leonid P.</t>
  </si>
  <si>
    <t>Russian Federation;United States</t>
  </si>
  <si>
    <t>Moscow;Boulder</t>
  </si>
  <si>
    <t>Lomonosov Moscow State University;University of Colorado Boulder</t>
  </si>
  <si>
    <t>60007457;60000221</t>
  </si>
  <si>
    <t>Grishchuk L.P.</t>
  </si>
  <si>
    <t>Quantum mechanics of a solid-state bar gravitational antenna</t>
  </si>
  <si>
    <t>10.1103/PhysRevD.45.2601</t>
  </si>
  <si>
    <t>2-s2.0-0039576954</t>
  </si>
  <si>
    <t>['¬© 1992', 'weak forces', 'wave detectors', 'wave antennas', 'thus improving', 'test mass', 'quantitative agreement', 'quadrature phases', 'measurement technique', 'measured back', 'fluctuating back', 'bar gravitational', 'bae technique', 'bae measurement', 'also demonstrated', 'action force', 'action evasion']</t>
  </si>
  <si>
    <t>A generalization of the back-action evasion (BAE) measurement technique, which we call multipump back-action evasion, has been demonstrated with a parametric electromechanical transducer similar to ones which are used on resonant-bar gravitational-wave detectors. The benefit of a BAE measurement is that the fluctuating back-action force of the transducer readout circuit acting on a test mass is squeezed, i.e., reduced in one of the quadrature phases of the test mass, thus improving the sensitivity for the detection of weak forces. The multipump BAE technique affords even greater noise squeezing than the BAE technique. Measured back-action noise squeezing factors are in quantitative agreement with the predictions of the model of a multipump BAE measurement. Using this system we have also demonstrated a quasistroboscopic position measurement when the number of pumps becomes large. The multipump BAE technique may be used to further improve the sensitivity of resonant-bar gravitational-wave antennas. ¬© 1992 The American Physical Society.</t>
  </si>
  <si>
    <t>1869-1877</t>
  </si>
  <si>
    <t>60027165;60027165;60021660</t>
  </si>
  <si>
    <t>22962695600;7004544285;7003989227</t>
  </si>
  <si>
    <t>Marchese, Linda E.;Bocko, Mark F.;Onofrio, Roberto</t>
  </si>
  <si>
    <t>Rochester;Rome</t>
  </si>
  <si>
    <t>University of Rochester;Istituto Nazionale di Fisica Nucleare - INFN</t>
  </si>
  <si>
    <t>60027165;60021660</t>
  </si>
  <si>
    <t>Marchese L.E.</t>
  </si>
  <si>
    <t>Multipump and quasistroboscopic back-action evasion measurements for resonant-bar gravitational-wave antennas</t>
  </si>
  <si>
    <t>10.1103/PhysRevD.45.1869</t>
  </si>
  <si>
    <t>2-s2.0-0040299430</t>
  </si>
  <si>
    <t>['velocities centred', 'small source', 'size 0', 'second may', 'radio nucleus', 'observations show', 'ngc 5793', 'moving away', 'minor axis', 'gas flow', 'four stations', 'first two', 'first time', 'extended parallel', 'effective beamwidth', 'continuum centre', 'cm wavelength', 'absorption associated', '45 kms', '3590 km', '3560 kms', '3560 km', '04 arcsec', '030 arcsec', '016 arcsec']</t>
  </si>
  <si>
    <t>Galaxies: individual: NGC 5793 | Galaxies: interstellar matter | Radio lines: atomic | Techniques: interferometric</t>
  </si>
  <si>
    <t>H i absorption associated with NGC 5793 has been observed with four stations of the European VLBI network. The maximum antenna spacing of about 2000 km yielded an effective beamwidth of 0.030 arcsec. The observations show for the first time that, at 21-cm wavelength, the radio nucleus of NGC 5793 consists of a small source, of size 0.016 arcsec, which is extended parallel to the minor axis of the galaxy (i.e. at position angle 60¬∞). The HI absorption ranges in heliocentric radial velocity from 3420 to 3590 km s-1. It contains three components with velocities centred on 3475, 3520 and 3560 kms-1. The first two are associated with H I clouds located directly in front of the nucleus; the first cloud may be some distance from the nucleus and moving away from it at a velocity of 45 kms-1, while the second may be near the nucleus. The component at 3560 km s-1 is displaced about 0.04 arcsec to the southwest of the continuum centre. It may be associated with a gas flow out of the plane of the galaxy.</t>
  </si>
  <si>
    <t>Monthly Notices of the Royal Astronomical Society</t>
  </si>
  <si>
    <t>60005920;60005920;60005920;60024185</t>
  </si>
  <si>
    <t>17137016100;7003493354;7201604900;7102763138</t>
  </si>
  <si>
    <t>Gardner, F. F.;Whiteoak, J. B.;Norris, R. P.;Diamond, P. J.</t>
  </si>
  <si>
    <t>United States;Australia</t>
  </si>
  <si>
    <t>Charlottesville;Sydney</t>
  </si>
  <si>
    <t>National Radio Astronomy Observatory;Australia Telescope National Facility</t>
  </si>
  <si>
    <t>60024185;60005920</t>
  </si>
  <si>
    <t>Gardner F.</t>
  </si>
  <si>
    <t>VLBI observations of H I absorption in the highly luminous galaxy NGC 5793</t>
  </si>
  <si>
    <t>10.1093/mnras/258.2.296</t>
  </si>
  <si>
    <t>2-s2.0-0040792922</t>
  </si>
  <si>
    <t>['various receivers', 'two stages', 'thus maximization', 'signal arraying', 'proposed configuration', 'problem arises', 'phase components', 'paper presents', 'nonlinear combining', 'modulated signal', 'locked loops', 'efficiently performed', 'different receivers', 'data detection', 'coupled phase', 'combiner output', 'carrier arraying']</t>
  </si>
  <si>
    <t>This paper presents a novel multireceiver configuration for the purpose of carrier arraying and/or signal arraying. Such a problem arises for example, in NASA Deep Space Network where the same data-modulated signal from a spacecraft is received by a number of geographically separated antennas and the data detection must be efficiently performed on the basis of the various received signals. The proposed configuration is arrived at by formulating the carrier and/or signal arraying problem as an optimal estimation problem and consists of two stages. The first stage optimally estimates various phase processes received at different receivers with coupled phase-locked loops (PLL) wherein the individual PLL‚Äôs acquire and track their respective receivers‚Äô phase processes but are aided by each other in an optimal manner via low frequency error signals. The coupled PLL estimator is followed by a linear or nonlinear combining of the quadrature-phase components of the mixers from various receivers for the purpose of data detection. The proposed configuration results in the minimization of the effective radio loss at the combiner output and thus maximization of energy per bit to noise power spectral density ratio is achieved. The paper also presents a novel adaptive algorithm for the estimator of the signal model parameters when these are not known a priori. Essentially these parameters are the various noise covariance matrices and the received signals‚Äô amplitudes. ¬© 1992 IEEE</t>
  </si>
  <si>
    <t>1767-1780</t>
  </si>
  <si>
    <t>Kumar, Rajendra</t>
  </si>
  <si>
    <t>Novel Multireceiver Communication Systems Configurations Based on Optimal Estimation Theory</t>
  </si>
  <si>
    <t>10.1109/26.179940</t>
  </si>
  <si>
    <t>2-s2.0-0041098130</t>
  </si>
  <si>
    <t>Caltech</t>
  </si>
  <si>
    <t>['¬© 1992', 'two models', 'total costs', 'total cost', 'three projects', 'paper focuses', 'paper develops', 'noise temperature', 'neptune ),', 'model b', 'mariner jupiter', 'independent projects', 'dsn support', 'costs required', 'cost model', 'back tested', 'antenna gain', 'also applied', 'actual costs']</t>
  </si>
  <si>
    <t>This paper develops a cost model to do long range planning cost estimates for Deep Space Network (DSN) support of future space missions. The model is a function of eight major mission cost drivers such as uplink frequency upgrade (U/L), telemetry upgrade (TEL) and antenna gain/noise temperature (G/T) upgrade. This paper focuses on the costs required to modify and/or enhance the DSN to prepare for supporting future space missions. Two models are derived from actual cost data from three space missions: Voyager (Uranus), Voyager (Neptune), and Magellan. Model A allows you to estimate the total cost, and Model B allows you to estimate the time profile cost and total cost for DSN support of a similar future space mission. The models were back tested against the total cost and the time profile cost for DSN support of three projects, Voyager (U), Voyager (N) and Magellan, and gave cost estimates which range from 17% below to 19% above actual costs for Model A, and 22.5% below to 17.5% above for Model B. The total cost Model A was also applied to estimate the total costs for DSN support of two other independent projects: Mariner Jupiter/Satum (MJS - later became Voyager), and Viking. This model gave total cost estimates for DSN support which range from 15% to 4% above actual total costs for MJS and Viking, respectively. ¬© 1992.</t>
  </si>
  <si>
    <t>193-202</t>
  </si>
  <si>
    <t>International Journal of Production Economics</t>
  </si>
  <si>
    <t>60009037-60000812;60000497;60009037</t>
  </si>
  <si>
    <t>7003866186;57213655002;7005512727</t>
  </si>
  <si>
    <t>Remer, Donald S.;Sherif, Josef S.;Buchanan, Harry R.</t>
  </si>
  <si>
    <t>Pasadena;Claremont;Fullerton</t>
  </si>
  <si>
    <t>Jet Propulsion Laboratory;Harvey Mudd College;California State University, Fullerton</t>
  </si>
  <si>
    <t>60009037;60000812;60000497</t>
  </si>
  <si>
    <t>Remer D.</t>
  </si>
  <si>
    <t>Modeling the deep space network costs for future space missions by using major cost drivers</t>
  </si>
  <si>
    <t>10.1016/0925-5273(92)90031-2</t>
  </si>
  <si>
    <t>2-s2.0-0041113040</t>
  </si>
  <si>
    <t>['vortex circulation', 'thickness ratio', 'sheath scaling', 'sheath properties', 'sheath length', 'potential gradients', 'plasma interaction', 'oscillating voltages', 'nested cells', 'nearly perpendicular', 'mainly along', 'main goal', 'magnetic lines', 'larger inclinations', 'large inclination', 'ion transport', 'ion motion', 'high length', 'flow decouples', 'dimensional case', 'critical angle', 'adjacent bars']</t>
  </si>
  <si>
    <t>The results from two-dimensional particle simulations of sheath formation around periodic metal arrays placed inside magnetized plasmas and driven by oscillating voltages are reported. The main goal is the modeling of the plasma interaction with the Faraday bars surrounding the antennas during ion cyclotron tokamak heating. The study of the time-averaged potentials shows that the two-dimensional sheath structure depends on both the sheath length-to-thickness ratio and the inclination of the magnetic lines. The equipotential surfaces form closed, nested cells between adjacent bars. When the magnetic lines are nearly perpendicular to the potential gradients, the ion motion is dominated by the E√óB drift, and ion streamlines form vortices around the equipotentials. At larger inclinations of the magnetic lines, the flow decouples from the equipotentials and ion transport is mainly along the potential gradients. The critical angle for the transition from vortex circulation to field aligned flow is computed. The effects of the cross-field ion transport on the sheath properties are discussed. It is shown that the sheath length and the magnetic line inclination affect the sheath scaling in the two-dimensional case. The one-dimensional theory results are recovered in the limit of high length-to-thickness ratio and large inclination of the magnetic lines. ¬© 1992 American Institute of Physics.</t>
  </si>
  <si>
    <t>3261-3270</t>
  </si>
  <si>
    <t>60015916;60015916;60015916;60015916</t>
  </si>
  <si>
    <t>7006662061;7007054874;7003789502;55851032400</t>
  </si>
  <si>
    <t>Riyopoulos, S.;Grossmann, W.;Drobot, A.;Kress, M.</t>
  </si>
  <si>
    <t>SAIC</t>
  </si>
  <si>
    <t>Riyopoulos S.</t>
  </si>
  <si>
    <t>Simulations of rf-driven sheath formation in two dimensions</t>
  </si>
  <si>
    <t>10.1063/1.860381</t>
  </si>
  <si>
    <t>2-s2.0-0041666885</t>
  </si>
  <si>
    <t>['transverse electromagnetic', 'tem horn', 'pulsed source', 'mode excited', 'measured using', 'mapping technique', 'main beam', 'hpm source', 'feed horn', 'cross section']</t>
  </si>
  <si>
    <t>In this paper, the intensity of the transient field radiated from a high power microwave (HPM) pulsed source is measured using an infrared (lR) mapping technique. The electromagnetic (EM) waveguide mode generated in the interior source region of the HPM source is determined. The transverse electromagnetic (TEM) mode excited in the antenna feed structure is mapped in the cross section of the feed horn. The radiated EM field exterior to the HPM source in the main beam of the TEM horn is mapped to determine the near and far field structure of the HPM source. ¬© 1992 IEEE</t>
  </si>
  <si>
    <t>1912-1920</t>
  </si>
  <si>
    <t>IEEE Transactions on Nuclear Science</t>
  </si>
  <si>
    <t>60000221;60000221;60015710;60015710</t>
  </si>
  <si>
    <t>7003593918;7006081196;56220047700;57204194348</t>
  </si>
  <si>
    <t>Norgard, John D.;Sega, Ronald M.;Harrison, Michael G.;Pohle, Hugh H.</t>
  </si>
  <si>
    <t>Kirtland;Boulder</t>
  </si>
  <si>
    <t>Kirtland Air Force Base;University of Colorado Boulder</t>
  </si>
  <si>
    <t>60015710;60000221</t>
  </si>
  <si>
    <t>Norgard J.D.</t>
  </si>
  <si>
    <t>Infrared Mapping of Transient Electromagnetic Fields Radiated by High Power Microwave Pulsed Sources</t>
  </si>
  <si>
    <t>10.1109/23.211386</t>
  </si>
  <si>
    <t>2-s2.0-0042415045</t>
  </si>
  <si>
    <t>['using large', 'steerable sub', 'producing directional', 'free space', 'effective method', 'antenna arrays']</t>
  </si>
  <si>
    <t>We describe a novel optoelectronic technique to generate and detect THz electromagnetic waves by using large-aperture planar photoconductive antennas and antenna arrays. This approach is an effective method of producing directional and steerable sub-millimeter wave pulses in free space. ¬© 1992 VSP.</t>
  </si>
  <si>
    <t>85-106</t>
  </si>
  <si>
    <t>60030162-60011460;60030162-60025038</t>
  </si>
  <si>
    <t>7410280543;7003905455</t>
  </si>
  <si>
    <t>Zhang, X. C.;Auston, D. H.</t>
  </si>
  <si>
    <t>New York;Berkeley;Providence</t>
  </si>
  <si>
    <t>Columbia University;University of California, Berkeley;Brown University</t>
  </si>
  <si>
    <t>60030162;60025038;60011460</t>
  </si>
  <si>
    <t>Zhang X.</t>
  </si>
  <si>
    <t>Optically induced THz electromagnetic radiation from planar photoconducting structures</t>
  </si>
  <si>
    <t>10.1163/156939392X00157</t>
  </si>
  <si>
    <t>2-s2.0-0141538787</t>
  </si>
  <si>
    <t>['¬© 1992', 'thermoacoustic oscillations', 'superfluid transition', 'possible interpretations', 'noise level', 'likely due', 'helium boil', 'dramatic drop']</t>
  </si>
  <si>
    <t>gravity wave antennas | noise | superfluid helium</t>
  </si>
  <si>
    <t>The Explorer gravitational wave detector is cooled by a very large superfluid helium bath (1000-2000 I). It exhibits a dramatic drop in noise level, reaching the expected Brownian level, when the liquid helium bath is cooled through the superfluid transition. This is most likely due to the suppression of extra noise related to helium boil-off and thermoacoustic oscillations. This behaviour has been monitored, with the detector gathering data while being cooled. The data and some possible interpretations are reported. ¬© 1992.</t>
  </si>
  <si>
    <t>668-670</t>
  </si>
  <si>
    <t>Cryogenics</t>
  </si>
  <si>
    <t>60021660;60027509;60021199;60027509;60032350;60032350;60010146;60027509;60032350;60032350;60032350;60032350;60021199</t>
  </si>
  <si>
    <t>8728100700;7004985710;7004641893;7005568912;56236475400;25649375000;7003816910;7003738313;7004243218;7003386560;7003636273;7103269533;6603743635</t>
  </si>
  <si>
    <t>Astone, P.;Bassan, M.;Bonifazi, P.;Coccia, E.;Cosmelli, C.;Frasca, S.;Majorana, E.;Modena, I.;Pallottino, G. V.;Pizzella, G.;Rapagnani, P.;Ricci, F.;Visco, M.</t>
  </si>
  <si>
    <t>Italy;Italy;Italy;Italy;Italy</t>
  </si>
  <si>
    <t>Rome;Rome;Rome;Rome;Catania</t>
  </si>
  <si>
    <t>Sapienza Universit√† di Roma;Universit√† degli Studi di Roma "Tor Vergata";Istituto Nazionale di Fisica Nucleare - INFN;Consiglio Nazionale delle Ricerche;Universit√† degli Studi di Catania</t>
  </si>
  <si>
    <t>60032350;60027509;60021660;60021199;60010146</t>
  </si>
  <si>
    <t>Astone P.</t>
  </si>
  <si>
    <t>Noise behaviour of the Explorer gravitational wave antenna during Œª transition to the superfluid phase</t>
  </si>
  <si>
    <t>001122759290300Y</t>
  </si>
  <si>
    <t>10.1016/0011-2275(92)90300-Y</t>
  </si>
  <si>
    <t>2-s2.0-0142054311</t>
  </si>
  <si>
    <t>['value given', 'plasma frequency', 'numerical study', 'easiest measurement', 'drift velocity', 'doppler effect', 'also compared']</t>
  </si>
  <si>
    <t>The experimental and numerical study of the radiation pattern around a point source antenna immersed in a hot drifting magnetoplasma (the so-called resonance cones) at frequencies lying inside the upper branch shows that the electron drift velocity can be detected through the determination of the cone angles shifted downstream by the Doppler effect. The easiest measurement is performed at the plasma frequency. The drift velocity is also compared to the value given by the electron saturation current of a rotatable plane Langmuir probe. ¬© 1992 American Institute of Physics.</t>
  </si>
  <si>
    <t>2661-2664</t>
  </si>
  <si>
    <t>60012345;60012345;60012345</t>
  </si>
  <si>
    <t>6701364643;56212975600;7005587335</t>
  </si>
  <si>
    <t>Pierre, Th;Rohde, V.;Piel, A.</t>
  </si>
  <si>
    <t>Kiel</t>
  </si>
  <si>
    <t>Christian-Albrechts-Universit√§t zu Kiel</t>
  </si>
  <si>
    <t>Pierre T.</t>
  </si>
  <si>
    <t>Experimental and numerical study of the plasma drift effect on upper-hybrid resonance cones</t>
  </si>
  <si>
    <t>10.1063/1.860184</t>
  </si>
  <si>
    <t>2-s2.0-0343119373</t>
  </si>
  <si>
    <t>['¬© 1992', 'ysz substrates', 'ybacuo bolometer', 'lasrcuo films', 'ir range', 'chopping frequency', 'bolometric characteristics', '12 whz', '10 khz', '10 hz', '1 2']</t>
  </si>
  <si>
    <t>Bolometric characteristics of YBaCuO and LaSrCuO films on SrTiO3 and YSZ substrates have been studied. A YBaCuO bolometer has the detectivity D* = 4¬∑108 W-1Hz 1 2cm at a chopping frequency of 10 Hz over the IR range, for an antenna-type YBaCuO microbolometer operating over the submillimeter range NEP = 6¬∑10-12 WHz- 1 2 has been reached at a chopping frequency of 10 kHz. ¬© 1992.</t>
  </si>
  <si>
    <t>533-536</t>
  </si>
  <si>
    <t>SUPPL. 1</t>
  </si>
  <si>
    <t>60068678;60068678;60068678;60068678;60011774;60011774;60068673</t>
  </si>
  <si>
    <t>7003836787;24325658900;57225414030;7102706120;7202593403;57191728715;56480986200</t>
  </si>
  <si>
    <t>Khrebtov, I. A.;Krayuhin, M. B.;Leonov, V. N.;Tkachenko, A. D.;Klimov, A. Yu;Pavelyev, D. G.;Ivanov, A. A.</t>
  </si>
  <si>
    <t>Russian Federation;Russian Federation;Russian Federation</t>
  </si>
  <si>
    <t>Saint Petersburg (ex Leningrad);Moscow;Nizhny Novgorod</t>
  </si>
  <si>
    <t>S.I. Vavilov State Optical Institute;National Research Nuclear University MEPhI;Institute of Applied Physics of the Russian Academy of Sciences</t>
  </si>
  <si>
    <t>60068678;60068673;60011774</t>
  </si>
  <si>
    <t>Khrebtov I.A.</t>
  </si>
  <si>
    <t>Bolometric characteristics of YBaCuO and LaSrCuO films</t>
  </si>
  <si>
    <t>001122759290223W</t>
  </si>
  <si>
    <t>10.1016/0011-2275(92)90223-W</t>
  </si>
  <si>
    <t>2-s2.0-0345114405</t>
  </si>
  <si>
    <t>['‚ äô', 'young stars', 'well fitted', 'three groups', 'tauri stars', 'systems may', 'stellar surface', 'stellar luminosity', 'stars leads', 'spectroscopic properties', 'six stars', 'significant fraction', 'sequence lifetime', 'range 15', 'range 12', 'range 0', 'radii 3', 'quantities derived', 'physical processes', 'optically thin', 'observed near', 'modest excesses', 'mass stars', 'mass star', 'mass comprising', 'mass analogs', 'many cases', 'lower limits', 'layer emission', 'large infrared', 'lack disks', 'intermediate mass', 'inner regions', 'infrared photometry', 'higher mass', 'herbig ae', 'geometrically flat', 'free emission', 'extant optical', 'excesses characterized', 'excess emission', 'evolutionary precursors', 'energy input', 'distinctive inflections', 'determine infall', 'derived rates', 'antenna beam', 'accretion rates', 'accretion luminosities', 'accretion disks', '2 œºm']</t>
  </si>
  <si>
    <t>Accretion, accretion disks | Circumstellar matter | Stars: emission-line, Be | Stars: pre-main-sequence</t>
  </si>
  <si>
    <t>The hypothesis that Herbig Ae/Be stars are young stars of intermediate mass (1.5 &lt; M*/M‚äô &lt; 10) surrounded by circumstellar accretion disks is examined. Analysis of the spectral energy distributions for 47 cataloged Herbig Ae/Be stars leads to their classification into three groups. Group I includes 30 stars with large infrared (IR) excesses characterized by spectral slopes ŒªFŒª ‚àº Œª-4/3. Infrared spectral energy distributions (Œª ‚â≥ 2.2 Œºm) for these objects can be well fitted by assuming that excess emission above photospheric levels arises in a geometrically flat, optically thick circumstellar accretion disk. The inner regions of these accretion disks (from the stellar surface to a distance of several stellar radii) must be optically thin in order to account for distinctive inflections in their observed near-infrared (1.2 Œºm ‚â≤ Œª. ‚â≤ 2.2 Œºm) spectral energy distributions. Group II includes 11 objects with flat or rising infrared spectra. These objects appear best interpreted as young, intermediate-mass stars or star/disk systems surrounded by gas and dust which is not confined to a disk. Indirect arguments suggest that most of these systems may be viewed through remnant infalling envelopes and, if so, might be regarded as the evolutionary precursors of the group I objects. Group III consists of six stars with small infrared excesses, whose infrared spectral energy distributions appear similar to those of classical Be stars in which modest excesses above photospheric levels seem to arise from free-free emission in a gaseous circumstellar disk or envelope. Nevertheless, their association with star-forming molecular clouds and their proximity to other young stars suggests that they are young, intermediate-mass stars which lack disks and which may be analogs of diskless T Tauri stars. Basic disk parameters for the group I objects are derived from extant optical and infrared photometry and from newly measured millimeter continuum flux densities: masses for the disks (along with any remnant envelope material contained within the millimeter-antenna beam) are in the range 0.01 &lt; Mdisk/M‚äô &lt; 6 ; lower limits to outer disk radii are in the range 15 &lt; Rdisk/AU &lt; 175 ; inner optically thin disk regions have radii 3 &lt; Rhole/R* &lt; 25 ; disk accretion luminosities are in the range 12 &lt; Lacc/L‚äô &lt; 1800, while the deduced disk mass accretion rates are in the range 6 √ó 107 &lt; Macc &lt; 8 √ó 10-5 M‚äô yr1. Derived Balmer line luminosities for the group I objects correlate well with our accretion luminosities and extend the relationships between these quantities derived for T Tauri stars. The group I Herbig Ae/Be stars thus appear to be the intermediate-mass analogs of T Tauri stars, whose unusual photometric and spectroscopic properties are believed to derive from a variety of physical processes (e.g., winds, boundary-layer emission) linked to the presence of a circumstellar accretion disk. If disk material arrives on the stellar surface at the derived rates (Macc) throughout the pre-main-sequence lifetime of an intermediate-mass star, then a significant fraction of the mass comprising the star must pass through a disk. Moreover, because the disk accretion luminosity can be comparable to or greater than the stellar luminosity, the energy input to the star by accreting disk material may be sufficient in many cases to aller the pre-main-sequence evolutionary paths followed by these intermediate-mass stars. Finally, it is noteworthy that among the Herbig Ae/Be stars, disk accretion rates and possibly envelope infall rates appear to be higher for stars of higher mass. This result may represent an important step toward understanding the protostellar core initial conditions which determine infall and accretion rates, and ultimately the stellar mass formed from collapsing core material.</t>
  </si>
  <si>
    <t>613-643</t>
  </si>
  <si>
    <t>60014313;60014313;60005135;60031581</t>
  </si>
  <si>
    <t>7003303665;7102269401;7004081359;7103055605</t>
  </si>
  <si>
    <t>Hillenbrand, Lynne A.;Strom, Stephen E.;Vrba, Frederick J.;Keene, Jocelyn</t>
  </si>
  <si>
    <t>Pasadena;Amherst MA;Flagstaff</t>
  </si>
  <si>
    <t>California Institute of Technology;University of Massachusetts Amherst;U.S. Naval Observatory - Flagstaff Station</t>
  </si>
  <si>
    <t>60031581;60014313;60005135</t>
  </si>
  <si>
    <t>Hillenbrand L.</t>
  </si>
  <si>
    <t>Herbig Ae/Be stars: Intermediate-mass stars surrounded by massive circumstellar accretion disks</t>
  </si>
  <si>
    <t>10.1086/171819</t>
  </si>
  <si>
    <t>2-s2.0-11944254171</t>
  </si>
  <si>
    <t>['values derived', 'resolution images', 'relatively enhanced', 'present high', 'molecular outflows', 'massive part', 'extended component', 'emission comes', 'continuum emission', 'co emission']</t>
  </si>
  <si>
    <t>H II regions | ISM: abundances | ISM: individual objects (Monoceros R2) | ISM: molecules | ISM: structure</t>
  </si>
  <si>
    <t>We present high-resolution images (9‚Ä≥8 √ó 8‚Ä≥.5 beam size) of HCO+ J = 1‚Üí0 emission from the Galactic cloud Mon R2 obtained using the Hat Creek millimeter interferometer and the Five College Radio Astronomy Observatory 14 m antenna. The HCO+ emission comes from small optically thick clumps as well as from an extended component. We discuss the relationship between the H II region, as traced by the continuum emission, molecular outflows, as traced by CO emission, and the dense molecular cloud, as traced by the HCO+ emission. The abundance of HCO+ in the most massive part of the cloud is consistent with values derived from recent molecular line surveys, but it is relatively enhanced in the less massive regions.</t>
  </si>
  <si>
    <t>118-127</t>
  </si>
  <si>
    <t>60025597-120172421-60006297;60029278;60014313-60003269</t>
  </si>
  <si>
    <t>6508049813;7202628095;7006767461</t>
  </si>
  <si>
    <t>Gonatas, Constantine P.;Palmer, Patrick;Novak, G.</t>
  </si>
  <si>
    <t>United States;United States;United States;United States;United States;United States</t>
  </si>
  <si>
    <t>Chicago;Chicago;Amherst MA;Philadelphia;Princeton;Oak Lawn</t>
  </si>
  <si>
    <t>The University of Chicago;The Enrico Fermi Institute;University of Massachusetts Amherst;University of Pennsylvania;Princeton University;University of Illinois</t>
  </si>
  <si>
    <t>60029278;60025597;60014313;60006297;60003269;120172421</t>
  </si>
  <si>
    <t>Gonatas C.P.</t>
  </si>
  <si>
    <t>High-resolution imaging of the galactic cloud monoceros R2</t>
  </si>
  <si>
    <t>10.1086/171841</t>
  </si>
  <si>
    <t>2-s2.0-11944259265</t>
  </si>
  <si>
    <t>['yet contains', 'two regions', 'photosystem ii', 'molecular weight', 'identify unequivocally', 'harvesting complex', 'cdna clone', 'binding apoproteins', 'also observed', '308 ),', '1 encoding', '1 codes']</t>
  </si>
  <si>
    <t>The light-harvesting complex (LHC) of photosystem II is composed of several different pigment-binding apoproteins. We have identified a cDNA clone LHCIIa-1 encoding the 31-kilodalton LHC IIa (CP29, Chl a/b-P1) apoprotein of barley (Hordeum vulgare). Direct protein microsequencing of an internal peptide fragment from the LHC IIa apoprotein has been used to identify unequivocally the cDNA clone as that coding for the LHC IIa apoprotein. Microsequencing of the 28-kilodalton LHC lie protein (CP26) showed only minor sequence similarity to the LHC IIa protein, indicating that they are two different gene products. LHCIIa-1 codes for a protein of 286 amino acid residues (molecular weight, 31,308), which displays strong similarities to other pigment-binding LHC proteins, and yet contains an additional 42 amino acid residue segment. Two regions of strong intramolecular sequence similarity are also observed.</t>
  </si>
  <si>
    <t>238-245</t>
  </si>
  <si>
    <t>6603155155;6507238995</t>
  </si>
  <si>
    <t>Morishige, Daryl T.;Philip Thornber, J.</t>
  </si>
  <si>
    <t>Morishige D.T.</t>
  </si>
  <si>
    <t>Identification and analysis of a barley cDNA clone encoding the 31-kilodalton LHC IIa (CP29) apoprotein of the light-harvesting antenna complex of photosystem II</t>
  </si>
  <si>
    <t>10.1104/pp.98.1.238</t>
  </si>
  <si>
    <t>2-s2.0-11944270865</t>
  </si>
  <si>
    <t>['¬© 1992', 'various types', 'two antennae', 'thus implying', 'solitary bladder', 'secretory trichomes', 'quadrifid hairs', 'protein synthesis', 'pavement epithelium', 'nuclear proteins', 'mouth region', 'metabolic activity', 'mature bladder', 'low profile', 'homogeneous mass', 'histochemistry reveal', 'high concentration', 'dramatic decrease', 'different types', 'cytoplasmic proteins', 'closing mechanism', 'capital cells', 'bladder orifice', 'bladder cells', 'actively engaged', 'abaxial side']</t>
  </si>
  <si>
    <t>Utricularia stellaris L.f. bears, on the abaxial side, a solitary bladder that develops from a homogeneous mass of cells. The mature bladder shows bifid and quadrifid hairs and two antennae at the mouth region. The progressive developmental sequences of the bladder and its histochemistry reveal the role of various types of bladder cells in the opening and closing mechanism of the bladder orifice. During development and differentiation, the different types of bladder cells show a high concentration of cytoplasmic and nuclear proteins. The nucleoli are prominent, thus implying that the cells are actively engaged in RNA and protein synthesis. In the mature bladder, however, there is a dramatic decrease in cytoplasmic proteins, which indicates a low profile of metabolic activity. Copious extracellular polysacchiarides are secreted by the capital cells of the pavement epithelium and the secretory trichomes. ¬© 1992.</t>
  </si>
  <si>
    <t>267-281</t>
  </si>
  <si>
    <t>Aquatic Botany</t>
  </si>
  <si>
    <t>60029284;60029284;60029284</t>
  </si>
  <si>
    <t>24317253200;7003567181;57203054727</t>
  </si>
  <si>
    <t>Kaur Cheema, Gagandeep;Vijayaraghavan, M. R.;Kaur, Inderdeep</t>
  </si>
  <si>
    <t>Kaur Cheema G.</t>
  </si>
  <si>
    <t>A developmental and histochemical study of the bladder of Utricularia stellaris</t>
  </si>
  <si>
    <t>030437709290072Q</t>
  </si>
  <si>
    <t>10.1016/0304-3770(92)90072-Q</t>
  </si>
  <si>
    <t>2-s2.0-17244364648</t>
  </si>
  <si>
    <t>['¬© 1992', 'spectrum analyzers', 'sky survey', 'seti ).', 'prototype system', 'prototype hardware', 'primary objective', 'paper presents', 'nasa plans', 'microwave search', 'intelligent origin', 'extraterrestrial intelligence', 'entire sky', 'development station', 'data rates', '7 years', '000 mhz']</t>
  </si>
  <si>
    <t>The Sky Survey observing program is one of two complementary strategies that NASA plans to use in its microwave Search for Extraterrestrial Intelligence (SETI). The primary objective of the Sky Survey is to search the entire sky over the frequency range 1000-10,000 MHz for evidence of narrow band signals of extraterrestrial, intelligent origin. Spectrum analyzers with upwards of 10 million channels and data rates in excess of 10 gigabits per second are required to complete the survey in less than 7 years. To lay the foundation for the operational SETI Sky Survey, a prototype system has been built to test and refine real time signal detection algorithms, to test scan strategies and observatory control functions, and to test algorithms designed to reject radio frequency interference. This paper presents a high level description of the prototype hardware and software and reports on the preparations to deploy the system to the 34-m antenna at the research and development station of NASA's Deep Space Communication Complex, Goldstone, California. ¬© 1992.</t>
  </si>
  <si>
    <t>177-184</t>
  </si>
  <si>
    <t>Acta Astronautica</t>
  </si>
  <si>
    <t>March 1992/April 1992</t>
  </si>
  <si>
    <t>60009037;60009037;60009037;60009037;60009037;60009037;60009037;60009037;60009037;60009037</t>
  </si>
  <si>
    <t>14067275800;7004068696;6506410104;7201962783;6508255611;55423759100;6507027902;24391838500;6603494360;57122167900</t>
  </si>
  <si>
    <t>Klein, M. J.;Gulkis, S.;Wilck, H. C.;Olsen, E. T.;Garyantes, M. F.;Burns, D. J.;Asmar, P. R.;Brady, R. B.;Deich, W. T.S.;Renzetti, N. A.</t>
  </si>
  <si>
    <t>Klein M.</t>
  </si>
  <si>
    <t>Status of the NASA SETI Sky Survey microwave observing project</t>
  </si>
  <si>
    <t>0094-5765(92)90092-W</t>
  </si>
  <si>
    <t>10.1016/0094-5765(92)90092-W</t>
  </si>
  <si>
    <t>2-s2.0-17444454284</t>
  </si>
  <si>
    <t>['wander frame', 'wander angle', 'though motivated', 'strapdown mechanization', 'ranging systems', 'position update', 'position fixes', 'position error', 'navigational states', 'integrating velocity', 'hover turns', 'helicopter applications', 'ground align', 'geographic frame', 'fine mode', 'filter states', 'defining sine', 'conventional systems', 'coarse mode', 'airstart capabilities']</t>
  </si>
  <si>
    <t>A strapdown mechanization and associated Kalman filter are developed to provide both ground align and airstart capabilities for inertial navigation systems using Doppler velocity and position fixes, while not requiring an initial heading estimate. Position update during coarse mode is possible by defining sine and cosine of wander angle as filter states, and modeling the position error in geographic frame while integrating velocity in the wander frame. Position measurements may come from sources such as GPS, fly-over updates, and sighting/ranging systems. INS/GPS differential position due to GPS antenna moment arm can aid heading convergence during hover turns in helicopter applications. Azimuth error state in the fine mode of the filter is defined as wander angle error to provide continuous estimation of navigational states, as well as inertial/ aiding sensor errors, across the coarse-to-fine mode transition. Though motivated by a tactical helicopter application, the design can be applied to other vehicles. Advantages to conventional systems in addition to the airstart capability include robustness and versatility in handling many different operational conditions. ¬© 1992 IEEE.</t>
  </si>
  <si>
    <t>Pham, Tuan Manh</t>
  </si>
  <si>
    <t>Pham T.M.</t>
  </si>
  <si>
    <t>Kalman Filter Mechanization for INS Airstart</t>
  </si>
  <si>
    <t>10.1109/62.127124</t>
  </si>
  <si>
    <t>2-s2.0-1842586360</t>
  </si>
  <si>
    <t>['waves launched', 'wavenumber spectrum', 'wave antenna', 'theoretical results', 'strongly affected', 'special attention', 'probe signals', 'plasma taking', 'investigate small', 'frequency turbulence', 'frequency fluctuations', 'experimental results', 'detector current', 'detailed description', 'considerably higher', 'coherent co2', 'amplitude lower']</t>
  </si>
  <si>
    <t>Coherent CO2-scattering as well as phase-sensitive probe diagnostics are applied to investigate small-amplitude lower-hybrid (LH) waves launched by a slow-wave antenna to a linear plasma column. Special attention is focussed on the detailed description of the LH wave field in the plasma taking into account the wavenumber spectrum of the antenna. With the knowledge of the LH density perturbations, the r.f. detector current is computed under the actual scattering conditions. To fit the theoretical results to the experimental results, an effective collisional frequency nu eff for electron momentum transfer is introduced. The observed LH wave damping is considerably higher than expected from collisional and electron Landau damping, but it is correlated with the level of low-frequency fluctuations. In particular, the scattering and the probe signals are strongly affected by the damping as well as by the low-frequency turbulence itself.</t>
  </si>
  <si>
    <t>1467-1492</t>
  </si>
  <si>
    <t>60005322;60005322</t>
  </si>
  <si>
    <t>57216139108;7402838533</t>
  </si>
  <si>
    <t>Fischer, B.;Kramer, M.</t>
  </si>
  <si>
    <t>Bochum</t>
  </si>
  <si>
    <t>Ruhr-Universitat Bochum</t>
  </si>
  <si>
    <t>Fischer B.</t>
  </si>
  <si>
    <t>Study of lower-hybrid wave propagation by CO&lt;inf&gt;2&lt;/inf&gt;-scattering and r.f. probe diagnostics</t>
  </si>
  <si>
    <t>074133359290187B</t>
  </si>
  <si>
    <t>10.1088/0741-3335/34/9/002</t>
  </si>
  <si>
    <t>2-s2.0-21244436648</t>
  </si>
  <si>
    <t>['unique ability', 'triggered proplastid', 'time scale', 'thylakoid assembly', 'study temporally', 'study proplastid', 'spirodela one', 'spirodela oligorrhiza', 'slow enough', 'readily examined', 'primary precursor', 'plants germinated', 'obligatory step', 'molecular evidence', 'major light', 'higher plants', 'high chlorophyll', 'harvesting complexes', 'grown plants', 'grow indefinitely', 'found mostly', 'developmental sequence', 'detailed dissection', 'day period', 'chloroplast transition', 'chloroplast systems', 'chloroplast development', 'chlorophyll accumulation', 'although proplastids']</t>
  </si>
  <si>
    <t>Proplastids and etioplasts are common starting points for monitoring chloroplast development in higher plants. Although proplastids are the primary precursor of chloroplasts, most proplastid to chloroplast systems are cumbersome to study temporally. Conversely, the etioplast to chloroplast transition is initiated by light and is readily examined as a function of time. Etioplasts, however, are found mostly in plants germinated in the dark and are not an obligatory step in chloroplast development. We have chosen to study chloroplast ontogeny in Spirodela oligorrhiza (Kurtz) Hegelm (a C3-monocot) because of its unique ability to grow indefinitely in the dark. Ultrastructural, physiological, and molecular evidence is presented in support of a temporal, light-triggered proplastid to chloroplast transition in Spirodela. The dark-grown plants are devoid of chlorophyll, and upon illumination synchronously green over a 3- to 5-day period. Synthesis of chloroplast proteins involved in photosynthesis is coincident with thylakoid assembly, chlorophyll accumulation, and appearance of CO2 fixation activity. Interestingly, the developmental sequence in Spirodela was slow enough to reveal that biosynthesis of the D1 photosystem II reaction center protein precedes biosynthesis of the major light-harvesting antenna proteins. This, coupled with the high chlorophyll a/b ratio observed early in development, indicated that reaction center assembly occurred prior to accumulation of the light-harvesting complexes. Thus, with Spirodela one can study proplastid to chloroplast conversions temporally in higher plants and follow the process on a time scale that enables a detailed dissection of plastid maturation processes.</t>
  </si>
  <si>
    <t>1011-1019</t>
  </si>
  <si>
    <t>60014171;60014171</t>
  </si>
  <si>
    <t>6602355792;7201629485</t>
  </si>
  <si>
    <t>McCormac, Dennis J.;Greenberg, Bruce M.</t>
  </si>
  <si>
    <t>Waterloo</t>
  </si>
  <si>
    <t>University of Waterloo</t>
  </si>
  <si>
    <t>McCormac D.</t>
  </si>
  <si>
    <t>Differential synthesis of photosystem cores and light-harvesting antenna during proplastid to chloroplast development in Spirodela oligorrhiza</t>
  </si>
  <si>
    <t>10.1104/pp.98.3.1011</t>
  </si>
  <si>
    <t>2-s2.0-2142806456</t>
  </si>
  <si>
    <t>['west coverage', 'south coverage', 'scanning grating', 'reflector antenna', 'proper design', 'presented together', 'predicting co', 'planar grating', 'planar frequency', 'incident field', 'frequency scanning', 'feed position', 'experimental results', 'diffracted field', 'design principles', 'covering 3', 'cluster feed', 'analysis method']</t>
  </si>
  <si>
    <t>The analysis and design of a circularly polarized frequency-scanning grating-reflector antenna is presented. The antenna is intended for a multibeam satellite communication system, covering 3.1¬∞ north-south and 7.2¬∞ east-west with 25 spot beams. Frequency scanning is used for the north-south coverage, while the east-west coverage is obtained by the use of a cluster feed. The grating reflector consists of a planar frequency-scanned reflection grating with a quasi-periodic lattice geometry. The frequency-scanned grating reflects the incident field into a diffracted field composed of the first-order diffracted grating lobe. A focus-feed position for the diffracted field is obtained by a proper design of the quasi-periodic lattice geometry. Design principles for the planar grating-reflector antenna are presented together with an analysis method for predicting co- and cross-polar radiation patterns. The analysis method is verified by experimental results. ¬© 1992 IEEE</t>
  </si>
  <si>
    <t>1231-1237</t>
  </si>
  <si>
    <t>Johansson, F. Stefan</t>
  </si>
  <si>
    <t>Saab AB</t>
  </si>
  <si>
    <t>Johansson F.S.</t>
  </si>
  <si>
    <t>Frequency-Scanning Grating-Reflector Antenna for Multibeam Satellite Communications</t>
  </si>
  <si>
    <t>10.1109/8.182456</t>
  </si>
  <si>
    <t>2-s2.0-2442765130</t>
  </si>
  <si>
    <t>['useful basis', 'synergistic activity', 'subfamily hadeninae', 'monounsaturated acetates', 'freilandversuchen lockte', 'field tests', 'erzielt werden', 'best responses', 'beides komponenten', 'baits containing']</t>
  </si>
  <si>
    <t>In screening of monounsaturated acetates, alcohols and aldehydes on the antennae of male Oria musculosa, best responses were evoked by (Z)‚Äê11‚Äêhexadecenyl acetate. Other compounds with strong responses included (Z)‚Äê7‚Äêdodecenyl acetate, (Z)‚Äê9‚Äêtetradecenyl acetate and (Z)‚Äê9‚Äêtetradecenal. In field tests (Z)‚Äê11‚Äêhexadecenyl acetate on its own regularly attracted males of O. musculosa into traps. No synergistic activity was observed by the addition of any of the other compounds with strong EAG activity, or of (Z)‚Äê11‚Äêhexadecen‚Äê1‚Äêol and (Z)‚Äê11‚Äêhexadecenal, both compounds frequently found as sex attractant components in the subfamily Hadeninae. Baits containing (Z)‚Äê11‚Äêhexadecenyl acetate should serve as a useful basis for developing a practically usable sex attractant formulation for the pest. Untersuchungen zur Anlockwirkung von (Z)‚Äê11‚ÄêHexadecenyl Acetat auf m√§nnliche Falter von Oria musculosa Hbn. (Lep., Noctuidae) In Screening‚ÄêTests konnte herausgefunden werden, da√ü von den getesteten Komponenten (einfach unges√§ttigte Acetate, Alkohole und Aldehyde) durch (Z)‚Äê11‚ÄêHexadecenyl Acetat die h√∂chste Reaktion der Antennen m√§nnlicher Oria musculosa‚ÄêFalter hervorgerufen wurde. Auch (Z)‚Äê7‚ÄêDodecenyl Acetat, (Z)‚Äê9‚ÄêTetradecenyl Acetat und (Z)‚Äê9‚ÄêTetradecenal riefen eine deutliche Reaktion hervor. In Freilandversuchen lockte (Z)‚Äê11‚ÄêHexadecenyl Acetat O. musculosa‚ÄêM√§nnchen in Fallen. Es konnte kein synergistischer Effekt durch die Hinzugabe irgendeiner anderen Komponente, die im EAG eine deutliche Reaktion bewirkt hatte, erzielt werden. Auch (Z)‚Äê11‚ÄêHexadecen‚Äê1‚Äêol und (Z)‚Äê11‚ÄêHexadecenal, beides Komponenten, die h√§ufig als Anlockstoffe f√ºr Spezies der Subfamilie Hadeninae gefunden wurden, hatten keine synergistische Wirkung. K√∂der, die (Z)‚Äê11‚ÄêHexadecenyl Acetat enthalten, sollten als Basis f√ºr die Entwicklung von in der Praxis einsetzbaren Lockstofformulierungen f√ºr diese Sch√§dlingsart dienen. 1992 Blackwell Verlag GmbH</t>
  </si>
  <si>
    <t>509-512</t>
  </si>
  <si>
    <t>118884774;118884774;118884774;118884774</t>
  </si>
  <si>
    <t>35231446000;16428465700;6701590390;57195042204</t>
  </si>
  <si>
    <t>T√≥th, M.;Gottwald, R.;Sz√∂cs, G.;Freier, B.</t>
  </si>
  <si>
    <t>Plant Protection Institute Budapest</t>
  </si>
  <si>
    <t>T√≥th M.</t>
  </si>
  <si>
    <t>(Z)‚Äê11‚ÄêHexadecenyl acetate attracting male Oria musculosa Hbn. (Lep., Noctuidae)</t>
  </si>
  <si>
    <t>10.1111/j.1439-0418.1992.tb00696.x</t>
  </si>
  <si>
    <t>2-s2.0-2542538324</t>
  </si>
  <si>
    <t>['total power', 'statistical analysis', 'regions close', 'obtained results', 'measurement systems', 'measurement procedure', 'mean value', 'frequency domain', '82 db', '57 db', '08 db']</t>
  </si>
  <si>
    <t>Narrow- and broad-band measurement systems have been calibrated and used to characterize the electric field strength in regions close to 69 telecommunication antennas emitting a total power of nearly 190 kW. The differences in decibels between narrow- and broad-band outdoor measurement results are always within 0.71 dB giving a mean value of 0.08 dB. An error analysis referring to the use of both measurement systems has been done. From a statistical analysis of the obtained results, the assigned total systematic error of the isotropic electric field measurements in the frequency domain is 1.82 dB for both systems. The inherent systematic error in the measurement procedure is about 1.57 dB. ¬© 1992 IEEE</t>
  </si>
  <si>
    <t>60114686;</t>
  </si>
  <si>
    <t>57218242641;6603272455</t>
  </si>
  <si>
    <t>Tofani, Santi;Ossola, Piero</t>
  </si>
  <si>
    <t>Turin</t>
  </si>
  <si>
    <t>Istituto Nazionale di Fisica Nucleare, Sezione di Torino</t>
  </si>
  <si>
    <t>Tofani S.</t>
  </si>
  <si>
    <t>Accuracy in Outdoor Isotropic Measurements of Multiple-Source, Multiple-Frequency EM Fields</t>
  </si>
  <si>
    <t>10.1109/15.155845</t>
  </si>
  <si>
    <t>2-s2.0-25444501217</t>
  </si>
  <si>
    <t>['¬© 1992', 'technique provides', 'previous paper', 'polar representation', 'planar structures', 'outer semi', 'numerical integration', 'layered medium', 'infinite integral', 'incomplete lipschitz', 'impedance matrix', 'ilhi representation', 'hankel integrals', 'efficient method', 'efficient computation', 'crucial step', 'angular integral']</t>
  </si>
  <si>
    <t>The accurate and efficient computation of the elements in the impedance matrix is a crucial step in the application of Galerkin's method to the analysis of planar structures. As was demonstrated in a previous paper, it is possible to decompose the angular integral, in the polar representation for the 2D Sommerfeld integrals, in terms of incomplete Lipschitz-Hankel integrals (ILHIs) when piecewise sinusoidal basis functions are employed. Since Bessel series expansions can be used to compute these ILHIs, a numerical integration of the inner angular integral is not required. This technique provides an efficient method for the computation of the inner angular integral; however, the outer semi-infinite integral still converges very slowly when a real axis integration is applied. Therefore, it is very difficult to compute the impedance elements accurately and efficiently. In this paper, it is shown that this problem can be overcome by using the ILHI representation for the angular integral to develop a novel asymptotic extraction technique for the outer semi-infinite integral. The usefulness of this asymptotic extraction technique is demonstrated by applying it to the analysis of a printed strip dipole antenna in a layered medium. ¬© 1992.</t>
  </si>
  <si>
    <t>217-230</t>
  </si>
  <si>
    <t>Journal of Computational Physics</t>
  </si>
  <si>
    <t>60010065;60000221</t>
  </si>
  <si>
    <t>7005543330;35588296300</t>
  </si>
  <si>
    <t>Dvorak, Steven L.;Kuester, Edward F.</t>
  </si>
  <si>
    <t>Tucson;Boulder</t>
  </si>
  <si>
    <t>The University of Arizona;University of Colorado Boulder</t>
  </si>
  <si>
    <t>Dvorak S.</t>
  </si>
  <si>
    <t>Numerical computation of 2D sommerfeld integrals- A novel asymptotic extraction technique</t>
  </si>
  <si>
    <t>002199919290139P</t>
  </si>
  <si>
    <t>10.1016/0021-9991(92)90139-P</t>
  </si>
  <si>
    <t>2-s2.0-28144435882</t>
  </si>
  <si>
    <t>['¬© 1992', 'two ways', 'spent filling', 'sommerfeld integrals', 'series instead', 'polar representation', 'planar structures', 'outer semi', 'new way', 'new technique', 'layered medium', 'large percentage', 'involves finding', 'infinite integral', 'incomplete lipschitz', 'impedance matrix', 'impedance elements', 'hankel integrals', 'frequently used', 'first method', 'finite number', 'develop accurate', 'current distribution', 'computational efficiency', 'computation time', 'another paper', 'angular integral']</t>
  </si>
  <si>
    <t>Spectral domain techniques are frequently used in conjunction with Galerkin's method to obtain the current distribution on planar structures. When this technique is employed, a large percentage of the computation time is spent filling the impedance matrix. Therefore, it is important to develop accurate and efficient numerical techniques for the computation of the impedance elements, which can be written as two-dimensional (2D) Sommerfeld integrals. Once the current distribution has been found, then the near-zone electric field distribution can be obtained by computing another set of 2D Sommerfeld integrals. The computational efficiency of the 2D Sommerfeld integrals can be improved in two ways. The first method, which is discussed in this paper, involves finding a new way to compute the inner angular integral in the polar representation of these integrals. It turns out that the angular integral can be decomposed into a finite number of incomplete Lipschitz-Hankel integrals, which in turn can be calculated using series expansions. Therefore, the angular integral can be computed by summing a series instead of applying a standard numerical integration algorithm. This new technique is found to be more accurate and efficient when piecewise-sinusoidal basis functions are used to analyze a printed strip dipole antenna in a layered medium. The incomplete Lipschitz-Hankel integral representation for the angular integral is then used in another paper to develop a novel asymptotic extraction technique for the outer semi-infinite integral. ¬© 1992.</t>
  </si>
  <si>
    <t>199-216</t>
  </si>
  <si>
    <t>Numerical computation of 2D sommerfeld integrals- Deccomposition of the angular integral</t>
  </si>
  <si>
    <t>002199919290138O</t>
  </si>
  <si>
    <t>10.1016/0021-9991(92)90138-O</t>
  </si>
  <si>
    <t>2-s2.0-28144454625</t>
  </si>
  <si>
    <t>['van pesch', 'third segment', 'spinescens gray', 'sexes armed', 'ratio 2', 'paramolgus insectus', 'nov .,', 'northwestern madagascar', 'leg 5', 'leg 1', 'l .)', 'free segment', 'francis group', 'five species', 'first antenna', 'bohol island', 'antipathes sp', 'antipathes longibrachiata', 'antipathes cf', 'antipathes abies']</t>
  </si>
  <si>
    <t>Antipatharia | Associates | Copepoda | Madagascar | Moluccas | Philippines | Poecilostomatoida | Siphonostomatoida</t>
  </si>
  <si>
    <t>Six new copepods are associated with five species of the antipatharian coral Antipathes in the Indo-Pacific. Three asterocherid siphonostomatoids are described. Asteropontius latus sp. nov., from Antipathes sp. at Bohol Island, Philippines, has an unusually broad prosome. Asteropontius bandicola sp. nov., from Antipathes abies (L.) in the Moluccas and Antipathes cf. spinescens Gray in northwestern Madagascar, has rounded lateral margins on the female genital somite and the free segment of leg 5 is elongate with the ratio 2-69:1. Orecturus grandisetiger gen. nov., sp. nov., from Antipathes ericoides Pallas and Antipathes longibrachiata (van Pesch) in northwestern Madagascar, Antipathes reticulata Esper in the Moluccas, and Antipathes sp. at Bohol, Phillipines, has an unusually large seta on the third segment of the first antenna. Three lichomolgid poecilo- stomatoids are described from Antipathes sp. at Bohol in the Philippines. Visayasia lobura gen. nov., sp. nov., and Visayasia subterna gen. nov., sp. nov., are characterized by having the third segment of the endopod of leg 1 in both sexes armed with 1, 1, 4. Paramolgus delicatulus sp. nov., has a short caudal ramus and the female genital double somite is indented. The range of Paramolgus insectus (Humes, 1969) is extended from Madagascar and the Moluccas to the Philippines. ¬© 1992 Taylor &amp; Francis Group, LLC.</t>
  </si>
  <si>
    <t>709-744</t>
  </si>
  <si>
    <t>Humes, A. G.</t>
  </si>
  <si>
    <t>Boston University Marine Program</t>
  </si>
  <si>
    <t>Humes A.</t>
  </si>
  <si>
    <t>Copepoda associated with the thorny coral antipathes (Antipatharia) in the indo-pacific</t>
  </si>
  <si>
    <t>10.1080/00222939200770461</t>
  </si>
  <si>
    <t>2-s2.0-31344455639</t>
  </si>
  <si>
    <t>['south america', 'second instar', 'present separating', 'nov .,', 'new species', 'new genus', 'never found', 'monotypic genus', 'francis ltd', 'fagisuga lindinger', 'distinguishing characters', 'developed antennae', 'closely related', 'asceloconchaspis gen', 'adult female']</t>
  </si>
  <si>
    <t>Conchaspididae | Florida | Key to genera | Legless | New genus | New species</t>
  </si>
  <si>
    <t>A new genus of Conchaspididae, Asceloconchaspis gen. nov., is described for Asceloconchaspis milleri sp. nov., a new species from Florida, USA. Unlike other conchaspidids, the adult female and second instar of the genus lack legs. The presence of legs is one of the important, distinguishing characters at present separating the Conchaspididae from the Diaspididae. However, the new genus also possesses well-developed antennae and has multilocular disc pores on the abdomen in the adult female; these distinctly conchaspidid characters are never found in the Diaspididae. Asceloconchaspis is closely related to Fagisuga Lindinger, a monotypic genus with primitive characters described from South America on Nothofagus. A key to the four known genera of Conchaspididae is provided, and the morphology and distribution of the Conchaspididae are discussed. ¬© 1992 Taylor &amp; Francis Ltd.</t>
  </si>
  <si>
    <t>1331-1352</t>
  </si>
  <si>
    <t>Williams, D. J.</t>
  </si>
  <si>
    <t>The Natural History Museum, London</t>
  </si>
  <si>
    <t>Williams D.</t>
  </si>
  <si>
    <t>A new genus and species of conchaspididae (Hemiptera: Coccoidea) from florida, remarkable in lacking legs</t>
  </si>
  <si>
    <t>10.1080/00222939200770751</t>
  </si>
  <si>
    <t>2-s2.0-31844433161</t>
  </si>
  <si>
    <t>['strongly affected', 'like dark', 'highly unusual', 'excitation effects', 'diffuse clouds', '5 k', '12co line', '1 even']</t>
  </si>
  <si>
    <t>ISM: kinematics and dynamics | ISM: molecules | Radio lines: molecular: interstellar | Stars: individual (Œ∂ Ophiuchi)</t>
  </si>
  <si>
    <t>Observations of Œª2.6 mm 12CO emission taken along a 2¬∞ strip about the position of Œ∂ Oph show a strikingly coherent kinematic pattern. Within 30‚Ä≤ of the star, 12CO attains antenna temperatures of 3-5 K, more like dark than diffuse clouds. However, the 12CO/13CO intensity ratio is ‚â• 31:1 even when the 12CO line is as strong as 5.5 K, which is highly unusual. We suggest that the CO line brightness is dominated by recombination and excitation effects in gas which is strongly affected by the presence of the star.</t>
  </si>
  <si>
    <t>226-229</t>
  </si>
  <si>
    <t>Liszt, H. S.</t>
  </si>
  <si>
    <t>Charlottesville</t>
  </si>
  <si>
    <t>National Radio Astronomy Observatory</t>
  </si>
  <si>
    <t>Liszt H.</t>
  </si>
  <si>
    <t>Kinematics and morphology of material occulting Œ∂ ophiuchi</t>
  </si>
  <si>
    <t>10.1086/171273</t>
  </si>
  <si>
    <t>2-s2.0-3342897184</t>
  </si>
  <si>
    <t>['two types', 'surface probing', 'quantitative manner', 'lossy medium', 'higher loss', 'geophysical sub', 'general prescription', 'g .,', 'deteriorates significantly', '20 ).']</t>
  </si>
  <si>
    <t>Localized electromagnetic focused heating from a finite rectangular aperture antenna array into a lossy medium is considered in a quantitative manner. The general prescription for focusing the electric field components is given. In particular, two types of focusing are presented that have applications in hyperthermic cancer therapy and geophysical sub-surface probing. It is shown that, for low loss tangents, the focusing can be very sharp but it deteriorates significantly for higher loss (e.g., for loss tangents greater than 0.20). ¬© 1992 VSP.</t>
  </si>
  <si>
    <t>1509-1516</t>
  </si>
  <si>
    <t>60010065;60010065</t>
  </si>
  <si>
    <t>6701356057;7103195054</t>
  </si>
  <si>
    <t>Nabulsi, K. A.;Wait, J. R.</t>
  </si>
  <si>
    <t>Nabulsi K.</t>
  </si>
  <si>
    <t>On Focusing into a Lossy Medium from a Rectangular Aperture</t>
  </si>
  <si>
    <t>10.1163/156939392X00030</t>
  </si>
  <si>
    <t>2-s2.0-33748072579</t>
  </si>
  <si>
    <t>['favored ).', 'electrophysiological measurements', 'different structures', 'acetate receptor', 'acetate 1']</t>
  </si>
  <si>
    <t>No, they have different structures! This answer to the question in the title of this communication was deduced from electrophysiological measurements with the enantiomers of chiral pheromone derivatives. The acetate receptor on the antennae of the butterfly species Antherea pernyi, for example, differentiates between the (13R) and (13S) enantiomer of the acetate 1 a by a factor of 3 (the (S) enantiomer binds preferentially), while the aldehyde receptor distinguishes between the enantiomers of the analogous aldehyde 1 b by a factor of 10 (here, however, the (R) enantiomer is favored). (Figure Presented.) Copyright ¬© 1992 by VCH Verlagsgesellschaft mbH, Germany</t>
  </si>
  <si>
    <t>330-331</t>
  </si>
  <si>
    <t>Angewandte Chemie International Edition in English</t>
  </si>
  <si>
    <t>60000765;60014966;60000765;60000765;60000765</t>
  </si>
  <si>
    <t>7006503853;6508029295;6503896845;7101671059;8127195200</t>
  </si>
  <si>
    <t>Bestmann, Hans J√ºrgen;Caihong, Wu;Rehefeld, Claudia;Kern, Friedrich;Leinemann, Barbara</t>
  </si>
  <si>
    <t>China;Germany</t>
  </si>
  <si>
    <t>Beijing;Erlangen</t>
  </si>
  <si>
    <t>Peking University;Friedrich-Alexander-Universit√§t Erlangen-N√ºrnberg</t>
  </si>
  <si>
    <t>60014966;60000765</t>
  </si>
  <si>
    <t>Bestmann H.</t>
  </si>
  <si>
    <t>Do Pheromone Receptors that Receive the Same or Similar Signal Molecules Have the Same or Similar Structure?</t>
  </si>
  <si>
    <t>10.1002/anie.199203301</t>
  </si>
  <si>
    <t>2-s2.0-33751122342</t>
  </si>
  <si>
    <t>Centre National de la Recherche Scientifique</t>
  </si>
  <si>
    <t>CNRS</t>
  </si>
  <si>
    <t>['¬© 1992', 'two effects', 'space plasma', 'scattered field', 'ponderomotive pressure', 'plasma surrounding', 'plasma frequency', 'multiple frequencies', 'frequency pressure', 'frequency mixing', 'excited either', 'beat frequency', 'antenna may']</t>
  </si>
  <si>
    <t>The electric field excited by a probe (antenna) exerts a radio-frequency pressure on the plasma surrounding the probe. Two effects are discussed: the redistribution of the static plasma density and potential, resulting in the formation of the r.f. sheath; and a frequency mixing in the case of excitation at two or multiple frequencies. The antenna may be excited either by a r.f. generator or by an incident wave field, in which case the ponderomotive pressure is due to the scattered field. It is shown that an electric antenna receiving two high frequency waves responds to a beat frequency, and the amplitude of this response is estimated. The amplitude is enhanced resonantly around the plasma frequency. This effect should be taken into account in any interpretation of the electric antenna measurements in the space plasma. ¬© 1992.</t>
  </si>
  <si>
    <t>1063-1070</t>
  </si>
  <si>
    <t>Planetary and Space Science</t>
  </si>
  <si>
    <t>60068924;101263523;101263523;101263523</t>
  </si>
  <si>
    <t>6701368960;56242089800;6602468804;6603341767</t>
  </si>
  <si>
    <t>Fiala, V.;Pottelette, R.;Dubouloz, N.;De Feraudy, H.</t>
  </si>
  <si>
    <t>Czech Republic;France</t>
  </si>
  <si>
    <t>Prague;Saint-Maur</t>
  </si>
  <si>
    <t>Geophysical Institute, Prague;Centre de Recherches en Physique de l'Environnement</t>
  </si>
  <si>
    <t>60068924;101263523</t>
  </si>
  <si>
    <t>Fiala V.</t>
  </si>
  <si>
    <t>Ponderomotive force effects in the vicinity of a radio-frequency probe in a plasma</t>
  </si>
  <si>
    <t>0032-0633(92)90035-M</t>
  </si>
  <si>
    <t>10.1016/0032-0633(92)90035-M</t>
  </si>
  <si>
    <t>2-s2.0-33751531843</t>
  </si>
  <si>
    <t>['¬© 1992', 'unique ferrite', 'permanent magnets', 'noise ratio', 'nmr apparatus', 'measurement apparatus', 'maximum efficiency', 'magnetoacoustic effects', 'factors affecting', 'external region', 'earth formations', 'compact samples', 'bulky objects']</t>
  </si>
  <si>
    <t>In conventional NMR investigations, compact samples are inserted into the measurement apparatus. When measurements are to be made on earth formations in situ, or on other bulky objects, an entirely different apparatus configuration is required. A new "inside-out" NMR apparatus has been constructed which generates a strong, homogeneous static magnetic field and an orthogonally directed radiofrequency magnetic field in an external region. The apparatus is composed of permanent magnets and a unique ferrite-filled RF antenna which has been designed for maximum efficiency and freedom from magnetoacoustic effects. Factors affecting the signal-to-noise ratio are discussed. ¬© 1992.</t>
  </si>
  <si>
    <t>466-485</t>
  </si>
  <si>
    <t>Journal of Magnetic Resonance (1969)</t>
  </si>
  <si>
    <t>60077590;60077590;60077590;60107951</t>
  </si>
  <si>
    <t>7004026501;56439764700;7401891538;57206137622</t>
  </si>
  <si>
    <t>Kleinberg, R. L.;Sezginer, A.;Griffin, D. D.;Fukuhara, M.</t>
  </si>
  <si>
    <t>Sagamihara;Cambridge</t>
  </si>
  <si>
    <t>Schlumberger K.K.;Schlumberger-Doll Research Center</t>
  </si>
  <si>
    <t>60107951;60077590</t>
  </si>
  <si>
    <t>Kleinberg R.</t>
  </si>
  <si>
    <t>Novel NMR apparatus for investigating an external sample</t>
  </si>
  <si>
    <t>10.1016/0022-2364(92)90028-6</t>
  </si>
  <si>
    <t>2-s2.0-33847544680</t>
  </si>
  <si>
    <t>['well suited', 'theoretical analysis', 'solution uses', 'several arrays', 'reciprocity analysis', 'previous solution', 'method approach', 'integrated phased', 'infinite arrays', 'infinite array', 'fed patches', 'experimental data', 'domain moment', 'combines features', 'array configurations', 'array applications']</t>
  </si>
  <si>
    <t>An analysis of an infinite array of aperture-coupled microstrip patch antennas is described; this type of element is well suited to integrated phased-array applications, offering several advantages over other array configurations. The solution uses the spectral-domain moment-method approach, and combines features of a previous solution of infinite arrays of probe-fed patches and a reciprocity analysis of single-aperture-coupled microstrip element. The theoretical analysis is described and data are presented for the active input impedance of several arrays. Experimental data from a waveguide simulator confirm the theory.</t>
  </si>
  <si>
    <t>418-425</t>
  </si>
  <si>
    <t>v</t>
  </si>
  <si>
    <t>Analysis of an infinite phased array of aperture coupled microstrip patches</t>
  </si>
  <si>
    <t>2-s2.0-34250794022</t>
  </si>
  <si>
    <t>['varying diameters', 'tip termination', 'radiation characteristics', 'numerical results', 'numerical model', 'multisection antennas', 'interesting changes', 'heating patterns', 'guiding along', 'excellent correlation', 'current distribution', 'conducting sections', 'commercial designs', 'center conductor', 'calculated patterns', 'briefly describe', 'antenna vs', 'also investigated', '1987 ).']</t>
  </si>
  <si>
    <t>The authors have developed a numerical model which calculates the current distribution and radiation characteristics of multisection antennas having varying diameters of the center conductor and/or the types and thicknesses of the insulation. They briefly describe the model and compare the numerical results with the experimental data published by T. P. Ryan and J. W. Strohbehn (1987). Excellent correlation between the experimental and calculated patterns was obtained. The numerical model was then used to examine some interesting changes in the commercial designs, such as the effect of the tip termination of the antenna and the diameters of the conducting sections (collars) on the heating patterns of the BSD Medical antenna. Important observations regarding the role of each section, in multisection antenna designs, in guiding along the antenna vs. coupling to the ambient were also investigated and verified.</t>
  </si>
  <si>
    <t>1126-1133</t>
  </si>
  <si>
    <t>6506217456;34769915200</t>
  </si>
  <si>
    <t>Tumeh, Amer M.;Iskander, Magdy F.</t>
  </si>
  <si>
    <t>Tumeh A.</t>
  </si>
  <si>
    <t>Performance comparison of available interstitial antennas for microwave hyperthermia</t>
  </si>
  <si>
    <t>2-s2.0-34250811978</t>
  </si>
  <si>
    <t>['surface distortions', 'slope derivations', 'reflector antennas', 'practical limitation', 'practical approach', 'order approximation', 'fit paraboloid', 'distorted surface', 'diameter hoop', 'deterministic analysis']</t>
  </si>
  <si>
    <t>A practical approach is demonstrated for the deterministic analysis of surface distortions in reflector antennas, based on a first-order approximation to the aperture field phase. Measured pattern results from the 15-m-diameter hoop/column deployable mesh reflector antenna are used to demonstrate the accuracy which can be obtained with this surface distortion analysis. The only practical limitation of the first-order approximation is determined by the slope derivations of the distorted surface from the best-fit paraboloid.</t>
  </si>
  <si>
    <t>452-458</t>
  </si>
  <si>
    <t>8362621300;6603843146;7401639390</t>
  </si>
  <si>
    <t>Lee, Teh Hong;Rudduck, Roger C.;Bailey, Marion C.</t>
  </si>
  <si>
    <t>Lee T.</t>
  </si>
  <si>
    <t>Surface distortion analysis applied to the hoop/column deployable mesh reflector antenna</t>
  </si>
  <si>
    <t>2-s2.0-34250816399</t>
  </si>
  <si>
    <t>['reflector antenna', 'numerical applications', 'geometrical theory', 'frequency solution', 'form appropriate', 'curved surfaces', 'curved surface', 'authors describe']</t>
  </si>
  <si>
    <t>The authors describe the construction of a high-frequency solution in the geometrical theory of diffraction (GTD) format for the generation of edge-diffracted space rays and edge-excited surface waves by an electromagnetic wave normally incident on the edge of a curved impedance strip. The transformation coefficients necessary for the analysis of the diffraction on curved surfaces with equal vanishing face impedances are tabulated in a form appropriate for numerical applications. The procedure for evaluating the diffracted field excited by the edge of a cylindrically curved strip, which can be associated with a reflector antenna or an aperture on a curved surface, is presented for both perfectly and nonperfectly conducting cases.</t>
  </si>
  <si>
    <t>592-600</t>
  </si>
  <si>
    <t>60032587;60032587;60032587</t>
  </si>
  <si>
    <t>6701788189;7006099581;6603609501</t>
  </si>
  <si>
    <t>Serbest, A. Hamit;Buyukaksoy, Alinur;Uzgoren, Gokhan</t>
  </si>
  <si>
    <t>Serbest A.</t>
  </si>
  <si>
    <t>Diffraction of high-frequency electromagnetic waves by curved strips</t>
  </si>
  <si>
    <t>2-s2.0-34250827207</t>
  </si>
  <si>
    <t>['truncated edge', 'transverse electromagnetic', 'suitable approximation', 'slab beyond', 'reflection coefficient', 'plate waveguide', 'obliquely incident', 'loaded parallel', 'first order', 'electrically thin', 'correct value', 'circuit elements', 'canonical problem', 'calculated using', 'aperture fields']</t>
  </si>
  <si>
    <t>The reflection coefficient of a transverse electromagnetic (TEM) wave, obliquely incident on the truncated upper edge of a slab-loaded parallel-plate waveguide, is calculated using the knowledge of both the tangential electric field and normal magnetic field on the top of the slab beyond the truncated edge. A suitable approximation of these aperture fields is obtained from the corresponding static fields, resulting in the correct value of the reflection coefficient to first order when the substrate is electrically thin. This development can be considered as a canonical problem on which several promising techniques in the analysis of microstrip patch antennas as circuit elements are based.</t>
  </si>
  <si>
    <t>413-417</t>
  </si>
  <si>
    <t>7003453121;35588296300;7403319959</t>
  </si>
  <si>
    <t>Martinson, Thomas M.;Kuester, Edward F.;Chang, David C.</t>
  </si>
  <si>
    <t>Martinson T.</t>
  </si>
  <si>
    <t>Edge admittance of a wide microstrip patch as seen by an obliquely incident wave</t>
  </si>
  <si>
    <t>2-s2.0-34250830380</t>
  </si>
  <si>
    <t>['signals arriving', 'sidelobe levels', 'rejected much', 'adapted patterns']</t>
  </si>
  <si>
    <t>The analysis of an adaptive detection algorithm described previously by the author (1985, 1986) is extended. Previously, the performance was evaluated for the case of a signal corresponding exactly to the steering vector used in the derivation of the algorithm. Here the performance for signals arriving from other directions is evaluated. It is shown that these signals are rejected much more strongly than would be suggested by the sidelobe levels of the adapted patterns themselves.</t>
  </si>
  <si>
    <t>122-133</t>
  </si>
  <si>
    <t>Kelly, Edward J.</t>
  </si>
  <si>
    <t>Lexington</t>
  </si>
  <si>
    <t>Lincoln Laboratory</t>
  </si>
  <si>
    <t>Kelly E.</t>
  </si>
  <si>
    <t>Performance of an adaptive detection algorithm; rejection of unwanted signals</t>
  </si>
  <si>
    <t>2-s2.0-34250831023</t>
  </si>
  <si>
    <t>['reference port', 'ms antenna', 'mode analysis', 'lower bound', 'load may', 'general expression', 'frequency yields', 'expression analogous', 'dicke antenna', 'determining whether', 'cross power', 'cms antenna', 'arbitrary size', 'antenna could', '1966 ).', '1965 ),']</t>
  </si>
  <si>
    <t>A mode analysis that is independent of detailed field expressions is made of the total power Psc(œâ) scattered from an electrically linear body of arbitrary size and shape, excited by a single-frequency incident field and loaded at a reference port. This load may be linear, nonlinear, and passive, or nonlinear and active at a given frequency œâ. Psc(œâ) is the sum of a scatter mode power that is proportional to the scatter-mode radiation resistance, a transmitter mode power that is proportional to the port radiation resistance, and their cross power. The form of this expression for Psc yields criteria for determining whether an antenna could be a minimum-scattering (MS) Dicke antenna, an MS antenna as defined by W.K. Kahn and H. Kurss (1965), or a CMS antenna of the type of W.K. Kahn and W. Wasylkiwskyj (1966). The general expression for Psc(œâ) yields a load-independent lower bound. An expression analogous to Psc for the bistatic power Psc(œâ) scattered into a specified solid angle is presented. A lower bound to Psc(œâ) is obtained. Its integral over frequency yields the broadband lower bound.</t>
  </si>
  <si>
    <t>555-563</t>
  </si>
  <si>
    <t>Bevensee, Robert M.</t>
  </si>
  <si>
    <t>Livermore</t>
  </si>
  <si>
    <t>Lawrence Livermore National Laboratory</t>
  </si>
  <si>
    <t>Bevensee R.</t>
  </si>
  <si>
    <t>Lower bound to the broad-band power scattered from an electrically linear antenna with a general lumped load</t>
  </si>
  <si>
    <t>2-s2.0-34250831640</t>
  </si>
  <si>
    <t>['well suited', 'numerical techniques', 'matching network', 'load impedance', 'analytical modeling']</t>
  </si>
  <si>
    <t>The real frequency method (RFM) is used to design a matching network for an electrically short loaded dipole. The RFM is demonstrated to be superior to other analytical and numerical techniques in the sense that it yields the maximum flat transducer power gain possible, and that it does not require any analytical modeling of the load impedance to be matched. For this reason, the RFM is found to be well suited for matching distributed systems such as antennas.</t>
  </si>
  <si>
    <t>506-509</t>
  </si>
  <si>
    <t>7006080963;55197051100</t>
  </si>
  <si>
    <t>Ramahi, Omar M.;Mittra, Raj</t>
  </si>
  <si>
    <t>Design of a matching network for an HF antenna using the real frequency method</t>
  </si>
  <si>
    <t>2-s2.0-34250831643</t>
  </si>
  <si>
    <t>['variable height', 'results obtained', 'rectangular waveguide', 'numerical results', 'input impedance', 'image theory', 'coaxial feed']</t>
  </si>
  <si>
    <t>Image theory is used to determine the input impedance of a coaxial feed in a short-circuited, semi-infinite, rectangular waveguide. The analysis is applicable to hollow antenna probes of variable height and lends itself well to accurate numerical evaluation. The numerical results are compared to results obtained from other methods and show the efficacy of using image theory to determine the waveguide input impedance.</t>
  </si>
  <si>
    <t>1144-1146</t>
  </si>
  <si>
    <t>60007801;60007801</t>
  </si>
  <si>
    <t>7006424308;7006776374</t>
  </si>
  <si>
    <t>Rollins, John M.;Jarem, John M.</t>
  </si>
  <si>
    <t>El Paso</t>
  </si>
  <si>
    <t>The University of Texas at El Paso</t>
  </si>
  <si>
    <t>Rollins J.</t>
  </si>
  <si>
    <t>Input impedance of a hollow-probe-fed, semi-infinite rectangular waveguide</t>
  </si>
  <si>
    <t>2-s2.0-34250834368</t>
  </si>
  <si>
    <t>['wavelength choke', 'studied numerically', 'small size', 'side wall', 'satisfactory agreement', 'reflector aperture', 'reflector antenna', 'radiation characteristics', 'moment methods', 'microstrip feed', 'measurement data', 'matrix equation', 'integral equations', 'ground plane', 'compute results', 'boundary conditions', 'backlobe levels', 'backlobe level', 'analytic method', 'also considered']</t>
  </si>
  <si>
    <t>The radiation characteristics of a circular microstrip antenna are studied numerically. Surface integral equations are used to formulate the problem from the boundary conditions and moment methods are used to reduce the integral equations to a matrix equation. An analytic method is used to design a microstrip feed and to achieve symmetric radiation patterns with low cross polarization and backlobe levels. The backlobe level is reduced by adding a quarter-wavelength choke to the side wall or the ground plane of the antenna and the bandwidth is improved by stacking two layers. The performance of the feed with the reflector antenna is also considered. One of the feeds was fabricated and tested. Satisfactory agreement between the compute results and the measurement data was obtained. The microstrip feed has a very small size which should reduce its blockage of the reflector aperture.</t>
  </si>
  <si>
    <t>445-451</t>
  </si>
  <si>
    <t>60010491;60010491</t>
  </si>
  <si>
    <t>7004922524;8092251400</t>
  </si>
  <si>
    <t>Kishk, Ahmed A.;Shafai, Lotfollah</t>
  </si>
  <si>
    <t>Kishk A.</t>
  </si>
  <si>
    <t>Optimization of microstrip feed geometry for prime focus reflector antennas</t>
  </si>
  <si>
    <t>2-s2.0-34250838743</t>
  </si>
  <si>
    <t>['squint mode', 'scansar mode', 'radar parameters', 'polarization differentiation', 'point quantizing', 'innovative modes', 'echo tracking', 'directly transferred', 'data compression', 'c capabilities', 'block floating', 'beam nulling', 'allow flexibility']</t>
  </si>
  <si>
    <t>The spaceborne imaging radar (SIR)-C instrument has been designed to obtain simultaneous multifrequency and simultaneous multipolarization radar images from a low earth orbit. It is a multiparameter imaging radar that will be flown during two different seasons. The instrument has been designed to operate in innovative modes such as the squint mode, the extended aperture mode, and the scansar mode, and to demonstrate innovative engineering techniques such as beam nulling for echo tracking, pulse repetition frequency-hopping for Doppler centroid tracking, frequency step chirp generating for polarization differentiation, and block floating-point quantizing for data compression. The instrument has also been designed to allow flexibility in selection of radar parameters such as pulsewidth and beamwidth in the tradeoff of image quality parameters. These SIR-C capabilities are to be directly transferred to the proposed Earth Observing System (EOS) synthetic aperture radar.</t>
  </si>
  <si>
    <t>164-169</t>
  </si>
  <si>
    <t>Huneycutt, Bryan L.</t>
  </si>
  <si>
    <t>Huneycutt B.</t>
  </si>
  <si>
    <t>Spaceborne imaging radar-C instrument</t>
  </si>
  <si>
    <t>2-s2.0-34250843905</t>
  </si>
  <si>
    <t>['wave excitation', 'typical segments', 'space radiation', 'microstrip antennas', 'large arrays', 'frequency range', 'feed lines', 'experimental results', 'electrical currents', '35 ghz', '1024 elements']</t>
  </si>
  <si>
    <t>The radiation and losses in microstrip antennas with a corporate feed network are studied. A surface current approach is applied in which the electrical currents in the feed lines are modeled as in ideal transmission lines. The free-space radiation and the surface-wave excitation of typical segments in printed feed networks are studied. A four-element array antenna with its printed feed network is analyzed and predicted radiation patterns, directivity, and gain are presented and compared with experimental results. The gain and directivity of large arrays of 16, 64, 256 and 1024 elements are calculated and measurements in the frequency range of 10 to 35 GHz are reported.</t>
  </si>
  <si>
    <t>426-434</t>
  </si>
  <si>
    <t>60072442;60072442;60072442;60072442</t>
  </si>
  <si>
    <t>7202294701;57193327673;23032510000;7004481850</t>
  </si>
  <si>
    <t>Levine, Ely;Malamud, Gabi;Shtrikman, Shmuel;Treves, David</t>
  </si>
  <si>
    <t>Ashdod</t>
  </si>
  <si>
    <t>Elta Electronics Industries Ltd.</t>
  </si>
  <si>
    <t>Levine E.</t>
  </si>
  <si>
    <t>Study of microstrip array antennas with the feed network</t>
  </si>
  <si>
    <t>2-s2.0-34250845116</t>
  </si>
  <si>
    <t>['recent advances', 'electrically large', 'complex targets']</t>
  </si>
  <si>
    <t>The application of near-field scattering measurements for determining the near-zone and far-zone radar cross section (RCS) of complex targets that are both physically and electrically large is reviewed and examined in the light of recent advances in near-field measurement technology and data processing capabilities.</t>
  </si>
  <si>
    <t>576-585</t>
  </si>
  <si>
    <t>6602471867;7403275788</t>
  </si>
  <si>
    <t>Cown, Barry J.;Ryan, Charles E.</t>
  </si>
  <si>
    <t>Cown B.</t>
  </si>
  <si>
    <t>Near-field scattering measurements for determining complex target RCS</t>
  </si>
  <si>
    <t>2-s2.0-34250853608</t>
  </si>
  <si>
    <t>['preliminary design', 'mission parameters', 'conducted together', 'amsr system', 'amsr ),']</t>
  </si>
  <si>
    <t>An investigation on users' requirements for future passive microwave scanning radiometers, especially the advanced microwave scanning radiometer (AMSR), which is one of the Earth Observing System Instruments, has been conducted together with a preliminary design of the AMSR system. As a result, mission parameters for the AMSR have been determined while the feasibility of the electronically scanning type of the AMSR has been confirmed. In particular, it is found that a beam-switching antenna system that was developed makes possible multifrequency measurement, and multiple beam conical scanning, while preserving polarization purity.</t>
  </si>
  <si>
    <t>177-183</t>
  </si>
  <si>
    <t>60022990;60022990;60022990</t>
  </si>
  <si>
    <t>36949290400;7403965268;56591002100</t>
  </si>
  <si>
    <t>Tachi, Kazuo;Arai, Kohei;Sato, Yuzi</t>
  </si>
  <si>
    <t>Japan Aerospace Exploration Agency</t>
  </si>
  <si>
    <t>Tachi K.</t>
  </si>
  <si>
    <t>Advanced microwave scanning radiometer (AMSR): requirements and preliminary design study</t>
  </si>
  <si>
    <t>2-s2.0-34250855215</t>
  </si>
  <si>
    <t>['wide range', 'tube amplifier', 'support top', 'spring 1987', 'software tool', 'sar 9', 'performance monitoring', 'metallized carbon', 'measurement geometries', 'instrument specification', 'hardware development', 'development phase', 'detailed design', 'design incorporates']</t>
  </si>
  <si>
    <t>The detailed design and development phase of the X-SAR 9.6-GHz vertical polarization segment of the Shuttle Radar Lab (SRL) mission, started in Spring 1987, is discussed. The design incorporates a planar array antenna based on metallized carbon-fiber-reinforced plastic technology, a traveling-wave-tube amplifier, and a dual-channel receiver using surface acoustic wave devices. Several radar parameters are controllable from ground to achieve high performance over a wide range of measurement geometries. Definitions of image performance parameters and modeling algorithms developed in support of instrument specification and performance monitoring during hardware development are presented. The algorithms have been implemented as a software tool to perform sensitivity analysis and generate interesting graphical results to support top-level instrument verification.</t>
  </si>
  <si>
    <t>Miller, David</t>
  </si>
  <si>
    <t>Miller D.</t>
  </si>
  <si>
    <t>X-SAR specification, design, and performance modeling</t>
  </si>
  <si>
    <t>2-s2.0-34250862204</t>
  </si>
  <si>
    <t>['two types', 'two elements', 'successfully combined', 'studied experimentally', 'power output', 'mutual coupling', 'microstrip antenna', 'many applications', 'locking gain', 'locking bandwidth', 'injection locking', 'free space', 'element arrays', 'dc bias', 'combining efficiency', 'calculated based', 'antenna elements', 'active transmitters', '90 %.']</t>
  </si>
  <si>
    <t>Two types of active antenna elements have been studied experimentally. One type uses a microstrip antenna with an active device mounted directly on the antenna. The other uses an active device coupled to a microstrip patch antenna through an aperture. Microstrip active antenna elements and two-element arrays have been demonstrated for both types of circuits. Injection locking of the antenna elements has been achieved through space and mutual coupling. The circuit Q factor was calculated based on the locking gain and the locking bandwidth. The power output from two elements has been successfully combined in free space with a combining efficiency of over 90%. For a single active antenna with a Gunn diode mounted directly on the patch, an electronic tuning range exceeding 9% has been achieved by varying the DC bias. The results should have many applications in low-cost active arrays, active transmitters, and spatial power combiners.</t>
  </si>
  <si>
    <t>1078-1084</t>
  </si>
  <si>
    <t>7404879378;7003548524;7404605109</t>
  </si>
  <si>
    <t>Chang, Kai;Hummer, Kenneth A.;Klein, James L.</t>
  </si>
  <si>
    <t>Chang K.</t>
  </si>
  <si>
    <t>Experiments on injection locking of active antenna elements for active phased arrays and spatial power combiners</t>
  </si>
  <si>
    <t>2-s2.0-34250892515</t>
  </si>
  <si>
    <t>['wave spectral', 'wave configurations', 'wave configuration', 'superstrate configuration', 'suitably selecting', 'successfully designed', 'rigorous method', 'mutual coupling', 'measured performances', 'generalized configuration', 'formulated using', 'feed line', 'fed array', 'evaluated using', 'equivalent impedance', 'element analysis', 'electromagnetically coupled', 'domain green', 'dipole excitation', 'design details', 'array analysis']</t>
  </si>
  <si>
    <t>An analysis of a printed dipole element and a generalized configuration of a series-fed array of such elements, electromagnetically coupled to a covered microstripline running perpendicularly under it in a substrate-superstrate configuration, is presented. The solution is based in the principle of reciprocity and is formulated using a rigorous method of moments and full-wave spectral-domain Green's functions for multilayer dielectric substrates. The dipole excitation is characterized by an equivalent impedance, and can be controlled by suitably selecting the offset of the dipole from the feed line. Mutual coupling between dipoles is included. Using the results of the element analysis, a series-fed array prototype has been successfully designed, built, and tested in a standing-wave configuration; the design details are described, and measured performances are evaluated using the results of the array analysis. Mutual coupling effects are found to be not detrimental for this configuration, but can be severe for other nonstanding-wave configurations.</t>
  </si>
  <si>
    <t>435-444</t>
  </si>
  <si>
    <t>Das N.</t>
  </si>
  <si>
    <t>Analysis and design of series-fed arrays of printed-dipoles proximity-coupled to a perpendicular microstripline</t>
  </si>
  <si>
    <t>2-s2.0-34250895691</t>
  </si>
  <si>
    <t>['tritium injection', 'time comparable', 'superthermal narrow', 'six decades', 'plane edge', 'particles provide', 'outer mid', 'neutron flux', 'measured using', 'localized modes', 'ice intensity', 'ice follows', 'generating ice', 'frequency range', 'free energy', 'factor comparable', '7 mw', '180 mhz']</t>
  </si>
  <si>
    <t>In the course of the preliminary tritium experiment (PTE) in JET, where combined D and T neutral beam injection generated a DT fusion power of 1.7 MW, ion cyclotron emission (ICE) in the frequency range up to 180 MHz was measured using an ICRF heating antenna as probe. The ICE spectrum showed a number of superthermal narrow, equally spaced emission lines which correspond to deuteron or alpha -particle ion cyclotron harmonics at the outer mid-plane edge (major radius R approximately 4 m). DD and DT power spectra are similar in form, and show split lines which, above approximately 100 MHz, merge into a continuum. With tritium injection, the ICE power increased by a factor comparable to the increase of neutron flux, indicating that 3.5 MeV fusion alpha -particles provide the free energy for generating ICE. The ICE power increases almost linearly with neutron flux over a range of six decades. The evolution of the ICE follows the rise of the neutron flux, but is delayed by a time comparable with the slowing-down time of the alpha -particles. The ICE intensity is anti-correlated with large amplitude edge-localized modes.</t>
  </si>
  <si>
    <t>60025104;60025104;60025104;;60025104;60025104;60025104;60025104;60025104;60025104;60025104</t>
  </si>
  <si>
    <t>7102792905;7102660576;6603129830;7005284197;57212709240;7005524697;7005663795;57201345596;6701751243;6603859644;7003994552</t>
  </si>
  <si>
    <t>Cottrell, G. A.;Bhatnagar, V. P.;Da Costa, O.;Dendy, R. O.;Edwards, A.;Jacquinot, J.;Nave, M. F.F.;Schmid, M.;Sibley, A.;Smeulders, P.;Start, D. F.H.</t>
  </si>
  <si>
    <t>Cottrell G.</t>
  </si>
  <si>
    <t>Identification of ion cyclotron emission from fusion alpha particles during JET deuterium-tritium experiments</t>
  </si>
  <si>
    <t>074133359290241W</t>
  </si>
  <si>
    <t>10.1088/0741-3335/34/13/027</t>
  </si>
  <si>
    <t>2-s2.0-36149032322</t>
  </si>
  <si>
    <t>['toroidal device', 'range 0', 'first time', 'deuterium plasmas', 'backward mode', '3 ev']</t>
  </si>
  <si>
    <t>Electrostatic wave propagation transverse to a magnetic field B is analyzed in the range of the ion cyclotron frequency in a toroidal device. The electrostatic ion cyclotron waves are excited by means of an electromagnetic signal injected through an antenna system located in the centre of the plasma. For the first time the backward mode is detected in hydrogen and deuterium plasmas. A comparison between the theoretical dispersion relation and the experimental results permits an indirect accurate estimate of the ion temperature typically in the range 0.05-0.3 eV. ¬© 1992 IOP Publication Ltd.</t>
  </si>
  <si>
    <t>147-159</t>
  </si>
  <si>
    <t>60030318;60030318;60030318;60030318;60030318;60030318</t>
  </si>
  <si>
    <t>57055697200;22990769200;6603918183;7004438555;57201282091;22995022400</t>
  </si>
  <si>
    <t>Alba, S.;Carbone, G.;Fontanesi, M.;Galassi, A.;Riccardi, C.;Sindoni, E.</t>
  </si>
  <si>
    <t>Universit√† degli Studi di Milano</t>
  </si>
  <si>
    <t>Alba S.</t>
  </si>
  <si>
    <t>Electrostatic ion cyclotron waves in a low magnetized plasma</t>
  </si>
  <si>
    <t>074133359290206L</t>
  </si>
  <si>
    <t>10.1088/0741-3335/34/2/002</t>
  </si>
  <si>
    <t>2-s2.0-36149035145</t>
  </si>
  <si>
    <t>['wide range', 'tail temperatures', 'slow waves', 'sawtooth instability', 'results obtained', 'real time', 'prime candidate', 'plasma position', 'plasma coupling', 'plasma center', 'pellet injection', 'negligible levels', 'monopole phasing', 'mode regime', 'mode plasma', 'mode discharges', 'lower densities', 'located near', 'lhcd alone', 'lh appears', 'lh ).', 'large values', 'icrh antennas', 'hybrid resonance', 'high field', 'generic difficulty', 'fast wave', 'fast electrons', 'driving mechanism', 'considerably modified', 'conditions ti', 'combining lhcd', 'antenna circuits', '90 ¬∞.', '90 ¬∞', '70 kev', '4 mw', '150 kev', '140 kw', '14 mw', '1 resonance']</t>
  </si>
  <si>
    <t>Heating and current drive studies were performed during the JET [Phys Fluids B 3, 2209 (1991)] 1990/91 operation using two large systems capable of generating either fast waves in the ion cyclotron range of frequencies (ICRF) or slow waves at a frequency above the lower-hybrid resonance (LH). The maximum wave power coupled to the torus reached 22 MW for ICRH and 2.4 MW for LH. The results obtained in plasma heating experiments qualify ICRH as a prime candidate for heating reactor grade plasmas. A centrally localized deposition profile in the cyclotron damping regime was demonstrated in a wide range of plasma density resulting in (i) record value nd œÑE Ti0 =: 7.8 √ó 1020 m-3 sec keV in "thermal" conditions Ti = Te ‚âÉ 11 keV at high central densities generated by pellet injection; (ii) large normalized confinement 2.5 ‚â§ œÑE/œÑGoldston ‚â§4. The large values of œÑE/œÑGoldston are reached in H-mode discharges (I‚â§1.5 MA) with large bootstrap current fraction IBS/I ‚â§ 0.7 ¬± 0.2; (iii) the highest to date D-3He fusion power (140 kW) generated with 10-14 MW of ICRH in the L-mode regime at the 3He cyclotron frequency. All specific impurity generations have been reduced to negligible levels by proper antenna design and the generic difficulty of wave-plasma coupling has been greatly reduced using feedback loops controlling in real time the antenna circuits and the plasma position. Current drive efficiencies Œ≥ = ICD„Äàne„ÄâR/P ‚âÉ 0.4 √ó 1020 m-2 A/W have been reached in 1.5 MA L-mode plasma with zero loop voltage by combining LHCD and ICRH. Fast electrons are driven by LHCD alone to tail temperatures of up to 70 keV. The fast electron density is peaked in the plasma center at lower densities (ne0 ‚â§ 2.6 √ó 1019 m-3) and high field (BœÜ ‚àº 3.1 T). In these conditions, the fast electrons are further accelerated (even at zero loop voltage) to tail temperatures above 150 keV by heating the plasma with ICRF in monopole phasing. Direct electron damping of the fast wave on the fast electrons created by LH appears to be the driving mechanism of this synergism which produces fast wave current drive even without phasing the ICRH antennas. Finally, the first results obtained in the minority current drive regime are reported. The sawtooth instability is considerably modified when the resonance is located near the q=1 resonance. The effect is reversed from stabilization to destabilization when the phase of the ICRH antennas is reversed from +90¬∞ to -90¬∞.</t>
  </si>
  <si>
    <t>2111-2121</t>
  </si>
  <si>
    <t>7005524697;57212335886</t>
  </si>
  <si>
    <t>Jacquinot, J.;Bures, M.</t>
  </si>
  <si>
    <t>Joint European Torus results with both fast and lower-hybrid wave consequences for future devices</t>
  </si>
  <si>
    <t>10.1063/1.860483</t>
  </si>
  <si>
    <t>2-s2.0-3743116457</t>
  </si>
  <si>
    <t>5-55380</t>
  </si>
  <si>
    <t>['¬© 1992', 'wisp experiment', 'systems characterized', 'space shuttle', 'space plasma', 'reformulating equations', 'motion applicable', 'large class', 'general character', 'critical combinations', 'contemporary interest', 'briefly outlined', 'approach applicable']</t>
  </si>
  <si>
    <t>A methodology for reformulating equations of motion applicable to a large class of systems with interconnected flexible deployable members is briefly outlined. Effectiveness of the formulation is illustrated through its application to a problem of contemporary interest, the WISP (Waves In Space Plasma) dipole antenna aboard the Space Shuttle. The parametric study suggests that under critical combinations of parameters, the system is susceptible to instability. The information is fundamental to the planning of the WISP experiment. The general character of the formulation, the associated dynamics algorithm, and the operational numerical code makes the approach applicable to a large class of systems characterized by deployable flexible members. ¬© 1992.</t>
  </si>
  <si>
    <t>749-761</t>
  </si>
  <si>
    <t>60010365;60010365</t>
  </si>
  <si>
    <t>7102008072;24429337800</t>
  </si>
  <si>
    <t>Modi, V. J.;Ibrahim, A. M.</t>
  </si>
  <si>
    <t>Vancouver</t>
  </si>
  <si>
    <t>The University of British Columbia</t>
  </si>
  <si>
    <t>Modi V.J.</t>
  </si>
  <si>
    <t>Dynamics of the orbiter-based WISP experiment</t>
  </si>
  <si>
    <t>0094-5765(92)90057-P</t>
  </si>
  <si>
    <t>10.1016/0094-5765(92)90057-P</t>
  </si>
  <si>
    <t>2-s2.0-38249008519</t>
  </si>
  <si>
    <t>['¬© 1992', 'tergal extracts', 'stimulant show', 'ring defined', 'receptor activity', 'one ring', 'one hair', 'nearly identical', 'member recognition', 'investigated electrophysiologically', 'fruit juices', 'external morphology', 'electrical stimulation', 'contact chemoreceptors', 'considerable variability', 'chemical stimulants', 'antennal ring', 'annular arrangement', '2 respond']</t>
  </si>
  <si>
    <t>antennae | chemoreception | Cockroach | Periplaneta americana | taste hairs | terminal pore hairs</t>
  </si>
  <si>
    <t>Contact chemoreceptors of the antennal segments 115-135 are investigated electrophysiologically. The hairs, of which the external morphology is nearly identical, have an annular arrangement. Although electrical contact can be obtained with the hairs of all but one ring only the sensilla of the ring defined as ring-2 respond to chemical stimulants. Receptor activity, involving ‚â•2 cells, is elicited by fruit juices, surface and tergal extracts but not by salts, sugars, water, l-alanine and ethanol. The responses of one hair and between hairs of the same antenna to the same stimulant show a considerable variability. Hairs that do not respond possess operating spike generators as can be revealed by electrical stimulation. The role of antennal ring-2 contact chemoreceptors in the context of food and member recognition is discussed. ¬© 1992.</t>
  </si>
  <si>
    <t>813-822</t>
  </si>
  <si>
    <t>Journal of Insect Physiology</t>
  </si>
  <si>
    <t>Hansen-Delkeskamp, Elisabeth</t>
  </si>
  <si>
    <t>Regensburg</t>
  </si>
  <si>
    <t>Universit√§t Regensburg</t>
  </si>
  <si>
    <t>Hansen-Delkeskamp E.</t>
  </si>
  <si>
    <t>Functional characterization of antennal contact chemoreceptors in the cockroach, Periplaneta americana. An electrophysiological investigation</t>
  </si>
  <si>
    <t>0022-1910(92)90034-B</t>
  </si>
  <si>
    <t>10.1016/0022-1910(92)90034-B</t>
  </si>
  <si>
    <t>2-s2.0-38249008604</t>
  </si>
  <si>
    <t>['¬© 1992', 'effectively extracts', 'correlated part']</t>
  </si>
  <si>
    <t>A data analysis procedure is described which effectively extracts the correlated part from the total electromagnetic field present in the plane of space orthogonal linearly polarised antennas. An example is given to demonstrate the effectiveness of the technique when applied to D-region partial reflections. ¬© 1992.</t>
  </si>
  <si>
    <t>1523-1526</t>
  </si>
  <si>
    <t>November 1992/December 1992</t>
  </si>
  <si>
    <t>von Biel, H. A.</t>
  </si>
  <si>
    <t>von Biel H.</t>
  </si>
  <si>
    <t>Assessing the correlated signal power in D-region partial reflections</t>
  </si>
  <si>
    <t>002191699290159I</t>
  </si>
  <si>
    <t>10.1016/0021-9169(92)90159-I</t>
  </si>
  <si>
    <t>2-s2.0-38249008970</t>
  </si>
  <si>
    <t>['¬© 1992', 'sex pheromone', 'serricornin toward', 'serricornin results', 'serricornin ).', 'peripheral receptors', 'mixture application', 'lasioderma serricorne', 'central integration', 'behavioural inhibitor', 'also non']</t>
  </si>
  <si>
    <t>cigarette beetle | electroantennogram | olfaction | Pheromone inhibition | single sensillum recording</t>
  </si>
  <si>
    <t>Electroantennogram and single sensillum recordings were performed on the male cigarette beetle, Lasioderma serricorne, antennae. Strong antennal responses were elicited by not only natural sex pheromone component (4S,5S,7S)-serricornin (SSS-serricornin) but also non-natural behavioural inhibitor, (4S,5S,7R)-serricornin (SSR-serricornin). In the case of mixture application of the SSS- and SSR-serricornin, integrated electroantennogram responses were observed. Single sensillum recording from male flagella sensilla showed that the majority of basiconic type sensilla responded to the behavioural inhibitor as well as to the sex pheromone. However, a few of them responded only to the inhibitor. The behavioural inhibitory action of SSR-serricornin toward the SSS-serricornin results from central integration of the information from separate receptor cells rather than blockage at the peripheral receptors. ¬© 1992.</t>
  </si>
  <si>
    <t>705-709</t>
  </si>
  <si>
    <t>60009784;60009784;60009784;60009784;60009784;60014256;60014256</t>
  </si>
  <si>
    <t>10838932400;36905962000;55700204100;8568420300;10840702500;7006768749;7201367564</t>
  </si>
  <si>
    <t>Okada, Kentaro;Watanabe, Akihiko;Mori, Masataka;Shimazaki, Kazuko;Chuman, Tatsuji;Mochizuki, Fumiaki;Shibuya, Tatsuaki</t>
  </si>
  <si>
    <t>Tsukuba;Tokyo</t>
  </si>
  <si>
    <t>University of Tsukuba;Japan Tobacco</t>
  </si>
  <si>
    <t>60014256;60009784</t>
  </si>
  <si>
    <t>Okada K.</t>
  </si>
  <si>
    <t>Olfactory responses to the sex pheromone component and its behavioural inhibitor in the male cigarette beetle, Lasioderma serricorne</t>
  </si>
  <si>
    <t>0022-1910(92)90053-G</t>
  </si>
  <si>
    <t>10.1016/0022-1910(92)90053-G</t>
  </si>
  <si>
    <t>2-s2.0-38249009505</t>
  </si>
  <si>
    <t>['¬© 1992', 'telemetered data', 'supranormal increase', 'six mares', 'right angles', 'remained elevated', 'radio transmitter', 'prepartum mean', 'one flank', 'gradually decreasing', 'decreased rapidly', 'antennae placed', '106 hours', '001 ).']</t>
  </si>
  <si>
    <t>mare | parturition | radiotelemetry | temperature</t>
  </si>
  <si>
    <t>The objective of this study was to determine the pattern of mare deep body temperature fluctuations associated with parturition using biotelemetry. A radio transmitter was implanted in one flank in each of six mares. Telemetered data were received by a pair of antennae placed at right angles in a 3.3 √ó 6.6-m stall and stored on a computer hard disk. Hourly temperature data were recorded for the period of -168 through 168 hours post partum. A decrease of 0.76¬∞C in body temperature began at 4 hours prior to parturition (P &lt; 0.1) then decreased rapidly between the 3 hours prior to and the time of parturition (Time 0). The lowest mean body temperature recorded was at the time of parturition (36.58 ¬± 0.16¬∞C; P &lt; 0.001). A supranormal increase in mean body temperature began one hour post partum, peaked at 38.02 ¬± 0.08 ¬∞C and remained elevated for 48 hours post partum until gradually decreasing to the level of the prepartum mean by 106 hours. ¬© 1992.</t>
  </si>
  <si>
    <t>1041-1048</t>
  </si>
  <si>
    <t>0093691X</t>
  </si>
  <si>
    <t>Theriogenology</t>
  </si>
  <si>
    <t>24319842700;7007149923;24321274100</t>
  </si>
  <si>
    <t>Cross, D. T.;Threlfall, W. R.;Kline, R. C.</t>
  </si>
  <si>
    <t>Cross D.</t>
  </si>
  <si>
    <t>Body temperature fluctuations in the periparturient horse mare</t>
  </si>
  <si>
    <t>0093-691X(92)90102-W</t>
  </si>
  <si>
    <t>10.1016/0093-691X(92)90102-W</t>
  </si>
  <si>
    <t>2-s2.0-38249011040</t>
  </si>
  <si>
    <t>['¬© 1992', 'wind appears', 'vertical wavelengths', 'tentative explanation', 'sometimes seen', 'put forward', 'mesospheric heights', 'mean flow', 'clear oscillations', 'also occur']</t>
  </si>
  <si>
    <t>The Saskatoon MF radar operates continuously in the spaced antenna mode with 5 min resolution, primarily for horizontal wind analysis at mesospheric heights. Mean Doppler frequency and antenna-pair phase difference are available as byproducts. Clear oscillations are sometimes seen in the latter. Spectral analysis shows that these also occur in the Doppler and extend over a range of heights. The two cases shown are almost certainly perturbations in specular reflecting layers moving with horizontal velocity close to that of the wind. Downward phase propagation is apparent, and when the oscillations are present, the wind appears to be decelerating. The tentative explanation of a breaking gravity wave decelerating the mean flow is put forward, although the relations between frequency, and horizontal and vertical wavelengths, contradict linear gravity wave theory. ¬© 1992.</t>
  </si>
  <si>
    <t>277-293</t>
  </si>
  <si>
    <t>60191856;60191856</t>
  </si>
  <si>
    <t>24290221300;7006112190</t>
  </si>
  <si>
    <t>Meek, C. E.;Manson, A. H.</t>
  </si>
  <si>
    <t>Meek C.E.</t>
  </si>
  <si>
    <t>Angle-of-arrival oscillations in the mesosphere as seen by medium frequency (MF) radar</t>
  </si>
  <si>
    <t>10.1016/0021-9169(92)90008-9</t>
  </si>
  <si>
    <t>2-s2.0-38249012466</t>
  </si>
  <si>
    <t>['¬© 1992', 'zenith angle', 'wave field', 'vertical beam', 'single antenna', 'sensitivity function', 'returned energy', 'radio astronomy', 'radar backscatter', 'method would', 'long cross', 'index fluctuations', 'azimuth angle', 'aspect sensitivity', 'aperturesynthesis techniques', 'aperture radar', 'antenna techniques']</t>
  </si>
  <si>
    <t>The theory of spaced-antenna techniques for the measurement of aspect sensitivity of radar backscatter from the atmosphere is considered. Correlation measurements made on the wave field can be used to determine the angular power spectrum of the returned energy in much the same way that aperturesynthesis techniques are used in radio astronomy. After correction for the antenna polar diagrams, this yields the aspect-sensitivity function for the refractive-index fluctuations which are responsible for the scatter. Allowance is made for the possibility that the backscattered power may vary with azimuth angle as well as zenith angle. It is shown that commonly available data from three spaced antennae can give useful information about aspect sensitivity and can also be used to estimate the effective pointing angle of an off-vertical beam. A method is suggested which may provide increased angular resolution, based on the fact that a single antenna can observe a very long cross-section through a moving ground pattern. The method would be analogous to a synthetic-aperture radar. ¬© 1992.</t>
  </si>
  <si>
    <t>153-165</t>
  </si>
  <si>
    <t>Briggs, B. H.</t>
  </si>
  <si>
    <t>Radar measurements of aspect sensitivity of atmospheric scatterers using spaced-antenna correlation techniques</t>
  </si>
  <si>
    <t>10.1016/0021-9169(92)90123-3</t>
  </si>
  <si>
    <t>2-s2.0-38249012816</t>
  </si>
  <si>
    <t>['¬© 1992', 'ultrastructural differences', 'type 3', 'short ductule', 'sexually active', 'sex pheromone', 'receiving canal', 'producing glands', 'previously verified', 'never observed', 'males subjected', 'intact females', 'gland containing', 'gland cells', 'evacuation pore', 'emission activity', 'electric response', 'eag ).', 'diverse inclusions', 'distributed irregularly', 'different types', 'diapausing females', '1 œºm']</t>
  </si>
  <si>
    <t>cuticle | gland cell | insect | Morphology | scanning electron microscopy</t>
  </si>
  <si>
    <t>The sex pheromone glands of female Bruchidius atrolineatus (Coleoptera: Bruchidae) have been localized by recording the electric response of the antenna of males subjected to a stream of air, containing the volatile sex pheromone (electroanntennography-EAG). Some 50 unicellular glands are distributed irregularly in the ventral and dorsal intersegmental membranes situated at the extremity of the pygidium, each gland containing a short ductule with an evacuation pore, 0.5-1 Œºm in diameter. The receiving canal is composed of a network of fine epicuticular filaments. The glands are type 3. The ultrastructure of these sex pheromone-producing glands is described in females whose production-emission activity had been previously verified with EAG. Deep basal invaginations and inflated intercellular spaces indicate the transport of substances from the hemolymph to the gland cells. The presence of numerous elongated mitochondria, diverse inclusions, vesicles containing crystalline bodies, and abundant apical microvilli, all reveal elevated cellular activity, which is never observed in young or diapausing females that do not produce sex pheromone. The ultrastructural differences in different types of females (sexually active or diapausing), combined with comparative EAG recordings obtained with intact females or those in which the suspected glandular zone was masked, made it possible to localize the glands. ¬© 1992.</t>
  </si>
  <si>
    <t>251-262</t>
  </si>
  <si>
    <t>International Journal of Insect Morphology and Embryology</t>
  </si>
  <si>
    <t>60032530;60032530;60032530</t>
  </si>
  <si>
    <t>6507335310;6506776938;6603099985</t>
  </si>
  <si>
    <t>Biemont, Jean Claude;Chaibou, Mahamadou;Pouzat, Jean</t>
  </si>
  <si>
    <t>Tours</t>
  </si>
  <si>
    <t>Universit√© de Tours</t>
  </si>
  <si>
    <t>Biemont J.C.</t>
  </si>
  <si>
    <t>Localization and fine structure of the female sex pheromone-producing glands in Bruchidius atrolineatus (PIC) (Coleoptera : Bruchidae)</t>
  </si>
  <si>
    <t>0020-7322(92)90020-N</t>
  </si>
  <si>
    <t>10.1016/0020-7322(92)90020-N</t>
  </si>
  <si>
    <t>2-s2.0-38249013244</t>
  </si>
  <si>
    <t>Leverhulme Trust</t>
  </si>
  <si>
    <t>['unsegmented flatworms', 'thoracopodal feeding', 'short series', 'recent suggestion', 'probably derived', 'primitive form', 'previously associated', 'polyphyletic assemblage', 'pattern preserved', 'nauplius larva', 'monophyletic group', 'may never', 'locomotory antennae', 'life cycle', 'haemocoelic pressure', 'functional considerations', 'fossil evidence', 'feeding mechanism', 'factors involved', 'early arthropods', 'crustacea appears', 'certain features', 'cephalic region', 'cephalic appendages', 'arthropodization must', 'annelid type']</t>
  </si>
  <si>
    <t>Pre‚ÄêCambrian metamerically segmented bilaterians that ultimately gave rise to crustaceans probably arose from unsegmented flatworms. The recent suggestion that early arthropods, far from possessing a capacious segmented coelome of the annelid type, may never have had such, is attractive. Crustaceans were probably derived from small, segmented, surface‚Äêdwelling non‚Äêannelidan marine worms with a haemocoele. Their appendages probably originated as simple outgrowths whose shape was maintained by haemocoelic pressure. Possible routes whereby trunk limbs could have been derived from such rudiments are suggested. Trunk limbs would originally be unsegmented, as in many extant branchiopods and in certain Cambrian crustaceans. The evolution of thoracopodal feeding and some of the factors involved in the differentiation of the cephalic appendages are considered, as is the origin of the nauplius larva and the establishment of its feeding mechanism. Certain features of the cephalic region of the adult reflect changes necessitated as a result of the incorporation of the nauplius into the life cycle. Ontogeny would originally be anamorphic and follow the pattern preserved in its most primitive form in certain extant anostracan branchiopods. A reconstruction of the Ur‚Äêcrustacean is attempted. Justification for features not previously associated with such a reconstruction, such as locomotory antennae, a relatively short trunk with only a short series of limbs and a limbless posterior region, and unsegmented trunk limbs, is provided by fossil evidence, functional considerations and the situation in primitive extant forms. Crustaceans were evidently not derived from any known arthropod clade. Stem lineage forms probably arose from the same group of pre‚Äêcrustacean ancestors. While the Crustacea appears to be a monophyletic group, the idea that arthropodization must have occurred more than once and that the Arthropoda is a polyphyletic assemblage is supported, and evidence in favour of this view is cited. 1992 The Royal Swedish Academy of Sciences</t>
  </si>
  <si>
    <t>Acta Zoologica</t>
  </si>
  <si>
    <t>Fryer, Geoffrey</t>
  </si>
  <si>
    <t>Lancaster</t>
  </si>
  <si>
    <t>Lancaster University</t>
  </si>
  <si>
    <t>Fryer G.</t>
  </si>
  <si>
    <t>The Origin of the Crustacea</t>
  </si>
  <si>
    <t>10.1111/j.1463-6395.1992.tb01092.x</t>
  </si>
  <si>
    <t>2-s2.0-38249013689</t>
  </si>
  <si>
    <t>['¬© 1992', 'two antennas', 'smaller antenna', 'single detector', 'similar detection', 'seti observations', 'rf interference', 'provide examples', 'prime instrument', 'operate either', 'near arecibo', 'multiplying detector', 'lower level', 'los canos', 'larger antenna', 'large telescope', 'goldstone observatory', 'extraterrestrial origin', 'eti signal', 'eti detection', 'anticoincidence discriminator', '30 db']</t>
  </si>
  <si>
    <t>We propose that the 100 ft diameter antenna at Los Canos, near Arecibo, be used with the 1000 ft Arecibo telescopes to reduce the effects of RF interference in SETI observations. Because of its large collecting area, the 1000 ft telescope at Arecibo is a prime instrument for SETI. On the other hand, RFI will limit its usefulness. Because any ETI signal will be of extraterrestrial origin, its detection at the larger antenna will be accompanied by a similar detection in the smaller antenna, at a lower level, if it is pointed in the same direction. A detector which multiplies the outputs of the two antennas, an interferometer, can serve as an anticoincidence discriminator against RF interference. We describe a strategy for observations in which such an interferometer can operate either in parallel with a single detector at the large telescope, or in sequence to verify at ETI detection. The recent survey studies of RFI at the Goldstone Observatory (Klein et al., 1987, this volume) provide examples of the nature of the interference that may be encountered at Arecibo. We show that the multiplying detector can reduce the effects of RF interference by between 20 and 30 dB. ¬© 1992.</t>
  </si>
  <si>
    <t>219-221</t>
  </si>
  <si>
    <t>Welch, W. J.</t>
  </si>
  <si>
    <t>Welch W.</t>
  </si>
  <si>
    <t>A strategy for SETI observations at Arecibo Observatory</t>
  </si>
  <si>
    <t>009457659290100W</t>
  </si>
  <si>
    <t>10.1016/0094-5765(92)90100-W</t>
  </si>
  <si>
    <t>2-s2.0-38249014920</t>
  </si>
  <si>
    <t>['variously identified', 'subchelate limbs', 'structure may', 'recent recognition', 'radiating gills', 'probably crustacean', 'perhaps setae', 'microsclerites borne', 'locate antennae', 'key characters', 'internal microsclerites', 'imply affinity', 'elucidate details', 'detailed study', 'crystalline cones', 'compound eyes', 'compound eye', 'arthropod evolution']</t>
  </si>
  <si>
    <t>The Thylacocephala is a recently recognized extinct group of uncertain, but probably crustacean, affinity, comprising fossils formerly assigned to many different crustacean groups. Key characters are three anterior pairs of subchelate limbs; at least 8 pairs of radiating gills, situated between the trunk and carapace, the most posterior gill lying subhorizontally; and the large posteriorly tapering battery of 8(‚Äì?20) elongated limb protopods with tenuous distal filaments. Thylacocephala bear huge anterior structures, variously identified as compound eyes or as a ‚Äòcephalic sac‚Äô. Microsclerites borne on this structure may be external, perhaps setae, but need not imply affinity with cirripedes as has been argued. Internal microsclerites have been compared with crystalline cones of a compound eye. More detailed study of well‚Äêpreserved material is required to resolve the nature of these microsclerites, to elucidate details of appendages, to locate antennae, and to ascertain limb homologies. Until that work is done, affinities of the Thylacocephala must remain uncertain as must the group's relevance to evolution of Crustacea. Such recent recognition of a distinctive functional model system (Dahl, E. 1976. Zoologica Scripta 5: 163‚Äì166) which persisted for at least 340 million years, shows the fossil record still has much to contribute to understanding the pattern of arthropod evolution. 1992 The Royal Swedish Academy of Sciences</t>
  </si>
  <si>
    <t>Rolfe, W. D.Ian</t>
  </si>
  <si>
    <t>National Museums of Scotland</t>
  </si>
  <si>
    <t>Rolfe W.D.I.</t>
  </si>
  <si>
    <t>Not Yet Proven Crustacea: the Thylacocephala</t>
  </si>
  <si>
    <t>000172729290050B</t>
  </si>
  <si>
    <t>10.1111/j.1463-6395.1992.tb01095.x</t>
  </si>
  <si>
    <t>2-s2.0-38249015316</t>
  </si>
  <si>
    <t>NCC2-336</t>
  </si>
  <si>
    <t>['¬© 1992', 'time domain', 'therefore come', 'terrestrial technology', 'seti ).', 'rfi environment', 'radiofrequency interference', 'paper describes', 'observing site', 'observational programs', 'natural emissions', 'microwave frequencies', 'making use', 'extremely efficient', 'extraterrestrial technology', 'extraterrestrial intelligence', 'detecting signals', 'detect evidence', 'computational effort', 'astrophysical sources', '10 ghz']</t>
  </si>
  <si>
    <t>Radiofrequency interference (RFI) will pose the greatest technical challenge to observational programs that propose to listen for weak electromagnetic signals at microwave frequencies in order to search for extraterrestrial intelligence (SETI). Because these types of searches are attempting to detect evidence of an extraterrestrial technology, they are optimized for detecting signals in the frequency/time domain that exhibit characteristics distinctly different from the natural emissions of astrophysical sources. It should therefore come as no surprise that they are extremely efficient at detecting the relatively strong signals generated by our own terrestrial technology! The computational effort and additional observing time required to distinguish between terrestrial and potential extraterrestrial technological signals must be minimized if automated systematic searches of the entire microwave window are to be feasible. One obvious strategy is to choose an observing site where the local and orbital RFI environment is as benign as possible. This paper describes a series of RFI observations conducted at selected radio astronomy observatories. These observations were intended to characterize the RFI environment at those sites from 1 to 10 GHz by making use of the radio astronomy antennas, feeds and receivers, SETI signal processors, and stand-alone equipment built specifically for this purpose. ¬© 1992.</t>
  </si>
  <si>
    <t>233-238</t>
  </si>
  <si>
    <t>60007478-60025038</t>
  </si>
  <si>
    <t>Tarter, Jill</t>
  </si>
  <si>
    <t>Berkeley;Mountain View</t>
  </si>
  <si>
    <t>University of California, Berkeley;SETI Institute</t>
  </si>
  <si>
    <t>60025038;60007478</t>
  </si>
  <si>
    <t>Tarter J.</t>
  </si>
  <si>
    <t>Summary of interference measurements at selected radio observatories</t>
  </si>
  <si>
    <t>009457659290103P</t>
  </si>
  <si>
    <t>10.1016/0094-5765(92)90103-P</t>
  </si>
  <si>
    <t>2-s2.0-38249015617</t>
  </si>
  <si>
    <t>['system performance', 'system design', 'scattering levels', 'receive antenna', 'phasor subtraction', 'paper describes', 'near backscatter', 'metal cubes', 'measurement accuracy', 'important part', 'forward scatter', 'example measurements', 'electromagnetics community', 'direct function', 'collect data', 'canonical scatterers', 'calibration procedures', 'broad band', 'bistatic angle', 'band frequencies', 'backscattering region', '9 ].', '6 ],', '50 dbsm']</t>
  </si>
  <si>
    <t>The establishment of the IEEE Electromagnetic Modeling Software Committee [12] and the Department of Defense sponsored Electromagnetic Code Consortium [13] indicates the electromagnetics community is interested in validating general electromagnetic modeling software. An important part of this validation is obtaining reliable bistatic scattering measurements on canonical scatterers. This paper describes a simple system well suited for such measurements. The system is capable of measuring bistatic scattering from near backscatter through forward scatter. At X-band frequencies, scattering levels of -50 dBsm in the backscattering region and -20 dBsm near forward scatter can be measured to an accuracy of ¬±1 dB. This fully automated indoor system fixes the target and direction of illumination and sweeps the receive antenna to collect data as a direct function of bistatic angle. A broad band, coherent, continuous wave radar is used to obtain both amplitude and phase of the component of the total field aligned with the receive antenna polarization. Target scattered fields are derived from the phasor subtraction of target and background measurement runs. We consider the system design, calibration procedures, and measurement accuracy. Example measurements on metal cubes and spheres are presented to demonstrate the system performance [6], [9]. ¬© 1992 IEEE</t>
  </si>
  <si>
    <t>185-192</t>
  </si>
  <si>
    <t>Cot√©, Marc G.</t>
  </si>
  <si>
    <t>Cot√© M.</t>
  </si>
  <si>
    <t>Automated Swept-Angle Bistatic Scattering Measurements Using Continuous Wave Radar</t>
  </si>
  <si>
    <t>10.1109/19.137345</t>
  </si>
  <si>
    <t>2-s2.0-3843153175</t>
  </si>
  <si>
    <t>['¬© 1992', 'wide spectrum', 'virgo antenna', 'small signals', 'sensitivity required', 'sensitivity goal', 'one expects', 'italian collaboration', 'gravitational waves', 'best chance']</t>
  </si>
  <si>
    <t>The sensitivity required to detect the small signals of gravitational waves in a wide spectrum is achievable in interferometers of long enough arms. Six interferometric gravitational wave antennas are planned all over the world. Virgo, one of such experiments, will be built in Italy by a French-Italian collaboration. The sensitivity goal of the Virgo antenna has been chosen at the level where one expects to observe at least few events per year. Virgo is designed for broad band detection (from 10Hz to 3 kHz), in order to get the best chance of detecting different kinds of sources, from pulsars to supernovae, alone or in coincidence with other detectors. ¬© 1992.</t>
  </si>
  <si>
    <t>54-60</t>
  </si>
  <si>
    <t>Nuclear Physics B (Proceedings Supplements)</t>
  </si>
  <si>
    <t>60028868;60028868;60028868;60028868;60028868;60028868;60028868;60028868;60028868;60028868;60113231;60000745</t>
  </si>
  <si>
    <t>35227009000;6603424528;7004046447;56212286300;7004011473;22943966700;23015157600;57189876378;35272707300;7003569996;56243143200;35225772100</t>
  </si>
  <si>
    <t>Bradaschia, C.;Del Fabbro, R.;Di Virgilio, A.;Flaminio, R.;Galeotti, S.;Giazotto, A.;Kautzky, H.;Montelatici, V.;Morganti, M.;Passuello, D.;Calloni, E.;Holloway, L. E.</t>
  </si>
  <si>
    <t>Italy;Italy;United States</t>
  </si>
  <si>
    <t>Naples;Pisa;Urbana</t>
  </si>
  <si>
    <t>Istituto Nazionale di Fisica Nucleare, Sezione di Napoli;Universit√† di Pisa;University of Illinois Urbana-Champaign</t>
  </si>
  <si>
    <t>60113231;60028868;60000745</t>
  </si>
  <si>
    <t>Bradaschia C.</t>
  </si>
  <si>
    <t>Virgo: Very wide band interferometric gravitational wave antenna</t>
  </si>
  <si>
    <t>0920-5632(92)90146-J</t>
  </si>
  <si>
    <t>10.1016/0920-5632(92)90146-J</t>
  </si>
  <si>
    <t>2-s2.0-4243278949</t>
  </si>
  <si>
    <t>['¬© 1992', 'spontaneous emission', 'radiated flux', 'observed rate', 'far potentials', 'evaluated explicitly']</t>
  </si>
  <si>
    <t>We have evaluated explicitly from the current of the electron in a nonstationary superposition state the near and far potentials and fields, then the radiated flux, and with it, the rate of spontaneous emission with retardation. The Schr√∂dinger current gives a power which is four times smaller than the observed rate of spontaneous emission. ¬© 1992 The American Physical Society.</t>
  </si>
  <si>
    <t>2810-2819</t>
  </si>
  <si>
    <t>Physical Review A</t>
  </si>
  <si>
    <t>60031745-60000221;60000221-60102127</t>
  </si>
  <si>
    <t>24793793200;24761851400</t>
  </si>
  <si>
    <t>Barut, A. O.;Blaive, B.</t>
  </si>
  <si>
    <t>France;Italy;United States</t>
  </si>
  <si>
    <t>Marseille;Trieste;Boulder</t>
  </si>
  <si>
    <t>Aix Marseille Universit√©;Abdus Salam International Centre for Theoretical Physics;University of Colorado Boulder</t>
  </si>
  <si>
    <t>60102127;60031745;60000221</t>
  </si>
  <si>
    <t>Barut A.O.</t>
  </si>
  <si>
    <t>Retarded radiation field and spontaneous emission for the hydrogen atom as an emitting antenna</t>
  </si>
  <si>
    <t>10.1103/PhysRevA.45.2810</t>
  </si>
  <si>
    <t>2-s2.0-4244181883</t>
  </si>
  <si>
    <t>ATM 88-22560</t>
  </si>
  <si>
    <t>['typical amplitude', 'times greater', 'power line', 'others suggest', 'nonlocal systems', 'much greater', 'magnetic fields', 'cannot rule', 'adjacent frequencies', '60 hz', '10 œºt']</t>
  </si>
  <si>
    <t>This communication reports measurements of the natural background levels of 50 and 60 Hz radio noise by Stanford University ELF/VLF radiometers located at various sites around the world. The measurements are made on the magnetic fields of the noise using loop antennas, and they cover the first three harmonics of the power line frequencies (frequencies in the range 50‚Äì180 Hz). Due to the likelihood of contamination from local electrical power systems, or even from nonlocal systems, the measurements at each power line frequency were made at adjacent frequencies and the desired noise amplitudes obtained by interpolation. We show that the magnetic spectral densities of the natural noise typically lie in the range 20‚Äì600 fT/‚àöHz or, taking the 50/60 Hz frequencies specifically, in the range 150‚Äì600 fT/‚àöHz. These ranges should be typical for most locations on the earth's surface and for most seasons. Although we cannot rule out a solar cycle variation, our measurements and those of others suggest that it is likely to be small. In general, power line and electric appliance magnetic fields are much greater than these natural background levels. For example, a typical amplitude for the 60 Hz magnetic field fluctuations near an operating household appliance is 10 ŒºT, which is over 10&lt;sup&gt;7&lt;/sup&gt; times greater than our largest projected natural magnetic field amplitude for a 1 Hz bandwidth centered on 60 Hz. ¬© 1992 IEEE</t>
  </si>
  <si>
    <t>330-337</t>
  </si>
  <si>
    <t>60091252;60091252</t>
  </si>
  <si>
    <t>7004558753;56837839300</t>
  </si>
  <si>
    <t>Fraser-Smith, Antony C.;Bowen, Melissa M.</t>
  </si>
  <si>
    <t>Fraser-Smith A.C.</t>
  </si>
  <si>
    <t>The Natural Background Levels of 50/60 Hz Radio Noise</t>
  </si>
  <si>
    <t>10.1109/15.155849</t>
  </si>
  <si>
    <t>2-s2.0-4344577415</t>
  </si>
  <si>
    <t>['¬© 1992', 'usat ).', 'technology necessary', 'single hop', 'paper provides', 'interconnecting supercomputers', 'experimental satellite', 'dramatically enhance', 'digital networks', 'day satellites', 'data circuit', 'board routing', 'acts technologies']</t>
  </si>
  <si>
    <t>The NASA Advanced Communications Technology Satellite (ACTS) provides high risk technologies having the potential to dramatically enhance the capabilities of the satellite communications industry. This experimental satellite, which will be launched by NASA in 1992, will furnish the technology necessary for providing a range of services. Utilizing the ACTS very high gain hopping spot beam antennas with on-board routing and processing, Very Small Aperture Terminal (VSAT) digital networks which provide on-demand, full mesh connectivity, 1.544 Mbps services with only a single hop can be established. Each individual 64 kbps voice or data circuit from a VSAT is routed by the satellite to any location on the network. Secondly, the high gain spot beams make possible voice and data aeronautical communication in the large frequency bandwidth which exists at 30 20 GHz. The high gain spot beams also make feasible personal communications for low data rate services utilizing Ultra Small Aperture Terminals (USAT). Finally, the high gain spot beam antenna at Ka-band permits wide area, flexible networks providing 1 Gbps services between modest-size Earth terminals. This service is being considered in the U.S. for such applications as interconnecting supercomputers. This paper provides an overview of the ACTS and discusses the value of its technology for these communication applications including the spacecraft ( S C) weight per unit circuit for providing these services by ACTS technologies as compared to present-day satellites. For some of these services, the ACTS technologies may have more immediate application internationally rather than within the U.S. ¬© 1992.</t>
  </si>
  <si>
    <t>813-825</t>
  </si>
  <si>
    <t>60026717;60026717;60026717;60026717;60015623;60015623</t>
  </si>
  <si>
    <t>7003648789;57190062608;6602613336;36830114300;56959050700;7201510100</t>
  </si>
  <si>
    <t>Gedney, Richard T.;Wright, David L.;Balombin, Joseph L.;Sohn, Philip Y.;Cashman, William F.;Stern, Alan L.</t>
  </si>
  <si>
    <t>Cleveland;Boston</t>
  </si>
  <si>
    <t>NASA Glenn Research Center;General Electric Company</t>
  </si>
  <si>
    <t>60026717;60015623</t>
  </si>
  <si>
    <t>Gedney R.T.</t>
  </si>
  <si>
    <t>Advanced Communications Technology Satellite (ACTS)</t>
  </si>
  <si>
    <t>0094-5765(92)90062-N</t>
  </si>
  <si>
    <t>10.1016/0094-5765(92)90062-N</t>
  </si>
  <si>
    <t>2-s2.0-44049112752</t>
  </si>
  <si>
    <t>['¬© 1992', 'wire deployment', 'wire antennas', 'vibrational dynamics', 'two pairs', 'spinning satellite', 'space administration', 'satellite spin', 'orbital maneuvers', 'orbit maneuvers', 'orbit events', 'nasa ).', 'mast extension', 'joint project', 'interactions among', 'high degree', 'deeper understanding', 'called geotail', 'astronautical science', 'antenna deployment']</t>
  </si>
  <si>
    <t>In order to investigate the geomagnetic tail region of the magnetosphere, a joint project, called GEOTAIL, is planned between the Institute of Space and Astronautical Science (ISAS) of Japan and the United States National Aeronautics and Space Administration (NASA). The dual-spinning satellite, equipped with two pairs of wire antennas of 50 m in length, will contribute to deeper understanding of fundamental magnetospheric processes. The high degree of flexibility of the wire antennas and their dimensions may lead to undesirable wire vibrations as well as satellite attitude perturbations through in-orbit events such as antenna deployment, satellite spin-up, despun motor operation, attitude and orbital maneuvers, resulting in distortion of the attitude control accuracy and the scientific observation environment. In the study, the dynamics of dual spinning systems with highly flexible deployable wire antennas has been formulated in a relatively general manner. The associated extensive parametric analysis reveals the interactions among the attitude, orbital and vibrational dynamics as affected by wire deployment, mast extension and despun antenna operation as well as attitude and orbit maneuvers. ¬© 1992.</t>
  </si>
  <si>
    <t>611-619</t>
  </si>
  <si>
    <t>August 1992/October 1992</t>
  </si>
  <si>
    <t>60000809;60000809;60003381;60003381</t>
  </si>
  <si>
    <t>7402316333;6602487522;24317268600;24318960000</t>
  </si>
  <si>
    <t>Morita, Y.;Hinada, M.;Kitsui, A.;Takemoto, Y.</t>
  </si>
  <si>
    <t>Hitachi, Ltd.;JAXA Institute of Space and Astronautical Science</t>
  </si>
  <si>
    <t>60003381;60000809</t>
  </si>
  <si>
    <t>Morita Y.</t>
  </si>
  <si>
    <t>Dynamical analysis of the deployable wire and probe antenna systems aboard the dual-spin satellite GEOTAIL</t>
  </si>
  <si>
    <t>0094-5765(92)90151-8</t>
  </si>
  <si>
    <t>10.1016/0094-5765(92)90151-8</t>
  </si>
  <si>
    <t>2-s2.0-44049113424</t>
  </si>
  <si>
    <t>['¬© 1992', 'two 30', 'stars hd21899', 'southern stars', 'southern hemisphere', 'seti activities', 'planetary society', 'oh line', 'officially dedicated', 'observations around', 'november 1987', 'nearby stars', 'narrow frequency', 'meta ii', 'iar ).', 'harvard university', 'first results', 'distances less', 'could include', 'band signal', 'antenna 2', 'alexei arkhipov', '90 ¬∞', '50 l', '40 ¬∞', '21 cm', '18 cm']</t>
  </si>
  <si>
    <t>Due to the scarce SETI research in the Southern Hemisphere, we decided to begin an observation of a series of southern stars at 21 cm and 18 cm, using the facilities of the Instituto Argentino de Radioastronom√≠a (IAR). One of the two 30 m radiotelescopes was used since October 1986, for a search of narrow frequency (2.2 kHz resolution) band signal in the direction of nearby stars. We have selected for this plan 78 stars between -40¬∞ and -90¬∞ of declination and distances less than 50 l.y. In this paper we present the first results of this program at HI and OH line. We describe a 320 h parasitic program at OH line using the data of Comet Halley observations. Following a suggestion of Dr I. Alm√°r we began in November 1987, a series of observations around the SETI Ellipsoid originated in the SN1987A at 18 cm. We describe the observations around the stars HD21899 and HD100623, following a suggestion of Alexei Arkhipov. We have initiated‚Ä° ‚Ä° This agreement was announced on 8 October 1988 at The Planetary Society Toronto SETI Conference. The 8.4 million channel spectrum analyzer called META II, was built during 1989, at Harvard University by J. C. Olalde and E. Hurrell, under the supervision of Professor Paul Horowitz. META II was officially dedicated on 12 October 1990 and is in operation with the antenna 2 of the Instituto Argentino de Radioastronom√≠a. contacts with The Planetary Society to expand our SETI activities. It is our hope that at the time of this Symposium we can announce the details of this agreement, which could include the construction of a 8.4 million channel ultranarrowband spectrum analyzer, designed by Professor Paul Horowitz of Harvard University. ¬© 1992.</t>
  </si>
  <si>
    <t>211-212</t>
  </si>
  <si>
    <t>60032022;60032022;60001563</t>
  </si>
  <si>
    <t>57213029940;24319848200;6602427202</t>
  </si>
  <si>
    <t>Ra√∫l Colomb, F.;Cristina Mart√≠n, M.;Lemarchand, Guillermo A.</t>
  </si>
  <si>
    <t>Argentina;Argentina</t>
  </si>
  <si>
    <t>Berazategui;Buenos Aires</t>
  </si>
  <si>
    <t>Instituto Argentino de Radioastronomia;Universidad de Buenos Aires</t>
  </si>
  <si>
    <t>60032022;60001563</t>
  </si>
  <si>
    <t>Ra√∫l Colomb F.</t>
  </si>
  <si>
    <t>SETI observational program in Argentina</t>
  </si>
  <si>
    <t>0094-5765(92)90098-4</t>
  </si>
  <si>
    <t>10.1016/0094-5765(92)90098-4</t>
  </si>
  <si>
    <t>2-s2.0-44049114579</t>
  </si>
  <si>
    <t>['¬© 1992', 'x2242 demonstrates', 'theory predicts', 'test results', 'stable performance', 'second test', 'rf voltage', 'power higher', 'paper reports', 'output power', 'output cavity', 'new tetrodes', 'new filament', 'modified amplifier', 'mismatched load', 'higher screen', 'fusion research', 'first test', 'deliver 0', 'confirm 1', 'antenna coupled', 'achieves 1', '75 mw', '7 mw', '5 seconds', '4 seconds', '131 mhz', '130 mhz', '110 mhz']</t>
  </si>
  <si>
    <t>This paper reports the test results of newly developed Varian tetrodes, X2242 and X2274, using a JT-60 ICRF amplifier under the US-Japan collaboration program. The JT-60 ICRF amplifier was designed to deliver 0.75 MW at 110 to 131 MHz with the Varian EIMAC 8973 tetrode. Although the new tetrodes are similar to the 8973 in all dimensions, they have pyrolitic graphite grids for higher screen and control grid dissipation capability. The new tetrodes require only the following amplifier system modifications: (a) new filament, bias, and screen grid power supplies, (b) a second output port for reduction of rf voltage in the output cavity. The objective for the tests are to confirm 1.5 MW output at 130 MHz for 5 seconds, and to check the reliability of both the tube and the amplifier with a mismatched load which simulates power transmission to an antenna coupled to the plasma. The first test with an X2242 demonstrates that excessive screen dissipation limits the output power. The second test with an X2274, whose improved screen grid reduces rf heating to 50% of that of the X2242, achieves 1.7 MW at 131 MHz for 5.4 seconds. This is not only a power higher than the objective but also the highest long pulse VHF power level for fusion research above 110 MHz. The modified amplifier with the X2274 also shows good, stable performance in the mismatched load tests. As the theory predicts, the maximum anode dissipation is 1.4 times higher with a VSWR = 1.5 than with the previous VSWR ‚âÖ 1.0. ¬© 1992.</t>
  </si>
  <si>
    <t>41-52</t>
  </si>
  <si>
    <t>60012288;60012288;60012288;60012288;60012288;60012288;60012288;60012288;60012288;60012288;60013901;60005446;60005446;60018735;100454409</t>
  </si>
  <si>
    <t>7101740816;7404050584;35352771100;7003738479;7005442284;7003910283;7404269925;7005938557;7201460244;7402949255;6602246357;6602586780;6602991449;7801504678;24323513100</t>
  </si>
  <si>
    <t>Moriyama, Shinichi;Ogawa, Yoshiro;Fujii, Tsuneyuki;Anno, Katsuto;Shinozaki, Shin ichi;Terakado, Masayuki;Kimura, Haruyuki;Saigusa, Mikio;Nagashima, Takashi;Ohta, Mitsuru;Remsen, Douglas B.;Loring, C. Marshall;Mcnees, S. G.;Oihara, Ken;Yamane, Takayoshi</t>
  </si>
  <si>
    <t>Japan;United States;Japan;United States;Japan</t>
  </si>
  <si>
    <t>Tokyo;San Diego;Naka;Palo Alto;Atsugi</t>
  </si>
  <si>
    <t>Toshiba Corporation;General Atomics;Naka Fusion Institute;Varian, Inc.;Sato Kogyo Co., Ltd</t>
  </si>
  <si>
    <t>60018735;60013901;60012288;60005446;100454409</t>
  </si>
  <si>
    <t>Moriyama S.</t>
  </si>
  <si>
    <t>Test results of X2242 and X2274 high power tetrodes with the JT-60 ICRF amplifier in a frequency range of 110-130 MHz</t>
  </si>
  <si>
    <t>10.1016/0920-3796(92)90062-9</t>
  </si>
  <si>
    <t>2-s2.0-44049115507</t>
  </si>
  <si>
    <t>['¬© 1992', 'short bursts', 'short burst', 'rome group', 'resonant antennas', 'optimum filters', 'gravitational waves', 'gravitational radiation', 'fourier component', 'electronic amplifier', 'brief review', 'basically limited', 'basic features', 'antennas detect', 'antenna resonance', 'activity going', '2300 kg', '20 mk']</t>
  </si>
  <si>
    <t>The basic features of resonant antennas for the search for gravitational waves are reviewed. These antennas detect the Fourier component of the metric tensor perturbation h(t) at the antenna resonance. By means of optimum filters it is possible to reach a sensitivity which, for short burst of gravitational radiation, is basically limited by the noise of the electronic amplifier. One cryogenic antenna with mass M = 2300 kg and temperature T = 20 mK should have a sensitivity, for short bursts, of the order of hmin {reversed tilde equals} 3 √ó 10-21. A brief review of the activity going on all over the world by the experimental groups working with resonant antennas is given. At present three cryogenic resonant antennas are in operation: the Louisiana State University antenna and Explorer and Altair of the Rome group. ¬© 1992.</t>
  </si>
  <si>
    <t>48-53</t>
  </si>
  <si>
    <t>Pizzella, Guido</t>
  </si>
  <si>
    <t>Sapienza Universit√† di Roma</t>
  </si>
  <si>
    <t>Pizzella G.</t>
  </si>
  <si>
    <t>The resonant antenna network. A review</t>
  </si>
  <si>
    <t>0920-5632(92)90145-I</t>
  </si>
  <si>
    <t>10.1016/0920-5632(92)90145-I</t>
  </si>
  <si>
    <t>2-s2.0-44049115848</t>
  </si>
  <si>
    <t>['¬© 1992', 'wide range', 'shaped array', 'seti ).', 'reflecting surface', 'radio galaxies', 'possible use', 'placed along', 'outstanding problems', 'outer part', 'novel design', 'new pulsars', 'modern astronomy', 'metre wavelengths', 'international endeavour', 'fx system', 'extremely valuable', 'extraterrestrial intelligence', 'concerning pulsars', 'complex correlator', 'central part', 'arm extending', 'antenna followed', '34 fully', '34 antennas', '18 antennas', '1420 mhz', '14 km', '000 m2']</t>
  </si>
  <si>
    <t>A Giant Metrewave Radio Telescope (GMRT) is being set up at Khodad, about 80 km north of Pune in India, to study a wide range of outstanding problems in modern astronomy such as those concerning pulsars, quasars, radio galaxies and the origin and evolution of the Universe. GMRT will consist of 34 fully-steerable parabolic dishes of 45 m diameter each. A novel design has been adopted for the dishes which uses rope trusses placed between 16 parabolic frames to support the reflecting surface. Sixteen of these would be placed in a compact central array of about 1 √ó 1 km2 in size, including nine forming a 3 √ó 3 grating to facilitate deep searches for new pulsars. The other 18 antennas will be placed along the arms of a Y-shaped array with each arm extending to about 14 km. GMRT is being designed to operate in six different frequency bands between 38 and 1420 MHz. The reflecting surface of the dishes will be made of stainless steel wires of 0.55 mm diameter. The size of the mesh in the central part will be 10 √ó 10 mm, in the middle 15 √ó 15 mm and in the outer part it is 20 √ó 20 mm. A 512 channel FFT unit with a bandwidth of 16 MHz placed at each antenna followed by a complex correlator (FX system) is planned to cross correlate outputs of all the 34 antennas for both polarizations. This is advantageous for spectral line observations and also for rejection of considerable RF interference expected at metre wavelengths. The total effective area of GMRT will be about 27,000 m2 at 1420 MHz, nearly the same as for the Arcebo Radio Telescope, but GMRT has a much wider declination range and less radio interference suceptibility. Hence, GMRT will be extremely valuable for the Search for Extraterrestrial Intelligence (SETI). The possible use of GMRT for SETI is described in this paper. It is suggested that the GMRT antenna design may be used for a low-cost 1000 element SETI Array (EISA) as an international endeavour. ¬© 1992.</t>
  </si>
  <si>
    <t>239-242</t>
  </si>
  <si>
    <t>Swarup, Govind</t>
  </si>
  <si>
    <t>Mumbai</t>
  </si>
  <si>
    <t>Tata Institute of Fundamental Research, Mumbai</t>
  </si>
  <si>
    <t>Swarup G.</t>
  </si>
  <si>
    <t>Giant Metrewave Radio Telescope-Its possible use for SETI</t>
  </si>
  <si>
    <t>0094-5765(92)90104-Q</t>
  </si>
  <si>
    <t>10.1016/0094-5765(92)90104-Q</t>
  </si>
  <si>
    <t>2-s2.0-44049115973</t>
  </si>
  <si>
    <t>['¬© 1992', 'winter solstice', 'v √§', 'sunset period', 'sunrise period', 'summer solstice', 'summer months', 'signal intensity', 'short period', 'seasonal variations', 'occurrence frequency', 'observe field', 'much shorter', 'mu radar', 'limited number', 'less active', 'least active', 'june 1990', 'june 1989', 'irregularity echoes', 'height distributions', 'geomagnetic field', 'frequently observed', 'e layers', 'e layer', 'aligned irregularities', '3 min']</t>
  </si>
  <si>
    <t>The MU radar located at Shigaraki, Japan (34.9¬∞N, 136.1¬∞E) can observe field-aligned irregularities in the E-region by steering its antenna beam perpendicular to the geomagnetic field. First, this paper investigates daily and seasonal variations of occurrence frequency of echoes from the irregularities. The irregularities were most frequently observed in June, near the summer solstice; they appeared in the periods after sunset and sunrise of the E-region, and the variance of the signal intensity was larger for the echoes in the post-sunset period than those in the post-sunrise period. The frequency occurrence showed similar behavior both in June 1989 and June 1990. In November and December, near the winter solstice, the irregularities were least active in all seasons, and the echoes appear earlier in time of day. The limited number of data in October showed fairly active irregularities though they were less active than in summer months. Second, by using the data on 20-23 June 1990, the time-height distributions of the echoes were compared with the activity of sporadic-E layers observed by the ionosonde at the MU radar site. It was shown that the activity of the irregularity echoes was associated with that of the sporadic-E layers in the post-sunset period. In the post-sunrise period, on the other hand, the echoes did not show clear correlation with the sporadic-E layer. Although the sporadic-E layers were very active in the daytime, no irregularity echoes were found by the MU radar in the afternoon. Finally, as for other features of the irregularity echoes, it was found on 25 October 1989 that echo power showed fluctuations with a short period of 2-3 min, which was much shorter than the Brunt-V√§is√§l√§ period in the E-region. ¬© 1992.</t>
  </si>
  <si>
    <t>769-777</t>
  </si>
  <si>
    <t>60011001;60011001;105792899;60011001;60011001</t>
  </si>
  <si>
    <t>9274833100;55398698300;7404741481;35433785500;35425453600</t>
  </si>
  <si>
    <t>Yamamoto, Mamoru;Fukao, Shoichiro;Ogawa, Tadahiko;Tsuda, Toshitaka;Kato, Susumu</t>
  </si>
  <si>
    <t>Kyoto;Nakaminato, Ibaraki</t>
  </si>
  <si>
    <t>Kyoto University;Communications Research Laboratory</t>
  </si>
  <si>
    <t>60011001;105792899</t>
  </si>
  <si>
    <t>Yamamoto M.</t>
  </si>
  <si>
    <t>A morphological study on mid-latitude E-region field-aligned irregularities observed with the MU radar</t>
  </si>
  <si>
    <t>0021-9169(92)90115-2</t>
  </si>
  <si>
    <t>10.1016/0021-9169(92)90115-2</t>
  </si>
  <si>
    <t>2-s2.0-44049116168</t>
  </si>
  <si>
    <t>227-235</t>
  </si>
  <si>
    <t>Digital Signal Processing</t>
  </si>
  <si>
    <t>McMillan, Stanton</t>
  </si>
  <si>
    <t>Broomfield</t>
  </si>
  <si>
    <t>Ball Corporation</t>
  </si>
  <si>
    <t>McMillan S.</t>
  </si>
  <si>
    <t>Application of digital processing to extracting information from antenna measurements</t>
  </si>
  <si>
    <t>1051-2004(92)90011-M</t>
  </si>
  <si>
    <t>10.1016/1051-2004(92)90011-M</t>
  </si>
  <si>
    <t>2-s2.0-44049116362</t>
  </si>
  <si>
    <t>['¬© 1992', 'transmitter circuits', 'thus allowing', 'temperature data', 'sample data', 'reciprocating motion', 'reciprocating engine', 'receiving antenna', 'receiver system', 'rated speed', 'power generator', 'piston temperature', 'paper covers', 'key element', 'generate electricity', 'expensive process', 'engine crankcase', 'data must', 'based system', 'automotive engines']</t>
  </si>
  <si>
    <t>The measurement of piston temperature in a reciprocating engine has historically been a very time-consuming and expensive process. Several conditions exist in an engine against which measurement equipment must be protected. Acceleration forces near 2000 G's occur at Top Dead Center (TDC) in automotive engines at rated speed. Operating temperatures inside the crankcase can range to near 150¬∞C. To allow complete mapping of piston temperature, several measuring locations are required in the piston and data must be obtained under various engine operating conditions. Southwest Research Institute (SwRI) has developed a telemetry-based system that with stands the harsh environments mentioned above. The device is attached to the underside of a piston and temperature data is transmitted to a receiving antenna in the engine crankcase. The key element of this device is a tiny power generator which utilizes the reciprocating motion of the piston to generate electricity, thus allowing the transmitter to be self-powered. Thick-film hybrid circuit construction techniques have been used to keep the package size small. This paper covers the development of the power generator, multiplexer and transmitter circuits, and the receiver system. Sample data is included from two automotive engines. ¬© 1992.</t>
  </si>
  <si>
    <t>189-201</t>
  </si>
  <si>
    <t>60011533;60011533;60011533;60011533</t>
  </si>
  <si>
    <t>6506693373;24321298700;57215512166;7004359110</t>
  </si>
  <si>
    <t>Burrahm, Robert W.;Keith Davis, J.;Perry, William D.;De Los Santos, Armando</t>
  </si>
  <si>
    <t>San Antonio</t>
  </si>
  <si>
    <t>Southwest Research Institute</t>
  </si>
  <si>
    <t>Burrahm R.W.</t>
  </si>
  <si>
    <t>Development of piston temperature telemetry system</t>
  </si>
  <si>
    <t>1051-2004(92)90008-M</t>
  </si>
  <si>
    <t>10.1016/1051-2004(92)90008-M</t>
  </si>
  <si>
    <t>2-s2.0-44049116533</t>
  </si>
  <si>
    <t>['¬© 1992', 'smithsonian 26', 'resolution matches', 'particularly relevant', 'northern sky', 'narrowband seti', 'multithreshold archiving', 'microwave search', 'megachannel spectroscopy', 'local standard', 'interstellar medium', 'interference rejection', 'instantaneous bandwidth', 'high degree', 'guessable frequencies', 'greatly limited', 'galactic barycenter', 'features characteristic', 'extraterrestrial intelligence', 'begin observations', 'attractive strategy', 'agile receiver']</t>
  </si>
  <si>
    <t>Megachannel spectroscopy with sub-Hertz resolution constitutes an attractive strategy for a microwave search for extraterrestrial intelligence (SETI), assuming the transmission of a narrowband radiofrequency beacon. Such resolution matches the properties of the interstellar medium, and the necessary Doppler corrections provide a high degree of interference rejection. We have constructed a frequency-agile receiver with an FFT-based 8 megachannel digital spectrum analyzer, on-line signal recognition, and multithreshold archiving. We are using it to conduct a meridian transit search of the northern sky at the Harvard-Smithsonian 26-m antenna, with a second identical system scheduled to begin observations in Argentina this month. Successive 400 kHz spectra, at 0.05 Hz resolution, are searched for features characteristic of an intentional narrowband beacon transmission. These spectra are centered on guessable frequencies (such as Œª21 cm), referenced successively to the local standard of rest, the galactic barycenter, and the cosmic blackbody rest frame. This search has rejected interference admirably, but is greatly limited both in total frequency coverage and sensitivity to signals other than carriers. We summarize five years of high resolution SETI at Harvard, in the context of answering the questions "How useful is narrowband SETI, how serious are its limitations, what can be done to circumvent them, and in what direction should SETI evolve?" Increasingly powerful signal processing hardware, combined with ever-higher memory densities, are particularly relevant, permitting the construction of compact and affordable gigachannel spectrum analyzers covering hundreds of megahertz of instantaneous bandwidth. ¬© 1992.</t>
  </si>
  <si>
    <t>193-200</t>
  </si>
  <si>
    <t>60009982;60009982</t>
  </si>
  <si>
    <t>36800391900;6504289417</t>
  </si>
  <si>
    <t>Horowitz, Paul;Clubok, Ken</t>
  </si>
  <si>
    <t>Harvard University</t>
  </si>
  <si>
    <t>Horowitz P.</t>
  </si>
  <si>
    <t>High resolution SETI: Experiences and prospects</t>
  </si>
  <si>
    <t>0094-5765(92)90095-Z</t>
  </si>
  <si>
    <t>10.1016/0094-5765(92)90095-Z</t>
  </si>
  <si>
    <t>2-s2.0-44049116971</t>
  </si>
  <si>
    <t>['¬© 1992', 'two inputs', 'terrestrial intelligence', 'radioastronomy observatories', 'october 1992', 'msca 2', 'mcsa 2', 'hence covers', 'exactly twice', 'digital downconverter', 'converter running', 'bit power', 'band signals', 'almost non', '833 mhz', '643 hz', '4 khz', '28 hz', '10 mhz']</t>
  </si>
  <si>
    <t>The MCSA 2.1, the Multi-Channel Spectrum Analyzer, is a fully digital spectrometer optimized for the detection of narrow-band signals. The MCSA 2.1 has a single analog input, which is fed to an analog-to-digital (A/D) converter running at 130 M samples per second, and hence covers a 65 MHz bandwidth. The MCSA 2.1 design includes a digital downconverter, which bandpasses 10 MHz, downshifts it to baseband, and outputs complex samples at 10.833 MHz. This 10 MHz "superband" is split into 144 "bands" of 69.4 kHz, then further split into 108 "subbands" of 643 Hz, then divided into "bins" of six simultaneous resolutions: 1, 2, 4, 7, 14, and 28 Hz. The data from each resolution is normalized by the estimated noise power and then output as: (1) 4-bit power for incoherent Continuous Wave (CW) detection; (2) 8-bit thresholded power for pulsed signal detection; and (3) 32-bit complex amplitude for almost non-drifting coherent CW detection and for possible future signal detectors. The MCSA 2.2 has two inputs, exactly twice the hardware, and processes two antenna polarizations which are available at radioastronomy observatories. The MSCA 2.2 includes 70 Printed Circuit Boards (PCB), including 10 custom logic board designs and two buffer board designs. The system is under development for NASA's Search for Extra-Terrestrial Intelligence (SETI) Project. Provided adequate NASA funding is available, the MCSA 2.2 will be installed and performing SETI searches in October 1992. ¬© 1992.</t>
  </si>
  <si>
    <t>159-168</t>
  </si>
  <si>
    <t>101348348;101348348;101348348;101348348;101348348</t>
  </si>
  <si>
    <t>6505957671;24321133100;24321541300;56075932200;36849603700</t>
  </si>
  <si>
    <t>Duluk, J. F.;Jeday, A.;Massing, M.;Chen, Chih Kang;Nguyen, Huy</t>
  </si>
  <si>
    <t>Silicon Engines</t>
  </si>
  <si>
    <t>Duluk J.</t>
  </si>
  <si>
    <t>The MCSA 2.1: A fully digital real-time spectrum analyzer developed for NASA's SETI Project</t>
  </si>
  <si>
    <t>0094-5765(92)90089-2</t>
  </si>
  <si>
    <t>10.1016/0094-5765(92)90089-2</t>
  </si>
  <si>
    <t>2-s2.0-44049117627</t>
  </si>
  <si>
    <t>['√ ó1', '√ ó0', '¬© 1992', 'well known', 'vectors e', 'transmitter power', 'standing wave', 'slight detuning', 'sample media', 'sample dimensions', 'rod length', 'resonance frequency', 'reflection coefficient', 'purely electric', 'oscillation pattern', 'optimum value', 'offering positions', 'monitored via', 'modulation amplitudes', 'maximum e', 'lowest eigenfrequency', 'large samples', 'inner dimensions', 'frequency carrier', 'dimensions 1', '18 cm', '150 mhz', '100 khz']</t>
  </si>
  <si>
    <t>A standing wave in a rectangular cavity resonator has the advantage of offering positions where purely electric or purely magnetic oscillating fields can be found. Such a cavity with inner dimensions of 1.41 m√ó1.41 m√ó0.25 m can be excited by a comb of frequencies; we have selected the lowest eigenfrequency to be 150 MHz. We can calculate the amplitudes of the vectors E and B from the transmitter power, the loaded quality factor and the reflection coefficient. Samples can be inserted through a slit of dimensions 1-3 cm along the whole length without disturbing the cavity wall currents and almost without additional electric loading and/or detuning of the oscillation pattern. The relatively low value of 30 for the loaded quality factor guarentees that low frequency modulation on the radio-frequency carrier is not disturbed by up to 100 kHz of sinusoidal or square wave information. Depending on the sample dimensions, the average values E and B and their root mean square deviations ŒîE and ŒîB are well known. During each run both the carrier and modulation amplitudes can be monitored via an undercritically coupled induction loop. The feeding of the transmitter power into the cavity by a small 50 œâ rod antenna at position of maximum E can easily be adapted to give zero reflection by varying the rod length about its optimum value of 18 cm to compensate for small additional electric loading by the sample media; slight detuning of the resonance frequency as caused by large samples of high dielectric constant can be compensated by varying of the insertion gap width. ¬© 1992.</t>
  </si>
  <si>
    <t>Journal of Electroanalytical Chemistry</t>
  </si>
  <si>
    <t>60030718;60030718;60030718</t>
  </si>
  <si>
    <t>6507579474;6506723639;56283976900</t>
  </si>
  <si>
    <t>Hetscher, M.;Kohlsmann, S.;Kramer, K. D.</t>
  </si>
  <si>
    <t>Hetscher M.</t>
  </si>
  <si>
    <t>Generation of homogeneous electric and magnetic fields at radio frequencies in a cavity resonator</t>
  </si>
  <si>
    <t>002207289285124L</t>
  </si>
  <si>
    <t>10.1016/0022-0728(92)85124-L</t>
  </si>
  <si>
    <t>2-s2.0-44049118628</t>
  </si>
  <si>
    <t>['¬© 1992', 'vibrational motion', 'vernier thrusters', 'studying dynamics', 'sight error', 'results suggest', 'particular case', 'librational motion', 'large class', 'lagrangian procedure', 'interconnected flexible', 'general formulation', 'flexible members', 'environmental effects', 'design challenge', 'bernoulli beams', 'approached using', 'admissible functions']</t>
  </si>
  <si>
    <t>A relatively general formulation for studying dynamics of a large class of interconnected flexible and/or rigid bodies forming a chain type topology is developed. The problem is approached using the Lagrangian procedure with the generalized forces accounting for the environmental effects, damping and control. The flexible members are taken to be the Euler-Bernoulli beams with their bending and torsional deformations discretized using a series of admissible functions. As a particular case, the general formulation is applied to study complex dynamics of the SCOLE (Spacecraft COntrol Laboratory Experiment) system as proposed in the NASA's design challenge. The classical infinite time linear state feedback regulator utilizing the Shuttle's primary and vernier thrusters is designed to suppress the vibrations as well as control the Shuttle attitude motion. The results suggest that flexibility of the mast during the prescribed slewing maneuver substantially induces the line-of-sight error if the Shuttle is uncontrolled. However, the proposed control strategy can damp both the vibrational motion of the mast and librational motion of the Shuttle to the specified acceptable limit within 5 s of the completion of the maneuver. ¬© 1992.</t>
  </si>
  <si>
    <t>395-409</t>
  </si>
  <si>
    <t>7102008072;7402316333</t>
  </si>
  <si>
    <t>Modi, V. J.;Morita, Y.</t>
  </si>
  <si>
    <t>Modi V.</t>
  </si>
  <si>
    <t>Dynamics and control of the Shuttle based large antenna system during slewing maneuvers</t>
  </si>
  <si>
    <t>0094-5765(92)90069-U</t>
  </si>
  <si>
    <t>10.1016/0094-5765(92)90069-U</t>
  </si>
  <si>
    <t>2-s2.0-44049118915</t>
  </si>
  <si>
    <t>['¬© 1992', 'terrestrial transmission', 'successful use', 'radio spectrum', 'power satellites', 'orbital slots', 'operating expenses', 'new services', 'major hurdle', 'extensive coverage', 'depend critically', 'dbs systems', 'dbs service', 'dbs applications', 'cable television', 'ample allocations']</t>
  </si>
  <si>
    <t>The extensive coverage of the USA by cable television has posed a major hurdle for successful use of direct broadcast satellites. However, the potential for DBS service is improving because of breakthroughs in development of digital video compression and the availability of high-power satellites, combined with ample allocations of radio spectrum and orbital slots to DBS service. The success of DBS applications will depend critically on (a) the cost of small-antenna home receiving terminals, (b) operating expenses, and (c) demand for new services, such as HDTV, that could be provided by DBS systems more quickly and cheaply than through terrestrial transmission. ¬© 1992.</t>
  </si>
  <si>
    <t>351-361</t>
  </si>
  <si>
    <t>Space Policy</t>
  </si>
  <si>
    <t>60003873;60003873</t>
  </si>
  <si>
    <t>24325280700;24324075100</t>
  </si>
  <si>
    <t>Johnson, Leland L.;Castleman, Deborah R.</t>
  </si>
  <si>
    <t>RAND Corporation</t>
  </si>
  <si>
    <t>Johnson L.</t>
  </si>
  <si>
    <t>The potential of direct broadcast satellites for the USA</t>
  </si>
  <si>
    <t>10.1016/0265-9646(92)90068-7</t>
  </si>
  <si>
    <t>2-s2.0-44049120729</t>
  </si>
  <si>
    <t>['shared use', 'rf sensors', 'newly developed', 'ground tests', 'following technologies', 'five beams', 'cluster horn', 'alternate beams']</t>
  </si>
  <si>
    <t>The configuration, on-ground tests, and design verification results of the multibeam antenna flight model for Engineering Test Satellite-VI (ETS-VI) are described. We have newly developed on-board multibeam antennas with thirteen and five beams for Ka- and S-bands, respectively. The following technologies are presented: 1) Ka-band frequency reuse in alternate beams through use of a cluster horn, 2) shared use of a reflector for two frequency bands using novel frequency selective surfaces (FSS), 3) large and light-weight deployable main reflectors with diameters of 3.5 m and 2.5 m, and 4) a highly accurate antenna pointing control system consisting of RF sensors and an antenna pointing mechanism to drive the subreflector. ¬© 1992 IEEE</t>
  </si>
  <si>
    <t>990-1001</t>
  </si>
  <si>
    <t>;;;;;;;;</t>
  </si>
  <si>
    <t>6701523484;7102235358;6603786095;7403134314;57206124011;7005801010;7404396996;7402364536;55835393000</t>
  </si>
  <si>
    <t>Ohtomo, Isao;Kumazawa, Hiroyuki;Itanami, Takao;Ueno, Kenji;Kondo, Akira;Yasaka, Tetsuo;Nakajima, Katsuhiko;Kawakami, Yoichi;Misawa, Masayoshi</t>
  </si>
  <si>
    <t>Ohtomo I.</t>
  </si>
  <si>
    <t>On-board Multibeam Deployable Antennas Using Ka, C, and S Frequency Bands</t>
  </si>
  <si>
    <t>10.1109/7.165362</t>
  </si>
  <si>
    <t>2-s2.0-4444310531</t>
  </si>
  <si>
    <t>['transmission line', 'single elements', 'reports experimental', 'proximity feeds', 'numerous applications', 'later developments', 'interpretations available', 'francis group', 'early developments', 'done much', 'coaxial probe', 'cavity models', 'bandwidth restriction', 'analytical developments', 'accurate analyses']</t>
  </si>
  <si>
    <t>Several important developments are reviewed to trace the evolution of microstrip antennas since 1974. Munson‚Äòs 1974 paper [l] seems to have been the beginning of an explosion of work that reports experimental and analytical developments in more than 1000 journal articles. Early developments were guided by the interpretations available from transmission line and cavity models, but later developments of full-wave moment methods provided more accurate analyses for design and development. The capability to obtain circular polarization from single elements and arrays has led to numerous applications in communications while stacked patch antennas utilizing parasitic coupling have done much to alleviate the small-bandwidth restriction of simple microstrip antennas. Coaxial probe and monolithic microstripline feeds have been supplemented by a variety of proximity feeds that provide design flexibility and offer performance alternatives. ¬© 1992 Taylor &amp; Francis Group, LLC.</t>
  </si>
  <si>
    <t>381-401</t>
  </si>
  <si>
    <t>July-December 1992</t>
  </si>
  <si>
    <t>Schaubert, Daniel H.</t>
  </si>
  <si>
    <t>Schaubert D.</t>
  </si>
  <si>
    <t>Microstrip antennas</t>
  </si>
  <si>
    <t>10.1080/02726349208908321</t>
  </si>
  <si>
    <t>2-s2.0-51149113427</t>
  </si>
  <si>
    <t>['¬© 1992', 'well displaced', 'transverse profile', 'spatial harmonic', 'secondary signal', 'receiver antennae', 'primary signal', 'new zealond', 'certain conditions']</t>
  </si>
  <si>
    <t>We present an analysis for the reflection or scattering of VLF radio waves by gently sloping parallel ridges that may be well displaced from the great circle path between the transmitter and receiver antennae. It is shown that, under certain conditions, a spatial harmonic of the transverse profile of the terrain will produce a secondary signal that could be not far below the direct or primary signal. Such a resonant scattering mechanism may explain some of Thomson's [(1989), J. atmos. terr. Phys. 51, 339] observations in Dunedin, New ZeaLond. ¬© 1992.</t>
  </si>
  <si>
    <t>193-196</t>
  </si>
  <si>
    <t>Wait, J. R.</t>
  </si>
  <si>
    <t>On VLF radio wave reflection from distant mountain ranges-theory</t>
  </si>
  <si>
    <t>10.1016/0021-9169(92)90128-8</t>
  </si>
  <si>
    <t>2-s2.0-5544309977</t>
  </si>
  <si>
    <t>['unit cells', 'underlying structures', 'state ).', 'results establish', 'ps dephasing', 'phonon holes', 'phonon coupling', 'organic crystals', 'linear electron', 'light harvesting', 'intense b875', 'ii complexes', 'homogeneous widths', 'exciton scattering', 'exciton bands', 'cyclic symmetry', 'b870 zero', 'b870 *.', 'b850 bacteriochlorophyll', 'asterisk denoting', 'also considered', 'absorption bands', '6 ps', '2 k', '2 cm']</t>
  </si>
  <si>
    <t>Novel nonphotochemical hole burning action spectra are persented that yield the low-temperature absorption profiles of B896 and B870 and their underlying structures (linear electron-phonon coupling and site inhomogeneous broadening). The results establish that B896 and B870 are associated with the far more intense B875 and B850 bacteriochlorophyll a absorption bands, respectively, of the light harvesting I and II complexes. The homogeneous widths of the B896 and B870 zero-phonon holes are the same within experimental uncertainty, 3.2 cm-1 at 4.2 K, which corresponds to a total optical dephasing time of 6.6 ps. A number of interpretations for B870 and B896 are considered. Favored is one in which they are due to the lowest energy levels of the B850* and B875* exciton bands (asterisk denoting the S1(Qy) state). Based on studies of the dephasing of excitons in organic crystals, the 6.6-ps dephasing of B896* is attributed to exciton scattering with energetic inequivalent neighboring unit cells. Such scattering and B870 to B875 energy transfer are suggested to be contributors to the dephasing of B870*. The effect of glasslike structural heterogeneity on the optical selection rules for unit cells of cyclic symmetry is also considered. ¬© 1992 American Chemical Society.</t>
  </si>
  <si>
    <t>6458-6464</t>
  </si>
  <si>
    <t>60008023;60010939;60008023</t>
  </si>
  <si>
    <t>7202174629;56259745200;7202142626</t>
  </si>
  <si>
    <t>Reddy, N. R.S.;Picorel, R.;Small, G. J.</t>
  </si>
  <si>
    <t>Spain;United States</t>
  </si>
  <si>
    <t>Zaragoza;Ames</t>
  </si>
  <si>
    <t>CSIC - Estacion Experimental de Aula Dei EEAD;Ames Laboratory</t>
  </si>
  <si>
    <t>60010939;60008023</t>
  </si>
  <si>
    <t>Reddy N.</t>
  </si>
  <si>
    <t>B896 and B870 components of the Rhodobacter sphaeroides antenna: A hole burning study</t>
  </si>
  <si>
    <t>10.1021/j100194a065</t>
  </si>
  <si>
    <t>2-s2.0-5844268067</t>
  </si>
  <si>
    <t>['wave vector', 'velocity distribution', 'tunable frequencies', 'toroidal plasma', 'range 8', 'phase velocity', 'energetic electrons', 'electrostatic waves', 'electrostatic wave', 'electron distribution', 'dispersion relation', 'direct measurements', '5 ghz']</t>
  </si>
  <si>
    <t>Electrostatic waves are driven in a toroidal plasma by counterpropagating microwave beams with a difference in frequency approximately equal to the electron plasma frequency. Energetic electrons are detected when the phase velocity of the electrostatic waves are 3ve &lt; vph &lt; 7ve, where ve is the electron thermal velocity. Experiments are performed in the Davis Diverted Torus (DDT) [Bull. Am. Phys. Soc. 33, 2049 (1988)] operating in a high repetition rate (15 Hz), low-density (7√ó107-2√ó109 cm-3) mode with only a toroidal magnetic field (‚àº110 G). The microwaves are triggered 30 Œºsec after the pulsed discharge ends. At this time the energetic electrons have left the system and the velocity distribution is Maxwellian (Te ‚àº 1 eV). The microwaves have tunable frequencies over the range 8.5-9.5 GHz, and peak powers ‚àº180 kW (400 nsec). Bounded plasma modes are excited when the electron cyclotron frequency is larger than the electron plasma frequency. Direct measurements of the wave vector have been made with a double probe antenna, from which the dispersion relation of the electrostatic wave can be obtained. The electron distribution is measured with an electrostatic energy analyzer. The electron velocity distribution function is found to be constant over an interval that extends well beyond the phase velocity of the wave. ¬© 1992 American Institute of Physics.</t>
  </si>
  <si>
    <t>1920-1926</t>
  </si>
  <si>
    <t>60026175-60018020;60026175;60026175;60026175;60026175;60026175</t>
  </si>
  <si>
    <t>7404268854;57207401564;56170115500;57217657797;7007020658;7003877589</t>
  </si>
  <si>
    <t>Rogers, J. H.;Hwang, D. Q.;Thomas, J. C.;Horton, R. L.;Killeen, J.;Dimonte, G.</t>
  </si>
  <si>
    <t>Livermore;Princeton</t>
  </si>
  <si>
    <t>Lawrence Livermore National Laboratory;Princeton Plasma Physics Laboratory</t>
  </si>
  <si>
    <t>60026175;60018020</t>
  </si>
  <si>
    <t>Rogers J.H.</t>
  </si>
  <si>
    <t>Beat wave excitation of electron plasma waves in a toroidal magnetized plasma</t>
  </si>
  <si>
    <t>10.1063/1.860044</t>
  </si>
  <si>
    <t>2-s2.0-5844307092</t>
  </si>
  <si>
    <t>ECS-8957434</t>
  </si>
  <si>
    <t>['¬© 1992', 'wider bandwidth', 'wave power', 'wave devices', 'undesirable surface', 'surface waves', 'surface wave', 'radiation modes', 'radiation fields', 'radiation efficiency', 'radiated power', 'power carried', 'potentially substitute', 'polarization state', 'novel microwave', 'novel features', 'notable characteristics', 'microwave components', 'microstrip radiators', 'line source', 'important features', 'help us', 'efficient antennas', 'complex printed', 'chirostrip antennas', 'chiral substrates', 'chiral materials', 'certain circumstances', 'antennas consist']</t>
  </si>
  <si>
    <t>Recently, we introduced the idea of chirostrip antennas which are microstrip radiators with chiral materials as substrates and/or superstrates. Owing to the handedness of chiral substrates, novel features are associated with this type of antenna. In this paper, the problem of chirostrip line antennas is analyzed in detail. These antennas consist of an electric line source printed on top of a grounded chiral slab. Both the surface wave and radiation modes of such substrates are obtained and their important features are discussed. Excitation of these surface waves and radiation by the line source are studied and their notable characteristics, such as the power and polarization state of the radiation fields, and the power carried by surface waves, are addressed. It is found that for the two-dimensional chirostrip antenna the chirality can, under certain circumstances, decrease the undesirable surface-wave power and increase the radiated power, thus giving rise to higher radiation resistance and radiation efficiency in these antennas. Such designs would lead to more efficient antennas with wider bandwidth. The physical understanding gained from the analysis of such antennas can help us to introduce novel designs for more complex printed-circuit and conformal antennas utilizing chiral materials. It is concluded that chiral materials can potentially substitute some of the conventional materials commonly used in microwave components and will open new chapters in the design of novel microwave and millimeter-wave devices. ¬© 1992, VSP.</t>
  </si>
  <si>
    <t>771-793</t>
  </si>
  <si>
    <t>Pelet, P.;Engheta, N.</t>
  </si>
  <si>
    <t>Chirostrip Antenna: Line Source Problem</t>
  </si>
  <si>
    <t>10.1163/156939392X01435</t>
  </si>
  <si>
    <t>2-s2.0-6244249982</t>
  </si>
  <si>
    <t>['within 1', 'various modes', 'value obtained', 'resonant frequency', 'relationship among', 'new measurements', 'moment method', 'lowest mode', 'critical study', 'contributions include']</t>
  </si>
  <si>
    <t>A critical study of the resonant frequency of the equilateral triangular patch antenna is presented. The contributions include: 1) comparison of the previous experimental data of Dahele and Lee with moment method results; 2) new measurements and moment method results for œµr = 10.5 and comparison with Gang's hypothesis; 3) verification of the relationship among the various modes by measurements and by moment method; and 4) a curve fitting formula yielding the resonant frequency of the lowest mode, which is within 1% of the value obtained from moment method analysis. ¬© 1992 IEEE</t>
  </si>
  <si>
    <t>1253-1256</t>
  </si>
  <si>
    <t>60021624;60021624;60009658</t>
  </si>
  <si>
    <t>56092917000;7501501369;7003504220</t>
  </si>
  <si>
    <t>Chen, Wei;Lee, Kai Fong;Dahele, Jashwant S.</t>
  </si>
  <si>
    <t>United States;United Kingdom</t>
  </si>
  <si>
    <t>Toledo;Swindon</t>
  </si>
  <si>
    <t>The University of Toledo;Defence College of Management and Technology</t>
  </si>
  <si>
    <t>60021624;60009658</t>
  </si>
  <si>
    <t>Theoretical and Experimental Studies of the Resonant Frequencies of the Equilateral Triangular Microstrip Antenna</t>
  </si>
  <si>
    <t>10.1109/8.182460</t>
  </si>
  <si>
    <t>2-s2.0-63049089532</t>
  </si>
  <si>
    <t>['¬© 1992', 'sublethal doses', 'studies carried', 'single spikes', 'receptor potentials', 'pheromone stimulations', 'olfactory system', 'olfactory neurones', 'noctuidae ).', 'neurone activity', 'mamestra suasa', 'impulses spontaneously', 'high frequency', 'following pheromone', 'electrophysiological techniques', 'electrical stimulations', 'discharged bursts', 'direct applications', 'deltamethrin inhibited', 'applied topically', 'acetone solution']</t>
  </si>
  <si>
    <t>Electrophysiological techniques were used to study the effects of deltamethrin, bioresmethrin, and DDT on the olfactory system of Mamestra suasa and M. brassicae male moths (Noctuidae). Direct applications on the antenna of sublethal doses of pesticides were found not to modulate the activity of olfactory neurones. Thus lethal doses of the insecticides were applied topically in acetone solution on the abdomen of individuals. None of the three insecticides assayed modified the amplitude of EAG or receptor potentials in response to pheromone stimulations. In return, action potential initiation was susceptible to the insecticides. Deltamethrin inhibited both the spontaneous firing activity and that following pheromone or electrical stimulations. Under the influence of DDT olfactory neurones emitted bursts of impulses spontaneously in place of single spikes and discharged bursts of spikes in high frequency in response to pheromone stimulations instead of the usual regular volley. Despite the change of the firing pattern induced by DDT, the sensitivity and the specificity of the olfactory system remained unchanged. Bioresmethrin modified neither the neurone activity at rest nor the specificity of pheromone receptor neurones. In contrast, applications of this pyrethroid significantly reduced the number of action potentials emitted in response to pheromone stimulations. The differences in effects of deltamethrin, DDT, and bioresmethrin on the activity of pheromone receptor neurones are discussed on the basis of studies carried out both on the central and the peripheral nervous system. ¬© 1992.</t>
  </si>
  <si>
    <t>103-115</t>
  </si>
  <si>
    <t>Pesticide Biochemistry and Physiology</t>
  </si>
  <si>
    <t>60123163;60123163</t>
  </si>
  <si>
    <t>36008941800;7004185407</t>
  </si>
  <si>
    <t>Lucas, Philippe;Renou, Michel</t>
  </si>
  <si>
    <t>INRAE</t>
  </si>
  <si>
    <t>Lucas P.</t>
  </si>
  <si>
    <t>Electrophysiological study of the effects of deltamethrin, bioresmethrin, and DDT on the activity of pheromone receptor neurones in two moth species</t>
  </si>
  <si>
    <t>004835759290024T</t>
  </si>
  <si>
    <t>10.1016/0048-3575(92)90024-T</t>
  </si>
  <si>
    <t>2-s2.0-7844249086</t>
  </si>
  <si>
    <t>['wiley blackwell', 'uncoupler nigericin', 'transition suggest', 'thylakoid membrane', 'state ii', 'small extent', 'slow phase', 'several minutes', 'rights reserved', 'plastoquinone pool', 'photosystem ii', 'oxygen yield', 'model calculations', 'light intensity', 'lhc ii', 'intact leaves', 'fluorescence parameters', 'fast phase', 'f complex', 'experiments indicate', 'electrophoretic analysis', 'cytochrome b6', 'chlorophyll fluorescence', 'antenna size', '12 %.']</t>
  </si>
  <si>
    <t>Abstract‚Äî The short‚Äêterm adaptation of intact leaves to an increase in light intensity was studied by an analysis of chlorophyll fluorescence and oxygen evolution monitored by photoacoustics. An increase in light intensity led to an oxygen ‚Äúgush‚Äù. This ‚Äúgush‚Äù was followed by a large (up to 120%) biphasic increase in the yield of oxygen evolution characterized by a fast phase (T = 0.5‚Äì2 min) and a slow phase (T = 4‚Äì20 min). The fast phase of the increase in oxygen yield was coupled to a decrease of fluorescence, whereas the slow phase was accompanied by a parallel fluorescence increase. A comparison of fluorescence parameters with oxygen yield indicates that the slow phase of the increase in oxygen yield was coupled to an increase in the antenna size of photosystem II. The slow phase was not inhibited by the uncoupler Nigericin but it was absent in chlorophyll‚Äêb‚Äêless barley mutants de√±cient in the light harvesting chlorophyll a/b protein complex of photosystem II (LHC II). These experiments indicate that changes in the LHC II mediated energy distribution, which occur in the time‚Äêrange of several minutes, are involved in the adaptation to changing light intensities. Moreover, electrophoretic analysis of 32P orthophosphate labeled leaf discs adapted to low and high light intensities suggests that the slow phase of the increase in oxygen evolution involves dephosphorylation of the 25 kDa polypeptide of LHC II, by a small extent of 12%. The trigger for the slow phase of the increase in oxygen yield does not involve the oxidation of the plastoquinone pool. It was found that in response to the increased light intensity, the plastoquinone pool became more reduced as judged by model calculations. Experiments with the uncoupler Nigericin suggest that the control of the slow phase of adaptation to increased light intensity was also not exerted by the pH gradient across the thylakoid membrane. The similarities between the adaptation to increased light intensity and the state II to state I transition suggest that both adaptation phenomena involve LHC II dephosphorylation possibly triggered by the cytochrome b6/f complex. Copyright ¬© 1992, Wiley Blackwell. All rights reserved</t>
  </si>
  <si>
    <t>873-885</t>
  </si>
  <si>
    <t>Photochemistry and Photobiology</t>
  </si>
  <si>
    <t>60015277;60030398</t>
  </si>
  <si>
    <t>7003923099;6602112112</t>
  </si>
  <si>
    <t>Dau, Holger;Canaani, Ora</t>
  </si>
  <si>
    <t>Philadelphia;Philadelphia</t>
  </si>
  <si>
    <t>Temple University;Thomas Jefferson University</t>
  </si>
  <si>
    <t>60030398;60015277</t>
  </si>
  <si>
    <t>Dau H.</t>
  </si>
  <si>
    <t>SHORT‚ÄêTERM ADAPTATION OF HIGHER PLANTS TO CHANGING LIGHT INTENSITIES AND EVIDENCE FOR THE INVOLVEMENT OF PHOSPHORYLATION OF THE LIGHT HARVESTING CHLOROPHYLL alb PROTEIN COMPLEX OF PHOTOSYSTEM II</t>
  </si>
  <si>
    <t>10.1111/j.1751-1097.1992.tb08536.x</t>
  </si>
  <si>
    <t>2-s2.0-8244237979</t>
  </si>
  <si>
    <t>['thylakoid membrane', 'stimulated induction', 'phycocyanin levels', 'photosystem ii', 'occurred due', 'membrane fluidity', 'low concentrations', 'heme oxygenase', 'content may', 'cocl2 exhibited', 'cobalt ions', 'cells grown', 'antennae organizations', 'alterations occurring', '200 œºmcocl2']</t>
  </si>
  <si>
    <t>electron transport | membrane fluidity | photosystem II | phycobilins | Spirulina platensis</t>
  </si>
  <si>
    <t>The presence of low concentrations of cobalt ions (200 ŒºMCoCl2) retarded the growth of the cyanobacterium Spirulina platensis. However, cells grown in the presence of CoCl2 exhibited an enhancement in the levels of phycocyanin and carotenoids, while showed a decrease in the content of chlorophyll a, when compared to the untreated control cells. Thylakoid membranes isolated from CoCl2 treated cells demonstrated enhanced rates of both photosystem II (H2O ‚Üí pBQ) and photosystem I (DCPIPH2 ‚Üí MV) mediated electorn transport activities. The stimulation in the rates of photosynthetic electron transport activities in the CoCl2 grown cells are attributed to the alterations occurring in the thylakoid membrane organization, as the thylakoids from CoCl2 grown cells possessed more membrane fluidity. The decrease in the chlorophyll a content may have occurred due to modifications in the chlorophyll a complexes in this cynaobacterium. The enhancement in the phycocyanin levels in the CoCl2 grown cells appears to be because of the stimulated induction of heme oxygenase. Thus, the cobalt ion treatment appears to be useful in studying the thylakoid membrane and antennae organizations in cyanobacteria. ¬© 1992 Springer-Verlag.</t>
  </si>
  <si>
    <t>61-63</t>
  </si>
  <si>
    <t>Journal of Plant Biochemistry and Biotechnology</t>
  </si>
  <si>
    <t>60030622;60030622;60030622</t>
  </si>
  <si>
    <t>8861544600;7003696808;7101652469</t>
  </si>
  <si>
    <t>Sudhakar Babu, T.;Sabat, S. C.;Mohanty, Prasanna</t>
  </si>
  <si>
    <t>Jawaharlal Nehru University</t>
  </si>
  <si>
    <t>Sudhakar Babu T.</t>
  </si>
  <si>
    <t>Alterations in Photosystem II Organization by Cobalt Treatment in the Cyanobacterium Spirulina piatensis</t>
  </si>
  <si>
    <t>10.1007/BF03262897</t>
  </si>
  <si>
    <t>2-s2.0-84875817333</t>
  </si>
  <si>
    <t>['pit floor', 'penetrating radar', 'impressive similarity', 'highwall exposures', 'gpr ).', 'brigham sand']</t>
  </si>
  <si>
    <t>Field experiments carried out in the Brigham Sand and Gravel Company pit, near Brigham City, Utah, show an impressive similarity between observed gravelly deltaic foreset facies in highwall exposures and inclined reflections detected by ground-penetrating radar (GPR). Beneath the pit floor, the radar indicates additional inclined strata more than 30 m deep. In a test to compare different antenna frequencies (50, 100, and 200 MHz), using a 400 V transmitter, 50 MHz antennas are capable of detecting gravel facies in excess of 30 m, whereas signal loss for the 100 and 200 MHz antennas occurs below 23 and 17 m, respectively, though providing higher resolution. -Authors</t>
  </si>
  <si>
    <t>1083-1086</t>
  </si>
  <si>
    <t>Geology</t>
  </si>
  <si>
    <t>60002306;60002306</t>
  </si>
  <si>
    <t>7410365761;7004279622</t>
  </si>
  <si>
    <t>Smith, D. G.;Jol, H. M.</t>
  </si>
  <si>
    <t>Calgary</t>
  </si>
  <si>
    <t>University of Calgary</t>
  </si>
  <si>
    <t>Smith D.</t>
  </si>
  <si>
    <t>Ground-penetrating radar investigation of a Lake Bonneville delta, Provo level, Brigham City, Utah</t>
  </si>
  <si>
    <t>10.1130/0091-7613(1992)020&lt;1083:GPRIOA&gt;2.3.CO;2</t>
  </si>
  <si>
    <t>2-s2.0-84879886606</t>
  </si>
  <si>
    <t>['spaceborne applications', 'reflector system', 'reflector dish', 'problems inherent', 'often used', 'fss separately', 'fss effects']</t>
  </si>
  <si>
    <t>Frequency selective surfaces (FSS's) are often used in spaceborne applications of reflector antennas due to their ability to allow multiple feeds to utilize the same reflector dish. The problems inherent in evaluating the FSS separately from the reflector system are discussed. A method of integrating the FSS effects into the reflector system analysis is presented. An example is given for the proposed Advanced Tracking and Delay Relay Satellite System (ATDRSS) single-access triband reflector antenna. ¬© 1992 IEEE</t>
  </si>
  <si>
    <t>1264-1266</t>
  </si>
  <si>
    <t>60078329;60000745;60026717</t>
  </si>
  <si>
    <t>7202495702;7601396617;6506237272</t>
  </si>
  <si>
    <t>Zimmerman, M. L.;Lee, S. W.;Fujikawa, G.</t>
  </si>
  <si>
    <t>Fairfax;Cleveland;Urbana</t>
  </si>
  <si>
    <t>Analex Corporation;NASA Glenn Research Center;University of Illinois Urbana-Champaign</t>
  </si>
  <si>
    <t>60078329;60026717;60000745</t>
  </si>
  <si>
    <t>Zimmerman M.L.</t>
  </si>
  <si>
    <t>Analysis of Reflector Antenna System Including Frequency Selective Surfaces</t>
  </si>
  <si>
    <t>10.1109/8.182463</t>
  </si>
  <si>
    <t>2-s2.0-84886625451</t>
  </si>
  <si>
    <t>['significantly enhanced', 'polarization diversity', 'objects detection', 'localization systems', 'detection probability', 'cooperative object', 'applying space']</t>
  </si>
  <si>
    <t>Coded passive transponder cards are proposed for the detection and localization of underground cooperative objects. The detection system active transmitter antenna polarization, gain and beam grazing angles are investigated to achieve maximum energy transmission to ground and to the passive transponder cards connected to the objects to be detected and localized. The detection probability can be significantly enhanced by applying space and polarization diversity of two transponder cards with two orthogonal polarized antennae on each cooperative object. Methods are suggested for improving the performances and the reliability of the objects detection and localization systems. ¬© 1992 VSP.</t>
  </si>
  <si>
    <t>1069-1082</t>
  </si>
  <si>
    <t>Gavan, J.</t>
  </si>
  <si>
    <t>Holon Institute of Technology</t>
  </si>
  <si>
    <t>Gavan J.</t>
  </si>
  <si>
    <t>Optimal radio beams for detection and localization of underground passive transponders</t>
  </si>
  <si>
    <t>10.1163/156939392X01615</t>
  </si>
  <si>
    <t>2-s2.0-84887450688</t>
  </si>
  <si>
    <t>New Mexico State University</t>
  </si>
  <si>
    <t>['¬© 1992', 'typical case', 'radius equal', 'radiation characteristics', 'patterns become', 'paper addresses', 'moment solution', 'loop decays', 'large chirality', 'integral equation', 'half wavelength', 'electrical size', 'chirality one', 'additional parameter', 'achiral case', '310 ohms', '140 ohms']</t>
  </si>
  <si>
    <t>This paper addresses the problem of a thin loop antenna of arbitrary radius radiating in an infinitely extending chiral medium. The integral equation for the problem has been formulated and solved using Numerical Electromagnetics Code modified accordingly. It is found that with the additional parameter of chirality one can control the radiation characteristics. It is observed that for a typical case of a loop of radius equal to a half wavelength the radiation resistance increases from about 140 ohms to 310 ohms when the chirality parameter changes from 0.0 (achiral) to 0.003. Also, the patterns become more directive with chirality than in the achiral case for the same electrical size of the loop. The current on the loop decays very quickly with large chirality. Some details of the numerical exercise associated with the moment solution in the chiral NEC code are discussed. ¬© 1992, VSP.</t>
  </si>
  <si>
    <t>431-444</t>
  </si>
  <si>
    <t>60074655;60026175;60006164</t>
  </si>
  <si>
    <t>Bhattacharyya, A. K.;Burke, G. J.;Miller, E. K.</t>
  </si>
  <si>
    <t>Las Cruces;Livermore;Los Alamos</t>
  </si>
  <si>
    <t>Physical Science Laboratory;Lawrence Livermore National Laboratory;Los Alamos National Laboratory</t>
  </si>
  <si>
    <t>Circular Loop Antenna In Unbounded Chiral Medium: A Moment Method Solution</t>
  </si>
  <si>
    <t>10.1163/156939392X01237</t>
  </si>
  <si>
    <t>2-s2.0-84887497322</t>
  </si>
  <si>
    <t>['test equipment', 'television receivers', 'standard feature', 'soon became', 'remains today', 'radio club', 'morris n', 'liebmann award', 'lasting association', 'ieee medal', 'famous invention', 'circuit design', 'armstrong medal']</t>
  </si>
  <si>
    <t>The electronics engineer Harold Alden Wheeler contributed to the development of radio, television, and radar. Born in 1903, he experimented with radio in the days before broadcasting, and in 1922 he began a long-lasting association with the radio engineer Alan Hazeltine. In 1925 Wheeler made his most famous invention, a circuit that achieves automatic volume control (now called automatic gain control). It soon became, and remains today, a standard feature of AM radios. In the 1920's and 1930's Wheeler made many other contributions, both practical and theoretical, to circuit design for radio receivers‚ÄîAM, FM, and shortwave‚Äîand for television receivers. He excelled in the development of test equipment. During and after World War II, the design of antennas and of transmission lines became specialties of Wheeler's. His many honors include the Morris N. Liebmann Award, the Armstrong Medal of the Radio Club of America, and the IEEE Medal of Honor. ¬© 1992 IEEE</t>
  </si>
  <si>
    <t>1223-1236</t>
  </si>
  <si>
    <t>Nebeker, Frederik</t>
  </si>
  <si>
    <t>New Brunswick</t>
  </si>
  <si>
    <t>Rutgers University‚ÄìNew Brunswick</t>
  </si>
  <si>
    <t>Nebeker F.</t>
  </si>
  <si>
    <t>Harold alden wheeler: A lifetime of applied electronics</t>
  </si>
  <si>
    <t>10.1109/5.158595</t>
  </si>
  <si>
    <t>2-s2.0-84891008658</t>
  </si>
  <si>
    <t>['¬© 1992', 'transition frequency', 'transition frequencies', 'tabulated transitions', 'species identity', 'rights reserved', 'national institute', 'critical examination', 'circumstellar clouds', 'astronomical literature', 'american institute']</t>
  </si>
  <si>
    <t>0620 | 0950 | CIRCUMSTELLAR CLOUDS | DATA COMPILATION | ENERGY-LEVEL TRANSITIONS | HYPERFINE STRUCTURE | INTERSTELLAR CLOUDS | INTERSTELLAR MOLECULES | MICROWAVE SPECTRA | QUANTUM NUMBERS | RADIOASTRONOMY | ROTATIONAL STATES</t>
  </si>
  <si>
    <t>Critically evaluated transition frequencies for the molecular transitions detected in interstellar and circumstellar clouds are presented. The tabulated transitions are recommended for reference in future astronomical observations in the microwave and millimeter wavelength regions. The transition frequencies have been selected through a critical examination and analysis of the laboratory spectral data obtained from the literature. The information tabulated includes the species identity, transition frequency, uncertainty, and quantum state labels. In addition, representative line antenna temperatures are listed for a typical astronomical source for each transition as a convenience to users, and the references are cited for the laboratory and astronomical literature which have been employed. ¬© 1992, American Institute of Physics for the National Institute of Standards and Technology. All rights reserved.</t>
  </si>
  <si>
    <t>181-272</t>
  </si>
  <si>
    <t>Journal of Physical and Chemical Reference Data</t>
  </si>
  <si>
    <t>Lovas, F. J.</t>
  </si>
  <si>
    <t>Lovas F.</t>
  </si>
  <si>
    <t>Recommended Rest Frequencies for Observed Interstellar Molecular Microwave Transitions'1991 Revision</t>
  </si>
  <si>
    <t>10.1063/1.555920</t>
  </si>
  <si>
    <t>2-s2.0-84891241907</t>
  </si>
  <si>
    <t>['wave frequencies', 'terahertz applications', 'substrate modes', 'spiral antennas', 'slot antenna', 'problems associated', 'planar antennas', 'paper presents', 'last decade', 'great deal', 'filled parabola', 'excellent performance', 'comprehensive review']</t>
  </si>
  <si>
    <t>This paper presents a comprehensive review of integrated circuit antennas suitable for millimeter and terahertz applications. A great deal of research was done on integrated circuit antennas in the last decade and many of the problems associated with electrically thick dielectric substrates, such as substrate modes and poor radiation patterns, have been understood and solved. Several new antennas, such as the integrated horn antenna, the dielectric-filled parabola, the Fresnel plate antenna, the dual-slot antenna, and the log-periodic and spiral antennas on extended hemispherical lenses, have resulted in excellent performance at millimeter-wave frequencies, and are covered in detail in this paper. Also, a review of the efficiency definitions used with planar antennas is given in detail in the appendix. ¬© 1992 IEEE</t>
  </si>
  <si>
    <t>1748-1770</t>
  </si>
  <si>
    <t>Rebeiz, Gabriel M.</t>
  </si>
  <si>
    <t>Rebeiz G.M.</t>
  </si>
  <si>
    <t>Millimeter-Wave and Terahertz Integrated Circuit Antennas</t>
  </si>
  <si>
    <t>10.1109/5.175253</t>
  </si>
  <si>
    <t>2-s2.0-84907878634</t>
  </si>
  <si>
    <t>['summer 1990', 'spectrum analyzers', 'sar observation', 'received power', 'radio antennas', 'paper describes', 'microwave penetration', 'jpl dc', 'ground receiver', 'ground measurement', 'estimation suggests', 'convenient method', '1 sar']</t>
  </si>
  <si>
    <t>This paper describes a convenient method to measure SAR azimuth antenna patterns and microwave penetration of soil or trees using spectrum analyzers and amateur-radio antennas. the received power of a ground receiver is estimated for several SAR‚Äôs. This estimation suggests that spectrum analyzers can be used for ground measurement during SAR observation. Then in situ experimental measurements are presented which were made during the NASA/JPL DC-8 SAR campaign in summer 1990 in the JAROS/NASA J ERS-1 simulation project. Finally, a discussion and perspectives on applications for JERS-1 SAR are described. ¬© 1992 IEEE.</t>
  </si>
  <si>
    <t>1153-1158</t>
  </si>
  <si>
    <t>60020866;60020866</t>
  </si>
  <si>
    <t>55686788400;7004693944</t>
  </si>
  <si>
    <t>Kimura, Hiroshi;Kodaira, Nobuhiko</t>
  </si>
  <si>
    <t>Minato</t>
  </si>
  <si>
    <t>Remote Sensing Technology Center of Japan</t>
  </si>
  <si>
    <t>Kimura H.</t>
  </si>
  <si>
    <t>Antenna Pattern and Penetration Measurement Using Spectrum Analyzers</t>
  </si>
  <si>
    <t>10.1109/36.193792</t>
  </si>
  <si>
    <t>2-s2.0-84910992461</t>
  </si>
  <si>
    <t>['solar studies', 'solar activity', 'radio telescope', 'present maximum', 'potential possibilities', 'possibilities mentioned', 'frequency reslution', 'different methods', '4 hours', '18 ghz']</t>
  </si>
  <si>
    <t>The potential possibilities of RATAN‚Äê600 for solar studies are considered which are going on to be realized during the present maximum of solar activity. Different methods of an improvement of the characteristics of the antenna‚Äêreceiver system are analyzed. These are: ‚Äì realization of tracking the Sun during about 4 hours for a day and attaining temporal resolution up to some msec, ‚Äì realization of radio‚Äêheliographic observations, ‚Äì realization of a full spectral coverage of the radio telescope from 1,5 to 18 GHz with a frequency reslution up to 1‚Äì2 MHz, ‚Äì combination of all possibilities mentioned above in an adaptable solar observing complex. Copyright ¬© 1992 WILEY‚ÄêVCH Verlag GmbH &amp; Co. KGaA</t>
  </si>
  <si>
    <t>97-100</t>
  </si>
  <si>
    <t>Astronomische Nachrichten</t>
  </si>
  <si>
    <t>Gogod, V. M.</t>
  </si>
  <si>
    <t>Saint Petersburg (ex Leningrad)</t>
  </si>
  <si>
    <t>Astrophysical Observatories AS of</t>
  </si>
  <si>
    <t>Gogod V.</t>
  </si>
  <si>
    <t>Perspectives of advance of RATAN‚Äê600 solar observations</t>
  </si>
  <si>
    <t>10.1002/asna.2113130210</t>
  </si>
  <si>
    <t>2-s2.0-84934552514</t>
  </si>
  <si>
    <t>['¬© 1992', 'two sites', 'system went', 'reference site', 'ophiogomphus colubrinus', 'oikos publishers', 'movement patterns', 'full power', 'ford river', 'elf lines', 'dragonfly naiads', 'downstream direction', 'discharge rather', 'animals travelled']</t>
  </si>
  <si>
    <t>Movement patterns of dragonfly naiads in a small northern Michigan stream were followed from 1985 through 1989 to determine if Extremely Low Frequency (ELF) electromagnetic fields affected movements for this predator. ELF lines were activated in 1986 and increased in amperage and duration from that time until the system went to full power in 1989. Mark-recaptures at two sites, an experimental and a reference site on the Ford River, showed that Ophiogomphus colubrinus only moved in a downstream direction and travelled relatively short distances. Distances the animals travelled were related to discharge rather than to ELF antenna cumulative exposures. ¬© 1992 by Oikos Publishers, Inc.</t>
  </si>
  <si>
    <t>343-352</t>
  </si>
  <si>
    <t>Journal of Freshwater Ecology</t>
  </si>
  <si>
    <t>Stout, R. Jean</t>
  </si>
  <si>
    <t>East Lansing</t>
  </si>
  <si>
    <t>Michigan State University</t>
  </si>
  <si>
    <t>Stout R.</t>
  </si>
  <si>
    <t>Responses to extremely low frequency electromagnetic fields by a dragonfly naiad (Ophiogomphus colubrinus) in a northern Michigan stream: A five year study</t>
  </si>
  <si>
    <t>10.1080/02705060.1992.9664704</t>
  </si>
  <si>
    <t>2-s2.0-84935449311</t>
  </si>
  <si>
    <t>60000461;60027090-115913900;115913900</t>
  </si>
  <si>
    <t>6701446855;56933390500;6507300573</t>
  </si>
  <si>
    <t>Hagn, G. H.;Hagn, Cheryl;Rawle, Walter D.</t>
  </si>
  <si>
    <t>United States;United States;Canada</t>
  </si>
  <si>
    <t>Blacksburg;Menlo Park;Sydney</t>
  </si>
  <si>
    <t>Virginia Polytechnic Institute and State University;SRI International;Micronav International Incorporated</t>
  </si>
  <si>
    <t>60027090;60000461;115913900</t>
  </si>
  <si>
    <t>Hagn G.H.</t>
  </si>
  <si>
    <t>The Story of Compact, Directional Low-Impedance Loop Antennas (LILAS) for Shortwave Broadcast Reception</t>
  </si>
  <si>
    <t>10.1109/74.153538</t>
  </si>
  <si>
    <t>2-s2.0-84938012686</t>
  </si>
  <si>
    <t>['users k', 'quite low', 'opportunistic scheduling', 'noise ratio', 'multiuser environment', 'limiting cases', 'large number', 'high signal', 'greatly improve', 'feedback errors', 'diversity order', 'csi feedback', 'asymptotic bers', 'antenna transmitter', 'achieved ber']</t>
  </si>
  <si>
    <t>asymptotic BER analysis | back | Diversity order | multiuser diversity gain | opportunistic scheduling | Quantized and erroneous feed</t>
  </si>
  <si>
    <t>In this paper, the downlink opportunistic scheduling approach is studied in a multiuser environment with single-antenna transmitter and users. Exact bit error rate (BER) expressions are derived under the assumptions of full and quantized channel state information (CSI) at the transmitter. These expressions are then used to optimize the channel state feedback parameters. Moreover, asymptotic BERs are investigated in the limiting cases of a high signal-to-noise ratio (SNR) and a large number of users K. It is shown that both under the full and quantized CSI assumptions, the achieved BER is proportional to SNR&lt;sup&gt;-K&lt;/sup&gt; and K&lt;sup&gt;-SNK&lt;/sup&gt; in these two asymptotic cases, respectively. This means that the diversity order is equal to K, whereas the multiuser diversity gain is equal to SNR. In the case when the CSI feedback is quantized, the impact of feedback errors on the achieved BER is studied. It is shown that the opportunistic scheduling can greatly improve the BER performance even if the feedback is quite low-rate and erroneous. ¬© 2010 IEEE</t>
  </si>
  <si>
    <t>1907-1911</t>
  </si>
  <si>
    <t>56796308400;35555043400;7006198109</t>
  </si>
  <si>
    <t>Liang, Li;Pesavento, Marius;Gershman, Alex B.</t>
  </si>
  <si>
    <t>Liang L.</t>
  </si>
  <si>
    <t>Downlink Opportunistic Scheduling with Low-Rate Channel State Feedback: Error Rate Analysis and Optimization of the Feedback Parameters</t>
  </si>
  <si>
    <t>10.1109/50.202816</t>
  </si>
  <si>
    <t>2-s2.0-84939705568</t>
  </si>
  <si>
    <t>['slow fading', 'satellite direction', 'phasedarray type', 'mounted high', 'gain antenna', 'conducted using', 'beam pointing', 'band channel', 'aircraft wing', '4 db']</t>
  </si>
  <si>
    <t>Aeronautical satellite communication experiments were conducted using a top-mounted high-gain antenna of the phasedarray type. Slow fading of 3 to 4 dB in L-band channel was observed when the wing direction coincides with the satellite direction, in contrast with the small fading observed in the cases where the aircraft wing Is out of the beam pointing to the satellite. ¬© 1992 IEEE</t>
  </si>
  <si>
    <t>1155-1157</t>
  </si>
  <si>
    <t>Propagation Results of Aeronautical Satellite Communication Experiments using INMARSAT Satellite</t>
  </si>
  <si>
    <t>10.1109/7.165377</t>
  </si>
  <si>
    <t>2-s2.0-84941529685</t>
  </si>
  <si>
    <t>['unique feature', 'unbounded medium', 'scattering parameters', 'results obtained', 'radio frequency', 'pulse excitation', 'patch antennas', 'magnetic field', 'lowpass filters', 'line coupler', 'human head', 'francis group', 'fourier transforming', 'field distributions', 'domain methods', 'domain information', 'contemporary time', 'brief review', 'also illustrated', 'also discussed']</t>
  </si>
  <si>
    <t>After a brief review of the contemporary time-domain methods for solving electromagnetic problems, the FDTD (Finite Difference Time Domain) technique is discussed in detail. The visualization of electromagnetic field distribution, a unique feature of FDTD, is emphasized by applying the technique to simulate electromagnetic wave propagation in unbounded medium. Results obtained with various absorbing boundary conditions are compared. The field distributions in the vicinity of microwave integrated circuit components such as branch-line coupler, bandpass and lowpass filters as well as patch antennas are displayed. In addition, the mapping of the RF (Radio Frequency) magnetic field in a human head is also illustrated to show the applicability of FDTD to aid in the analyses of RF coils developed for magnetic resonance imaging. The extraction of frequency-domain information by Fourier transforming the transient time response generated by pulse excitation is another salient feature of the time-domain methods. The scattering parameters over a wide frequency band are obtained in this manner for microwave integrated circuit components. An efficient extrapolation technique based on Prony‚Äôs method to generate accurate scattering parameters is also discussed. ¬© 1992 Taylor &amp; Francis Group, LLC.</t>
  </si>
  <si>
    <t>403-433</t>
  </si>
  <si>
    <t>Lee Ko, Wai</t>
  </si>
  <si>
    <t>Tampa</t>
  </si>
  <si>
    <t>University of South Florida, Tampa</t>
  </si>
  <si>
    <t>Lee Ko W.</t>
  </si>
  <si>
    <t>Time domain solution of electromagnetic problems</t>
  </si>
  <si>
    <t>10.1080/02726349208908322</t>
  </si>
  <si>
    <t>2-s2.0-84941865732</t>
  </si>
  <si>
    <t>['utility cost', 'statistical quantity', 'scene content', 'scene brightness', 'peak power', 'paper reviews', 'feed line', 'data stream', 'compute interference', 'average power', 'also discussed']</t>
  </si>
  <si>
    <t>This paper reviews why it is that the peak power of the NTSC visual signal is measured, noting that its average power varies inversely with scene brightness. The average power of a digital TV signal is independent of scene content, motion, and other variables and is, therefore, the parameter to be measured and used to compute interference, coverage, and the utility cost to provide that coverage. Transient peak power varies with the data stream and for this reason, it is a statistical quantity. Transient peak power is important to designers of the transmitter, feed line and antenna. A method to determine the transient peak power will be described. Thermocouple power sensors and the limitations of square law power sensors are also discussed. ¬© 1992 IEEE</t>
  </si>
  <si>
    <t>197-201</t>
  </si>
  <si>
    <t>Rhodes, Charles W.</t>
  </si>
  <si>
    <t>Alexandria</t>
  </si>
  <si>
    <t>Advanced Television Test Cent, Inc</t>
  </si>
  <si>
    <t>Rhodes C.</t>
  </si>
  <si>
    <t>Measuring Peak and average power of digitally modulated advanced television systems</t>
  </si>
  <si>
    <t>10.1109/11.184721</t>
  </si>
  <si>
    <t>2-s2.0-84942213105</t>
  </si>
  <si>
    <t>['¬© 1992', 'transient solution', 'rights reserved', 'late time', 'exact solution', 'delta gap', 'asymptotic expansion', 'approximate formulas', 'alternative formula']</t>
  </si>
  <si>
    <t>Approximate formulas for transient antenna current on an infinite cylindrical antenna caused by a step voltage source, applied at the delta gap, are discussed. A new alternative formula is derived. An asymptotic expansion of the transient solution for late time is given. The Hallen filament approximation, a previous simple formula obtained by averaging, an alternative formula, and the asymptotic expansion are compared to the accurate numerical integration of the exact solution. ¬© 1992, VSP. All rights reserved.</t>
  </si>
  <si>
    <t>297-308</t>
  </si>
  <si>
    <t>60007843;60007843;60009982</t>
  </si>
  <si>
    <t>7410237435;7003397779;7404816148</t>
  </si>
  <si>
    <t>Chen, K. C.;Warne, L. K.;Wu, T. T.</t>
  </si>
  <si>
    <t>Cambridge;Albuquerque</t>
  </si>
  <si>
    <t>Harvard University;Sandia National Laboratories, New Mexico</t>
  </si>
  <si>
    <t>60009982;60007843</t>
  </si>
  <si>
    <t>Chen K.C.</t>
  </si>
  <si>
    <t>Accurate Formulas and Asymptotic Expansions of Transient Antenna Current</t>
  </si>
  <si>
    <t>10.1163/156939392X01174</t>
  </si>
  <si>
    <t>2-s2.0-84944834208</t>
  </si>
  <si>
    <t>23-29</t>
  </si>
  <si>
    <t>Mushiake, Yasuto</t>
  </si>
  <si>
    <t>Mushiake Y.</t>
  </si>
  <si>
    <t>Self-complementary antennas</t>
  </si>
  <si>
    <t>10.1109/74.180638</t>
  </si>
  <si>
    <t>2-s2.0-84945712697</t>
  </si>
  <si>
    <t>['¬© 1992', 'typical finite', 'significant amount', 'rights reserved', 'report presents', 'regular output', 'quantitative information', 'necessary information', 'easy way', 'alternative origins']</t>
  </si>
  <si>
    <t>A significant amount of both qualitative and quantitative information about structures can be derived from the elastic-rigid structural coupling matrices, and from the effective modal inertias and masses. Typical finite-element analysis programs do not provide this information as part of the regular output. This report presents an easy way to develop the necessary information from ordinary program output, and shows how to deal with alternative origins for the reference coordinate system. Hand calculations suffice for these computations. ¬© 1992, IEEE. All rights reserved.</t>
  </si>
  <si>
    <t>75-80</t>
  </si>
  <si>
    <t>Levy, R.</t>
  </si>
  <si>
    <t>Levy R.</t>
  </si>
  <si>
    <t>Computation of Antenna Vibration Mode Elastic-Rigid and Effective-Weight Coefficients</t>
  </si>
  <si>
    <t>10.1109/74.153541</t>
  </si>
  <si>
    <t>2-s2.0-84945718470</t>
  </si>
  <si>
    <t>['wave irradiation', 'surface currents', 'remarkable feature', 'rectangular configuration', 'quantitative solution', 'present analysis', 'practical applications', 'paper includes', 'governing integro', 'free space', 'francis ltd', 'field induced', 'directly derivable', 'diflerential equations', 'conducting patch', '1237 mhz']</t>
  </si>
  <si>
    <t>A quantitative solution is presented of the surface currents and the corresponding fields generated in free space by electrically thin microstrip patch-antennas of rectangular configuration. Use is made of a versatile analytical tool known as the method of moments, in which the surface current density is approximated by a series expansion involving piece wise linear basis functions and weighted superposition coefficients which are to be determined. It is shown that when the governing integro-diflerential equations are reformulated in matrix form involving generalized network parameters, the desired current distribution emerges in a simple compact form. A remarkable feature of the result of the present analysis is the fact that the field induced in the substrate is due to a finite charge distribution rather than the previously implied phenomenon, viz. the influence of an infinite charge distribution. Indeed, the charge distribution responsible is directly derivable from the time-harmonic continuity equation. All numerical results displayed are based on the use of plane-wave irradiation and the paper includes a discussion of certain practical feed arrangements as well as some practical applications. Results are presented in graphical forms within the frequency limits 1157-1237 MHz for two different sizes of the conducting patch. ¬© 1992 Taylor &amp; Francis Ltd.</t>
  </si>
  <si>
    <t>773-804</t>
  </si>
  <si>
    <t>60006448;60006448</t>
  </si>
  <si>
    <t>6603932305;6503863156</t>
  </si>
  <si>
    <t>Adekola, S. Adeniyi;Mowete, A. Ike</t>
  </si>
  <si>
    <t>Nigeria</t>
  </si>
  <si>
    <t>Lagos</t>
  </si>
  <si>
    <t>University of Lagos</t>
  </si>
  <si>
    <t>Adekola S.</t>
  </si>
  <si>
    <t>Moment-method determination of the surface currents and fields radiated by rectangular microstrip patch-antennas</t>
  </si>
  <si>
    <t>10.1080/00207219208925712</t>
  </si>
  <si>
    <t>2-s2.0-84946345417</t>
  </si>
  <si>
    <t>['work suggests', 'wavery sound', 'two receiver', 'taking advantage', 'single capacitor', 'phase opposition', 'operated receivers', 'one antenna', 'occasional intervals', 'inches rather', 'good choice', 'given signal', 'diversity reception', 'distortion characteristic', 'conventional receivers', 'considerably reduced', 'connected serially', 'close spacing', 'clas enables', 'andvice versa']</t>
  </si>
  <si>
    <t>The wavery sound and occasional intervals of distortion characteristic of sky-wave-propagated shortwave broadcasts received with conventional receivers can be considerably reduced by taking advantage of the complexity of electromagnetic fields inside typical houses. This complexity makes possible spatial diversity reception with paired compact antennas and self-contained, battery-operated receivers, spaced on the order of inches rather than tens of yards. Cascaded loop antennas (known as CLAs) connected serially in phase opposition and tuned to resonance with a single capacitor are a good choice for use in diversity reception. Close spacing of the CLAs enables the antennas to be coupled in such a way that an increase in the level of a given signal as received at one antenna (and receiver) decreases the response of the same signal in the other antenna and receiver, andvice versa. This action plus binaural acoustic ‚Äúprocessing‚Äù smooths out the combined audio frequency response when the two receiver out-puts are presented to the listener in stereo.Although brief intervals of complete signal loss cannot be prevented, reduced signal fading makes speech more intelligible and music more enjoyable during the rest of the time. This work suggests that further research on improving the quality of home shortwave reception might pay off in greater listener satisfaction. ¬© 1992 IEEE</t>
  </si>
  <si>
    <t>243-251</t>
  </si>
  <si>
    <t>;;60000461</t>
  </si>
  <si>
    <t>7004120909;6701446855;7003673982</t>
  </si>
  <si>
    <t>Villard, O. G.;Hagn, George H.;Lomasney, James M.</t>
  </si>
  <si>
    <t>Menlo Park</t>
  </si>
  <si>
    <t>SRI International</t>
  </si>
  <si>
    <t>Villard O.G.</t>
  </si>
  <si>
    <t>Cascaded-loop MW/SW receiving antenna rejects sky-wave interference and enables diversity reception at SW</t>
  </si>
  <si>
    <t>10.1109/11.184727</t>
  </si>
  <si>
    <t>2-s2.0-84946966557</t>
  </si>
  <si>
    <t>['simulations performed', 'receive antenna', 'quite low', 'preamble detection', 'optimal performance', 'digital mixer', 'derived using', 'computational complexity', 'coherently combined', 'antenna array']</t>
  </si>
  <si>
    <t>antenna array | low complexity | LTE | multistage decimation filter | receiver | SC-FDMA</t>
  </si>
  <si>
    <t>In this letter, we propose an efficient low complexity receiver for the preamble detection in single-carrier frequency division multiple access (SC-FDMA) systems with an antenna array. the proposed low complexity receiver is derived using a digital mixer and a multistage decimation filter. the signals for each receive antenna are non-coherently combined. Simulations performed in various channel environments validate that the proposed receiver attains a high detection performance equivalent to the full frequency domain approach which provides the optimal performance, while being quite low in computational complexity. ¬© 1992 IEEE.</t>
  </si>
  <si>
    <t>34-42</t>
  </si>
  <si>
    <t>IEEE Micro</t>
  </si>
  <si>
    <t>60001558;109710717</t>
  </si>
  <si>
    <t>56143484000;56428203000</t>
  </si>
  <si>
    <t>Lee, Moon Sik;Choi, Young Min</t>
  </si>
  <si>
    <t>South Korea;South Korea</t>
  </si>
  <si>
    <t>Daejeon;Daejeon</t>
  </si>
  <si>
    <t>Electronics and Telecommunications Research Institute;Cleverlogic, Inc.</t>
  </si>
  <si>
    <t>Lee M.S.</t>
  </si>
  <si>
    <t>An Efficient Receiver for Preamble Detection in LTE SC-FDMA Systems with an Antenna Array</t>
  </si>
  <si>
    <t>10.1109/40.149734</t>
  </si>
  <si>
    <t>2-s2.0-84947669204</t>
  </si>
  <si>
    <t>['¬© 1992', 'true brightness', 'temperature background', 'square array', 'restoration errors', 'noise ratio', 'measured points', 'incoherent source', 'finite number', 'correlation functions', 'background temperature', 'background noise', 'antenna parameters', 'antenna illumination', 'antenna beamwidth', 'analytic results']</t>
  </si>
  <si>
    <t>Radio brightness measurements of an incoherent source, in front of a constant-temperature background, depart from the true source brightness because of finite antenna beamwidth, internal receiver noise, and background noise. Noisy measured brightness samples may be used to estimate the measured and the true brightness, at and between the measured points. Such estimates are called ‚Äúinterpolation‚Äù and ‚Äúrestoration,‚Äù respectively. Optimum linear estimation ‚Äî interpolation or restoration ‚Äî requires only the second-order brightness statistics of the true and measured brightness samples, and of the corresponding noise samples. We derive these correlation functions in terms of the antenna parameters, subject to the assumptions that the source brightness varies rapidly compared to the antenna beamwidth, and that the background temperature is constant. We apply these results to calculating the interpolation and restoration errors for optimum linear processing of a finite number of noisy measured brightness samples, as functions of the antenna illumination and the signal-to-noise ratio. Analytic results are given for a square array of four measured points. For this case the interpolation and restoration errors increase rapidly as the separation between measured points increases beyond critical sampling, which for an antenna with Gaussian illumination approximates the 3 db half-beamwidth. ¬© 1992, VSP.</t>
  </si>
  <si>
    <t>401-429</t>
  </si>
  <si>
    <t>60027392;60027392</t>
  </si>
  <si>
    <t>57201827302;57011423900</t>
  </si>
  <si>
    <t>Rowe, H. E.;Lu, C. Y.</t>
  </si>
  <si>
    <t>Hoboken</t>
  </si>
  <si>
    <t>Stevens Institute of Technology</t>
  </si>
  <si>
    <t>Rowe H.</t>
  </si>
  <si>
    <t>Radio Brightness Measurement of Incoherent Sources: Second-Order Brightness Spatial Statistics</t>
  </si>
  <si>
    <t>10.1163/156939392X01228</t>
  </si>
  <si>
    <t>2-s2.0-84950610171</t>
  </si>
  <si>
    <t>['¬© 1992', 'typical design', 'type tri', 'two subreflectors', 'spherical aberration', 'shaping reflectors', 'rotating subreflectors', 'rights reserved', 'reflector antenna', 'one minute', 'offset ).', 'main reflector', 'high directivity', 'feed stationary', 'design example', 'cray xmp']</t>
  </si>
  <si>
    <t>Œë linear extrapolation technique is described here for shaping reflectors to achieve a prescribed aperture distribution. The technique is so simple that a typical design with some 2 œá 40, 000 reflector surface points takes less than one minute on a Cray XMP. There is no restriction on the number of reflectors (with two reflectors shaped) or their geometry (symmetrical or offset). The technique is applied to design a Watanabe- type tri-reflector antenna, in which the main reflector is spherical and two subreflectors are shaped to correct the spherical aberration. With an oversized main reflector, the beam of the antenna can be steered over a very wide angular range by rotating subreflectors, while keeping the main reflector and feed stationary. A design example for high directivity is given. ¬© 1992, VSP. All rights reserved.</t>
  </si>
  <si>
    <t>157-168</t>
  </si>
  <si>
    <t>60017536;60000745</t>
  </si>
  <si>
    <t>7410158021;7601396617</t>
  </si>
  <si>
    <t>Lee, C. S.;Lee, S. W.</t>
  </si>
  <si>
    <t>Dallas;Urbana</t>
  </si>
  <si>
    <t>Southern Methodist University;University of Illinois Urbana-Champaign</t>
  </si>
  <si>
    <t>Extrapolation Technique for Shaping Tri-Reflectors</t>
  </si>
  <si>
    <t>10.1163/156939392X01093</t>
  </si>
  <si>
    <t>2-s2.0-84950612901</t>
  </si>
  <si>
    <t>['significantly enhanced', 'polarization diversity', 'objects detection', 'localization systems', 'francis group', 'detection probability', 'cooperative object', 'applying space']</t>
  </si>
  <si>
    <t>Coded passive transponder cards are proposed for the detection and localization of underground cooperative objects. The detection system active transmitter antenna polarization, gain and beam grazing angles are investigated to achieve maximum energy transmission to ground and to the passive transponder cards connected to the objects to be detected and localized. The detection probability can be significantly enhanced by applying space and polarization diversity of two transponder cards with two orthogonal polarized antennae on each cooperative object. Methods are suggested for improving the performances and the reliability of the objects detection and localization systems. ¬© 1992 Taylor &amp; Francis Group, LLC.</t>
  </si>
  <si>
    <t>Center for Technological Education Holon</t>
  </si>
  <si>
    <t>10.1163/156939392X00508</t>
  </si>
  <si>
    <t>2-s2.0-84950623413</t>
  </si>
  <si>
    <t>['stationary clutter', 'receiving antenna', 'polarization state', 'polarimetric signature', 'polarimetric parameters', 'clutter variation']</t>
  </si>
  <si>
    <t>In this paper, we propose an adaptive polarimetric system which allows the minimization of the contribution of stationary clutter by adapting the polarization state of the receiving antenna to the polarimetric signature of the environment by using the minimum power criterion. From the knowledge of the polarimetric signature of the environment and by applying the least square criterion, we can detect the presence of targets and estimate their polarimetric parameters. Some results of simulation are presented, in order to show the feasibility of the system and the robustness against the spread of clutter variation. ¬© 1992 VSP.</t>
  </si>
  <si>
    <t>881-890</t>
  </si>
  <si>
    <t>60032006;60032006</t>
  </si>
  <si>
    <t>57012260300;7004537102</t>
  </si>
  <si>
    <t>Wang, Y.;Saillard, J.</t>
  </si>
  <si>
    <t>Nantes</t>
  </si>
  <si>
    <t>Universit√© de Nantes</t>
  </si>
  <si>
    <t>Wang Y.</t>
  </si>
  <si>
    <t>An adaptive polarimetric system</t>
  </si>
  <si>
    <t>10.1163/156939392X01499</t>
  </si>
  <si>
    <t>2-s2.0-84950625905</t>
  </si>
  <si>
    <t>['valid solution', 'scattered power', 'receiving antenna', 'radar range', 'mainly depends', 'limiting conditions', 'fresnel zone', 'fraunhofer zone', 'electromagnetic waves', 'correlation length', 'born approximation', 'antenna pattern', 'antenna parameters', 'anisotropic irregularities', 'angular width']</t>
  </si>
  <si>
    <t>The problem of scattering of electromagnetic waves from anisotropic irregularities, generated by turbulence in the atmosphere, was considered in Born approximation. A valid solution is found not only for the Fraunhofer zone but also for the Fresnel zone of the antenna. In this case no limiting conditions on correlation length of refractive index irregularities appear and there are only limitations on radar range. It is shown that the scattered power, measured at the output of the receiving antenna, mainly depends on the degree of anisotropy and angular width of the antenna pattern. Received power increases with the increasing of anisotropy, but then saturates at a level which depends on the antenna parameters. ¬© 1992 VSP.</t>
  </si>
  <si>
    <t>Gurvich A.</t>
  </si>
  <si>
    <t>The backscattering from anisotropic turbulent irregularities</t>
  </si>
  <si>
    <t>10.1163/156939392X00166</t>
  </si>
  <si>
    <t>2-s2.0-84950651082</t>
  </si>
  <si>
    <t>['two cases', 'shield qualitatively', 'quite different', 'plasma heating', 'often used', 'main interests', 'input admittance', 'faraday shield', 'experimental results', 'basic characteristics', 'aperture surface', 'aperture field', 'aperture antenna', 'antennas radiating', 'also discussed']</t>
  </si>
  <si>
    <t>Basic characteristics of a cutoff waveguide aperture antenna used for large scale ICRF (ion cyclotron range of frequency) plasma heating are investigated. Main interests are focused on the effects of the Faraday shield covering the aperture surface. The analysis is performed for the antennas radiating into semi-infinite vacuum space rather than a magnetoplasma to understand the basic characteristics of the antenna where the loading effect due to the presence of the plasma is excluded. Theoretical results show that the input admittance of the aperture antenna with the Faraday shield is similar to that without the shield qualitatively. On the other hand the aperture electric field distribution is quite different for these two cases. The validity of the anisotropic boundary condition which has been often used to incorporate the effects of the Faraday shield is also discussed. In order to confirm the validity of the analysis, experimental results of the input admittance and aperture field are presented. ¬© 1992 VSP.</t>
  </si>
  <si>
    <t>865-880</t>
  </si>
  <si>
    <t>35598806700;56779495700</t>
  </si>
  <si>
    <t>Sawaya, K.;Adachi, S.</t>
  </si>
  <si>
    <t>A cutoff waveguide aperture antenna with faraday shield</t>
  </si>
  <si>
    <t>10.1163/156939392X01480</t>
  </si>
  <si>
    <t>2-s2.0-84950657634</t>
  </si>
  <si>
    <t>['¬© 1992', 'using large', 'steerable sub', 'rights reserved', 'producing directional', 'free space', 'effective method', 'antenna arrays']</t>
  </si>
  <si>
    <t>We describe a novel optoelectronic technique to generate and detect THz electromagnetic waves by using large-aperture planar photoconductive antennas and antenna arrays. This approach is an effective method of producing directional and steerable sub-millimeter wave pulses in free space. ¬© 1992, VSP. All rights reserved.</t>
  </si>
  <si>
    <t>60030162;60030162</t>
  </si>
  <si>
    <t>Zhang X.C.</t>
  </si>
  <si>
    <t>Optically Induced Thz Electromagnetic Radiation from Planar Photoconducting Structures</t>
  </si>
  <si>
    <t>10.1163/156939392X01039</t>
  </si>
  <si>
    <t>2-s2.0-84950659187</t>
  </si>
  <si>
    <t>On focusing into a lossy medium from a rectangular aperture</t>
  </si>
  <si>
    <t>10.1163/156939392X01912</t>
  </si>
  <si>
    <t>2-s2.0-84950839714</t>
  </si>
  <si>
    <t>['¬© 1992', 'whole complex', 'wavelength 3', 'wave injection', 'toroidal field', 'system designed', 'rights reserved', 'power control', 'plasma experiments', 'outboard side', 'main principles', 'gyrotron protection', 'francis group', 'combined waveguide', 'also described', '6 mm', '15 facility', '12 mw', '10 j']</t>
  </si>
  <si>
    <t>Antenna | Gyrotron | Plasma | RF-heating) | Waveguide</t>
  </si>
  <si>
    <t>In this paper the ECR-system designed for plasma experiments on electron-cyclotron resonance heating on the T-15 facility is described. Its power is 12 MW, RF-wavelength 3.6 mm, operating pulse duration 1.5 s. The generator complex consists of 24 independently operating gyrotrons. RF-power from each unit is injected into the plasma from outboard side by means of combined waveguide and quasi-optical transmission components. The direction of RF-wave injection is perpendicular or at the angle with respect to the toroidal field. RF-generator magnet system (MS) comprises the main superconducting solenoid with the maximum field 5 T and two normal correcting coils. Power supply system of the whole complex and filament heating supply system with gyrotron emission current stabilization are also described. The system for gyrotron protection against the high voltage breakdowns limits the energy at the breakdown to not more than 10 J. The main principles of the automatic control system organization and of the device for RF-power control are presented. ¬© 1992, Taylor &amp; Francis Group, LLC. All rights reserved.</t>
  </si>
  <si>
    <t>311-327</t>
  </si>
  <si>
    <t>Plasma Devices and Operations</t>
  </si>
  <si>
    <t>60007792;60007792;60007792;60007792;60007792;60007792;60007792;60007792;60007792;60020943;60011774;60011774</t>
  </si>
  <si>
    <t>57188797850;14054362500;57188796816;57188798027;57188796895;6603263861;6602315780;57188801901;6507867916;7004893607;9635365600;7006410256</t>
  </si>
  <si>
    <t>Grad, G. A.;Ivkin, V. G.;Kofman, V. M.;Lyublin, V. V.;Nechaev, A. G.;Roife, I. M.;Seredenko, E. V.;Cheremukhov, B. V.;Yakubovsky, V. G.;Alikaev, V. V.;Vlasov, S. N.;Malygin, V. I.</t>
  </si>
  <si>
    <t>Moscow;Nizhny Novgorod;Saint Petersburg</t>
  </si>
  <si>
    <t>National Research Centre "Kurchatov Institute";Institute of Applied Physics of the Russian Academy of Sciences;D.V. Efremov Scientific Research Institute of Electrophysical Apparatus</t>
  </si>
  <si>
    <t>60020943;60011774;60007792</t>
  </si>
  <si>
    <t>Grad G.A.</t>
  </si>
  <si>
    <t>T-15 ECR-system</t>
  </si>
  <si>
    <t>10.1080/10519999208225549</t>
  </si>
  <si>
    <t>2-s2.0-84963486729</t>
  </si>
  <si>
    <t>['trichoplusia ni', 'results indicate', 'receptor cells', 'pheromone components', 'odour processing', 'normal males', 'noise reduction', 'mutually replaceable', 'mutant males', 'mutant gene', 'demonstrated previously', 'cells excited', 'behaviourally redundant', 'antennal lobe', 'abstract recordings']</t>
  </si>
  <si>
    <t>antenna | cabbage looper | electrophysiology | Lepidoptera | pheromone | receptor cell | redundancy | Trichoplusia ni</t>
  </si>
  <si>
    <t>Abstract Recordings were made from the pheromone‚Äêsensitive receptor cells within antennal hairs of normal and mutant male cabbage loopers, Trichoplusia ni (H√ºbner) (Lepidoptera: Noctuidae), using a cut‚Äêsensillum technique. From sampling 136 sensilla on normal males and 123 on mutant males, cells excited by pairs of behaviourally redundant minor pheromone components were discovered: Z9‚Äì14: Ac was found to be replaceable with 12: Ac and 11‚Äì12: Ac was found to be replaceable with Z5‚Äì12: Ac. These cells were not found during previous neurophysiological investigations, but explain most of the associations between mutually replaceable (redundant) pheromone components which had been demonstrated previously to be behaviourally redundant in wind tunnel studies. Our results indicate that the mutant gene in T.ni that affects pheromone production does not affect pheromone receptors in males. Using both AC‚Äê and DC‚Äêcoupled recordings from receptor cells, we found that a single minor component could apparently hyperpolarize one cell while depolarizing another cell within the same sensillum, suggesting that noise reduction and other complex signal processing by receptor cells may contribute to odour processing in the macroglomerulus of the antennal lobe. 1992 Royal Entomological Society</t>
  </si>
  <si>
    <t>183-192</t>
  </si>
  <si>
    <t>60029526;60029526-60015941;60029526</t>
  </si>
  <si>
    <t>7402060011;7101942624;7402604731</t>
  </si>
  <si>
    <t>TODD, J. L.;HAYNES, K. F.;BAKER, T. C.</t>
  </si>
  <si>
    <t>Riverside;Lexington</t>
  </si>
  <si>
    <t>University of California, Riverside;University of Kentucky</t>
  </si>
  <si>
    <t>60029526;60015941</t>
  </si>
  <si>
    <t>TODD J.</t>
  </si>
  <si>
    <t>Antennal neurones specific for redundant pheromone components in normal and mutant Trichoplusia ni males</t>
  </si>
  <si>
    <t>10.1111/j.1365-3032.1992.tb01198.x</t>
  </si>
  <si>
    <t>2-s2.0-84969432051</t>
  </si>
  <si>
    <t>['¬© 1992', 'waves launched', 'wavenumber spectrum', 'wave antenna', 'special attention', 'rights reserved', 'much higher', 'model taking', 'lh waves', 'lh frequency', 'investigate small', 'inhomogeneous plasma', 'frequency fluctuations', 'enhanced damping', 'correlation analysis', 'amplitude lower']</t>
  </si>
  <si>
    <t>Phase-sensitive probe diagnostics as well as two-point-correlation analysis of radio-frequency probe signals are applied to investigate small-amplitude lower-hybrid (LH) waves launched into a linear nonuniform plasma column by a slow-wave antenna. The LH wave propagation in the inhomogeneous plasma is described by a model taking into account the wavenumber spectrum of the antenna. Special attention is focused on the interaction of the LH waves with the low-frequency density fluctuations. The LH frequency and wavenumber spectra observed can be explained by scattering of the LH waves from the (incoherent) low-frequency density fluctuations. Moreover, the enhanced damping, which is found to be much higher than expected from collisional and electron Landau dampings, is correlated with the level of low-frequency fluctuations. ¬© 1992, Cambridge University Press. All rights reserved.</t>
  </si>
  <si>
    <t>435-452</t>
  </si>
  <si>
    <t>Journal of Plasma Physics</t>
  </si>
  <si>
    <t>Fischer, B.;Kr√§mer, M.</t>
  </si>
  <si>
    <t>Study of lower-hybrid wave propagation in the presence of low-frequency fluctuations</t>
  </si>
  <si>
    <t>10.1017/S0022377800016676</t>
  </si>
  <si>
    <t>2-s2.0-84974157141</t>
  </si>
  <si>
    <t>['would exhibit', 'vibration amplitudes', 'two mirrors', 'sensor described', 'relatively low', 'quiet antenna', 'power dissipated', 'optical method', 'noise temperature', 'noise measurements', 'measure fluctuations', 'like environment', 'length fluctuations', 'last resonator', 'kg bar', 'electronic noise', 'cavity finesse', '9 jjlw', '18 jjlk', '1600 hz', '1 khz']</t>
  </si>
  <si>
    <t>Fabry-Perot sensor | Gravitational wave antennas | Length fluctuations</t>
  </si>
  <si>
    <t>An experiment is described in which an optical method was used to measure fluctuations in the separation between two mirrors of a Fabry-Perot sensor cavity. Noise measurements were made to determine the sensitivity of this device to vibration amplitudes in the frequency range 1.1-2.1 kHz, which is of interest for resonant-bar gravitational wave antennas. The rms spectral noise density for length fluctuations in this range was 3.7 x 10-15 m/Hz1/2 and can be related to electronic noise of the circuitry plus vibrational noise from the environment. The cavity finesse was relatively low at 117, and the power dissipated in the mirrors was estimated to be 1.9 jjlW. On a multimode gravitational wave detector, the sensor cavity would be formed by one reference mirror and by one mirror mounted on the last resonator. For a 1200-kg bar, 1.2-g last resonator system operating at 1600 Hz, the sensor described here would exhibit a noise temperature of 18 jjlK; the resolution in h in the case of negligible thermal noise from the mechanical system would be 3.7 x 10-18/Hz1/2. Improvements in the sensitivity in a quiet antenna-like environment should be possible with higher finesse mirrors. ¬© 1992 Optical Society of America.</t>
  </si>
  <si>
    <t>1641-1645</t>
  </si>
  <si>
    <t>1559128X</t>
  </si>
  <si>
    <t>Applied Optics</t>
  </si>
  <si>
    <t>60020304;60020304;60020304</t>
  </si>
  <si>
    <t>16437065300;7201685988;15071606700</t>
  </si>
  <si>
    <t>Richard, J. P.;Pang, Y.;Hamilton, J. J.</t>
  </si>
  <si>
    <t>Optical motion sensor for resonant-bar gravitational wave antennas</t>
  </si>
  <si>
    <t>10.1364/AO.31.001641</t>
  </si>
  <si>
    <t>2-s2.0-84975613318</t>
  </si>
  <si>
    <t>['zonalus sp', 'wiley blackwell', 'species together', 'rights reserved', 'pupal cases', 'pupal case', 'polymorphus sp', 'one genus', 'nevertheless regarded', 'n .,', 'graecus sp', 'generic concepts', 'four species', 'evergreen oaks', 'discussed briefly', 'combining adult', 'asia minor', 'aleuroviggianus graecus', 'adult antenna', 'adrianae laccarino', 'adanaensis sp']</t>
  </si>
  <si>
    <t>Abstract. In the mediterranean region six whitefly species, all belonging to the genus Aleuroviggianus laccarino, occur on evergreen oaks. Four species are known only from the south of Europe: A.adrianae laccarino, A.polymorphus sp.n., A.zonalus sp.n. and A.graecus sp.n., and two from Asia Minor: A.halperinl Bink‚ÄêMoenen (1991) and A.adanaensis sp.n. Although the pupal cases of these six species differ considerably from each other, they are nevertheless regarded as belonging to one genus because the adults hardly differ. For that reason the value of combining adult and pupal case characters in generic concepts is discussed briefly. The genus is characterized by the sensoria of the adult antenna, which are of a type not known to occur in other species. Descriptions are given of the pupal case of each species together with characteristics of the adults when available. Aleuroviggianus graecus has been added, although adults could not be obtained, as most of the features of its pupal case can be found in other species. A new generic definition based on pupal cases and adults, and a key to the pupal cases, are provided. Copyright ¬© 1992, Wiley Blackwell. All rights reserved</t>
  </si>
  <si>
    <t>21-40</t>
  </si>
  <si>
    <t>Systematic Entomology</t>
  </si>
  <si>
    <t>BINK‚ÄêMOENEN, ROSITA M.</t>
  </si>
  <si>
    <t>Bennekom</t>
  </si>
  <si>
    <t>Zuider-Eng 6</t>
  </si>
  <si>
    <t>BINK‚ÄêMOENEN R.</t>
  </si>
  <si>
    <t>Whitefly from mediterranean evergreen oaks (Homoptera: Aleurodidae)</t>
  </si>
  <si>
    <t>10.1111/j.1365-3113.1992.tb00318.x</t>
  </si>
  <si>
    <t>2-s2.0-84981636336</t>
  </si>
  <si>
    <t>['wiley blackwell', 'university research', 'technical intelligence', 'technical expertise', 'technical base', 'strong connection', 'rights reserved', 'major advantage', 'internal r', 'global competition', 'gaining access', 'forcing companies', 'effectively utilised', 'effective antenna', 'contract research', 'company contracts', 'client company', 'capturing business', 'also offers']</t>
  </si>
  <si>
    <t>Global competition is forcing companies to become more effective in developing new products or processes. One of industry's responses to this challenge is to more extensively tap external sources of technical expertise. As one of the modes of gaining access to external technological knowledge, contract research is discussed. First, the offer and demand in this area are documented. Contract research represents a small, but growing, fraction of companies' R&amp;D efforts. Exceptions are ‚Äòyoung‚Äô sectors, such as biotechnology, which require a strong connection with University research. The characteristics of contract research are then presented and illustrated, considering in particular the factors for which it is most effectively utilised. A major advantage is to provide the client company with an extension of its internal R&amp;D for the duration of the contract. It also offers an effective antenna for capturing business as well as technical intelligence. This is especially the case when the company contracts out work far removed from its location or technical base. Finally, the role of contract research in co‚Äêgenerating technology is discussed. Copyright ¬© 1992, Wiley Blackwell. All rights reserved</t>
  </si>
  <si>
    <t>177-182</t>
  </si>
  <si>
    <t>R&amp;D Management</t>
  </si>
  <si>
    <t>Haour, G.</t>
  </si>
  <si>
    <t>International Institute for Management Development, Lausanne</t>
  </si>
  <si>
    <t>Haour G.</t>
  </si>
  <si>
    <t>Stretching the knowledge‚Äêbase of the enterprise through contract research</t>
  </si>
  <si>
    <t>10.1111/j.1467-9310.1992.tb00805.x</t>
  </si>
  <si>
    <t>2-s2.0-84982665620</t>
  </si>
  <si>
    <t>['wave trapping', 'parasitic modes', 'mode conversion', 'mechanisms leading', 'ion acceleration', 'edge plasma', 'direct coupling', 'concomitant coupling']</t>
  </si>
  <si>
    <t>The mechanisms leading to a concomitant coupling of electrostatic (ES) waves in ion cyclotron range fast wave heating experiments are studied. Mode conversion at the lower hybrid resonance and direct coupling to ES waves due to the misalignment of the antenna Faraday shields are considered as sources of intense ES waves in the edge plasma. Ion acceleration by wave trapping is suggested as a mechanism that restricts the amplitude of the parasitic modes and creates energetic ions. Copyright ¬© 1992 WILEY‚ÄêVCH Verlag GmbH &amp; Co. KGaA</t>
  </si>
  <si>
    <t>325-330</t>
  </si>
  <si>
    <t>Contributions to Plasma Physics</t>
  </si>
  <si>
    <t>On Electrostatic Coupling in ICRH at the Plasma Edge</t>
  </si>
  <si>
    <t>10.1002/ctpp.2150320324</t>
  </si>
  <si>
    <t>2-s2.0-84984313290</t>
  </si>
  <si>
    <t>['wiley company', 'source inside', 'radiation efficiency', 'radiation characteristics', 'inc .,', 'directive gain', 'dielectric layers', 'certain thicknesses']</t>
  </si>
  <si>
    <t>antenna gain | multiple dielectric layers | Radiation efficiency</t>
  </si>
  <si>
    <t>Radiation characteristics of a source inside a two‚Äêlayered grounded dielectric structure are presented. The space and surface wave fields generated by the source are obtained by employing the integral transformation technique. The directivity and the radiation efficiency are found to be maximum for certain thicknesses of the dielectric layers. The overall gain differs considerably from the directive gain, due to the surface wave loss. The bandwidth is found to decrease with the increase in the gain of the structure. ¬© 1992 John Wiley &amp; Sons, Inc. Copyright ¬© 1992 Wiley Periodicals, Inc., A Wiley Company</t>
  </si>
  <si>
    <t>439-441</t>
  </si>
  <si>
    <t>Bhattacharyya, Arun K.</t>
  </si>
  <si>
    <t>Radiation efficiency and the gain of a source inside a two‚Äêlayered grounded dielectric structure</t>
  </si>
  <si>
    <t>10.1002/mop.4650050912</t>
  </si>
  <si>
    <t>2-s2.0-84985350687</t>
  </si>
  <si>
    <t>['wiley company', 'two layers', 'patch width', 'input impedance', 'inc .,', 'experimental investigation', 'electromagnetically coupled', 'dielectric constants']</t>
  </si>
  <si>
    <t>antenna feed network | electromagnetic coupling | Patch antenna</t>
  </si>
  <si>
    <t>An experimental investigation is carried out into the operation of an electromagnetically coupled (EMC) microstrip patch antenna consisting of double‚Äêlayer dielectrics with a microstrip feed line in between. The input impedance of the antenna is studied as a function of the patch width, the patch‚Äêfeed overlap, and the dielectric constants of two layers. ¬© 1992 John Wiley &amp; Sons, Inc. Copyright ¬© 1992 Wiley Periodicals, Inc., A Wiley Company</t>
  </si>
  <si>
    <t>447-453</t>
  </si>
  <si>
    <t>7006035284;35570164700</t>
  </si>
  <si>
    <t>Karmakar, N. C.;Bialkowski, M. E.</t>
  </si>
  <si>
    <t>Experimental investigations into an electromagnetically coupled microstrip patch antenna</t>
  </si>
  <si>
    <t>10.1002/mop.4650050914</t>
  </si>
  <si>
    <t>2-s2.0-84985359657</t>
  </si>
  <si>
    <t>['wiley company', 'rf power', 'power divider', 'new technique', 'measured results', 'inc .,', 'coplanar waveguide']</t>
  </si>
  <si>
    <t>array antenna | Coplanar waveguide | linearly tapered slot antenna | slot line</t>
  </si>
  <si>
    <t>A new technique for exciting 2 √ó 2 subarray of linearly tapered slot antennas (LTSAs) with coplanar waveguide (CPW) is presented. rf power is coupled to each element through a CPW‚Äêto‚Äêslotline transition by a coax‚Äêto‚ÄêCPW in‚Äêphase four‚Äêway radial power divider. The transition and the power divider are coupled by a novel nonplanar CPW right‚Äêangle bend. Measured results at 18 GHz show excellent radiation patterns and return‚Äêloss characteristics. ¬© 1992 John Wiley &amp; Sons, Inc. Copyright ¬© 1992 Wiley Periodicals, Inc., A Wiley Company</t>
  </si>
  <si>
    <t>420-423</t>
  </si>
  <si>
    <t>7202166511;7006385851;24522606100</t>
  </si>
  <si>
    <t>Simons, Rainee N.;Perl, Thomas D.;Lee, Richard Q.</t>
  </si>
  <si>
    <t>New coplanar waveguide feed network for 2 √ó 2 linearly tapered slot antenna subarray</t>
  </si>
  <si>
    <t>10.1002/mop.4650050907</t>
  </si>
  <si>
    <t>2-s2.0-84985362840</t>
  </si>
  <si>
    <t>['wiley company', 'teo2 deflector', 'spectrometer allows', 'several minutes', 'minimum number', 'integration times', 'inc .,', 'greater bandwidth', 'effective resolution', 'design criteria', '100 khz']</t>
  </si>
  <si>
    <t>acousto‚Äêoptical interaction | Bragg cell | CCD receiver | spectral lines | Spectrum analyzer</t>
  </si>
  <si>
    <t>A compact (900 √ó 100 √ó 120 mm) acousto‚Äêoptical spectrometer (AOS) of 60‚ÄêMHz bandwidth and effective resolution of 100 kHz has been designed with a minimum number of components and simplicity as design criteria. The spectrometer allows for integration times of several minutes during source‚Äêon and sky‚Äêoff phases. The TeO2 deflector does not use the usual tangent interaction outside the (110) axis, but a two‚Äêband interaction known as quasitangent that leads to a greater bandwidth. The AOS is being used with the 14‚Äêm antenna at the Centro Astronomico de Yebes facility, providing excellent results. ¬© 1992 John Wiley &amp; Sons, Inc. Copyright ¬© 1992 Wiley Periodicals, Inc., A Wiley Company</t>
  </si>
  <si>
    <t>453-460</t>
  </si>
  <si>
    <t>60027282;60027282;60008828;60008828</t>
  </si>
  <si>
    <t>6701406375;7102571221;56521245600;7102391760</t>
  </si>
  <si>
    <t>Garde, M. J.;Sebastian, J. L.;Pintado, J. Martin;Gallego, J. D.</t>
  </si>
  <si>
    <t>Spain;Spain</t>
  </si>
  <si>
    <t>Madrid;Guadalajara</t>
  </si>
  <si>
    <t>Universidad Complutense de Madrid;Centro Astronomico de Yebes</t>
  </si>
  <si>
    <t>60027282;60008828</t>
  </si>
  <si>
    <t>Garde M.</t>
  </si>
  <si>
    <t>A compact and stable acousto‚Äêoptical spectrometer</t>
  </si>
  <si>
    <t>10.1002/mop.4650050915</t>
  </si>
  <si>
    <t>2-s2.0-84985407604</t>
  </si>
  <si>
    <t>['wiley blackwell', 'west coast', 'sternal furca', 'second antenna', 'scale loss', 'rights reserved', 'parasite cephalothorax', 'obvious changes', 'motile parasites', 'marginal membrane', 'louse mouthtube', 'lepeophtheirus salmonis', 'infection experiments', 'host skin', 'host epidermis', 'gross lesions', 'cooled alcohol', 'common feature', 'cellular inflammation', 'atlantic salmon', 'adult stages']</t>
  </si>
  <si>
    <t>Abstract. Atlantic salmon, Salmo salar L., infected with the pre‚Äêadult and adult stages of Lepeophtheirus salmonis were obtained from sea loch cage sites on the west coast of Scotland, and infection experiments were carried out in the laboratory. The motile parasites were retained at the point of attachment by prefixation with cooled alcohol. They were studied using light and scanning electron microscopy. Lepeophtheirus salmonis were found to leave an oval‚Äòimprint‚Äô corresponding to the margin of the parasite cephalothorax on the host skin and/or to wedge under its scales. General pathological changes including oedema, hyperplasia, sloughing of cells and cellular inflammation were observed in the host at and around the point of feeding and attachment. In gross lesions, serious damage occurred to the host epidermis with scale loss and haemorrhage a common feature. The most obvious changes were associated with the louse mouthtube, marginal membrane, second antenna, maxilliped and sternal furca. Copyright ¬© 1992, Wiley Blackwell. All rights reserved</t>
  </si>
  <si>
    <t>521-527</t>
  </si>
  <si>
    <t>Journal of Fish Diseases</t>
  </si>
  <si>
    <t>60025200;60025200;60025200;60025200</t>
  </si>
  <si>
    <t>57191088127;7004120851;7004549386;7201518534</t>
  </si>
  <si>
    <t>J√ìNSD√ìTTIR, H.;BRON, J. E.;WOOTTEN, R.;TURNBULL, J. F.</t>
  </si>
  <si>
    <t>Stirling</t>
  </si>
  <si>
    <t>University of Stirling</t>
  </si>
  <si>
    <t>J√ìNSD√ìTTIR H.</t>
  </si>
  <si>
    <t>The histopathology associated with the pre‚Äêadult and adult stages of Lepeophtheirus salmonis on the Atlantic salmon, Salmo salar L.</t>
  </si>
  <si>
    <t>10.1111/j.1365-2761.1992.tb00684.x</t>
  </si>
  <si>
    <t>2-s2.0-84986505523</t>
  </si>
  <si>
    <t>['wiley blackwell', 'rights reserved', 'material demonstrates', 'hotont somon', 'head shields', 'geologically ancient', 'distal part']</t>
  </si>
  <si>
    <t>Anomopoda | Mesozoic fossils | Mongolia</t>
  </si>
  <si>
    <t>Material from the Early Cretaceous age collected 6 km west of the Hotont Somon (Mongolia) includes numerous impressions of Anomopoda. These show biramous segmented antennae and their setae, valves, head shields, mandibles, the distal part of the post‚Äêabdomen, claws and the gut containing food material. Prochydorus rotundus sp. nov., Archeoxus mirabilis sp. nov. and Archeoxus ventrosus sp. nov. are described and attributed to a new family Prochydoridae. The material demonstrates that the prochydorid‚Äêtype of organization is geologically ancient. Copyright ¬© 1992, Wiley Blackwell. All rights reserved</t>
  </si>
  <si>
    <t>97-116</t>
  </si>
  <si>
    <t>Zoological Journal of the Linnean Society</t>
  </si>
  <si>
    <t>SMIRNOV, N. N.</t>
  </si>
  <si>
    <t>A.N. Severtsov Institute of Ecology and Evolution Russian Academy of Sciences</t>
  </si>
  <si>
    <t>SMIRNOV N.N.</t>
  </si>
  <si>
    <t>Mesozoic Anomopoda (Crustacea) from Mongolia</t>
  </si>
  <si>
    <t>10.1111/j.1096-3642.1992.tb00918.x</t>
  </si>
  <si>
    <t>2-s2.0-84987231328</t>
  </si>
  <si>
    <t>['simultaneously optimizing', 'radiating structures', 'quality factor', 'optimal design', 'numerical computation', 'conformal antenna', 'basic background']</t>
  </si>
  <si>
    <t>We formulate certain problems in the optimal design of radiating structures such as multicriteria optimization problems. We review the basic background of such problems, prove the existence of Pareto optimal points, and give necessary conditions. We apply the latter to the numerical computation of optimal surface currents for the problem of simultaneously optimizing both the quality factor and the signal‚Äêto‚Äênoise ratio of a conformal antenna. Copyright ¬© 1992 John Wiley &amp; Sons, Ltd</t>
  </si>
  <si>
    <t>647-660</t>
  </si>
  <si>
    <t>Mathematical Methods in the Applied Sciences</t>
  </si>
  <si>
    <t>60023004;60000765</t>
  </si>
  <si>
    <t>7004135825;7103318986</t>
  </si>
  <si>
    <t>Angell, T. S.;Kirsch, A.</t>
  </si>
  <si>
    <t>United States;Germany</t>
  </si>
  <si>
    <t>Newark;Erlangen</t>
  </si>
  <si>
    <t>University of Delaware;Friedrich-Alexander-Universit√§t Erlangen-N√ºrnberg</t>
  </si>
  <si>
    <t>Angell T.</t>
  </si>
  <si>
    <t>Multicriteria optimization in antenna design</t>
  </si>
  <si>
    <t>10.1002/mma.1670150905</t>
  </si>
  <si>
    <t>2-s2.0-84988178398</t>
  </si>
  <si>
    <t>['university membership', 'two years', 'special sessions', 'software tools', 'propagation society', 'professional societies', 'participating societies', 'organizational structure', 'international meetings', 'future developments', 'executive office', 'em education', 'electronic engineers', 'early 1990', 'corporate sponsors', 'computer applications', 'broad participation', 'briefly describes']</t>
  </si>
  <si>
    <t>The National Science Foundation/Institute of Electrical and Electronic Engineers (NSF/IEEE) Center for Computer Applications in Electromagnetic (EM) Education (CAEME) was funded in early 1990 by the National Science Foundation to stimulate and accelerate the use of computers and software tools in EM education. The Center is managed by the Executive Office of IEEE on behalf of the Antennas and Propagation Society. This organizational structure provided avenues for broad participation by universities, professional societies, and corporations in the Center's activities. In two years of operation, CAEME has organized several workshops and special sessions in international meetings, published its first software book, prepared a lesson on ‚ÄúElectromagnetic Waves‚Äù using interactive video, and raised over $ 130,000 from university membership, participating societies, and corporate sponsors. This article summarizes CAEME activities, outlines its organizational structure, and briefly describes the contents of its first software book. Future developments are discussed and avenues for participation are outlined. Copyright ¬© 1992 John Wiley &amp; Sons, Inc.</t>
  </si>
  <si>
    <t>33-44</t>
  </si>
  <si>
    <t>Computer Applications in Engineering Education</t>
  </si>
  <si>
    <t>Iskander, Magdy F.</t>
  </si>
  <si>
    <t>Iskander M.</t>
  </si>
  <si>
    <t>NSF/IEEE CAEME center: An exciting opportunity to align electromagnetic education with the nineties</t>
  </si>
  <si>
    <t>10.1002/cae.6180010105</t>
  </si>
  <si>
    <t>2-s2.0-84989421664</t>
  </si>
  <si>
    <t>['selected examples', 'radiation pattern', 'quick guide', 'program provides', 'isotropic source', 'hertzian dipole', 'different types', 'choose one', 'calculated data', 'article serves', 'article describes', 'array factor']</t>
  </si>
  <si>
    <t>This article describes a software package useful for the instruction of antenna array theory. The program provides the radiation pattern of different types of antennas, the array factor of linear, two‚Äêdimensional and three‚Äêdimensional arrays, and the total radiation pattern. The elements of the array are isotropic source, Hertzian dipole, straight thin wire dipole, and finite line source with uniform current distribution. The user has the freedom to choose one of the supported element types or to provide the pattern of an antenna element based on experimental or calculated data. This article serves as a tutorial for selected examples as well as a quick guide for the use of this software. Copyright ¬© 1992 John Wiley &amp; Sons, Inc.</t>
  </si>
  <si>
    <t>109-117</t>
  </si>
  <si>
    <t>7005949569;57191386734</t>
  </si>
  <si>
    <t>Elsherbeni, Atef Z.;Ginn, Patrick H.</t>
  </si>
  <si>
    <t>Elsherbeni A.</t>
  </si>
  <si>
    <t>Arrays: A software package for analysis of antenna arrays</t>
  </si>
  <si>
    <t>10.1002/cae.6180010111</t>
  </si>
  <si>
    <t>2-s2.0-84989479517</t>
  </si>
  <si>
    <t>['œ ≤.', 'œ ≤', 'œ ±.', 'œ ±', 'wiley company', 'striking point', 'positive sign', 'observation site', 'negative components', 'maxwellian type', 'lightning discharge', 'lightning activity', 'laido ),', 'intercloud discharges', 'inc .,', 'forementioned assumption', 'es components', 'es component', 'energy distribution', 'electrostatic fields', 'characteristic nature', 'another viewpoint']</t>
  </si>
  <si>
    <t>A lightning strength parameter Œ± (denoted as LSP or LAIDO), which is used for characterizing the phenomena of lightning activity, has been proposed, where Œ± is defined by the characteristic energy obtained from the energy distribution of a radiated field component E in the electrostatic field changes produced by lightning discharge. Here, it is observed that the energy distribution of EŒ≥ components is Maxwellian type. To prove more clearly the forementioned assumption from another viewpoint, changes of the amplitudes of the electrostatic field component ES were measured and their distribution functions constructed. In the cloud‚Äêto‚Äêground lightning discharges, the ES components have a positive sign in the changes. However, those changes in the intercloud discharges are observed with either a negative or positive change depending on the distance between the striking point and the observation site. Therefore it is necessary to sum the numbers of occurrences of both positive and negative components for constructing an energy distribution of the ES component. A fieldmill and a pair of doughnut‚Äêshaped electrostatic antennas are used in measuring the changes of the ES component. As a result it is found that the changes of the amplitudes of the ES components have a Maxwelliantype energy distribution. A characteristic energy Œ≤ is defined which is obtained from the component of the electrostatic fields as a measure of LSP. Based on comparison of Œ± and Œ≤ it is clarified that Œ≤ has the same characteristic nature with Œ±. The lightning activity could be estimated from Œ≤. Copyright ¬© 1992 Wiley Periodicals, Inc., A Wiley Company</t>
  </si>
  <si>
    <t>32-38</t>
  </si>
  <si>
    <t>Electrical Engineering in Japan</t>
  </si>
  <si>
    <t>10.1002/eej.4391120304</t>
  </si>
  <si>
    <t>2-s2.0-84989499816</t>
  </si>
  <si>
    <t>['wiley blackwell', 'whole cells', 'vaucheriaxanthin ester', 'various steps', 'upper part', 'two species', 'rights reserved', 'pigment composition', 'molar concentration', 'immunologically related', 'fluorescence spectra', 'chlorophyll ratio', 'brown algae', 'absorption spectra', 'absorption band', '23 kda']</t>
  </si>
  <si>
    <t>Eustigmatophyceae | fluorescence spectroscopy | HPLC | immunoblotting | light‚Äêharvesting | Monodus subterraneus | pigment‚Äêprotein complexes | vaucheriaxanthin | violaxanthin | Vischeria punctata</t>
  </si>
  <si>
    <t>Pigment‚Äêprotein complexes were isolated from two species of Eustigmatophyceae, Monodus subterraneus Peterson and Vischeria punctata Vischer, by digitonin treatment followed by density gradient centrifugation. Absorption and fluorescence spectra of the samples were monitored at various steps of preparation, and pigment composition was analyzed by reverse phase HPLC. Although the fluorescence emission spectra were very different in the two species, the absorption spectra were similar, and each exhibited an absorption band with a maximum at 487 nm attributable to violaxanthin and vaucheriaxanthin ester (the molar concentration of these pigments in Monodus was, respectively, 28 and 10 per 100 Chl a). The light‚Äêharvesting role of these xanthophylls was ascertained by fluorescence excitation spectra. The light‚Äêharvesting fractions (LH) collected in the upper part of the gradient were depleted in Œ≤‚Äêcarotene, whereas their xanthophyll/chlorophyll ratio was almost the same as in whole cells. This is consistent with the presence in these algae of large LH antennae and relatively small core antennae in the photosystems. In Monodus, a polypeptide of 23 kDa, immunologically related to the major LH polypeptide of brown algae, constituted the majority of the LH protein moiety. Copyright ¬© 1992, Wiley Blackwell. All rights reserved</t>
  </si>
  <si>
    <t>32-36</t>
  </si>
  <si>
    <t>Journal of Phycology</t>
  </si>
  <si>
    <t>60000179;60000179;60000179</t>
  </si>
  <si>
    <t>6507822077;7102477063;7406566233</t>
  </si>
  <si>
    <t>Arsalane, Wafa;Rousseau, Bernard;Thomas, J. C.</t>
  </si>
  <si>
    <t>√âcole Normale Sup√©rieure</t>
  </si>
  <si>
    <t>Arsalane W.</t>
  </si>
  <si>
    <t>ISOLATION AND CHARACTERIZATION OF NATIVE PIGMENT‚ÄêPROTEIN COMPLEXES FROM TWO EUSTIGMATOPHYCEAE</t>
  </si>
  <si>
    <t>10.1111/j.0022-3646.1992.00032.x</t>
  </si>
  <si>
    <t>2-s2.0-84989634824</t>
  </si>
  <si>
    <t>['wiley blackwell', 'typically hemidiscoidal', 'rights reserved', 'results suggest', 'red light', 'pigment composition', 'phycobilisomes formed', 'phycobilisome size', 'phycobiliprotein composition', 'phormidium sp', 'phormidium persicinum', 'peripheral rods', 'molecular structure', 'molecular species', 'molar ratio', 'isolated phycobilisomes', 'green light', 'fine structure', 'chromatic adaptation', 'changes occur', 'cells acclimated', 'antenna pigment']</t>
  </si>
  <si>
    <t>antenna pigments | complementary chromatic adaptation | Cyanophyta | Phormidium sp. C86 | phycobilisomes</t>
  </si>
  <si>
    <t>Changes in the molecular structure of phycobilisomes during complementary chromatic adaptation were studied in the marine cyanophyte Phormidium sp. C86. This strain forms phycoerythrin (PE)‚Äêless phycobilisomes under red light but synthesizes PE‚Äêrich phycobilisomes under green light. Analysis of phycobiliprotein composition and electron microscopic examination of phycobilisomes in ultra‚Äêthin sections of cells and of isolated phycobilisomes were performed for cells acclimated to red and green light, respectively. The structure of phycobilisomes formed under red light conditions was typically hemidiscoidal. Phycobilisomes in cells acclimated to green light were twice as large in size as those in cells acclimated to red light. This increase in phycobilisome size was a result of the increase in the molar ratio of antenna pigment (PE and phycocyanin) to allophycocyanin, from 3.5 to 11.3. Pigment composition and fine structure of phycobilisomes formed under green light were similar to those of ‚Äúnonhemidiscoidal‚Äù phycobilisomes reported in Phormidium persicinum. These results suggest that changes occur not only in the molecular species of peripheral rods but also in the structure of rods and probably of cores in relation to their connection with rods during chromatic adaptation of Phormidium sp. C86. Copyright ¬© 1992, Wiley Blackwell. All rights reserved</t>
  </si>
  <si>
    <t>803-808</t>
  </si>
  <si>
    <t>60028586;60028586</t>
  </si>
  <si>
    <t>7102523360;35462746400</t>
  </si>
  <si>
    <t>Ohki, Kaori;Fujita, Yoshihiko</t>
  </si>
  <si>
    <t>Okazaki</t>
  </si>
  <si>
    <t>National Institutes of Natural Sciences - National Institute for Basic Biology</t>
  </si>
  <si>
    <t>Ohki K.</t>
  </si>
  <si>
    <t>PHOTOREGULATION OF PHYCOBILISOME STRUCTURE DURING COMPLEMENTARY CHROMATIC ADAPTATION IN THE MARINE CYANOPHYTE PHORMIDIUM SP. C86</t>
  </si>
  <si>
    <t>10.1111/j.0022-3646.1992.00803.x</t>
  </si>
  <si>
    <t>2-s2.0-84989664720</t>
  </si>
  <si>
    <t>['wiley blackwell', 'scots pine', 'rights reserved', 'results indicate', 'regulation differs', 'reaction centre', 'probably due', 'primary reactions', 'polypeptides except', 'photosystem ii', 'photosynthetic apparatus', 'photoactivation process', 'little light', 'gymnosperm seedlings', 'fundamental processes', 'fully connected', 'different taxa', 'antenna size', 'amounts comparable', 'activation process', 'absolute darkness']</t>
  </si>
  <si>
    <t>Low temperature fluorescence | oxygen evolving complex | photoactivation | photosystem II | Pinus sylvestris | room temperature fluorescence | Scots pine</t>
  </si>
  <si>
    <t>Both chlorophyll a and b and polypeptides of the photosynthetic apparatus are found in gymnosperm seedlings. germinated and grown in absolute darkness. The photosystem II (PSII) activity is, however, limited, probably due to an inactive oxygen evolving system. In the present study dark‚Äêgrown seedlings of Scots pine (Pinus sylvestris L.) were transferred to light and changes in antenna size and the activation process of PSII were investigated using fluorescence measurements and quantitative western blotting. It was found that the activation process is rapid, requires very little light and that strong light inhibits the process. It takes place without any changes in the primary reactions of PSII. Furthermore, all polypeptides except the major light‚Äêharvesting chlorophyll a/b‚Äêbinding protein complex of PSII (LHCII) were present in dark‚Äêgrown seedlings in amounts comparable to the light treated control. The dark‚Äêgrown seedlings had the same LHCII polypeptide composition as light treated seedlings, and the LHCII present seemed to be fully connected to the reaction centre. The results indicate that activation of PSII in dark‚Äêgrown conifer seedlings resembles the photoactivation process of angiosperms. This implies that the fundamental processes in the assembly of the photosystem II complex is the same in all plants, but that the regulation differs between different taxa. Copyright ¬© 1992, Wiley Blackwell. All rights reserved</t>
  </si>
  <si>
    <t>Physiologia Plantarum</t>
  </si>
  <si>
    <t>60031040;60001950;60031040;60001950;60031040</t>
  </si>
  <si>
    <t>26643215000;6602840602;7005371473;7401941729;57191397624</t>
  </si>
  <si>
    <t>Jansson, Stefan;Virgin, Ivar;Gustafsson, Petter;Andersson, Bertil;√ñqulst, Gunnar</t>
  </si>
  <si>
    <t>Umea;Stockholm</t>
  </si>
  <si>
    <t>Ume√• Universitet;Arrhenius Laboratory</t>
  </si>
  <si>
    <t>60031040;60001950</t>
  </si>
  <si>
    <t>Jansson S.</t>
  </si>
  <si>
    <t>Light‚Äêinduced changes of photosystem II activity in dark‚Äêgrown Scots pine seedlings</t>
  </si>
  <si>
    <t>10.1111/j.1399-3054.1992.tb08757.x</t>
  </si>
  <si>
    <t>2-s2.0-84989719972</t>
  </si>
  <si>
    <t>['ventral surfaces', 'two rows', 'two coeloconic', 'total number', 'three sensilla', 'six sensilla', 'sexual dimorphism', 'sensilla basiconica', 'row consists', 'penultimate annulus', 'pedicel near', 'one sensillum', 'male antennae', 'last annulus', 'labial palpus', 'female antennae', 'dorsal surface', 'basiconic sensilla']</t>
  </si>
  <si>
    <t>The labial palpus of the elephant louse Haematomyzus elephantis has six sensilla that represent three different types: trichoid, basiconic, and styloconic. Two rows of basiconic sensilla are situated on the dorsal and ventral surfaces of the rostrum, and each row consists of three sensilla. Male and female antennae have 15‚Äì17 trichoid sensilla situated on the scape, pedicel, and three antennal annuli. Both sexes have two sensilla basiconica on the dorsal surface of the pedicel near the junction of the scape and pedicel. Two coeloconic (tuft) sensilla are situated on the antennae of both sexes, one sensillum on each of the last two annuli. There are three plate organs, two on the last annulus and one on the penultimate annulus of the male and female antennae. Sexual dimorphism is exhibited in the male and female antennae, in that the male has about twice as many sensilla basiconica on the apex of the last annulus as does the female. The total number of sensilla basiconica on the apex of the male antennae is at least two times the number that is known to be present in any other species of lice. ¬© 1992 Wiley‚ÄêLiss, Inc. Copyright ¬© 1992 Wiley‚ÄêLiss, Inc.</t>
  </si>
  <si>
    <t>333-340</t>
  </si>
  <si>
    <t>60001526;60021944</t>
  </si>
  <si>
    <t>7403001261;6602986397</t>
  </si>
  <si>
    <t>Baker, Gerald T.;Chandrapatya, Angsumarn</t>
  </si>
  <si>
    <t>Thailand;United States</t>
  </si>
  <si>
    <t>Bangkok;Mississippi State</t>
  </si>
  <si>
    <t>Kasetsart University;Mississippi State University</t>
  </si>
  <si>
    <t>60021944;60001526</t>
  </si>
  <si>
    <t>Baker G.</t>
  </si>
  <si>
    <t>Sensilla on the mouthparts and antennae of the elephant louse, Haematomyzus elephantis piaget (Phthiraptera: Haematomyzidae)</t>
  </si>
  <si>
    <t>10.1002/jmor.1052140308</t>
  </si>
  <si>
    <t>2-s2.0-84993865639</t>
  </si>
  <si>
    <t>['trees left', 'thylakoid membrane', 'temporary delay', 'summer months', 'spruce trees', 'smaller amount', 'results indicate', 'reaction centres', 'protein complexes', 'presented paper', 'ozone could', 'ozone concentration', 'oxidation speed', 'natural surrounding', 'emission effects', 'effects due', 'decreased concentrations', 'damage occurred', 'cytochromes f', 'chambers exposed', 'antennae chlorophylls', '1000 molecules']</t>
  </si>
  <si>
    <t>antennae chlorophylls | cytochromes | Open‚Äêtop chambers | oxidation speed | Picea abies | P‚Äê700 | thylakoid membrane</t>
  </si>
  <si>
    <t>The goal of the presented paper was to study the emission effects of natural air pollutants on the protein complexes of the thylakoid membrane. The tests were carried out in the frame of a long‚Äêterm experiment in which spruce trees kept in open‚Äêtop chambers with unfiltered ambient‚Äêair were compared to spruce trees in chambers with purified‚Äêair. The reaction centres of photosystem I (P‚Äê700), cytochrome f, cytochrome b‚Äê563, cytochrome b‚Äê559, as well as the oxidation speed of the antennae chlorophylls were quantified. The concentrations of the cytochromes f and b‚Äê563 indicate a marked annual rhythm with decreased concentrations during the summer months. The spruce trees in chambers with ambient‚Äêair showed a smaller amount of the studied redox components in relation to 1000 molecules of chlorophyll than did the spruce trees in chambers exposed to purified‚Äêair. In addition, increased oxidation speed of antennae chlorophylls could be observed on the isolated thylakoid membranes of the spruce trees in chambers with ambient‚Äêair conditions. A relationship between the oxidation speed and the ozone concentration of the ambient air could be observed, i.e. with increasing ozone levels the oxidation of the antennae chlorophylls accelerated. However, the damage occurred only with a temporary delay (the so‚Äêcalled memory effect). In case of the cytochromes f and b‚Äê563 (components of the cytochrome b6f‚Äêcomplex), a chamber effect related to changed light conditions became obvious when comparing spruce trees kept in chambers to trees left in their natural surrounding. The reduced photosynthetically active radiation ‚Äî it is reduced in the chambers by 10 ‚àí 30% ‚Äî led to a decrease of both cytochromes. In spite of the effects due to the chambers, the results indicate that ozone could be an effective damage factor and this will be of importance with regard to the situation in the low mountain range of Germany. 1992 Deutsche Botanische Gesellschaft/German Botanical Society</t>
  </si>
  <si>
    <t>348-354</t>
  </si>
  <si>
    <t>Botanica Acta</t>
  </si>
  <si>
    <t>60031216;60031216</t>
  </si>
  <si>
    <t>6504216558;7101798388</t>
  </si>
  <si>
    <t>Flammersfeld, U.;Wild, A.</t>
  </si>
  <si>
    <t>Mainz</t>
  </si>
  <si>
    <t>Johannes Gutenberg-Universit√§t Mainz</t>
  </si>
  <si>
    <t>Flammersfeld U.</t>
  </si>
  <si>
    <t>Changes in the Constitution of Thylakoid Membranes in Spruce Needles During an Open‚Äêtop Chamber Experiment</t>
  </si>
  <si>
    <t>10.1111/j.1438-8677.1992.tb00311.x</t>
  </si>
  <si>
    <t>2-s2.0-84995072705</t>
  </si>
  <si>
    <t>['¬© 1992', 'whose equations', 'rights reserved', 'rather difficult', 'parabolic antenna', 'objective function', 'mechanical engineers', 'lib structure', 'japan society', 'first report', 'expressed explicitly', 'design variables', 'constraints explicitly']</t>
  </si>
  <si>
    <t>Design Engineering | Fuzzy Number | Fuzzy Set Theory | Optimum Design</t>
  </si>
  <si>
    <t>In the first report, we proposed a method of optimum design using fuzzy numbers as design variables. But in that report, all the calculations had been performed by a basic fuzzy number operator, so the problems to be solved are restricted only those whose equations are expressed explicitly. As most of the optimum design problems are not so simple, especially in structural design problems, it will be rather difficult and sometimes almost impossible to express the equations such as objective function and constraints explicitly. For this reason, we developed a simple fuzzy number operation and examined its adequacy through comparison with the basic fuzzy operation. In this report, we solve the same optimum design problem which was solved in the first report, and examined the efficiency of the method. We then apply it to the optimum design problem on the lib structure of a parabolic antenna, and we examine and show the effectiveness of the method. ¬© 1992, The Japan Society of Mechanical Engineers. All rights reserved.</t>
  </si>
  <si>
    <t>1716-1721</t>
  </si>
  <si>
    <t>Transactions of the Japan Society of Mechanical Engineers Series C</t>
  </si>
  <si>
    <t>55669805100;55559343400</t>
  </si>
  <si>
    <t>Arakawa, Masao;Yamakawa, Hiroshi</t>
  </si>
  <si>
    <t>Arakawa M.</t>
  </si>
  <si>
    <t>A Study on Optimum Design Using Fuzzy Numbers as Design Variables (2nd Report, Development of Simple Fuzzy Number Operation and Its Application)</t>
  </si>
  <si>
    <t>10.1299/kikaic.58.1716</t>
  </si>
  <si>
    <t>2-s2.0-84996348841</t>
  </si>
  <si>
    <t>1053-1055</t>
  </si>
  <si>
    <t>60012771;60012771</t>
  </si>
  <si>
    <t>6506345369;7201420546</t>
  </si>
  <si>
    <t>Bofah, Peter;Choudhury, Ajit K.</t>
  </si>
  <si>
    <t>Howard University</t>
  </si>
  <si>
    <t>Bofah P.</t>
  </si>
  <si>
    <t>Frequency analysis of the hoop-column antenna using a simplified model</t>
  </si>
  <si>
    <t>10.2514/3.20948</t>
  </si>
  <si>
    <t>2-s2.0-85002511652</t>
  </si>
  <si>
    <t>['¬© 1992', 'wave modes', 'two receivers', 'tip ),', 'rights reserved', 'receivers provide', 'provide information', 'particle environment', 'instrument consist', 'frequency range', 'electrostatic fields', 'crres orbit', 'chemical releases', 'american institute', '6 hz', '400 khz', '100 hz', '10 khz']</t>
  </si>
  <si>
    <t>The CRRES plasma wave experiment is designed to provide information on the plasma wave environment and the total plasma density in the Earth‚Äôs radiation belts and throughout the CRRES orbit. This information is valuable both for studying the naturally occurring wave-particle interactions affecting the plasma and particle environment in the plasmasphere and magnetosphere as well as for studying the chemical releases. The electric field sensors for this instrument consist of two long electric dipole antennas (-100 m tip-to-tip), and the magnetic field sensor is a search coil magnetometer mounted at the end of a 6-m boom. The instrument has two receivers: a 14-channel spectrum analyzer covering the frequency range from 5.6 Hz to 10 kHz and a 128-step sweep frequency receiver covering the frequency range from 100 Hz to 400 kHz. Measurements from these receivers provide the intensity of the electromagnetic and electrostatic fields as functions of frequency and time from which the emissions and wave modes can be identified and analyzed and from which the total plasma number density can be determined. ¬© 1992 by the American Institute of Aeronautics and Astronautics, Inc. All rights reserved.</t>
  </si>
  <si>
    <t>570-573</t>
  </si>
  <si>
    <t>60024324;60024324;60024324</t>
  </si>
  <si>
    <t>7408242054;7007153701;6507968750</t>
  </si>
  <si>
    <t>Anderson, Roger R.;Gurnett, Donald A.;Odem, Daniel L.</t>
  </si>
  <si>
    <t>Iowa City</t>
  </si>
  <si>
    <t>University of Iowa</t>
  </si>
  <si>
    <t>Anderson R.</t>
  </si>
  <si>
    <t>CRRES plasma wave experiment</t>
  </si>
  <si>
    <t>10.2514/3.25501</t>
  </si>
  <si>
    <t>2-s2.0-85002576187</t>
  </si>
  <si>
    <t>['¬© 1992', 'three types', 'three times', 'sexual dimorphism', 'sensillum basiconicum', 'rights reserved', 'olfactory sensilla', 'much fewer', 'male flagella', 'male antenna', 'japanese society', 'flagellar segments', 'findings suggest', 'female antenna', 'applied entomology', 'antennal flagellum']</t>
  </si>
  <si>
    <t>antennal sensilla | cigarette beetle | Lasioderma serricorne | sex pheromone | sexual dimorphism</t>
  </si>
  <si>
    <t>In order to identify the pheromone sensitive antennal sensilla of the male cigarette beetle, distribution and frequency of sensilla on the antennal flagellum of both sexes were investigated by scanning electron microscopy. On the flagellar segments, Sensillum basiconicum, S. styloconicum, S. capitulum, and three types of bristles were found. Among these types of sensilla, S. basiconicum and S. styloconicum have structural features indicating them to be olfactory sensilla. S. basiconicum is abundant on the male antenna, three times more so than that on the female antenna. In contrast, no sexual dimorphism was observed in S. styloconicum. Furthermore the number of S. styloconicum is much fewer than S. basiconicum. These findings suggest that S. basiconicum on the male flagella is responsible for detecting the sex pheromone produced by the female. ¬© 1992, JAPANESE SOCIETY OF APPLIED ENTOMOLOGY AND ZOOLOGY. All rights reserved.</t>
  </si>
  <si>
    <t>269-276</t>
  </si>
  <si>
    <t>1347605X</t>
  </si>
  <si>
    <t>Applied Entomology and Zoology</t>
  </si>
  <si>
    <t>60009784;60009784;60009784;60009784</t>
  </si>
  <si>
    <t>10838932400;55700204100;8568420300;10840702500</t>
  </si>
  <si>
    <t>Okada, Kentaro;Mori, Masataka;Shimazaki, Kazuko;Chuman, Tatsuji</t>
  </si>
  <si>
    <t>Japan Tobacco</t>
  </si>
  <si>
    <t>Morphological Studies on the Antennal Sensilla of the Cigarette Beetle, Lasioderma serricorne (F.) (Coleoptera: Anobiidae)</t>
  </si>
  <si>
    <t>10.1303/aez.27.269</t>
  </si>
  <si>
    <t>2-s2.0-85004457843</t>
  </si>
  <si>
    <t>['¬© 1992', 'type trichodea', 'type 3', 'type 2', 'type 1', 'two subtypes', 'two kinds', 'spodoptera exigua', 'short ridge', 'sex pheromone', 'sensilla auricillica', 'rights reserved', 'proximal half', 'olfactory sensilla', 'male specific', 'male moth', 'male antenna', 'long ridge', 'japanese society', 'entire antenna', 'distributed partially', 'distal half', 'distal end', 'beet armyworm', 'applied entomology', 'also sensitive']</t>
  </si>
  <si>
    <t>fine structure | sensilla | sex pheromone</t>
  </si>
  <si>
    <t>Scanning electron microscopy of the antennae of the beet armyworm, Spodoptera exigua, demonstrated the presence of sensilla auricillica, chaetica, coeloconica, styloconica, and two kinds of trichodea (ridge-type trichodea and ridgeless-type trichodea), and suggested that auricillica, coeloconica and trichodea were olfactory sensilla. Ridge-type trichodea were further discriminated into two subtypes by their length. Long ridge-type trichodea (type 1) were male specific and distributed only in the proximal half (subsegment 1‚Äì34) of the antenna. About 70% of short ridge-type trichodea (Type 2) were present in the distal half (35-distal end) of the male antenna. In females, type 2 and ridgeless-type trichodea (type 3) were found on the entire antenna and were not distributed partially. Type 2 trichodea of male moth were also sensitive to sex pheromone as well as type 1 trichodea, although the ridgeless-type trichodea (type 3), auricillica and coeloconica did not respond to the pheromones. ¬© 1992, JAPANESE SOCIETY OF APPLIED ENTOMOLOGY AND ZOOLOGY. All rights reserved.</t>
  </si>
  <si>
    <t>547-556</t>
  </si>
  <si>
    <t>60103403;60014256;60014256</t>
  </si>
  <si>
    <t>7006768749;57192338085;7201367564</t>
  </si>
  <si>
    <t>Mochizuki, Fumiaki;Sugi, Naoko;Shibuya, Tatsuaki</t>
  </si>
  <si>
    <t>Tokyo;Tsukuba</t>
  </si>
  <si>
    <t>Shin-Etsu Chemical Co., Ltd.;University of Tsukuba</t>
  </si>
  <si>
    <t>60103403;60014256</t>
  </si>
  <si>
    <t>Mochizuki F.</t>
  </si>
  <si>
    <t>Pheromone Sensilla of the Beet Armyworm, Spodoptera exigua (H√ºbner) (Lepidoptera: Noctuidae)</t>
  </si>
  <si>
    <t>10.1303/aez.27.547</t>
  </si>
  <si>
    <t>2-s2.0-85004571386</t>
  </si>
  <si>
    <t>['¬© 1992', 'wind tunnel', 'similar treatment', 'significant preference', 'shaped olfactometer', 'semanotus japonicus', 'rights reserved', 'mating behavior', 'males tried', 'japanese society', 'female surface', 'female odor', 'eliciting copulation', 'close range', 'applied entomology', 'abdominal rinse']</t>
  </si>
  <si>
    <t>close range | female body surface | olfactory stimuli | Semanotus japonicus | sex pheromone</t>
  </si>
  <si>
    <t>Mating behavior of the cryptomeria bark borer, Semanotus japonicus, was studied using glass containers, a wind tunnel and a T-shaped olfactometer. The mating sequence showed that an olfactory cue emitted by females and was effective at close range. Choice test using a T-shaped olfactometer showed a significant preference to female odor by males whereas females were not attracted to male nor female odor. Removal of antennae and blinding in males delayed copulation, while similar treatment did not have any effect on females. Males did not show copulatory attempts even after contact with females that had been washed with hexane. Males tried to copulate with the glass rod impregnated recently or seven days earlier with female surface and abdominal rinse. This suggested that some substance on the female body surface is responsible for eliciting copulation and the substance is stable and not volatile. ¬© 1992, JAPANESE SOCIETY OF APPLIED ENTOMOLOGY AND ZOOLOGY. All rights reserved.</t>
  </si>
  <si>
    <t>19-30</t>
  </si>
  <si>
    <t>60011001-60029157;60007819;60007819;60011001;60011001;60029157</t>
  </si>
  <si>
    <t>57192732739;8919219500;7410404942;7407711021;16453106800;57192730734</t>
  </si>
  <si>
    <t>Fauziah, Binte Abdullah;Tabata, Katsuhiro;Ito, Kensuke;Takahashi, Shozo;Hidaka, Toshitaka;Hidaka, Toshitaka</t>
  </si>
  <si>
    <t>Malaysia;Japan;Japan</t>
  </si>
  <si>
    <t>Kuala Lumpur;Kyoto;Tsukuba</t>
  </si>
  <si>
    <t>Universiti Malaya;Kyoto University;Forestry and Forest Products Research Institute</t>
  </si>
  <si>
    <t>60029157;60011001;60007819</t>
  </si>
  <si>
    <t>Fauziah B.</t>
  </si>
  <si>
    <t>Mating Behavior of the Cryptomeria Bark Borer, Semanotus japonicus Lacordaire (Coleoptera: Cerambycidae)</t>
  </si>
  <si>
    <t>10.1303/aez.27.19</t>
  </si>
  <si>
    <t>2-s2.0-85007664158</t>
  </si>
  <si>
    <t>['¬© 1992', 'several laboratories', 'rights reserved', 'providing evidence', 'pathological phenomena', 'must act', 'many physiological', 'gnt 1', 'glycan core', 'glycan branching', 'dependent expression', 'carbohydrates coming', 'branching patterns', 'attaches glcnac', 'antennae attached', 'age ).', '4 arm', '2 linkage']</t>
  </si>
  <si>
    <t>gene cloning | glycan branching | glycoprotein biosynthesis | N-acetylglucosaminyltransferase | N-glycans | O-glycans</t>
  </si>
  <si>
    <t>Cell surface complex carbohydrates have been implicated in many physiological and pathological phenomena. The branching patterns of the N- and 0-glycans are believed to be important in many of these processes. N-Glycan branching is controlled by a series of N-acetylglucosaminyltransferases (GnT) which initiate the antennae attached to the N-glycan core. GnT I, the enzyme which attaches GlcNAc in pi,2 linkage to the Manal-3Manpi-4 arm of the core, must act before any branching can occur. The genes for GnT 1 and for several other glycosyltransferases have recently been cloned in several laboratories. This work is providing evidence on how the tissue-specific and time-dependent expression of cell surface carbohydrates may be controlled. ¬© 1992, FCCA(Forum: Carbohydrates Coming of Age). All rights reserved.</t>
  </si>
  <si>
    <t>241-250</t>
  </si>
  <si>
    <t>Trends in Glycoscience and Glycotechnology</t>
  </si>
  <si>
    <t>Schachter, Harry</t>
  </si>
  <si>
    <t>Hospital for Sick Children University of Toronto</t>
  </si>
  <si>
    <t>Schachter H.</t>
  </si>
  <si>
    <t>Branching of N- and O-Glycans: Biosynthetic Controls and Functions</t>
  </si>
  <si>
    <t>10.4052/tigg.4.241</t>
  </si>
  <si>
    <t>2-s2.0-85008266682</t>
  </si>
  <si>
    <t>['¬© 1992', 'tortricidae ).', 'sex attractant', 'rights reserved', 'present study', 'pheromonal odor', 'petri dish', 'olfactory sensitivity', 'odorous role', 'observation suggests', 'moth species', 'mating behavior', 'male located', 'japanese society', 'hexane extract', 'female bodies', 'egglarval parasitoid', 'conventional electroantennogram', 'contact chemoreception', 'common component', 'braconidae ),', 'braconid parasitoid', 'applied entomology', 'antennal contact', 'adoxophyes sp', 'active principal']</t>
  </si>
  <si>
    <t>(Z)-9-hexadecenal | Ascogaster reticulatus | EAG | parasitoid | sex pheromone</t>
  </si>
  <si>
    <t>The braconid parasitoid, Ascogaster reticulatus Watanabe (Hymenoptera: Braconidae), is an egglarval parasitoid of the smaller tea tortrix, Adoxophyes sp. (Lepidoptera: Tortricidae). Kamano Et al. (1989) observed the mating behavior of A. reticulatus and found pheromonal activity in a hexane extract of the female bodies. The male located the extract on a Petri dish with antennal contact. This observation suggests that the perception of a pheromone is mediated by the contact chemoreception. Recently, however, the active principal was identified as (Z)-9-hexadecenal (Z9-16:Ald) (Kainoh Et al., 1991), which was a common component in sex attractant-pheromones in some moth species (Arn Et al., 1986). An odorous role of this chemical is supposed in the parasitoids. In the present study, we employed a conventional electroantennogram (EAG) technique to confirm the olfactory sensitivity of the antennae to a pheromonal odor. ¬© 1992, JAPANESE SOCIETY OF APPLIED ENTOMOLOGY AND ZOOLOGY. All rights reserved.</t>
  </si>
  <si>
    <t>60025065;60025065;60014256;60014256</t>
  </si>
  <si>
    <t>6507900418;57192899789;6603894047;6602196833</t>
  </si>
  <si>
    <t>Hidoh, Osamu;Kawashima, Toshie;Fukami, Jun Ichi;Kainoh, Yooichi</t>
  </si>
  <si>
    <t>Kiyose;Tsukuba</t>
  </si>
  <si>
    <t>Meiji Pharmaceutical University;University of Tsukuba</t>
  </si>
  <si>
    <t>60025065;60014256</t>
  </si>
  <si>
    <t>Hidoh O.</t>
  </si>
  <si>
    <t>EAG Responses of Parasitoids, Ascogaster reticulatus Watanabe (Hymenoptera: Braconidae), to the Female Sex Pheromone</t>
  </si>
  <si>
    <t>10.1303/aez.27.587</t>
  </si>
  <si>
    <t>2-s2.0-85008732460</t>
  </si>
  <si>
    <t>['¬© 1992', 'underground parts', 'technique may', 'soybean beetle', 'sex pheromone', 'rights reserved', 'popillia japonica', 'pest management', 'lamellate antennae', 'japanese society', 'japanese beetle', 'difficulties caused', 'costelytra zealandica', 'appropriate bioassays', 'applied entomology', 'antennographic detector', 'anomala rufocuprea', 'anomala cuprea', 'allowed us', 'adult stages', '1970 ),']</t>
  </si>
  <si>
    <t>GC-EAD | scarab beetle | semio- chemical</t>
  </si>
  <si>
    <t>Plant feeding beetles of Scarabaeidae include various economically important species in agriculture, horticulture and forestry. Most of these insects cause damage both in the larval and adult stages by feeding on underground parts and on leaves, respectively. The use of semiochemicals in these pest management is paramount, but sex pheromone of only a few species of the Scarabaeidae have been identified, namely, the grass grub beetle, Costelytra zealandica (Henzell And Lowe, 1970), the Japanese beetle, Popillia japonica (Tumlinson et al., 1977) and the soybean beetle, Anomala rufocuprea (Tamaki Et al., 1985). In some species there has been evidence of occurrence of sex-(Domek and Johnson, 1987) and aggregation-pheromone (Domek And Johnson, 1988), nevertheless identification of the semiochemicals have been precluded by the lack of appropriate bioassays (Domek Et al., 1990). In the course of the work on the sex pheromone of Anomala cuprea we modified the GC-Electro-antennographic Detector (GC-EAD) technique, which allowed us to use for the first time GC-EAD with lamellate antennae. As described here, this technique may be worth to couple with bioassay in order to alleviate the difficulties caused by the complicated communication system of these insects. ¬© 1992, JAPANESE SOCIETY OF APPLIED ENTOMOLOGY AND ZOOLOGY. All rights reserved.</t>
  </si>
  <si>
    <t>289-291</t>
  </si>
  <si>
    <t>60010674;60010674;60010674;60103403</t>
  </si>
  <si>
    <t>35569644800;55910459200;7402397376;7006768749</t>
  </si>
  <si>
    <t>Leal, Walter Soares;Wakamura, Sadao;Yasuda, Tetsuya;Mochizuki, Fnmiaki</t>
  </si>
  <si>
    <t>Shin-Etsu Chemical Co., Ltd.;National Institute Sericultural Entomological Sciences Tsukuba</t>
  </si>
  <si>
    <t>60103403;60010674</t>
  </si>
  <si>
    <t>Leal W.</t>
  </si>
  <si>
    <t>Electroantennographic Detection of Anomala cuprea Hope (Coleoptera: Scarabaeidae) Sex Pheromone</t>
  </si>
  <si>
    <t>10.1303/aez.27.289</t>
  </si>
  <si>
    <t>2-s2.0-85008740644</t>
  </si>
  <si>
    <t>['wire antennas', 'unpublished results', 'ungrounded long', 'two dimensions', 'triboelectric effect', 'source close', 'significantly contaminated', 'shot points', 'seismic stress', 'results suggest', 'quartz body', 'paper focuses', 'four 50', 'field experiments', 'field conditions', 'experiments support', 'experiment used', 'electrical responses', 'e effect', 'demonstrate conclusively', 'antenna array', 'alan boyle', 'air jackhammer']</t>
  </si>
  <si>
    <t>Electromagnetics | Exploration | Piezoelectric | Seismoelectric</t>
  </si>
  <si>
    <t>Certain materials respond to a seismic stress by becoming electrically polarized. There are several different mechanisms for creating the polarization including piezoelectricity, the electrokinetic or E effect, and the triboelectric effect. We have carried out a number of laboratory and field experiments to investigate geophysical exploration techniques based on such phenomena. This paper focuses on an experiment at Humboldt, Australia, at which we made our first credible observations of piezoelectricity under field conditions. The experiment used a compressed-air jackhammer as a source and four 50-m ungrounded long-wire antennas for detectors. Despite the fact that the signals are significantly contaminated with noise, principally from a nearby radio transmitter, they demonstrate conclusively the presence of electrical responses. Seismic energy equivalent to a single hammer blow interacted with the quartz body to produce electrical fields with strengths from microvolts to tens of microvolts at the antennas. These results are in accord with earlier, unpublished results of Alan Boyle (CRA Exploration Pty Ltd). Our interpretation is limited to two dimensions, but the results suggest a quartz structure dipping at a shallow angle beneath the line of shot points. Later arrivals show a source close to the centre of the antenna array, for which there may be explanations other than piezoelectricity. Thus, our experiments support the many Soviet claims that such phenomena can form the basis of valid prospecting tools. ¬© ASEG 1992.</t>
  </si>
  <si>
    <t>281-286</t>
  </si>
  <si>
    <t>Exploration Geophysics</t>
  </si>
  <si>
    <t>60010365;60010365;60010365;60010365</t>
  </si>
  <si>
    <t>16532772700;7202616375;7202673476;6603273948</t>
  </si>
  <si>
    <t>Russell, R. D.;Maxwell, M.;Butler, K. E.;Kepic, A. W.</t>
  </si>
  <si>
    <t>Russell R.D.</t>
  </si>
  <si>
    <t>Electromagnetic responses from seismically excited targets a: Piezoelectric phenomena at Humboldt, Australia</t>
  </si>
  <si>
    <t>10.1071/EG992281</t>
  </si>
  <si>
    <t>2-s2.0-85009344051</t>
  </si>
  <si>
    <t>['wide range', 'water resources', 'water exploration', 'unique ability', 'specifications give', 'significant increase', 'secondary field', 'saltmap provides', 'saltmap components', 'resolution measurements', 'resistive terrain', 'regolith conditions', 'receiver antennae', 'mineral explorers', 'make high', 'large areas', 'interference problems', 'increasing recognition', 'improved interpretation', 'geological mapping', 'exploration geoscience', 'enabling measurement', 'enable saltmap', 'electrical conductivity', 'designed specifically', 'csiro divisions', 'conductivity distributions', 'broadband nature', 'broad bandwidth', 'airborne electromagnetic', '50 khz']</t>
  </si>
  <si>
    <t>There is increasing recognition that electrical conductivity is an important diagnostic parameter of the near-surface in the applications of land degradation monitoring, ground-water exploration and geological mapping. Airborne electromagnetic (AEM) geophysical surveys provide a means of measurement of ground-conductivity distributions. SALTMAP, a new AEM survey system being developed in Australia by World Geoscience Corporation and the CSIRO Divisions of Exploration Geoscience and Water Resources, has been designed specifically to make high-resolution measurements of the conductivity distribution within the regolith. This results from the broadband nature of the transmitter and receiver antennae and high-speed signal processing incorporated in SALTMAP. SALTMAP will record secondary fields at frequencies in excess of 50 kHz - unprecedented for a broadband AEM system - enabling measurement of near-surface conductivity distributions. In resistive terrain, SALTMAP's specifications give it a unique ability to discriminate mineral exploration targets to some depth. As a result of the broad bandwidth of SALTMAP, it is susceptible to a wide range of interference problems which can be overcome only with powerful signal processing equipment that has only recently become available. A three-component receiver antenna has been incorporated in SALTMAP to provide full measurement of the secondary field. All SALTMAP components are under the control of flexible computer algorithms to enable SALTMAP to be adapted to a wide range of applications in a wide range of conditions. SALTMAP provides a powerful new tool for land and water resource authorities and mineral explorers. It will provide detailed information about the hydrogeology over large areas at a fraction of the cost of normal land treatments. Improved interpretation of regolith conditions will result in a significant increase in efficiency of implementation of strategies for sustainable land use and rehabilitation. ¬© ASEG 1992.</t>
  </si>
  <si>
    <t>123-126</t>
  </si>
  <si>
    <t>100523851;60025804;100523851;100523851;60025804;60025804;60025804;100523851</t>
  </si>
  <si>
    <t>57216192548;7402435540;57192951602;57192951485;6603619914;57192945463;6603401491;8070408200</t>
  </si>
  <si>
    <t>Duncan, A. C.;Williamson, D. R.;Roberts, G. P.;Roocke, P. A.;Buselli, G.;Thorn, R. G.;Pik, J. P.;Anderson, A.</t>
  </si>
  <si>
    <t>Australia;Australia</t>
  </si>
  <si>
    <t>Highett VIC;Perth</t>
  </si>
  <si>
    <t>CSIRO Land and Water;World Geoscience Corporation</t>
  </si>
  <si>
    <t>60025804;100523851</t>
  </si>
  <si>
    <t>Duncan A.C.</t>
  </si>
  <si>
    <t>SALTMAP - Airborne EM for the environment</t>
  </si>
  <si>
    <t>10.1071/EG992123</t>
  </si>
  <si>
    <t>2-s2.0-85009355336</t>
  </si>
  <si>
    <t>['well described', 'wavelet propagation', 'usually far', 'strongly dependent', 'similar way', 'significantly affect', 'seismic studies', 'reflecting interface', 'recent research', 'radar images', 'radar frequencies', 'propagation deconvolution', 'present along', 'polarisation currents', 'phase shift', 'particularly sensitive', 'particular frequency', 'offset behaviour', 'normal incidence', 'model similar', 'lossless theory', 'importantly though', 'gpr waves', 'gpr theory', 'gpr pulses', 'gpr pulse', 'geological materials', 'frequencies used', 'finite conductivity', 'either side', 'effective range', 'dipole antennas', 'dependent conductivity', 'dependent attenuation', 'conductivity increases', 'conductive properties', 'conductive ground', 'change causes', 'also causes']</t>
  </si>
  <si>
    <t>Recent research has shown that polarisation currents are significant in transient electromagnetic surveys, despite the high loss tangents of geological materials at the frequencies used. In a similar way, the presence of conductivity can significantly affect the results of Ground Penetrating Radar (GPR) surveys, despite the low loss tangents of rocks at radar frequencies. It has long been recognised that the effective range of GPR is strongly dependent on conductivity and that conductivity increases with frequency. However, the effect of conductivity on other aspects of GPR theory have often been overlooked to allow simpler lossless models to be used. In many instances lossless models are inadequate to describe observed behaviour. This paper shows examples of how conductivity, and in particular frequency-dependent conductivity, affects antenna radiation patterns, wavelet propagation and reflection, and illustrates how knowledge of these effects can be used to improve data acquisition, processing and interpretation. The strong lobal structure of the subsurface radiation pattern of dipole antennas over a lossless ground largely disappears when conductivity is introduced. The null which is present along the surface is also strongly diminished. In contrast to the lossless theory, this explains why dipole antennas can be so sensitive to objects on the surface and are particularly sensitive over conductive ground. The increase in conductivity with frequency not only affects radar range as a function of frequency, but also causes the shape of a GPR pulse to change as it propagates through the ground. This change causes a deterioration in the resolution of radar images with depth and can make the detection of individual reflections difficult. The distortion of GPR pulses can be well described by a model similar to the constant-Q model used in seismic studies but the distortion is usually far more severe in GPR. It is possible to remove the distortion by applying a propagation deconvolution which repairs the effects of frequency-dependent attenuation. The reflection of GPR waves is also strongly dependent on the conductive properties of the materials on either side of the reflecting interface. Even at normal incidence, substantial phase shifts can occur on reflection where either of the materials has finite conductivity. This phase shift causes further distortion of the GPR pulse which, if not recognised, can lead to mis-interpretations of the data. More importantly though, if the phase shift can be recognised, it can be used to provide an indication of the nature of the target as well as its geometry. This information can be further expanded by observing the amplitude-with-offset and phase-with-offset behaviour of the reflections. ¬© ASEG 1992.</t>
  </si>
  <si>
    <t>381-386</t>
  </si>
  <si>
    <t>Turner, Greg</t>
  </si>
  <si>
    <t>Perth</t>
  </si>
  <si>
    <t>CSIRO Petroleum</t>
  </si>
  <si>
    <t>Turner G.</t>
  </si>
  <si>
    <t>GPR and the effects of conductivity</t>
  </si>
  <si>
    <t>10.1071/EG992381</t>
  </si>
  <si>
    <t>2-s2.0-85009357417</t>
  </si>
  <si>
    <t>['zn orebodies', 'well established', 'transmitter relative', 'transmission mode', 'tomographic image', 'survey section', 'sufficient data', 'rim relies', 'receiver locations', 'radio waves', 'possible using', 'planning tool', 'paper describes', 'ore zones', 'ore within', 'mount isa', 'mine planning', 'mine exploration', 'may reduce', 'khz antennas', 'iterative process', 'intervening rock', 'hypothesis testing', 'grade zn', 'geophysical technique', 'field exploration', 'drilling required', 'direct response', 'csiro division', 'borehole surveys', 'borehole separation', '520 khz']</t>
  </si>
  <si>
    <t>The Radio Imaging Method (RIM-MET) is a geophysical technique which uses medium frequency (50-520 kHz) radio waves to evaluate subsurface geology. The method is well established in the Australian coal mining industry and has recently been applied to base metal deposits in the Mount Isa area. RIM relies on propagating radio waves in a transmission mode through rock, either from borehole to borehole, borehole to mine, or drive to drive. The resulting EM wave signal will attenuate as a direct response to variation in the conductivity of the intervening rock between transmitter and receiver. Multiple ray paths are measured through the area of interest by moving the transmitter relative to the receiver. This is repeated for a number of receiver locations until sufficient data are collected for tomographic image processing. Tomographic imaging procedures, developed by the CSIRO Division of Radiophysics, are employed to produce an image of the distribution of ore within the survey section. The production of a tomographic image is an iterative process, incorporating inverse modelling and hypothesis testing. This paper describes the results of in-mine and borehole surveys through Pb/Zn orebodies, carried out for M.I.M. Exploration Pty Ltd in and around Hilton Mine. The surveys at Mount Isa have demonstrated the role the method can play in late-stage ore definition and mine exploration. Determination of ore ‚Äòshape‚Äô in section and correlation of ore zones between boreholes is possible using the Radio Imaging Method. At this stage the technique does not appear to be applicable to green-field exploration but has the most potential as a mine-planning tool. The advantage of RIM over other EM geophysical techniques is its ability to look between boreholes. The method has responded to low-grade Zn-dominated ore intersections in addition to high-grade Pb ore. Radio-wave penetration varies according to the conductivity of the host, but useful tomographic images using 50-kHz antennas were possible at 64-m borehole separation in the country rocks encountered at Mount Isa. The Radio Imaging Method has demonstrated that it can be used to improve geological interpretation between boreholes and may reduce the amount of drilling required for mine planning. ¬© ASEG 1992.</t>
  </si>
  <si>
    <t>367-372</t>
  </si>
  <si>
    <t>117972509;60030000;101182094</t>
  </si>
  <si>
    <t>56368854600;7408525520;57192945542</t>
  </si>
  <si>
    <t>Thomson, Scott;Young, Jeanne;Sheard, Nick</t>
  </si>
  <si>
    <t>Australia;Australia;Australia</t>
  </si>
  <si>
    <t>Sydney;;Mount Isa</t>
  </si>
  <si>
    <t>CSIRO Industrial Physics;METS Pty Ltd;MIM Exploration Pty Ltd.</t>
  </si>
  <si>
    <t>60030000;117972509;101182094</t>
  </si>
  <si>
    <t>Thomson S.</t>
  </si>
  <si>
    <t>Base metal applications of the radio imaging method. Current status and case studies</t>
  </si>
  <si>
    <t>10.1071/EG992367</t>
  </si>
  <si>
    <t>2-s2.0-85009431614</t>
  </si>
  <si>
    <t>['satellite enters', 'prove experimentally', 'leasat satellite', 'kinetic theory', 'ibm xt', 'computer simulation', 'coaxial cable', 'cable drops', 'antenna system', 'analytical work']</t>
  </si>
  <si>
    <t>A preliminary fluid flow modeling, analysis, and simulation of the gas pressure profile within a 259 cm long coaxial cable is presented. This coaxial cable is part of the antenna system of the LEASAT satellite. To eliminate the possibility of any corona or arcing phenomenon inside the coaxial cable during operation of the satellite, it is necessary to not only prove experimentally but also show analytically that the gas pressure inside the cable drops down and stays below 0.01 Ton within 24 hours after the satellite enters into its orbit. In this paper, only the analytical work is discussed. The continuum fluid mechanics and the kinetic theory of gases are applied for modeling and analysis. Computer simulation is done by using an IBM XT and the results are presented. ¬© 1992 ASME.</t>
  </si>
  <si>
    <t>Journal of Electronic Packaging, Transactions of the ASME</t>
  </si>
  <si>
    <t>60029378;60029378</t>
  </si>
  <si>
    <t>57194982114;57194982115</t>
  </si>
  <si>
    <t>Yen, Hsien Yang;Yen, Hen Geul</t>
  </si>
  <si>
    <t>Yen H.</t>
  </si>
  <si>
    <t>Fluid flow modeling and simulation for the coaxial cable of the leasat antenna system</t>
  </si>
  <si>
    <t>10.1115/1.2905464</t>
  </si>
  <si>
    <t>2-s2.0-85024591193</t>
  </si>
  <si>
    <t>['¬© 1992', 'y3 form', 'y1 failed', 'would implicate', 'unprocessed form', 'synthesize chlorophyll', 'strains c', 'specific differences', 'scenedesmus obliquus', 'rights reserved', 'photosystem ii', 'photosynthetic apparatus', 'mutants c', 'light whereas', 'lesser amounts', 'ii function', 'ii deficiency', 'ii activity', 'green alga', 'functional ps', 'fully developed', 'develop ps', 'chloroplast reactions', '35s labeling', '34 kda']</t>
  </si>
  <si>
    <t>2,6-dichlorophenolindophenol | 3-(3,4 dichlorophenyl)-1,1-dimethylurea | chlorophyll-protein complex | CP | DCMU | developmental mutants | diphenylcarbazide | DPC | DPIP | EMS | Ethyl ester of Methylsulfonic Acid | greening | LDS | LHC | light harvesting complex | lithium dodecyl-sulfate | normal wild-type phenotype of Scenedesmus | PAGE | photosystem II | polyacrylamide gel electrophoresis | PS-II | PS-II components | Scenedesmus obliquus | WT</t>
  </si>
  <si>
    <t>The formation of photosystem II of the photosynthetic apparatus was studied in five different developmental mutants of the green alga, Scenedesmus obliquus. These strains are characterized by their ability to synthesize chlorophyll only in the light and by specific differences in their photosystem II (PS-II) capacity and composition when fully developed. Cells from mutants C-2A, LF1-YI-RVT1 and WT-LHC1-Y3 form a functional PS-II upon transfer from darkness into light whereas those of strains C-2A-10 and LF1-Y1 do not develop PS-II activity under any conditions. Analysis of a variety of chloroplast reactions with the latter two strains showed that they lack the PS-II reaction center only minimally. 35S labeling during light-induced chloroplast development revealed that only C-2A-10 and LF1-Y1 failed to develop the normal D1 protein (32 kDa polypeptide In LF1-Y1, only the unprocessed form (34 kDa) of this protein was synthesized and, as was noted for the original mutant LF-1, is inactive as a PS-II reaction center component. During development of C-2A-10, which appears to be pleiotropic in its PS-II deficiency, this protein is not synthesized and the PS-II core antenna polypeptides (the 48 and 44 kDA polypeptides) and a 14.5 kDa polypeptide also appear to be synthesized in lesser amounts or not to be synthesized at all. No other changes in PS-II chloroplast membrane components were noted in these studies, which would implicate other polypeptides in PS-II function of Scenedesmus. ¬© 1992, Gustav Fischer Verlag, Stuttgart. All rights reserved.</t>
  </si>
  <si>
    <t>429-433</t>
  </si>
  <si>
    <t>Journal of Plant Physiology</t>
  </si>
  <si>
    <t>60028229;60012556;60013402</t>
  </si>
  <si>
    <t>6603415023;7005126308;25941843200</t>
  </si>
  <si>
    <t>Humbeck, K.;Senger, H.;Bishop, N. I.</t>
  </si>
  <si>
    <t>Germany;United States;Germany</t>
  </si>
  <si>
    <t>Hamburg;Corvallis;Marburg</t>
  </si>
  <si>
    <t>Universit√§t Hamburg;Oregon State University;Philipps-Universit√§t Marburg</t>
  </si>
  <si>
    <t>60028229;60013402;60012556</t>
  </si>
  <si>
    <t>Humbeck K.</t>
  </si>
  <si>
    <t>Observations on Components of Photosystem II During the Greening of Select Mutants of Scenedesmus</t>
  </si>
  <si>
    <t>S0176161711808205</t>
  </si>
  <si>
    <t>10.1016/S0176-1617(11)80820-5</t>
  </si>
  <si>
    <t>2-s2.0-85025536910</t>
  </si>
  <si>
    <t>['¬© 1992', 'state low', 'state absorption', 'special red', 'significant differences', 'rotational strength', 'room temperature', 'rights reserved', 'probe spectroscopy', 'possible presence', 'plane constituted', 'major chlorophyll', 'low temperature', 'linear dichroism', 'large part', 'harvesting complex', 'fluorescence arises', 'color pump', 'chl qy', 'b light', 'absorption region', 'absorbing pigments', '4 k']</t>
  </si>
  <si>
    <t>A | absorbance | Antenna | CD | Chl | Chlorophyll | chlorophyll | circular dichroism | LD | LHC-II | light-harvesting chlorophylla/b complex from Photosystem II | linear dichroism | Photosystem | Photosystem II | Polarized light spectroscopy | PS | Pump-probe spectroscopy</t>
  </si>
  <si>
    <t>The major chlorophyll a/b light-harvesting complex from spinach thylakoid membranes was analyzed by steady-state polarized light spectroscopy at 4 K and by one-color and two-color pump-probe spectroscopy at room temperature. Steady-state absorption, linear dichroism and circular dichroism spectra indicate that the Chl Qy(0‚àí0) absorption region is characterized by at least six transitions with significant differences in absorption, orientation and rotational strength. Steady-state low-temperature fluorescence spectra suggest that the fluorescence arises for a large part from several energetically similar species that form a circularly degenerate oscillator in the plane constituted by the two long axes of the particle. The possible presence of special red-absorbing pigments at low temperature is discussed. The time-resolved data suggest that the kinetics of chlorophyllb ‚Üí a excitation energy transfer, as well as those of downhill excitation transfer among chlorophylla spectral forms, are heterogeneous with both sub-picosecond and picosecond lifetime components. ¬© 1992, All rights reserved.</t>
  </si>
  <si>
    <t>143-146</t>
  </si>
  <si>
    <t>Biochimica et Biophysica Acta - Bioenergetics</t>
  </si>
  <si>
    <t>60008734;60008734;60008734;60008734;60008023;60008023;60008023</t>
  </si>
  <si>
    <t>7003789415;6603884011;56276805100;35599806700;7007181446;7407162691;57193129444</t>
  </si>
  <si>
    <t>Kwa, S. L.S.;Groeneveld, F. G.;Dekker, J. P.;van Grondelle, R.;van Amerongen, H.;Lin, S.;Struve, W. S.</t>
  </si>
  <si>
    <t>Netherlands;United States</t>
  </si>
  <si>
    <t>Amsterdam;Ames</t>
  </si>
  <si>
    <t>Vrije Universiteit Amsterdam;Ames Laboratory</t>
  </si>
  <si>
    <t>60008734;60008023</t>
  </si>
  <si>
    <t>Kwa S.</t>
  </si>
  <si>
    <t>Steady-state and time-resolved polarized light spectroscopy of the green plant light-harvesting complex II</t>
  </si>
  <si>
    <t>000527289290198B</t>
  </si>
  <si>
    <t>10.1016/S0005-2728(05)80005-2</t>
  </si>
  <si>
    <t>2-s2.0-85047694333</t>
  </si>
  <si>
    <t>['version 2', 'twenty years', 'signal fraction', 'several experiments', 'rinex format', 'ratio value', 'quality improvement', 'quality descriptor', 'positions obtained', 'obstructed environment', 'noise ratio', 'multipath effect', 'main goal', 'high precision', 'gps receivers', 'gps receiver', 'gps positioning', 'firmly related', 'elaborated approach', 'characteristic analysis', 'baseline vectors', 'also created', '80 %.']</t>
  </si>
  <si>
    <t>Baseline vector | Carrier phase observation | Carrier-to-noise ratio | GPS | Quality control</t>
  </si>
  <si>
    <t>GPS has is a highly accurate positioning technique developed through many researchers‚Äô efforts over twenty years. However, multipath effect, signal fraction, and other uncertain influences may reduce the accuracy of positions obtained by GPS. The key to maintaining the high precision of GPS positioning should be the quality of GPS raw data, so a quality control procedure is very necessary. Since the carrier-to-noise ratio of observation is firmly related to GPS raw data, and the RINEX format of version 2.10 also includes the ratio value, therefore in this study the carrier-to-noise ratio is assessed as the quality descriptor. The main goal of this study is to develop an approach for maintaining or improving the reliability of GPS positioning when a GPS receiver is placed in an obstructed environment. The characteristic analysis of carrierto- noise ratio for combinations of GPS receivers and antennae were done and the carrier-to-noise ratio template was also created for baseline vector quality control. The carrier-to-noise ratio approach is verified with several experiments that indicate the feasibility of the elaborated approach, and the quality improvement of baseline vectors is over 80%.</t>
  </si>
  <si>
    <t>133-158</t>
  </si>
  <si>
    <t>Bollettino di Geodesia e Scienze Affini</t>
  </si>
  <si>
    <t>Lee, Jenn Taur</t>
  </si>
  <si>
    <t>Lee J.T.</t>
  </si>
  <si>
    <t>GPS baseline vector estimation with the carrier-to-noise ratio approach</t>
  </si>
  <si>
    <t>2-s2.0-85050557497</t>
  </si>
  <si>
    <t>['¬© 1992', 'substrate thickness', 'square loop', 'rights reserved', 'resonance frequencies', 'evanescent fields', 'electrical engineers', 'dielectric boundary']</t>
  </si>
  <si>
    <t>Dielectrics and dielectric devices | Frequency selective surfaces | Radar</t>
  </si>
  <si>
    <t>The dependence on substrate thickness of the resonance frequencies of dipole, square loop and circular patch FSSs is examined. Circular patches contain less fine scale structure, requiring fewer high order Floquet field modes. The evanescent fields are less tightly bound and the air/dielectric boundary is significant at greater substrate thicknesses. ¬© 1992, The Institution of Electrical Engineers. All rights reserved.</t>
  </si>
  <si>
    <t>42-44</t>
  </si>
  <si>
    <t>Element dependency in dielectric tuning of frequency selective surfaces</t>
  </si>
  <si>
    <t>10.1049/el:19920026</t>
  </si>
  <si>
    <t>2-s2.0-0027107020</t>
  </si>
  <si>
    <t>['¬© 1992', 'rights reserved', 'largest bandwidth', 'electrical engineers', 'coplanar waveguide', 'best front', 'back ratio']</t>
  </si>
  <si>
    <t>Antennas | Aperture coupled antennas | Microstrip</t>
  </si>
  <si>
    <t>Coplanar waveguide (CPW)/aperture coupled microstrip patch antennas constructed with ground coplanar waveguide (GCPW), finite coplanar waveguide (FCPW) and channelised coplanar waveguide (CCPW) are demonstrated. The measured characteristics show that the CCPW/aperture coupled microstrip patch antenna has the largest bandwidth, whereas the GCPW/aperture coupled microstrip patch antenna has the best front-to-back ratio. ¬© 1992, The Institution of Electrical Engineers. All rights reserved.</t>
  </si>
  <si>
    <t>75-76</t>
  </si>
  <si>
    <t>7202166511;24522606100</t>
  </si>
  <si>
    <t>Simons, R. N.;Lee, R. Q.</t>
  </si>
  <si>
    <t>Simons R.N.</t>
  </si>
  <si>
    <t>Coplanar waveguide aperture coupled patch antennas with ground Plane/Substrate of finite extent</t>
  </si>
  <si>
    <t>10.1049/el:19920046</t>
  </si>
  <si>
    <t>2-s2.0-0027107039</t>
  </si>
  <si>
    <t>['¬© 1992', 'small offsets', 'rights reserved', 'longitudinal slots', 'electrical engineers']</t>
  </si>
  <si>
    <t>Waveguides</t>
  </si>
  <si>
    <t>A surface-patch moment method approach is used to examine the electric field distribution in longitudinal slots that have small offsets from the host rectangular waveguide centreline. It is shown that the phase of the transverse electric field in the slot may display a large variation across the slot narrow dimension in such instances. ¬© 1992, The Institution of Electrical Engineers. All rights reserved.</t>
  </si>
  <si>
    <t>16-17</t>
  </si>
  <si>
    <t>60021902;60021902;60021902</t>
  </si>
  <si>
    <t>57203176700;34975061400;35561582300</t>
  </si>
  <si>
    <t>Mcnamara, D. A.;Jacobs, J. P.;Joubert, J.</t>
  </si>
  <si>
    <t>Mcnamara D.</t>
  </si>
  <si>
    <t>Form of field in small-offset longitudinal slot in broad wall of rectangular waveguide</t>
  </si>
  <si>
    <t>10.1049/el:19920010</t>
  </si>
  <si>
    <t>2-s2.0-0027107045</t>
  </si>
  <si>
    <t>['¬© 1992', 'rights reserved', 'radiating element', 'patch element', 'oscillator synthesis', 'optimal design', 'nearly linear', 'microstrip patch', 'fundamental mode', 'experimental results', 'electrical engineers', 'electrical characteristics', 'antenna consists', 'also discussed', 'active element', 'active device', '8 mw', '3 v']</t>
  </si>
  <si>
    <t>Antennas | Field-effect transistors | Microstrip | Oscillators</t>
  </si>
  <si>
    <t>A methodology for the optimal design of a FET based integrated active microstrip antennas is demonstrated; the electrical characteristics of the antenna are also discussed. The antenna consists of a rectangular microstrip patch peripherally loaded with a single GaAs MESFET. The microstrip patch acts as both the radiating element and the optimal FET drain load impedance required for oscillator synthesis. The active patch element operates as a series feedback oscillator and the microstrip patch is resonated in its fundamental mode. An NEC 71084 packaged FET is used as the active device in the patch element which itself is constructed on RT-Duroid 5880 material. The element has a free running frequency of 9¬∑625 GHz (at 3 V) and exhibits excellent electrical characteristics. Experimental results are presented for the frequency pushing characteristics of the element which are nearly linear. The active element is capable of producing an output power level of 8 mW with 10% efficiency at 2¬∑3 V, and has an external Q factor of 32. ¬© 1992, The Institution of Electrical Engineers. All rights reserved.</t>
  </si>
  <si>
    <t>89-91</t>
  </si>
  <si>
    <t>Fusco, V. F.</t>
  </si>
  <si>
    <t>Belfast</t>
  </si>
  <si>
    <t>Queen's University Belfast</t>
  </si>
  <si>
    <t>Fusco V.</t>
  </si>
  <si>
    <t>Series feedback integrated active microstrip antenna synthesis and characterisation</t>
  </si>
  <si>
    <t>10.1049/el:19920055</t>
  </si>
  <si>
    <t>2-s2.0-0027107058</t>
  </si>
  <si>
    <t>['¬© 1992', 'symmetric lobes', 'simple method', 'rights reserved', 'proper choice', 'parasite parameters', 'new method', 'experimental results', 'electrical engineers', 'e planes', 'different thicknesses', 'dielectric parasite', '18 ¬∞', '125 ¬∞']</t>
  </si>
  <si>
    <t>Antennas | Dielectric devices | Microstrip</t>
  </si>
  <si>
    <t>A new method to enhance the gain of a single microstrip patch antenna using spaced superstrates as a dielectric parasite is presented. The experimental results of radiation pattern using alumina parasites with different thicknesses and spacings are given. The minimum beamwidth obtainable with a single patch using present studies is only 18¬∞ with symmetric lobes in the H and E planes. This simple method can also be used to vary the beamwidth of the patch between 18 and 125¬∞ with proper choice of parasite parameters. ¬© 1992, The Institution of Electrical Engineers. All rights reserved.</t>
  </si>
  <si>
    <t>17-19</t>
  </si>
  <si>
    <t>60031475;60031475</t>
  </si>
  <si>
    <t>6506152046;7003630464</t>
  </si>
  <si>
    <t>Afzalzadeh, R.;Karekar, R. N.</t>
  </si>
  <si>
    <t>Pune</t>
  </si>
  <si>
    <t>Savitribai Phule Pune University</t>
  </si>
  <si>
    <t>Afzalzadeh R.</t>
  </si>
  <si>
    <t>X-Band directive single microstrip patch antenna using dielectric parasite</t>
  </si>
  <si>
    <t>10.1049/el:19920011</t>
  </si>
  <si>
    <t>2-s2.0-0027107138</t>
  </si>
  <si>
    <t>['radiation fields', 'formulated using']</t>
  </si>
  <si>
    <t>Radiation by sources wholly confined to a vacuous halfspace bordering an isotropic chiral halfspace has been examined. The relevant Green‚Äôs functions have been formulated using the Fresnel reflection coefficients. For illustration and understanding, the radiation fields of a vertical electric dipole have been investigated. ¬© 1992 IOP Publishing Ltd.</t>
  </si>
  <si>
    <t>38-41</t>
  </si>
  <si>
    <t>Journal of Physics D: Applied Physics</t>
  </si>
  <si>
    <t>60001439;60001439-100977540;60001439-100977540</t>
  </si>
  <si>
    <t>53877620200;36039583900;7202350150</t>
  </si>
  <si>
    <t>Lakhtakia, Akhlesh;Varadan, Vijay K.;Varadan, Vasundara V.</t>
  </si>
  <si>
    <t>University Park;University Park</t>
  </si>
  <si>
    <t>Pennsylvania State University;Research Center for the Engineering of Electronic and Acoustic Materials</t>
  </si>
  <si>
    <t>60001439;100977540</t>
  </si>
  <si>
    <t>Lakhtakia A.</t>
  </si>
  <si>
    <t>Time-Harmonic Electro Magnetic Response of an Isotropic Chiral Halfspace</t>
  </si>
  <si>
    <t>10.1088/0022-3727/25/1/005</t>
  </si>
  <si>
    <t>2-s2.0-0026754983</t>
  </si>
  <si>
    <t>PHY89-14914</t>
  </si>
  <si>
    <t>['¬© 1992', 'veto based', 'single detector', 'similar sensitivities', 'project insensitivity', 'next generation', 'muons incident', 'mass antennas', 'manegeable levels', 'latest generation', 'hadron interactions', 'first time', 'cosmic rays', 'contribute significantly', 'coincidence experiments']</t>
  </si>
  <si>
    <t>We present the results of a Monte Carlo simulation of cosmic ray hadrons and muons incident on a resonant-mass gravitational radiation antenna. To our knowledge, this is the first time any study has been made of the effect of cosmic ray hadrons on resonant-mass antennas. We find that both the muon and the hadron interactions can contribute significantly to the non-Gaussian background noise of a single detector which is operating with the project insensitivity of the latest generation of resonant-mass antennas now being constructed. However, we find that by doing coincidence experiments with other detectors of similar sensitivities, we can reduce the false event rate induced by cosmic rays to manegeable levels. In addition, veto schemes utilizing high energy particle detectors and a veto based on the detection of the second longitudinal mode of oscillation of the antenna can further reduce the false event rate to insignificant levels making it possible to operate the next generation of detectors, with noise temperatures ‚âà1 ŒºK, without excessive shielding. ¬© 1992.</t>
  </si>
  <si>
    <t>603-612</t>
  </si>
  <si>
    <t>Nuclear Inst. and Methods in Physics Research, A</t>
  </si>
  <si>
    <t>60012708;60012708;60000221</t>
  </si>
  <si>
    <t>24586575400;35230455000;16230961400</t>
  </si>
  <si>
    <t>Chiang, James;Michelson, Peter;Price, John</t>
  </si>
  <si>
    <t>Palo Alto;Boulder</t>
  </si>
  <si>
    <t>Stanford University;University of Colorado Boulder</t>
  </si>
  <si>
    <t>60012708;60000221</t>
  </si>
  <si>
    <t>Chiang J.</t>
  </si>
  <si>
    <t>Monte Carlo simulation of the interaction of cosmic ray hadrons and muons with a resonant-mass gravitational radiation antenna</t>
  </si>
  <si>
    <t>016890029290661M</t>
  </si>
  <si>
    <t>10.1016/0168-9002(92)90661-M</t>
  </si>
  <si>
    <t>2-s2.0-0000972801</t>
  </si>
  <si>
    <t>Neotropical Ornithological Society</t>
  </si>
  <si>
    <t>NOS</t>
  </si>
  <si>
    <t>['œ ≤-', 'virtually identical', 'trimeric complex', 'temperature absorption', 'spectroscopic properties', 'small angle', 'significant differences', 'several chlorophyll', 'rotational strength', 'rights reserved', 'qy transition', 'pigments resulted', 'major chlorophyll', 'linear dichroism', 'least six', 'ii predominantly', 'fluorescence originates', 'exciton interactions', 'chlorophyll qy', 'chlorophyll organization', 'chl676 molecules', 'b ratio', 'b light', 'absorption region', '676 nm']</t>
  </si>
  <si>
    <t>Antenna | Chlorophyll | Photosynthesis | Spectroscopy</t>
  </si>
  <si>
    <t>The major chlorophyll a/b light-harvesting complex LHC-II was isolated from spinach thylakoid membranes after solubilization with the non-ionic detergent n-dodecyl-Œ≤-d-maltoside. The complex is characterized by a chlorophyll a to b ratio of 1.5¬±0.1. The spectroscopic properties of this trimeric complex were analyzed and found to be very similar to those observed in the intact thylakoid membrane. By low-temperature absorption, linear dichroism and circular dichroism spectroscopy it is shown that the chlorophyll Qy(0-0) absorption region of the complex is characterized by at least six and perhaps nine chlorophyll transitions with significant differences in energy, orientation and rotational strength. Excitation of the pigments resulted in a sharp fluorescence band peaking near 680 nm at 77K. Presumably, this fluorescence originates from the main and red-most chlorophyll a Qy transition, which peaks at 676 nm and is oriented at a small angle with the plane of the particle. Fitting of polarized excitation spectra indicated that the polarization of Chl676 is about 0.1; this argues against a single emitting species, but is in line with a model in which efficient energy transfer occurs among several (&gt;3)Chl676 molecules which form a circularly degenerate oscillator in a plane. Since the shapes of the linear dichroism and polarized excitation spectra were found to be virtually identical between 640 and 676 nm, this plane is probably the same as the plane of the particle. Above 676 nm, the polarization rises gradually to a value of about 0.2, which is interpreted as a result of inhomogeneous line broadening of the 676 nm transition. A model that describes the chlorophyll organization of LHC-II predominantly in terms of exciton interactions between several chlorophyll a and several chlorophyll b molecules is discussed. ¬© 1992 Elsevier Science Publishers B.V. All rights reserved.</t>
  </si>
  <si>
    <t>159-166</t>
  </si>
  <si>
    <t>BBA - Bioenergetics</t>
  </si>
  <si>
    <t>60008734;60008734;60008734;60008734</t>
  </si>
  <si>
    <t>6506054134;7003789415;35599806700;7202457418</t>
  </si>
  <si>
    <t>Hemelrijk, Petra W.;Kwa, Stefan L.S.;van Grondelle, Rienk;Dekker, Jan P.</t>
  </si>
  <si>
    <t>Amsterdam</t>
  </si>
  <si>
    <t>Vrije Universiteit Amsterdam</t>
  </si>
  <si>
    <t>Hemelrijk P.</t>
  </si>
  <si>
    <t>Spectroscopic properties of LHC-II, the main light-harvesting chlorophyll a/b protein complex from chloroplast membranes</t>
  </si>
  <si>
    <t>S0005272805803317</t>
  </si>
  <si>
    <t>10.1016/S0005-2728(05)80331-7</t>
  </si>
  <si>
    <t>2-s2.0-0026501332</t>
  </si>
  <si>
    <t>['rights reserved', 'radiative lifetime', 'molecular structure', 'keto group', 'excited state', 'efficient antenna', 'double bond', 'carotenoids without', 'carotenoids functioning']</t>
  </si>
  <si>
    <t>Carotenoid | Energy transfer | Fluorescence | Photosynthesis | Pigment system</t>
  </si>
  <si>
    <t>Common fluorescence properties of carotenoids functioning as an efficient antenna in algal pigment systems are elucidated in relation to their molecular structure. Those carotenoids contain eight conjugated double bonds and one keto group associated with the double bond. The origin of the fluorescence is the optically forbidden S1 state and its radiative lifetime is longer than that of carotenoids without a keto group. These characteristics are discussed in relation to the excited state of polyenes. ¬© 1992 Elsevier Science Publishers B.V. All rights reserved.</t>
  </si>
  <si>
    <t>271-274</t>
  </si>
  <si>
    <t>60028586;60033235;60018600;60014652;60014652;60011001</t>
  </si>
  <si>
    <t>7006461138;7005765210;7007107989;7403347966;24586425300;7401529775</t>
  </si>
  <si>
    <t>Mimuro, Mamoru;Nagashima, Umpei;Takaichi, Shinichi;Nishimura, Yoshinobu;Yamazaki, Iwao;Katoh, Tetzuya</t>
  </si>
  <si>
    <t>Japan;Japan;Japan;Japan;Japan</t>
  </si>
  <si>
    <t>Okazaki;Okazaki;Tokyo;Sapporo;Kyoto</t>
  </si>
  <si>
    <t>National Institutes of Natural Sciences - Institute for Molecular Science;National Institutes of Natural Sciences - National Institute for Basic Biology;Nippon Medical School;Hokkaido University;Kyoto University</t>
  </si>
  <si>
    <t>60033235;60028586;60018600;60014652;60011001</t>
  </si>
  <si>
    <t>Mimuro M.</t>
  </si>
  <si>
    <t>Molecular structure and optical properties of carotenoids for the in vivo energy transfer function in the algal photosynthetic pigment system</t>
  </si>
  <si>
    <t>S0005272805803470</t>
  </si>
  <si>
    <t>10.1016/S0005-2728(05)80347-0</t>
  </si>
  <si>
    <t>2-s2.0-0026536764</t>
  </si>
  <si>
    <t>['¬© 1992', 'rights reserved', 'proposed structure', 'practical performance', 'letter describes', 'key advantages', 'electrical engineers', 'coupled method']</t>
  </si>
  <si>
    <t>Dipole antennas | Microstrip</t>
  </si>
  <si>
    <t>The slot-coupled method is proposed as an alternative to the popular electromagnetically coupled technique (EMC) for feeding microstrip dipole antennas. This Letter describes the basic design procedure and some key advantages of this method over EMC. Experimental results confirm the effective and practical performance of the proposed structure. ¬© 1992, The Institution of Electrical Engineers. All rights reserved.</t>
  </si>
  <si>
    <t>193-194</t>
  </si>
  <si>
    <t>60018714;60009697;60018714;60026338</t>
  </si>
  <si>
    <t>57027512900;7005305020;7004481899;35566584200</t>
  </si>
  <si>
    <t>Ittipiboon, A.;Roscoe, D.;Cuhaci, M.;Antar, Y. M.M.</t>
  </si>
  <si>
    <t>Canada;Canada;Canada</t>
  </si>
  <si>
    <t>Kingston;Ottawa;Winnipeg</t>
  </si>
  <si>
    <t>Royal Military College of Canada;Communications Research Centre;University of Manitoba</t>
  </si>
  <si>
    <t>60026338;60018714;60009697</t>
  </si>
  <si>
    <t>Ittipiboon A.</t>
  </si>
  <si>
    <t>Slot-coupled excitation of microstrip dipole antennas</t>
  </si>
  <si>
    <t>10.1049/el:19920120</t>
  </si>
  <si>
    <t>2-s2.0-0026641898</t>
  </si>
  <si>
    <t>['¬© 1992', 'surface waves', 'rights reserved', 'model indicate', 'measurements carried', 'main lobe', 'integrated beam', 'electrical engineers', 'dielectric waveguide', 'compact source', 'band antenna', 'active source']</t>
  </si>
  <si>
    <t>An integrated beam-steerable antenna configuration is presented in which an active resonant patch provides a simple and compact source of surface waves that radiate from a periodic surface along a dielectric waveguide. An X-band antenna has been developed and measurements carried out to determine its performance. A simple passive leaky-wave antenna model has also been developed. Comparisons between the measurements and the model indicate that the main lobe of the far-field pattern remains robust over the 0¬∑6 GHz tuning bandwidth of the active source. ¬© 1992, The Institution of Electrical Engineers. All rights reserved.</t>
  </si>
  <si>
    <t>184-185</t>
  </si>
  <si>
    <t>60031828;60031828</t>
  </si>
  <si>
    <t>6602956219;7006562937</t>
  </si>
  <si>
    <t>Fralich, R.;Litva, J.</t>
  </si>
  <si>
    <t>Fralich R.</t>
  </si>
  <si>
    <t>Beam-steerable active array antenna</t>
  </si>
  <si>
    <t>10.1049/el:19920114</t>
  </si>
  <si>
    <t>2-s2.0-0026685597</t>
  </si>
  <si>
    <t>['¬© 1992', 'section data', 'rights reserved', 'electrical engineers', 'array size']</t>
  </si>
  <si>
    <t>Antennas | Microstrip | Scattering</t>
  </si>
  <si>
    <t>The problem of plane wave scattering by a finite size array of rectangular microstrip patches printed on a uniaxially anisotropic substrate is considered. Computed radar cross-section data for microstrip patch antenna arrays are presented as a function of array size, incident signal frequency, and anisotropy. ¬© 1992, The Institution of Electrical Engineers. All rights reserved.</t>
  </si>
  <si>
    <t>60007843;60007843;60007843</t>
  </si>
  <si>
    <t>6506792076;7403372812;7410156056</t>
  </si>
  <si>
    <t>Bow, W. J.;King, A. S.;Lee, C. E.</t>
  </si>
  <si>
    <t>Bow W.</t>
  </si>
  <si>
    <t>Scattering from finite array of microstrip patches on uniaxial substrate</t>
  </si>
  <si>
    <t>10.1049/el:19920078</t>
  </si>
  <si>
    <t>2-s2.0-0026690199</t>
  </si>
  <si>
    <t>['¬© 1992', 'unrestrained shells', 'restrained shells', 'parabolic dome', 'ogival cylinder', 'hyperboloid cylinder', 'formulation recovers']</t>
  </si>
  <si>
    <t>Determination of the linear vibration behaviour of unrestrained shells of revolution by the use of non-conventional basis functions, as an alternative to polynomial basis functions, in the formulation of finite elements based on an extension of the Reissner-Mindlin plate theory, is presented. The properties and performance of these newly developed elements are explored through a series of illustrative eigenvalue problems that treat both free-free and restrained shells. It is found that this formulation recovers the six rigid body modes as the first six modes in the case of unrestrained shells. The geometries considered herein are a hyperboloid cylinder, an ogival cylinder, a parabolic dome and a toroidal parabola antenna. ¬© 1992.</t>
  </si>
  <si>
    <t>263-283</t>
  </si>
  <si>
    <t>0022460X</t>
  </si>
  <si>
    <t>Journal of Sound and Vibration</t>
  </si>
  <si>
    <t>7007005993;7005714589</t>
  </si>
  <si>
    <t>Heppler, G. R.;Wahl, L.</t>
  </si>
  <si>
    <t>Heppler G.</t>
  </si>
  <si>
    <t>Finite element analysis of free-free shells of revolution</t>
  </si>
  <si>
    <t>0022460X9290360A</t>
  </si>
  <si>
    <t>10.1016/0022-460X(92)90360-A</t>
  </si>
  <si>
    <t>2-s2.0-0026626881</t>
  </si>
  <si>
    <t>['¬© 1992', 'variable time', 'time constant', 'rhodopseudomonas viridis', 'results may', 'reaction centers', 'quenching decreased', 'primary donor', 'original level', 'observed immediately', 'measured immediately', 'increasing temperature', 'heliobacterium chlorum', 'fluorescence yield', 'fluorescence quenching', 'fluorescence increase', 'excitation energy', 'charge separation', 'acta 1058', '50 k', '4 ms', '4 k', '344 ).']</t>
  </si>
  <si>
    <t>(Rps viridis) | Bacteriochlorophyll | Fluorescence | Primary electron donor | Redoxostate</t>
  </si>
  <si>
    <t>The fluorescence yield of bacteriochlorophyll (BChl) b in membranes of Rhodopseudomonas viridis was measured immediately and at a variable time-interval after a saturating laser flash to bring about charge separation. At 4 K a decrease of the yield by 28% was observed immediately after the flash. This yield recovered mono-exponentially with a time constant of 6.3¬±0.4 ms to approximately the original level. The same time constant was observed for the re-reduction of the primary electron donor, indicating that the fluorescence quenching can be ascribed to the oxidation of the primary donor. The extent of quenching decreased with increasing temperature and reversed to a fluorescence increase at temperatures above 50 K. These results may be explained by the presence of long-wavelength absorbing BChls b in the antenna which at low temperature transfer their excitation energy more efficiently to the oxidized than to the reduced primary donor, in support of a similar hypothesis used to explain the quenching of fluorescence by 'oxidized' reaction centers in Heliobacterium chlorum (Deinum, G., Kramer, H., Aartsma, T.J. Kleinherenbrink, F.A.M. and Amesz, J. (19910) Biochim. Biophys. Acta 1058, 339-344). ¬© 1992.</t>
  </si>
  <si>
    <t>81-84</t>
  </si>
  <si>
    <t>60003878;60003878;60003878;60003878</t>
  </si>
  <si>
    <t>57071565600;6701846565;7003777767;7004456032</t>
  </si>
  <si>
    <t>Deinum, Geurt;Kleinherenbrink, Frank A.M.;Aartsma, Thijs J.;Amesz, Jan</t>
  </si>
  <si>
    <t>Sterrewacht Leiden</t>
  </si>
  <si>
    <t>Deinum G.</t>
  </si>
  <si>
    <t>The fluorescence yield of Rhodopseudomonas viridis in relation to the redox state of the primary electron donor</t>
  </si>
  <si>
    <t>0005-2728(92)90190-D</t>
  </si>
  <si>
    <t>10.1016/0005-2728(92)90190-D</t>
  </si>
  <si>
    <t>2-s2.0-0026501398</t>
  </si>
  <si>
    <t>['wild type', 'total alignment', 'thylakoid membrane', 'temperature independent', 'synechocystis sp', 'strongly temperature', 'small number', 'single group', 'reaction center', 'ps ii', 'polarized emission', 'pcc 6803', 'p700 decreases', 'nm fluorescence', 'nm emission', 'measurements illustrate', 'like ps', 'less thylakoids', 'least 40', 'induced artifacts', 'green plants', 'fluorescence properties', 'fluorescence maxima', 'fluorescence emission', 'f735 chls', 'f725 chls', 'excitation transfer', 'energy level', 'energy chls', 'emitting chls', 'directly excited', 'dependent fluorescence', 'cyanobacterial photosystem', 'cyanobacteria shows', 'chls ).', 'activation energy', '77 k', '760 nm', '725 nm', '715 nm', '690 nm', '688 nm', '686 nm', '295 k', '20 k']</t>
  </si>
  <si>
    <t>cyanobacteria | energy transfer | fluorescence | Photosystem I | polarization</t>
  </si>
  <si>
    <t>To determine the fluorescence properties of cyanobacterial Photosystem I (PS I) in relatively intact systems, fluorescence emission from 20 to 295 K and polarization at 77 K have been measured from phycobilisomes-less thylakoids of Synechocystis sp. PCC 6803 and a mutant strain lacking Photosystem II (PS II). At 295 K, the fluorescence maxima are 686 nm in the wild type from PS I and PS II and at 688 nm from PS I in the mutant. This emission is characteristic of bulk antenna chlorophylls (Chls). The 690-nm fluorescence component of PS I is temperature independent. For wild-type and mutant, 725-nm fluorescence increases by a factor of at least 40 from 295 to 20 K. We model this temperature dependence assuming a small number of Chls within PS I, emitting at 725 nm, with an energy level below that of the reaction center, P700. Their excitation transfer rate to P700 decreases with decreasing temperature increasing the yield of 725-nm fluorescence. Fluorescence excitation spectra of polarized emission from low-energy Chls were measured at 77 and 295 K on the mutant lacking PS II. At excitation wavelengths longer than 715 nm, 760-nm emission is highly polarized indicating either direct excitation of the emitting Chls with no participation in excitation transfer or total alignment of the chromophores. Fluorescence at 760 nm is unpolarized for excitation wavelengths shorter than 690 nm, inferring excitation transfer between Chls before 760-nm fluorescence occurs. Our measurements illustrate that: 1) a single group of low-energy Chls (F725) of the core-like PS I complex in cyanobacteria shows a strongly temperature-dependent fluorescence and, when directly excited, nearly complete fluorescence polarization, 2) these properties are not the result of detergent-induced artifacts as we are examining intact PS I within the thylakoid membrane of S. 6803, and 3) the activation energy for excitation transfer from F725 Chls to P700 is less than that of F735 Chls in green plants; F725 Chls may act as a sink to locate excitations near P700 in PS I. ¬© 1992 Kluwer Academic Publishers.</t>
  </si>
  <si>
    <t>75-87</t>
  </si>
  <si>
    <t>Photosynthesis Research</t>
  </si>
  <si>
    <t>6602436920;55446672800;7005345187</t>
  </si>
  <si>
    <t>Wittmershaus, Bruce P.;Woolf, Vincent M.;Vermaas, Wim F.J.</t>
  </si>
  <si>
    <t>Wittmershaus B.</t>
  </si>
  <si>
    <t>Temperature dependence and polarization of fluorescence from Photosystem I in the cyanobacterium Synechocystis sp. PCC 6803</t>
  </si>
  <si>
    <t>10.1007/BF00028785</t>
  </si>
  <si>
    <t>2-s2.0-0002647728</t>
  </si>
  <si>
    <t>R01GM042645</t>
  </si>
  <si>
    <t>['√§ ntele', '‚ âà1290', '¬© 1992', 'two heterodimers', 'three bands', 'striking similarity', 'significantly different', 'rights reserved', 'reduced amplitude', 'reaction centers', 'prominent difference', 'primary donor', 'predominant localization', 'positive charge', 'pmin wt', 'pmin hisl173leu', 'p demonstrates', 'overall shapes', 'overall shape', 'observations indicate', 'negative 1740', 'mutants consists', 'mutant spectra', 'monomeric bchl', 'keto carbonyls', 'induced p', 'heterodimer spectra', 'harvesting b800', 'frequency range', 'either small', 'e .,', 'differential band', 'differences observed', 'bchl moiety', 'bacteriopheophytin heterodimer', 'altogether absent', '850 antenna', '8472 ].', '., nabedryk']</t>
  </si>
  <si>
    <t>Light-induced P+QB-/PQBFTIR difference spectra of reaction centers (RCs) have been obtained from chromatophores lacking light-harvesting B800-850 antenna for Rhodobacter capsulatus wild type (WT) and for the two mutants HisM200‚Üí Leu and HisL173‚Üí Leu. The primary donor (P) in both mutants consists of a bacteriochlorophyll-bacteriopheophytin heterodimer. The most prominent difference between the WT and the mutant spectra is in the 1600-1200-cm‚àí1region. The WT spectrum displays large positive bands at ‚âà1290, 1500-1430, and 1580-1530 cm‚àí1. These three bands are either small or altogether absent in the heterodimer spectra. In addition, both heterodimer spectra compare well with the electrochemically generated BChla+/BChla spectrum [M√§ntele, W.G., Wollenweber, A.M., Nabedryk, E., &amp; Breton, J. (1988) Proc. Natl. Acad. Sci. U.S.A. 85, 8468-8472]. These observations indicate that the positive charge is localized on the monomeric BChl in the heterodimers. The overall shape of the ester and keto C‚ïê0 signals in the BChla+/BChla spectrum is maintained in the in situ spectra although significant differences are observed in the frequency, width, and splitting of the bands. The shape of the signal at 1757/1744 cm‚àí1in HisL-173‚Üí Leu is comparable to the 1751 /1737-cm‚àí1signal of BChla+/BChla in tetrahydrofuran, indicating a free 10a ester C‚ïê0 of PMin HisL173Leu. The reduced amplitude of the negative 1740-cm‚àí1feature in both HisM200‚Üí Leu and WT spectra suggests a hydrogen-bonded 10a ester C‚ïê0 for PL. Furthermore, from the striking similarity between the 1751/1740-cm‚àí1signal of HisM200‚Üí Leu and WT, a predominant localization of the positive charge on the PLside in WT is favored. The frequency range (1683-1696 cm‚àí1) observed for the 9-keto carbonyls of P demonstrates that these groups are free from interaction in situ. An increase in the 9-keto C‚ïê0 frequency over WT is observed for both P and P+states in the heterodimers. This upshift and the overall shapes of the differential band are nonequivalent in the two heterodimers, demonstrating that the geometry of the BChl moiety is significantly different in each heterodimer. Thus, the WT spectrum cannot be reconstructed from the two heterodimers π spectra. The differences observed between the heterodimers π spectra and the WT spectrum indicate that the conformation and/or protein local environment of PL and PMin WT is different from that of PLin HisM200‚ïê Leu and PMin His‚àíL173‚ïê Leu. ¬© 1992, American Chemical Society. All rights reserved.</t>
  </si>
  <si>
    <t>10852-10858</t>
  </si>
  <si>
    <t>106189514;106189514;60022195;60022195;60022195</t>
  </si>
  <si>
    <t>57196232486;24310010600;7007003927;7102698130;7004557866</t>
  </si>
  <si>
    <t>Nabedryk, E.;Breton, J.;Robles, S. J.;Goldman, E.;Youvan, D. C.</t>
  </si>
  <si>
    <t>Cambridge;Saclay</t>
  </si>
  <si>
    <t>Massachusetts Institute of Technology;Centre d'Etudes Nucl√©aires de Saclay</t>
  </si>
  <si>
    <t>60022195;106189514</t>
  </si>
  <si>
    <t>Nabedryk E.</t>
  </si>
  <si>
    <t>Probing the Primary Donor Environment in the Histidine&lt;sup&gt;M200&lt;/sup&gt;»ô Leucine and Histidine&lt;sup&gt;L173&lt;/sup&gt;»ô Leucine Heterodimer Mutants of Rhodobacter capsulatus by Light-Induced Fourier Transform Infrared Difference Spectroscopy</t>
  </si>
  <si>
    <t>10.1021/bi00159a028</t>
  </si>
  <si>
    <t>2-s2.0-0026498406</t>
  </si>
  <si>
    <t>['¬© 1992', 'without chlorophyll', 'water oxidation', 'two reactions', 'true pattern', 'step process', 'short flashes', 'rights reserved', 'results showed', 'relative contribution', 'proton release', 'proton production', 'primarily serve', 'preceding paper', 'ph range', 'ph 7', 'peripheral proteins', 'period four', 'per molecule', 'p .,', 'oscillating pattern', 'issue )].', 'intermittent light', 'harvesting antennas', 'four protons', 'flash number', 'electron ratios', 'electron abstraction', 'dependent proton', 'closely represents', 'chemical production', 'adapted thylakoids']</t>
  </si>
  <si>
    <t>In photosynthesis of green plants water is oxidized to dioxygen. This four-step process is accompanied by the release of four protons (per molecule of dioxygen) into the lumen of thylakoids. In dark-adapted thylakoids which are excited with a series of short flashes of light, the extent of proton release oscillates with period four as a function of flash number. Noninteger and pH-dependent proton/electron ratios (e.g., 1.1, 0.25, 1.0, and 1.65 at pH 7) have been attributed to a superposition of two reactions : chemical production of protons and transient electrostatic response of peripheral amino acid side chains. Aiming at the true pattern of proton production, we investigated the relative contribution of peripheral proteins. Thylakoids with and without chlorophyll a/b binding proteins were compared. Thylakoids lacking chlorophyll a/b binding proteins were prepared from pea seedlings grown under intermittent light [Jahns, P., &amp; Junge, W. (1992) Biochemistry (preceding paper in this issue)]. We found no oscillation of proton release in the pH range from 6 to 7.5. These and other results showed that chlorophyll a/b binding proteins, which primarily serve as light-harvesting antennas, modulate proton release by water oxidation. A non-oscillating pattern of proton release, with proton/electron ratios of 1:1:1:1 more closely represents the events in the catalytic center proper. This implies hydrogen abstraction rather than electron abstraction from water during the oxygen-evolving step S3 ‚Üí S0. ¬© 1992, American Chemical Society. All rights reserved.</t>
  </si>
  <si>
    <t>7398-7403</t>
  </si>
  <si>
    <t>60009731;60009731</t>
  </si>
  <si>
    <t>6701491634;10241088300</t>
  </si>
  <si>
    <t>Jahns, Peter;Junge, Wolfgang</t>
  </si>
  <si>
    <t>Osnabruck</t>
  </si>
  <si>
    <t>Universit√§t Osnabr√ºck</t>
  </si>
  <si>
    <t>Jahns P.</t>
  </si>
  <si>
    <t>Proton Release during the Four Steps of Photosynthetic Water Oxidation : Induction of 1:1:1:1 Pattern due to Lack of Chlorophyll a/b Binding Proteins</t>
  </si>
  <si>
    <t>10.1021/bi00147a026</t>
  </si>
  <si>
    <t>2-s2.0-0026665269</t>
  </si>
  <si>
    <t>['¬© 1992', 'water oxidation', 'thylakoid membranes', 'rights reserved', 'pumping activity', 'proton uptake', 'protein ratio', 'preparations differed', 'plants grown', 'photosystem ii', 'oxygen evolution', 'min light', 'intermittent light', 'harvesting chlorophyll', 'harvesting antennas', 'h light', 'greatly enhanced', 'following respects', 'flashing light', 'continuous light', 'b ratio', 'acceptor side']</t>
  </si>
  <si>
    <t>Thylakoid membranes were isolated from pea seedlings grown under intermittent light (2-min light/118-min dark cycles). These preparations differed from controls (thylakoids from plants grown under 16-h light/8-h dark cycles) in the following respects : 15 times smaller chlorophyll/protein ratio, 10 times greater chlorophyll a/b ratio, absence of light-harvesting chlorophyll a/b binding proteins, and 2-3-fold greater ratio of photosystem II over photosystem I. In addition we found the following: (1) Electrogenic electron transfer around cytochrome b6/f under flashing light was greatly enhanced, probably as a consequence of the greater photosystem II/photosystem I ratio. (2) The rate of proton uptake from the medium at the acceptor side of photosystem II was enhanced, probably by unshielding of the quinone binding domain. (3) The N, N&amp;-dicyclohexylcarbodiimide sensitivity of the proton-pumping activity of photosystem II was absent, which was consistent with the attribution of a N, N&amp;-dicyclohexylcarbodiimide-induced protonic short circuit to chlorophyll a/b binding proteins. (4) The sensitivity of oxygen evolution under continuous light to variations of pH or the concentration of Ca2+ was altered. Chlorophyll a/b binding proteins serve as light-harvesting antennas. We found in addition that they modulated the activity of water oxidation and, in particular, the protolytic reactions around photosystem II. ¬© 1992, American Chemical Society. All rights reserved.</t>
  </si>
  <si>
    <t>7390-7397</t>
  </si>
  <si>
    <t>Thylakoids from Pea Seedlings Grown under Intermittent Light : Biochemical and Flash-Spectrophotometric Properties</t>
  </si>
  <si>
    <t>10.1021/bi00147a025</t>
  </si>
  <si>
    <t>2-s2.0-0026706690</t>
  </si>
  <si>
    <t>T32GM008277</t>
  </si>
  <si>
    <t>['¬© 1992', 'vibrational spectroscopy', 'used light', 'unknown function', 'tyrosine radicals', 'tyrosine radical', 'two redox', 'transform infrared', 'starting material', 'splitting complex', 'specific activity', 'rights reserved', 'protonation would', 'photosystem ii', 'oxygen evolution', 'neutral tyrosine', 'manganese cluster', 'ir spectroscopy', 'imidazole ring', 'identical conditions', 'hydrogen bond', 'fold increase', 'first step', 'epr spectra', 'difference ft', 'complexes show', 'complexes retain', 'approximately 2', 'approximately 100', 'antenna size', 'amino acid', 'also hope', 'active tyrosines', 'active tyrosine']</t>
  </si>
  <si>
    <t>There are two redox-active tyrosines in photosystem II, the water-splitting complex, that form neutral tyrosine radicals. One of these tyrosine radicals, D‚Ä¢ is stable and has an unknown function. The other redox-active tyrosine, Z, acts to transfer oxidizing equivalents from the primary chlorophyll donor of photosystem II to the manganese cluster, where water oxidation occurs. In an attempt to obtain more information about Z and its interaction with its environment, we have begun a study using Fourier-transform infrared (FT-IR) vibrational spectroscopy. To facilitate these studies, we have developed a procedure to isolate spinach photosystem II complexes with an antenna size of approximately 100-110 chlorophylls per reaction center. These complexes show an approximately 2-fold increase in the specific activity of oxygen evolution over the activity of the starting material, photosystem II membranes. Although fully solubilized in detergent, these complexes retain the 24- and 18-kDa extrinsic proteins and exhibit no calcium chloride requirement for optimal oxygen evolution. In manganese-depleted photosystem II samples, Z‚Ä¢ can be accumulated in the light. In the dark, the tyrosine radical is reduced and reprotonated to form the neutral tyrosine. Since this process is reversible and light-dependent, we have used light-minus-dark difference FT-IR spectroscopy to observe the vibrational difference spectrum that is associated with the oxidation of this residue. As a control, EPR spectra were measured under identical conditions to assess the amount of Z‚Ä¢that accumulated in the light. We also hope to use difference FT-IR to identify the amino acid with which Z may form a hydrogen bond. As a first step, we have obtained the difference FT-IR spectrum associated with protonation of the imidazole ring of histidine in vitro. This spectrum allows us to assess the contribution that such a protonation would have on the in vivo difference spectrum. ¬© 1992, American Chemical Society. All rights reserved.</t>
  </si>
  <si>
    <t>9848-9856</t>
  </si>
  <si>
    <t>7201930072;7202401870</t>
  </si>
  <si>
    <t>MacDonald, Gina M.;Barry, Bridgette A.</t>
  </si>
  <si>
    <t>MacDonald G.M.</t>
  </si>
  <si>
    <t>Difference FT-IR Study of a Novel Biochemical Preparation of Photosystem II</t>
  </si>
  <si>
    <t>10.1021/bi00155a043</t>
  </si>
  <si>
    <t>2-s2.0-0026795470</t>
  </si>
  <si>
    <t>['written taking', 'wire radiators', 'universal algorithm', 'rectilinear sections', 'paper presents', 'located either', 'free space', 'finite conductivity', 'electrodynamic charateristics', 'effectively analyze', 'distributed impedance', 'arbitrary configuration']</t>
  </si>
  <si>
    <t>This paper presents a universal algorithm that makes it possible to effectively analyze the electrodynamic charateristics of wire radiators (scatterers) of arbitrary configuration. A set of rectilinear sections of thin cylindrical conductors fabricated from material of finite conductivity and located either in free space or over an infinite ideally conducting plane screen are treated as the models of such radiators. The boundary value problem is formulated as an integral equation obtained by Pocklington's equation to the case of conductors with a distributed impedance and is written taking into account the thin wire approximation.</t>
  </si>
  <si>
    <t>128-129</t>
  </si>
  <si>
    <t>7801579588;6603667272;6508359087;55536541300</t>
  </si>
  <si>
    <t>Lishtayev, O. B.;Luchaninov, A. I.;Tolstova, S. V.;Shokalo, V. M.</t>
  </si>
  <si>
    <t>Lishtayev O.</t>
  </si>
  <si>
    <t>Mathematical model and algorithm for analyzing the electrodynamic characteristics of wire radiators of complex geometry</t>
  </si>
  <si>
    <t>2-s2.0-0026810065</t>
  </si>
  <si>
    <t>['radius b', 'radiation pattern', 'propagation condition', 'length r', 'directional properties', 'conical horn', '30 modes', '3 œª0']</t>
  </si>
  <si>
    <t>This paper is devoted to an investigation of the directional properties of a conical horn over a five-fold frequency band. The radiation pattern is claculated by the aperture method based on a conical horn of length R = 3 Œª0 with an aperture diameter 2a = 3 Œª0 excited by a waveguide of radius b = Œª2/3. When the frequency is increased to 5f0 the propagation condition will hold for 30 modes, of which six have an axisymmetrical field structure.</t>
  </si>
  <si>
    <t>7005682842;6504039349;6506707347</t>
  </si>
  <si>
    <t>Braude, V. B.;Vaysleib, Yu V.;Sankovich, V. Yu</t>
  </si>
  <si>
    <t>Braude V.</t>
  </si>
  <si>
    <t>Investigation of the directional properties of a conical horn in various cases of single-mode excitation</t>
  </si>
  <si>
    <t>2-s2.0-0026812710</t>
  </si>
  <si>
    <t>['temperature oscillations', 'structural elements', 'spectral analysis', 'spatial spectrum', 'spatial spectra', 'significantly limits', 'recently involved', 'parametric approach', 'operation due', 'nontraditional high', 'neglected distortions', 'mathematically equivalent', 'existing methods', 'emm method', 'emm ).', 'emission sources', 'effective solutions', 'direction finding', 'completely retained', 'array geometry', 'antenna arrays', 'antenna array', 'also necessary', 'air masses']</t>
  </si>
  <si>
    <t>Effective solutions to the problems of the detection and direction finding of radio and hydracoustic wave sources have recently involved the use of antenna arrays (AA) as well as new, nontraditional high-resolution spectral analysis techniques developed using a parametric approach. The most promising methods include the observation entropy minimax method (EMM). Its advantages in terms of accuracy and the rate of convergence have been examined as they apply to the spectral analysis of random time series. Since the problems of estimating the frequency and spatial spectra are mathematically equivalent, these advantages are completely retained in the detection and direction finding of emission sources. However, it is also necessary to take certain characteristic features into account. The most timely problem concerns the neglected distortions to array geometry that occur during operation due to temperature oscillations, the movements of air masses or water, the weight of the structural elements themselves, etc. In many practical cases, this significantly limits the effectiveness of existing methods of spectral analysis. The purpose of this paper is to investigate the effectiveness of the EMM method under conditions where array geometry distortions are neglected. Specifically, the sensitivity of the observation entropy minimax method to neglected distortions in the geometry of an antenna array in estimating the spatial spectrum is considered.</t>
  </si>
  <si>
    <t>116-119</t>
  </si>
  <si>
    <t>56927771300;6506799428</t>
  </si>
  <si>
    <t>Savchenko, V. V.;Bashulin, D. N.</t>
  </si>
  <si>
    <t>Savchenko V.V.</t>
  </si>
  <si>
    <t>Effect of antenna array geometry distortions on the effectiveness of estimates of the spatial power spectrum by means of the entropy minimax method</t>
  </si>
  <si>
    <t>2-s2.0-0026815226</t>
  </si>
  <si>
    <t>['radiation characteristics', 'loop responses', 'identical loads', 'equivalent electric', 'dipole moments', 'appropriate combinations']</t>
  </si>
  <si>
    <t>A method for determining the radiation characteristics of an electrically small source is proposed. The source is located at the center of three orthogonal loop antennas, each terminated with identical loads at diametrically opposite points. The electrically small source is represented by equivalent electric and magnetic dipole moments, and these dipole moments can be determined from the appropriate combinations of the loop responses.</t>
  </si>
  <si>
    <t>35578175900;56050028200</t>
  </si>
  <si>
    <t>Kanda, Motohisha;Hill, David A.</t>
  </si>
  <si>
    <t>A three-loop method for determining the radiation characteristics of an electrically small source</t>
  </si>
  <si>
    <t>10.1109/15.121659</t>
  </si>
  <si>
    <t>2-s2.0-0026819299</t>
  </si>
  <si>
    <t>['ungrounded case', 'small effect', 'shielding effectiveness', 'rf frequencies', 'results show', 'pigtail wires', 'numerical computations', 'impedance terminations', 'ground connections', 'enhance radiation', 'coaxial line', 'antenna structure', '1000 mhz']</t>
  </si>
  <si>
    <t>The method of moments is used to study the shielding effectiveness of a pigtail-terminated shielded wire (coaxial line) above a perfectly conducting ground plane. Numerical computations are performed in the RF frequency range, i.e., 25-1000 MHz. Pigtail wires on either or both ends of the shield are considered. Results are compared to those from the ungrounded case (floating shield). Results show that the presence of pigtail wires as ground connections at RF frequencies is undesirable and may further enhance radiation. The impedance terminations have a small effect on the shielding effectiveness of the antenna structure.</t>
  </si>
  <si>
    <t>23-27</t>
  </si>
  <si>
    <t>Hejase, Hassan A.N.</t>
  </si>
  <si>
    <t>Hejase H.A.N.</t>
  </si>
  <si>
    <t>Radiation properties of a pigtail-terminated coaxial transmission line</t>
  </si>
  <si>
    <t>10.1109/15.121663</t>
  </si>
  <si>
    <t>2-s2.0-0026820277</t>
  </si>
  <si>
    <t>['wave approach', 'return paths', 'properly taken', 'predominant contributor', 'overall radiation', 'mode radiation', 'mode currents', 'mode current', 'mode components', 'hence radiation', 'great deal', 'excellent agreement', 'electronic hardware', 'circuit boards', 'calculated results', 'authors calculate']</t>
  </si>
  <si>
    <t>Common-mode radiation, which is often the predominant contributor to the overall radiation from circuit boards and electronic hardware, has in the past been difficult to calculate. Since the return paths for common-mode currents are not obvious, all parasitic circuit elements must be properly taken into account. The authors calculate the radiation, which includes both differential and common-mode components, from arbitrarily shaped 3-D conductor dielectric composite structures using a full-wave approach. Excellent agreement between measured and calculated results is demonstrated. Further, a great deal of insight into the mechanism for generation of common-mode current, and hence radiation, is obtained.</t>
  </si>
  <si>
    <t>57-61</t>
  </si>
  <si>
    <t>6602667372;7201761344</t>
  </si>
  <si>
    <t>Daijavad, Shahrokh;Rubin, Barry J.</t>
  </si>
  <si>
    <t>Daijavad S.</t>
  </si>
  <si>
    <t>Modeling common-mode radiation of 3D structures</t>
  </si>
  <si>
    <t>10.1109/15.121668</t>
  </si>
  <si>
    <t>2-s2.0-0026820401</t>
  </si>
  <si>
    <t>['unknown coefficients', 'solid cones', 'series connection', 'segment interconnections', 'section interconnected', 'results obtained', 'paper presents', 'numerical results', 'integral equations', 'integral equation', 'impedance matrix', 'good agreement', 'galerkin method', 'expansions starting', 'electric field', 'efficient analysis', 'derived starting', 'current distribution', 'continuity equation', 'combined polynomial', 'circular cross', 'basis functions', 'available experimental', 'arbitrary manner', 'also presented']</t>
  </si>
  <si>
    <t>The paper presents a method for the analysis of generalised wire antennas and scatterers, consisting of right truncated cones of circular cross-section interconnected in an arbitrary manner. The integral equation for current distribution is derived starting from the local and extended boundary conditions for the electric field, enabling the efficient analysis of both hollow and solid cones. An entire domain current expansion for a series connection of n ‚â• 1 truncated cones is proposed, that enables curved wires to be approximated by any number of straight segments without increasing the number of unknown coefficients. A method for obtaining the expansions starting from arbitrary function sets which satisfy the continuity equation at the segment interconnections and ends is also presented. With such basis functions, the solution of the integral equations by means of the Galerkin method is shown to require (a) A remarkably small number of unknowns per wavelength (e.g. two with the combined polynomial/trigonometric current expansion) (b) A remarkably short time of evaluation of the impedance matrix. The results obtained by the method are in good agreement with available experimental and numerical results.</t>
  </si>
  <si>
    <t>17-24</t>
  </si>
  <si>
    <t>60068815;60068815</t>
  </si>
  <si>
    <t>7004349349;7006225695</t>
  </si>
  <si>
    <t>Kolundzija, B. M.;Popovic, B. D.</t>
  </si>
  <si>
    <t>Serbia</t>
  </si>
  <si>
    <t>Belgrade</t>
  </si>
  <si>
    <t>University of Belgrade</t>
  </si>
  <si>
    <t>Kolundzija B.</t>
  </si>
  <si>
    <t>Entire domain Galerkin method for analysis of generalised wire antennas and scatterers</t>
  </si>
  <si>
    <t>2-s2.0-0026821549</t>
  </si>
  <si>
    <t>['satellite services', 'regulatory front', 'regulatory frameworks', 'practical problems', 'political front', 'particularly vsats', 'operators independent', 'open environment', 'licensing needs', 'implement competition', 'identify issues', 'diverse group', 'based rates', 'article examines', 'appropriate role', 'allow competition', '100 antennas']</t>
  </si>
  <si>
    <t>After the flurry of debate over whether to allow competition has subsided on the political front, come the practical problems on the regulatory front of how to implement competition. As many countries move towards allowing competition in satellite services, particularly VSATs, regulators must set forth the 'how-tos' addressing such issues as licensing needs, frequency interference controls, the appropriate role of the signatory, and the unbundling of space and ground segment service offerings into cost-based rates. This article examines how the U.S. moved from a restrictive earth station environment for providing international satellite services to an open environment where over 100 antennas are owned by a diverse group of operators independent of the U.S. Signatory, Comsat. The intent of this examination is not to set the U.S. up as a model, but to identify issues other countries may expect to address as they implement competition and to use the U.S. approach as a point of departure from which other countries may draw in fashioning their own regulatory frameworks.</t>
  </si>
  <si>
    <t>195-207</t>
  </si>
  <si>
    <t>Andrews, Beverly W.</t>
  </si>
  <si>
    <t>COMSAT</t>
  </si>
  <si>
    <t>Andrews B.</t>
  </si>
  <si>
    <t>Implementing competition in satellite services. Role of regulator and role of signatory</t>
  </si>
  <si>
    <t>2-s2.0-0026822095</t>
  </si>
  <si>
    <t>['‚ äô', '‚ àº42', 'whilst h2s', 'velocity gradients', 'velocity components', 'values significantly', 'uniform expansion', 'undertaken mapping', 'surface brightness', 'substantial cross', 'shock excitation', 'sequence nebulae', 'seems likely', 'relatively weak', 'quadrupole emission', 'probably enhanced', 'previous investigations', 'present j', 'predominant fraction', 'order tmb', 'normal pn', 'ngc 7027', 'ngc 6445', 'ngc 6302', 'ngc 3132', 'ngc 2346', 'nebular stratification', 'nebular h', 'mimic lower', 'masses extend', 'mass range', 'lvg analysis', 'lower end', 'line intensities', 'kitt peak', 'ii ].', 'ii ],', 'hb 5', 'h2 )-', 'frequency measures', 'first time', 'far observed', 'extended plateau', 'crl 618', 'corresponding parameters', 'co j', 'clearly represents', 'broad range', 'best marginal', 'appears also', 'although somewhat', 'also observed', 'also evidence', '9 k', '1 k']</t>
  </si>
  <si>
    <t>We have undertaken mapping and spectroscopy of a broad range of type I post-Main-Sequence nebulae in CO J=1‚Üí0, J=2‚Üí1, and J=3‚Üí2, using the 12 m antenna at Kitt Peak, and the 45 m facility of the Nobeyama Radio Observatory. As a consequence, we find CO J=2‚Üí1 emission associated with NGC 3132 and NGC 6445, determine the location of CO J=1‚Üí0 emission in the nucleus of NGC 6302, and obtain (for the first time) CO J=3‚Üí2 spectroscopy for a substantial cross-section of type I sources. LVG analysis of the results suggests densities n(H2) ‚àº 104 cm-3, and velocity gradients d v/d r ‚àº 2√ó102 in both NGC 7027 and CRL 618, commensurate with uniform expansion of a constant velocity outflow, whilst for the case of NGC 2346 these values probably exceed n(H2) ‚àº 4.0√ó105 cm-3. d v/d r ‚àº 2.6√ó103 km s-1 and Tk‚àº102 K, implying appreciable compression (and shock heating?) of the CO excitation zone. H i masses extend over a typical range 0.01&lt;M(H i)/M‚äô&lt;1, whilst corresponding estimates of the progenitor mass imply 0.7&lt;Mprog/M‚äô&lt;2.3; values significantly in excess of those pertinent for normal PN, although somewhat at the lower end of the type I mass range. CO J=3‚Üí2 profiles for CRL 2688 confirm the presence of an extended plateau with width Œîv‚àº85 km s-1, whilst modest J=3‚Üí2 enhancement is also observed for the high-velocity components in NGC 7027. The J=3‚Üí2 spectrum for NGC 2346 appears to mimic lower-frequency results reasonably closely, confirming the presence of a double-peaked structure towards the core, and predominantly unitary profiles to the north and south, whilst there is also evidence to suggest appreciable J=3‚Üí2 asymmetry in CRL 618 compared to lower-frequency measures. The status of an extended cloud near HB 5 remains uncertain, although this clearly represents a remarkably complex region with velocity span ŒîV‚àº50 km s-1. Our present J=3‚Üí2 results appear to track lower frequency measures extremely closely, implying local densities n(H2)&gt;3√ó103 cm-3-although temperatures close to the Vlsr of HB 5 are relatively weak, and of order TMB (J=3‚Üí2)‚â§0.9 K. Finally, as a result of both this, and previous investigations we find that of type I sources so far observed in CO, some ‚àº42% appear to possess detectable levels of emission Tr*&gt;0.1 K. Similarly, in cross-correlating this data with other results, we note a closely linear relation between J=2‚Üí1 antenna temperatures TMB, and the surface brightness of H2S(1) quadrupole emission S(H2)-a trend which appears also to be reflected between S(H2) and corresponding parameters for [O i], [O ii], [N i], [N ii], and [S ii]. Such relations almost certainly arise from comparable secular variations in line intensities, although the CO, H2, and optical emission components are likely to derive from disparate line excitation zones. As a consequence, it is clear that whilst H2S(1) emission is probably enhanced as a result of local shock activity, the evidence for post-shock excitation of the CO and optical forbidden lines is at best marginal. Similarly, although it seems likely that CO emission derives from circum-nebular H i shells with kinetic temperature Tk ‚àº 30 K or greater, the predominant fraction of low-excitation emission arises from a mix of charge exchange reactions, nebular stratification and, probably most importantly, the influence of UV shadow zones and associated neutral inclusions. ¬© 1992 Kluwer Academic Publishers.</t>
  </si>
  <si>
    <t>171-204</t>
  </si>
  <si>
    <t>1572946X</t>
  </si>
  <si>
    <t>0004640X</t>
  </si>
  <si>
    <t>Astrophysics and Space Science</t>
  </si>
  <si>
    <t>60011125;60022109;60011125;60029701</t>
  </si>
  <si>
    <t>55587146200;56290913600;9270814000;7003367274</t>
  </si>
  <si>
    <t>Phillips, J. P.;Williams, P. G.;Mampaso, A.;Ukita, N.</t>
  </si>
  <si>
    <t>Japan;United Kingdom;Spain</t>
  </si>
  <si>
    <t>Mitaka;London;San Cristobal de La Laguna</t>
  </si>
  <si>
    <t>National Institutes of Natural Sciences - National Astronomical Observatory of Japan;Queen Mary University of London;Instituto Astrofisico de Canarias</t>
  </si>
  <si>
    <t>60029701;60022109;60011125</t>
  </si>
  <si>
    <t>Phillips J.P.</t>
  </si>
  <si>
    <t>Molecular and low excitation emission in high mass post-main-sequence nebulae</t>
  </si>
  <si>
    <t>10.1007/BF00644908</t>
  </si>
  <si>
    <t>2-s2.0-33846550974</t>
  </si>
  <si>
    <t>Radiophysics and Quantum Electronics</t>
  </si>
  <si>
    <t>57198109055;54419121500;7004884086</t>
  </si>
  <si>
    <t>Nechaev, Yu B.;Prosvirnin, S. L.;Kizhyak, A. N.</t>
  </si>
  <si>
    <t>Nechaev Y.B.</t>
  </si>
  <si>
    <t>Disk microstrip antenna with axisymmetric excitation</t>
  </si>
  <si>
    <t>10.1007/BF01038890</t>
  </si>
  <si>
    <t>2-s2.0-34249842391</t>
  </si>
  <si>
    <t>Foro Italico University of Rome</t>
  </si>
  <si>
    <t>['¬© 1992', 'would appear', 'water level', 'underground antennae', 'thermal waters', 'spitak earthquake', 'sites located', 'significant control', 'several geophysical', 'presented parameters', 'paravani earthquake', 'may 13', 'helium content', 'geochemical parameters', 'function based', 'epicentre exert', 'deep wells', 'december 7']</t>
  </si>
  <si>
    <t>On the occasion of the Paravani (May 13, 1986) and Spitak (December 7, 1988) earthquakes, which occurred in the Caucasus, irregularities in several geophysical and geochemical parameters were revealed. In this paper, data on anomalies in the water level in deep wells, in the helium content in thermal waters, in electromagnetic signals revealed by surface and underground antennae, and in an F(œÉgt) function based on traveltimes of P and S waves, are presented. Data were collected from sites located in the Georgian S.S.R. In the case of the Spitak earthquake, the anomalies in all the presented parameters can be attributed to the processes that preceded and accompanied the earthquake. For the Paravani earthquake, no significant precursory phase seems to have been reflected in the helium content in thermal waters, though this phase can be observed in the other parameters. In general, it would appear that the magnitude of the earthquake and the distance from the epicentre exert a significant control on the appearance of the anomalies. ¬© 1992.</t>
  </si>
  <si>
    <t>23-41</t>
  </si>
  <si>
    <t>Tectonophysics</t>
  </si>
  <si>
    <t>60069086;100357181;60032350;100357181;60069086;100357181;100357181;60069086;;100357181;60069620;60069086</t>
  </si>
  <si>
    <t>6505816627;55523102231;55411385400;7102895156;24320001400;6602207822;6603858689;24321545100;24317586500;6603724897;7003271375;24319294300</t>
  </si>
  <si>
    <t>Areshidze, G.;Bella, F.;Biagi, P. F.;Caputo, M.;Chkuaseli, V.;Monica, G. Delia;Ermini, A.;Mandjgaladze, P.;Melikadze, G.;Sgrigna, V.;Slavina, L.;Zilpimiani, D.</t>
  </si>
  <si>
    <t>Russian Federation;Georgia;Italy;Italy</t>
  </si>
  <si>
    <t>Moscow;Tbilisi;Rome;Rome</t>
  </si>
  <si>
    <t>Schmidt Institute of Physics of the Earth of the Russian Academy of Sciences;Georgian Academy of Sciences;Sapienza Universit√† di Roma;Dipartimento di Fisica</t>
  </si>
  <si>
    <t>60069620;60069086;60032350;100357181</t>
  </si>
  <si>
    <t>Areshidze G.</t>
  </si>
  <si>
    <t>Anomalies in geophysical and geochemical parameters revealed on the occasion of the Paravani (M = 5.6) and Spitak (M = 6.9) earthquakes (Caucasus)</t>
  </si>
  <si>
    <t>004019519290453D</t>
  </si>
  <si>
    <t>10.1016/0040-1951(92)90453-D</t>
  </si>
  <si>
    <t>2-s2.0-0026464630</t>
  </si>
  <si>
    <t>['¬© 1992', 'undisturbed biomembrane', 'thylakoid membrane', 'subsequent changes', 'stroma thylakoids', 'single protein', 'results reveal', 'regulatory mechanism', 'protein phosphorylation', 'protein along', 'present combination', 'physiological implications', 'photosystem ii', 'novel way', 'normal temperatures', 'main light', 'low temperatures', 'low temperature', 'lhcii retained', 'lhcii phosphorylation', 'lhcii migrates', 'lhcii ).', 'kinase activity', 'increased photoinhibition', 'harvesting chlorophyll', 'grana region', 'gradually subjected', 'functional point', 'functional disconnection', 'combined light', 'cold stress', 'b protein']</t>
  </si>
  <si>
    <t>Chlorophyll protein | Light-cold stress | Photoinhibition | Protein phosphorylation | Subfractionation | Thylakoid membrane fluidity</t>
  </si>
  <si>
    <t>The effective antenna size of Photosystem II is regulated by a kinase mediated phosphorylation of the main light-harvesting chlorophyll a b protein (LHCII). This regulatory mechanism, which involves lateral migration of the phospho-protein along the thylakoid membrane, is thought to be essential for short term acclimation of the photosynthetic light harvesting. In this study we have analyzed how LHCII phosphorylation and the subsequent changes in the organization of the thylakoid membrane are influenced by low temperatures. It was shown that the kinase activity, measured as degree of LHCII phosphorylation, is operational at 0¬∞C although partially inhibited. By subfractionation of thylakoid membranes phosphorylated at 0¬∞C it was shown that virtually no phospho-LHCII migrates to the stroma thylakoids at this low temperature, in contrast to the case at normal temperatures. When such thylakoids, with phospho-LHCII retained in the appressed grana regions, were gradually subjected to increasing temperatures followed by subfractionation, it was shown that rapid lateral migration of phospho-LHCII was induced in a quite narrow temperature range of 10-12¬∞C. At 5¬∞C the migration of phospho LHCII would require hours for completion while at 20¬∞C all phospho-LHCII had arrived in the stroma thylakoids within 5 min. From a functional point of view, our results reveal that at temperatures when the migration of phospho-LHCII from the grana region is prevented, there is no reduction in the effective antenna size of Photosystem II. This shows that protein phosphorylation in itself is not sufficient to create a functional disconnection between Photosystem II and LHCII but that the subsequent lateral diffusion of phospho-LHCII in the thylakoid membrane is required. The significance of the results in connection with increased photoinhibition during combined light and cold stress is discussed. Apart from these physiological implications, the present combination of protein phosphorylation and thylakoid subfractionation offers a novel way to study lateral diffusion of a single protein in an undisturbed biomembrane. ¬© 1992.</t>
  </si>
  <si>
    <t>111-117</t>
  </si>
  <si>
    <t>60001950;60001950;60028378;60029170;60001950</t>
  </si>
  <si>
    <t>55980074100;6506581439;16461110200;7005372912;7401941729</t>
  </si>
  <si>
    <t>Carlberg, Inger;Bingsmark, Sophie;Vennigerholz, Felizitas;Larsson, Ulla K.;Andersson, Bertil</t>
  </si>
  <si>
    <t>Sweden;Sweden;Sweden</t>
  </si>
  <si>
    <t>Lund;Stockholm;Stockholm</t>
  </si>
  <si>
    <t>Lunds Universitet;Stockholms universitet;Arrhenius Laboratory</t>
  </si>
  <si>
    <t>60029170;60028378;60001950</t>
  </si>
  <si>
    <t>Carlberg I.</t>
  </si>
  <si>
    <t>Low temperature effects on thylakoid protein phosphorylation and membrane dynamics</t>
  </si>
  <si>
    <t>000527289290206H</t>
  </si>
  <si>
    <t>10.1016/0005-2728(92)90206-H</t>
  </si>
  <si>
    <t>2-s2.0-0026560719</t>
  </si>
  <si>
    <t>Nederlandse Organisatie voor Wetenschappelijk Onderzoek</t>
  </si>
  <si>
    <t>NWO</t>
  </si>
  <si>
    <t>['¬© 1992', 'viridis membranes', 'upon cooling', 'strong competition', 'rhodopseudomonas viridis', 'results allowed', 'reaction center', 'rate constant', 'qy band', 'qy absorption', 'photochemical efficiency', 'first organism', 'excitation throughout', 'estimated value', 'energy transfer', 'charge separation', 'bchl g', 'back transfer', '8 nm', '6 k', '440 ps', '300 k', '3 ns']</t>
  </si>
  <si>
    <t>(H. chlorum, Rps. viridis) | Antenna | Bacteriochlorophyll | Charge-separation | Energy transfer | Long-wavelength antenna | Low temperature efficiency</t>
  </si>
  <si>
    <t>Charge separation was studied in membranes of Rhodopseudomonas viridis and Heliobacterium chlorum upon flash excitation in the bacteriochlorophyll (BChl) Qy band. In the first organism the maximum of the Qy absorption of the antenna. BChl is situated at significantly longer wavelength than that of the primary electron donor, whereas in H. chlorum the same applied to the long-wavelength absorbing form BChl g-808. In both species the photochemical efficiency was independent of the wavelength of excitation throughout the Qy absorption region, both at 300 K and 6 K. Upon cooling to 6 K the absolute efficiency decreased by 29 ¬± 4% in H. chlorum and by 55 ¬± 3% in Rps. viridis. The fluorescence excitation spectrum of Rps. viridis membranes at 6 K showed virtually no contribution by reaction center pigments. This indicates that the efficiency for back transfer of energy from the excited reaction center to the antenna was at most a few present and may be explained by a strong competition by the much faster rate of charge separation. In the absence of back transfer our results allowed an estimation of the rate constant for energy transfer from neighboring antenna BChls to the reaction center at 6 K, which were found to be (440 ps)1 for H. chlorum and (1.3 ns)1 for Rps. viridis. It is shown that these rates are not incompatible with the F√∂rster mechanism of energy transfer if it is assumed that the antenna and reaction center bands are essentially homogeneously broadened. Application of the F√∂rster equation yielded an estimated value of 1.8 nm for the distance between the primary electron donor P-798 and BChl g-808 in H. chlorum. ¬© 1992.</t>
  </si>
  <si>
    <t>175-181</t>
  </si>
  <si>
    <t>60003878;60003878;60003878;60003878;60003878</t>
  </si>
  <si>
    <t>6701846565;57071565600;7003966808;7103325525;7004456032</t>
  </si>
  <si>
    <t>Kleinherenbrink, Frank A.M.;Deinum, Geurt;Otte, Stephan C.M.;Hoff, Arnold J.;Amesz, Jan</t>
  </si>
  <si>
    <t>Kleinherenbrink F.</t>
  </si>
  <si>
    <t>Energy transfer from long-wavelength absorbing antenna bacteriochlorophylls to the reaction center</t>
  </si>
  <si>
    <t>000527289290216O</t>
  </si>
  <si>
    <t>10.1016/0005-2728(92)90216-O</t>
  </si>
  <si>
    <t>2-s2.0-0026572441</t>
  </si>
  <si>
    <t>['¬© 1992', 'wavelength n', 'thylakoids prepared', 'thus possible', 'temperaure steady', 'stokes shifts', 'state emission', 'spectral species', 'spectra forms', 'ps ii', 'possible correspondence', 'membrane preparation', 'linear combination', 'harvesting chlorophyll', 'gaussian deconvolution', 'external antenna', 'energy transfer', 'emission spectrum', 'emission spectra', 'emission bands', 'emission band', 'close correlation', 'also found', 'absorption band', '687 nm', '684 nm']</t>
  </si>
  <si>
    <t>(Spinach and barley thylakoids) | Chlorophyll spectral forms | Fluorescence emission | Light-harvesting chlorophyll a b protein complex II | Numerical deconvolution</t>
  </si>
  <si>
    <t>Room-temperaure steady-state emission and Q1 absorption spectra of light-harvesting chlorophyll a b protein complex II (LHCII) isolated from spinach have been analysed in terms of a linear combination of asymmetric gaussian bands. To investigate a possible correspondence between the absorption and emission bands, the thermal emission spectrum of each absorption band has been calculated. It is demonstrated that the calculated fluorescence bands correspond closely to those obtained by gaussian deconvolution. It is thus possible to associate an emission band with each absorbing chlorophyll spectral species: Chl653648, Chl663660, Chl672670, Chl680678, Chl687684, Chl697695 (Chlmn is the spectral species that absorbs with maximum at wavelength n and emits with maximum at wavelength m) and to interpret the emission spectrum of LHCII as a linear combination of the emission spectra of each absorbing chlorophyll spectral species. In particular, the correspondence between the 684 nm and 695 nm absorption bands and the emission bands with maximum at 687 nm and 697 nm lends support to the presence of long wavelength Chl a spectra forms in LCHII, the external antenna of PS II. A close correlation between the emission and absorption gaussian bands is also found in the analysis of the room temperature absorption and emission spectra of such membrane preparation as BBY-grana from spinach and thylakoids prepared from barley wild type and the chlorina f2 mutant (lacking LHCII). On the basis of these data, the commonly observed 5-7 nm wavelength difference between the absorption and emission spectra maxima of chlorophyll containing biological membranes is interpreted in terms of (a) the Stokes shifts of the single spectral forms together with (b) the increased emission contribution of the longer wavelength forms to the emission spectrum caused by energy transfer. ¬© 1992.</t>
  </si>
  <si>
    <t>163-169</t>
  </si>
  <si>
    <t>60030318;60030318;60030318</t>
  </si>
  <si>
    <t>7006530694;7201971898;6701308180</t>
  </si>
  <si>
    <t>Zucchelli, Giuseppe;Jennings, Robert C.;Garlaschi, Flavio M.</t>
  </si>
  <si>
    <t>Zucchelli G.</t>
  </si>
  <si>
    <t>Independent fluorescence emission of the chlorophyll spectral forms in higher plant Photosystem II</t>
  </si>
  <si>
    <t>000527289290214M</t>
  </si>
  <si>
    <t>10.1016/0005-2728(92)90214-M</t>
  </si>
  <si>
    <t>2-s2.0-0026594337</t>
  </si>
  <si>
    <t>['¬© 1992', 'tm01 mode', 'gas chromatography', 'electric field', 'atmospheric pressure', 'antenna probe', 'analyte present', 'analyte elutes', '45 ghz']</t>
  </si>
  <si>
    <t>Gas chromatography | GC detector | Microwave induced plasma discharge | Plasma | TM resonant cavity</t>
  </si>
  <si>
    <t>A highly efficient TM010 resonant cavity operating at 2.45 GHz has been shown to produce an external surface wave plasma propagating in the TM01 mode at atmospheric pressure. The evanescent radial electric field of this surface wave plasma has been used as a detector for gas chromatography. The detector is based on monitoring the electric field surrounding the plasma with an antenna probe. As an analyte elutes from the chromatograph, the change in the magnitude of the electric field is dependent on the amount of analyte present. ¬© 1992.</t>
  </si>
  <si>
    <t>309-315</t>
  </si>
  <si>
    <t>Analytica Chimica Acta</t>
  </si>
  <si>
    <t>60004923;60004923;60004923</t>
  </si>
  <si>
    <t>24320970800;6602108439;57205397335</t>
  </si>
  <si>
    <t>Hartmann Webster, Gail;Doggett, Wesley O.;Boss, Charles B.</t>
  </si>
  <si>
    <t>Raleigh</t>
  </si>
  <si>
    <t>NC State University</t>
  </si>
  <si>
    <t>Hartmann Webster G.</t>
  </si>
  <si>
    <t>A new surface wave launched plasma and its application as a gas chromatography detector</t>
  </si>
  <si>
    <t>10.1016/0003-2670(92)85184-8</t>
  </si>
  <si>
    <t>2-s2.0-0026515604</t>
  </si>
  <si>
    <t>['¬© 1992', 'vn ),', 'sodium styrenesulfonate', 'simulated radiation', 'progessively dechlorinated', 'polychlorinated biphenyls', 'following irradiation', 'aroclor 1254', 'aroclor 1248', 'aroclor 1242', 'aqueous solutions']</t>
  </si>
  <si>
    <t>The photodechlorination of three commercial mixtures of polychlorinated biphenyls (PCBs), solubilized in aqueous solutions of poly(sodium styrenesulfonate-co-2-vinylnaphthalene) (PSSS-VN), was studied using solar-simulated radiation. Gas chromatographic analysis showed that, following irradiation, Aroclor 1254, Aroclor 1248 and Aroclor 1242 were progessively dechlorinated to tri-, di- and monochlorobiphenyls. Photodechlorination of Aroclor 1254 was found to be more efficient when solubilized in aqueous solutions of PSSS-VN than solubilized in hexane. The reaction was determined to be photosensitized by the naphthalene antenna units present in the copolymer. ¬© 1992.</t>
  </si>
  <si>
    <t>357-365</t>
  </si>
  <si>
    <t>Journal of Photochemistry and Photobiology, A: Chemistry</t>
  </si>
  <si>
    <t>60016849;60016849;60016849</t>
  </si>
  <si>
    <t>7801407296;7004369519;7102379256</t>
  </si>
  <si>
    <t>Sustar, E.;Nowakowska, M.;Guillet, J. E.</t>
  </si>
  <si>
    <t>Sustar E.</t>
  </si>
  <si>
    <t>Studies of the antenna effect in polymer molecules 22. Photochemical dechlorination of polychlorinated biphenyls in aqueous solutions of poly(sodium styrenesulfonate-co-2-vinylnaphthalene)</t>
  </si>
  <si>
    <t>1010-6030(92)85201-5</t>
  </si>
  <si>
    <t>10.1016/1010-6030(92)85201-5</t>
  </si>
  <si>
    <t>2-s2.0-0000219260</t>
  </si>
  <si>
    <t>['wavelengths longer', 'wavelength half', 'values deduced', 'transition wavelengths', 'transition lineshapes', 'temperature absorption', 'strongly influenced', 'site wavelengths', 'qy region', 'prosthecochloris aestuarii', 'one subunit', 'line widths', 'intersubunit interactions', 'individual bchls', 'incorrect assumptions', 'improved choices', 'fits depend', 'experimental low', 'entire trimer', 'cd spectra', 'calculated exciton', 'burning experiments', 'bchls 7']</t>
  </si>
  <si>
    <t>circular dichroism | exciton states | laser hole-burning | photosynthetic bacteria | protein structure</t>
  </si>
  <si>
    <t>A reasonable theoretical fit to the experimental low-temperature absorption and CD spectra of the BChl a-protein from Prosthecochloris aestuarii has been obtained for the unaggregated protein trimer based on standard assumptions regarding QY transition moment directions. The fits depend to some extent upon varying the site wavelengths of the individual BChls not just in one subunit but in the entire trimer, a procedure not tried before. Features in both spectra, but especially in CD, at wavelengths longer than ‚âà810 nm are very strongly influenced by the intersubunit interactions of BChls 7 (in the Fenna-Matthews numbering). Unlike earlier theoretical models, which also gave reasonable fits but were based on unorthodox or incorrect assumptions, this exciton model gives every indication of being refineable by improved choices of site wavelengths and exciton-transition lineshapes. Calculated exciton-transition wavelengths and line widths are compared with values deduced from recent laser hole-burning experiments (Johnson and Small 1991). As in the case of the absorption and CD spectra, agreement is best for the long-wavelength half of the QY region. ¬© 1992 Kluwer Academic Publishers.</t>
  </si>
  <si>
    <t>213-226</t>
  </si>
  <si>
    <t>Pearlstein R.</t>
  </si>
  <si>
    <t>Theory of the optical spectra of the bacteriochlorophyll a antenna protein trimer from Prosthecochloris aestuarii</t>
  </si>
  <si>
    <t>10.1007/BF00035538</t>
  </si>
  <si>
    <t>2-s2.0-0000124953</t>
  </si>
  <si>
    <t>['type males', 'type ecb', 'tritium associated', 'tritiated water', 'trace amount', 'tetradecenyl acetate', 'tetradecenoic acid', 'radioactivity equivalent', 'picogram amounts', 'pheromone caused', 'males showed', 'male antennae', 'fatty acid', 'evidence shows', 'double bond', 'combined high', 'carbon dioxide', 'behavioral assay', '57 ci']</t>
  </si>
  <si>
    <t>11-tetradecenyl acetate | catabolism | European corn borer | Lepidoptera | Ostrinia nubilalis | Pyralidae | sensory biochemistry | tritiated pheromone</t>
  </si>
  <si>
    <t>Isomers of [11,12-3H2]-11-tetradecenyl acetate (57 Ci/mM) were synthesized. Behavioral assay of the two compounds using Z- and E-type European corn borer (ECB) males showed that introduction of tritons into the double bond of the pheromone caused a significant isotope effect in the E-type ECB but not in the Z-type ECB. Measurements of tritium associated with the male antennae after a 3-min exposure showed that radioactivity equivalent to 10-7 mol pheromone was adsorbed onto male antennae. Time-course in vivo metabolic studies with picogram amounts of compound applied topically to antennae of E- and Z-type males and Z-type females showed that they metabolized pheromone similarly but females degraded pheromone more slowly than males. Pheromone was hydrolyzed, and the only other major radiolabeled metabolite observed by combined high-pressure liquid chromatography-radiodetection was tritiated water. Capillary gas chromatography and radiomonitoring permitted detection of a trace amount of 11-tetradecenoic acid, which indicated alcohol oxidase activity is associated with the antennae. Evidence shows that clearing of pheromone from the ECB male antennae involves hydrolysis and oxidation of the alcohol to fatty acid, which in turn is degraded, probably via Œ≤-oxidation, to carbon dioxide and water. ¬© 1992 Plenum Publishing Corporation.</t>
  </si>
  <si>
    <t>283-298</t>
  </si>
  <si>
    <t>Journal of Chemical Ecology</t>
  </si>
  <si>
    <t>60000635;60000635;60000635</t>
  </si>
  <si>
    <t>7004021575;11142162200;6603170611</t>
  </si>
  <si>
    <t>Klun, J. A.;Schwarz, M.;Uebel, E. C.</t>
  </si>
  <si>
    <t>Beltsville</t>
  </si>
  <si>
    <t>USDA ARS Beltsville Agricultural Research Center</t>
  </si>
  <si>
    <t>Klun J.</t>
  </si>
  <si>
    <t>Biological activity and in vivo degradation of tritiated female sex pheromone in the male European corn borer</t>
  </si>
  <si>
    <t>10.1007/BF00994232</t>
  </si>
  <si>
    <t>2-s2.0-0006225755</t>
  </si>
  <si>
    <t>['volatiles emanating', 'volatile substances', 'volatile components', 'utetheisa ornatrix', 'trace amounts', 'signaling system', 'rhodogastria ),', 'response capabilities', 'reduced sensitivity', 'receptor neurons', 'pyrrolizidine alkaloids', 'prior ingestion', 'potential mates', 'pas ).', 'pa content', 'natural conditions', 'may serve', 'male pheromone', 'life stages', 'latter substances', 'hydrolysis product', 'host plant', 'hd may', 'hd ),', 'generally responsive', 'food plants', 'earlier studies', 'dietary background', 'basiconic sensilla', 'another arctiid', 'alkaloids monocrotaline', 'adult moths', 'active component', '100 ng', '10 œºg', ')-(+)- hydroxydanaidal']</t>
  </si>
  <si>
    <t>Arctiidae | electrophysiology | hydroxydanaidal | Insect olfaction | Lepidoptera | male-produced | olfactory receptor neurons | pheromone | pyrrolizidine alkaloids | Utetheisa ornatrix</t>
  </si>
  <si>
    <t>The olfactory receptor neurons in basiconic sensilla on the antennae of Utetheisa ornatrix, which, in females, had earlier been shown to be responsive to stimulation with hydroxydanaidal (HD), are here shown to be responsive to volatile substances in samples of pyrrolizidine alkaloids (PAs). These latter substances are secondary plant metabolites present in the host plant of the larvae. Their sequestration during larval life serves to protect all life stages from predation. In males, the PAs also provide precursors for the production of the male pheromone, HD. In females, basiconic receptor neurons begin to respond to stimulus cartridges containing 1 ng of (R)-(-)-hydroxydanaidal, 100 ng of its isomer, (S)-(+)-hydroxydanaidal, and to volatiles emanating from 10 Œºg of the alkaloids monocrotaline and heliotrine. Receptor neurons in males are generally responsive to the same array of substances but with reduced sensitivity. The dietary background of the adult moths with respect to prior ingestion of PAs does not influence the response capabilities of basiconic receptor neurons to HD or to the volatile components of PAs. Earlier studies in another arctiid (Rhodogastria), had indicated that trace amounts of HD are present in PAs, presumably as their hydrolysis product. Thus we assume that, under natural conditions, HD may be an active component of the volatiles from PAs and may serve as both a male pheromone and a kairomone. Sensitivity to HD could thereby provide information about the location and PA content of potential mates and food plants. Mechanisms that may have resulted in the evolution of a signaling system with these properties are discussed. ¬© 1992 Plenum Publishing Corporation.</t>
  </si>
  <si>
    <t>427-439</t>
  </si>
  <si>
    <t>60007776;60000986;60000986</t>
  </si>
  <si>
    <t>7004389288;7402445350;7103138825</t>
  </si>
  <si>
    <t>Bogner, Franz;Grant, Alan J.;O'Connell, Robert J.</t>
  </si>
  <si>
    <t>Ithaca;Worcester</t>
  </si>
  <si>
    <t>Cornell University;University of Massachusetts Medical School</t>
  </si>
  <si>
    <t>60007776;60000986</t>
  </si>
  <si>
    <t>Bogner F.</t>
  </si>
  <si>
    <t>A potential kairomone stimulates pheromone-responsive receptor neurons in Utetheisa ornatrix (Lepidoptera: Arctiidae)</t>
  </si>
  <si>
    <t>10.1007/BF00994242</t>
  </si>
  <si>
    <t>2-s2.0-0008033191</t>
  </si>
  <si>
    <t>['two patches', 'two parameters', 'top patch', 'measured results', 'maximum bandwidth', 'impedance curve', 'first attempt', 'comparing calculated', 'analyse theoretically']</t>
  </si>
  <si>
    <t>Bandwidth | Frequency characteristic | Input impedance | Moment method | Multilayered structure | Patch antenna | Power gain</t>
  </si>
  <si>
    <t>A moment method procedure is used to solve the integral equations describing rectangular dual patch microstrip antennas. After checking the accuracy of the procedure by comparing calculated with measured results, it is used to analyse theoretically the effect of the top patch, especially the variation of the impedance curve and the gain of the configuration with two parameters, the distance between the two patches and the size of the top patch. Finally, a first attempt is made to outline a technique for the determination of these two parameters in order to obtain a maximum bandwidth. ¬© 1992 Springer-Verlag.</t>
  </si>
  <si>
    <t>135-141</t>
  </si>
  <si>
    <t>Vandenbosch, Guy;Van De Capelle, Antoine</t>
  </si>
  <si>
    <t>A study of the effect of the top patch in rectangular dual patch microstrip antennas</t>
  </si>
  <si>
    <t>10.1007/BF02999685</t>
  </si>
  <si>
    <t>2-s2.0-0026823140</t>
  </si>
  <si>
    <t>['resolving power', 'estimates ).', 'azimuthal coordinate', 'aperture radar']</t>
  </si>
  <si>
    <t>The effect of aircraft trajectory instabilities on the resolving power and accuracy of the determination of the azimuthal coordinate of a target in a synthesized-aperture radar is determined (modeling of the output radar signal on a sample of the trajectory was used for the estimates).</t>
  </si>
  <si>
    <t>61-64</t>
  </si>
  <si>
    <t>Priklonskaya, V. I.</t>
  </si>
  <si>
    <t>Priklonskaya V.</t>
  </si>
  <si>
    <t>Modeling of the effect of aircraft trajectory instabilities on the characteristics of a synthesized-aperture antenna</t>
  </si>
  <si>
    <t>2-s2.0-0026824243</t>
  </si>
  <si>
    <t>['radiation pattern', 'power function', 'estimated theoretically']</t>
  </si>
  <si>
    <t>The radiation pattern and area utilization coefficient of a spatially excited circular antenna whose aperture amplitude distribution is approximated by a power function is estimated theoretically.</t>
  </si>
  <si>
    <t>80-81</t>
  </si>
  <si>
    <t>7006821100;6701371017</t>
  </si>
  <si>
    <t>Golovin, I. V.;Polukhin, G. A.</t>
  </si>
  <si>
    <t>Golovin I.</t>
  </si>
  <si>
    <t>Radiation pattern of a spatially excited circular antenna</t>
  </si>
  <si>
    <t>2-s2.0-0026824917</t>
  </si>
  <si>
    <t>['powerful interference', 'phase distribution', 'pattern null', 'initial one', 'adaptive elements']</t>
  </si>
  <si>
    <t>A method is proposed for producing a radiation-pattern null in the direction of powerful interference by forming a phase distribution that is different from the initial one in the adaptive elements.</t>
  </si>
  <si>
    <t>68-72</t>
  </si>
  <si>
    <t>6602891746;7203043071</t>
  </si>
  <si>
    <t>Kolosov, L. V.;Kulikov, V. V.</t>
  </si>
  <si>
    <t>Kolosov L.</t>
  </si>
  <si>
    <t>Method of forming a radiation-pattern null in a phased antenna array</t>
  </si>
  <si>
    <t>2-s2.0-0026824918</t>
  </si>
  <si>
    <t>['horizontal plane', 'experimental analyses', 'directional characteristics']</t>
  </si>
  <si>
    <t>A switched microstrip antenna that retains nondirectional radiation in the horizontal plane for all combinations of switched element states is proposed. The results of theoretical and experimental analyses of the directional characteristics are given.</t>
  </si>
  <si>
    <t>Khitrov, Yu A.</t>
  </si>
  <si>
    <t>Khitrov Y.</t>
  </si>
  <si>
    <t>Switched microstrip antenna</t>
  </si>
  <si>
    <t>2-s2.0-0026826102</t>
  </si>
  <si>
    <t>['systems designed', 'radio sets', 'noise immunity', 'common antenna']</t>
  </si>
  <si>
    <t>The effect of the parameters of systems designed to ensure joint operation of radio sets into a common antenna on receiver noise immunity is examined and the improvement in noise immunity and dynamic blocking range is given.</t>
  </si>
  <si>
    <t>82-83</t>
  </si>
  <si>
    <t>6602562076;6505783779</t>
  </si>
  <si>
    <t>Kalyuzhnyy, I. L.;Fidelis, V. V.</t>
  </si>
  <si>
    <t>Kalyuzhnyy I.</t>
  </si>
  <si>
    <t>Estimate of the noise immunity when radio stations operate into a common antenna</t>
  </si>
  <si>
    <t>2-s2.0-0026826616</t>
  </si>
  <si>
    <t>['field feedback', 'ensure stability']</t>
  </si>
  <si>
    <t>A method of calculating the parameters of a broadband active magnetic antenna with field feedback that make it possible to obtain a minimum sensitivity threshold level in a given frequency band is considered and the antenna amplifier requirements that ensure stability are determined.</t>
  </si>
  <si>
    <t>Lipskiy, V. K.</t>
  </si>
  <si>
    <t>Lipskiy V.</t>
  </si>
  <si>
    <t>Calculation of the parameters of a broadband active magnetic antenna</t>
  </si>
  <si>
    <t>2-s2.0-0026828290</t>
  </si>
  <si>
    <t>['second generation', 'satellites positioned', 'planned since', 'larger capacities', 'large network', 'inmarsat satellites', 'indian oceans', 'earth stations', 'december 1990']</t>
  </si>
  <si>
    <t>Worldwide communications services for ships and aircraft are provided by the International Maritime Satellite (INMARSAT) system, which is comprised of a large network of coastal earth stations and INMARSAT satellites in orbit over the Pacific, Atlantic, and Indian oceans. This system has been upgraded through the introduction of a second generation of satellites with larger capacities. The corporation has constructed two earth stations for support of these satellites at the Yamaguchi Satellite Communications Center of Kokusai Denshin Denwa (KDD), formerly Japan's only international telecommunications company. These earth stations, used to access the satellites positioned over the Pacific and Indian oceans, have been operating as planned since their installations in December 1990.</t>
  </si>
  <si>
    <t>33-35</t>
  </si>
  <si>
    <t>Mitsubishi Electric Advance</t>
  </si>
  <si>
    <t>56258013400;7402492423</t>
  </si>
  <si>
    <t>Mori, Hiromichi;Tsuchiya, Makio</t>
  </si>
  <si>
    <t>Mori H.</t>
  </si>
  <si>
    <t>INMARSAT second-generation coastal earth stations</t>
  </si>
  <si>
    <t>2-s2.0-0026834332</t>
  </si>
  <si>
    <t>['three steps', 'subsystem equipment', 'structural panels', 'space systems', 'report outlines', 'mitsubishi electric', 'loral corporation', 'key features', 'intelsat vii', 'equipment includes', 'band solid']</t>
  </si>
  <si>
    <t>Satellite telecommunications services are implemented in three steps: the development of satellite subsystem equipment, the development of satellite integration technology, and the establishment of a satellite-based communications network. This report outlines the architecture of INTELSAT VII and describes the construction, performance, and key features of subsystem equipment that Mitsubishi Electric is producing for the satellite under contract with Space Systems/Loral Corporation. This equipment includes the antennas, solar array panels, equipment-mountingpanels with embedded heat pipes, structural panels, and C-band solid-state power amplifiers.</t>
  </si>
  <si>
    <t>Imatani, Toshio</t>
  </si>
  <si>
    <t>Imatani T.</t>
  </si>
  <si>
    <t>Subsystem equipment for INTELSAT VII</t>
  </si>
  <si>
    <t>2-s2.0-0026834357</t>
  </si>
  <si>
    <t>['wide use', 'vehicle roof', 'telecommunications satellites', 'sng applications', 'small antenna', 'relaying coverage', 'private sector', 'mount type', 'major events', 'broadcasting capability', 'broadcast industry', 'based links', 'article introduces']</t>
  </si>
  <si>
    <t>The launch of telecommunications satellites by Japan's private sector has brought satellite communications services into wide use. Satellite communications offer a variety of advantages that are difficult or impossible to obtain in ground-based links. Wide geographic coverage, broadcasting capability, mobile communications nodes, and easily established links make satellite-based systems especially attractive to the broadcast industry, which uses them for satellite news gathering (SNG) applications - collecting raw video footage from news camera crews, relaying coverage of major events, and other video transmission applications. This article introduces a small antenna and two of its assemblies, a vehicle roof-mount type and a free standing type, for use in SNG applications.</t>
  </si>
  <si>
    <t>28-32</t>
  </si>
  <si>
    <t>56327656300;7403067757</t>
  </si>
  <si>
    <t>Aoki, Katsuhiko;Makino, Shigeru</t>
  </si>
  <si>
    <t>Aoki K.</t>
  </si>
  <si>
    <t>Small earth-station antennas for satellite news gathering</t>
  </si>
  <si>
    <t>2-s2.0-0026838968</t>
  </si>
  <si>
    <t>['third degree', 'structure consists', 'stable branch', 'possess n', 'periodic solutions', 'orbitally unstable', 'numerical simulations', 'nonlinear stiffnesses', 'nonlinear modes', 'nonlinear interaction', 'linear combinations', 'harmonic forcing', 'free oscillation', 'forced motions', 'experimental observations', 'exist pairs', 'earlier work', 'cyclic symmetry', 'clockwise directions', 'analytical results']</t>
  </si>
  <si>
    <t>The free and forced motions of a nonlinear periodic structure with cyclic symmetry are studied. The structure consists of a number of identical linear flexural members coupled by means of nonlinear stiffnesses of the third degree. It is found that this system can only possess n "similar" nonlinear modes of free oscillation, and that no other modes are possible. Moreover, there exist pairs of nonlinear modes with mutually orthogonal nodal diameters having, in general, distinct "backbone" curves. A multiple-scales averaging analysis is used to study the nonlinear interaction between a pair of modes with orthogonal nodal diameters. As a result of this analysis, it is found that all pairs of nonliner modes along with all their linear combinations are orbitally unstable, and the only possible orbitally stable periodic motions are free travelling waves, that propagate through the structure in the clockwise and anti-clockwise directions. Under harmonic forcing, a bifuraction of a stable branch of forced travelling waves from a branch of forced normal mode motions is detected, and "jump" phenomena between branches of periodic solutions are observed. The analytical results are in agreement with experimental observations of an earlier work, and, in addition, are verified by numerical simulations. ¬© 1992 Springer-Verlag.</t>
  </si>
  <si>
    <t>197-226</t>
  </si>
  <si>
    <t>Acta Mechanica</t>
  </si>
  <si>
    <t>Vakakis, A. F.</t>
  </si>
  <si>
    <t>Vakakis A.</t>
  </si>
  <si>
    <t>Dynamics of a nonlinear periodic structure with cyclic symmetry</t>
  </si>
  <si>
    <t>10.1007/BF01170813</t>
  </si>
  <si>
    <t>2-s2.0-0027040891</t>
  </si>
  <si>
    <t>['two antennas', 'third order', 'signals formed', 'radio signals', 'radio signal', 'one another', 'mhz band', 'interferometer arms', 'geometric displacements', 'function zero', 'displaced relative', 'diffraction gratings', 'data reduction', 'correlation function', '5 mm', '11 sec']</t>
  </si>
  <si>
    <t>Results are presented of model-based experimental investigations of an interference correlator intended for the measurement of small phase shifts of radar signals received from two antennas. The correlator is based on a Mach-Zender interferometer system. Introduction of a radio signal for the data reduction was simulated by phase diffraction gratings placed in the interferometer arms and displaced relative to one another. The operation of the system was investigated in a regime with measurements in the region of the extrema of the correlation function and in a regime with measurements near zeros (extrema of the derivative) of the correlation function. The investigations were carried out for signals formed in first, second, and third order of diffraction. It is shown that the sensitivity of the system for measurements in the region of a correlation-function zero is higher by an order of magnitude than in the extrem~ m region. It is shown that for radio signals in the 100-MHz band, with allowance for the experimental measurement error, the accuracy of determining the time delays reaches 10-11 sec. The accuracy with which geometric displacements of diffraction gratings are determined reaches 5¬∑10-5 mm. ¬© 1992 Plenum Publishing Corporation.</t>
  </si>
  <si>
    <t>140-151</t>
  </si>
  <si>
    <t>Journal of Soviet Laser Research</t>
  </si>
  <si>
    <t>7101887950;7004684408;6507517754;6507622002</t>
  </si>
  <si>
    <t>Zubov, V. A.;Sultanov, T. T.;Tavasiev, A. F.;Torgashin, A. N.</t>
  </si>
  <si>
    <t>Zubov V.</t>
  </si>
  <si>
    <t>Measurement of small phase shifts of radio signals using acoustooptic reduction</t>
  </si>
  <si>
    <t>10.1007/BF01125510</t>
  </si>
  <si>
    <t>2-s2.0-0039302454</t>
  </si>
  <si>
    <t>['vlbi estimates', 'several experiments', 'one centimeter', 'occam 3', 'obtained show', 'made use', 'excellent sensitivity', 'european stations', 'european network', 'european geodetic', 'european baselines', 'different degrees', 'data analysis', 'calc 7', 'baseline lengths', 'analysis procedure']</t>
  </si>
  <si>
    <t>In the last three years, the European Geodetic Very Long Baseline Interferometry (VLBI) Network has grown to a total of six fixed antennas placed in Germany, Italy, Spain and Sweden, all equipped with the standard geodetic VLBI instrumentation and data recording systems. During this period of time, several experiments have been carried out using this interferometer providing data of very high quality due to the excellent sensitivity and performance of the European stations. The purpose of this paper is to study the consistency of the VLBI geodetic results on the European baselines with respect to the different degrees of freedom in the analysis procedure. In order to complete this study we have made use of both real and simulated data sets, two different software packages (OCCAM 3.0 and CALC 7.4/SOLVE) and a variety of strategies in the data analysis. The results we have obtained show that the repeatability of the VLBI estimates of the baseline lengths in the European network is better than one centimeter, independent of the different analysis methods, and is consistent with the formal error levels expected from the data analysis. This consistency should be enough to produce geophysically significant information in Europe from VLBI data within a relatively short time span. ¬© 1992 Springer-Verlag.</t>
  </si>
  <si>
    <t>21-26</t>
  </si>
  <si>
    <t>Bulletin G√©od√©sique</t>
  </si>
  <si>
    <t>60030175;60030175;60030175;60006337</t>
  </si>
  <si>
    <t>55232090400;55952780500;6603575035;7402924823</t>
  </si>
  <si>
    <t>Rius, Antonio;Zarraoa, N√©stor;Sard√≥n, Esther;Ma, Chopo</t>
  </si>
  <si>
    <t>Madrid;Greenbelt</t>
  </si>
  <si>
    <t>CSIC-UCM - Instituto de Astronomia y Geodesia (IAG);NASA Goddard Space Flight Center</t>
  </si>
  <si>
    <t>60030175;60006337</t>
  </si>
  <si>
    <t>Rius A.</t>
  </si>
  <si>
    <t>Centimeter repeatability of the VLBI estimates of European baselines</t>
  </si>
  <si>
    <t>10.1007/BF00806807</t>
  </si>
  <si>
    <t>2-s2.0-0344698344</t>
  </si>
  <si>
    <t>['various distances', 'therefore available', 'sweep speed', 'spurious signals', 'speed solid', 'single subband', 'reflectometer uses', 'reflectometer operation', 'polarization rotators', 'full band', 'frequency characteristic', 'field pinch', 'experimental characteristics', 'emitted e', 'beat fringes', 'accurately identify']</t>
  </si>
  <si>
    <t>An ordinary mode IMPATT-based reflectometer operating over 26.5-110GHz has been developed for density diagnostic application on the RFX reversedfield pinch experimental fusion machine. The reflectometer uses polarization rotators located at the antennas for optimizing the polarization of the emitted E-field A sweep speed of 1.25ms for the full band is possible. Single subbands may be swept at a rate of 200us. The provision of polarization rotators and high-speed solid-state oscillators maximises the immunity of the system to the effects of high fluctuation frequencies and mode mixing due to high magnetic shear. The reflectometer uses an IMPATT oscillator system for the source which has not been used in previous reflectometer circuits. A previously unachievable temporal resulution is therefore available with this system. The reflectometer is the first to be developed for use on a reversed-field pinch (RFP) machine. Verification of reflectometer operation was achieved using plane metal targets to simulate the reflecting plasma cut-off layer. Targets were located at various distances from the antennas to cover the expected spatial reflection range. The theoretical and experimental characteristics were obtained by processing the intermediate frequency output of the detectors. Spurious signals are removed by calibrating the target data using residual fringe data. A zero-crossing detection algorithm was developed to accurately identify the beat fringes and to deduce the phase/frequency characteristic. Single subband and full sweep results are presented. ¬© 1992 Plenum Publishing Corporation.</t>
  </si>
  <si>
    <t>309-318</t>
  </si>
  <si>
    <t>60025160;100347243;100347243;60025160</t>
  </si>
  <si>
    <t>16419691500;6603754754;7102777833;23002261600</t>
  </si>
  <si>
    <t>Dubhghaill, R. N.√ì;Vizard, D. R.;Lyons, B. N.;Sexton, M. C.</t>
  </si>
  <si>
    <t>Ireland;Ireland</t>
  </si>
  <si>
    <t>Cork;Cork</t>
  </si>
  <si>
    <t>University College Cork;Farran Technology Ltd.</t>
  </si>
  <si>
    <t>60025160;100347243</t>
  </si>
  <si>
    <t>Dubhghaill R.N.O.</t>
  </si>
  <si>
    <t>The charactization of high-speed swept reflectometer for plasma diagnostics on the RFX reversed-field pinch</t>
  </si>
  <si>
    <t>10.1007/BF01010666</t>
  </si>
  <si>
    <t>2-s2.0-1542543310</t>
  </si>
  <si>
    <t>['therefore constitute', 'substantial agreement', 'statistical analysis', 'solid basis', 'results obtained', 'real samples', 'ray binaries', 'mass x', 'known objects', 'known low', 'gw emission', 'gw detectors', 'gravitational radiation', 'experimentally proving', 'especially space', 'eccentric binaries', 'cv evolution', 'completely new', 'cataclysmic variables', 'astrophysical objects', 'already done']</t>
  </si>
  <si>
    <t>In this paper we analyze the class of Cataclysmic Variables (CVs) as sources of Gravitational Radiation, basing our analysis only on known objects (168 CVs taken from the recent Ritter Catalog), as we have already done in two previous papers for two other classes of astrophysical objects, eccentric binaries and pulsars. We try to evaluate the Gravitational Wave background, outlining all the potentially interesting sources, in two different ways, showing the substantial agreement of the results obtained. Although not completely new, such results are based on real samples of data, plus some statistical analysis, and therefore constitute a solid basis for planning the construction of GW detectors (especially space-borne GW antennas). Moreover, they provide the possibility of experimentally proving the effectiveness of the mechanism of Gravitational Radiation on CV evolution. Furthermore, for the sake of completeness, the GW emission from the known low-mass X-ray binaries and CV related objects has been evaluated. ¬© 1992 Plenum Publishing Corporation.</t>
  </si>
  <si>
    <t>323-341</t>
  </si>
  <si>
    <t>General Relativity and Gravitation</t>
  </si>
  <si>
    <t>60017293-60113231;60113231;60017293-60113231;60017293-60113231</t>
  </si>
  <si>
    <t>7101880997;7003777189;7004925538;7202429853</t>
  </si>
  <si>
    <t>Barone, F.;Di Fiore, L.;Milano, L.;Russo, G.</t>
  </si>
  <si>
    <t>Naples;Naples</t>
  </si>
  <si>
    <t>Istituto Nazionale di Fisica Nucleare, Sezione di Napoli;Universit√† degli Studi di Napoli Federico II</t>
  </si>
  <si>
    <t>60113231;60017293</t>
  </si>
  <si>
    <t>Barone F.</t>
  </si>
  <si>
    <t>Gravitational wave background from a sample of Cataclysmic Variables</t>
  </si>
  <si>
    <t>10.1007/BF00760233</t>
  </si>
  <si>
    <t>2-s2.0-33748177779</t>
  </si>
  <si>
    <t>['two chemicals', 'threshold concentrations', 'pheromone activities', 'inhibitory response', 'electroantennogram responses', 'additive effect', '(-)- periplanone']</t>
  </si>
  <si>
    <t>American cockroach | Blattidae | EAG response | Orthoptera | Periplaneta americana | periplanone-A | periplanone-B | sex pheromone</t>
  </si>
  <si>
    <t>The electroantennogram responses of synthetic (-)-periplanone-B (PB) and (-)-periplanone-A (PA) were evaluated by using the antennae of the unmated male American cockroach Periplaneta americana L. The threshold concentrations of the pheromone activities for the two chemicals were similar. Neither a synergistic nor an inhibitory response was noted, and only an additive effect was detected when PA and PB were applied as a mixture. ¬© 1992 Plenum Publishing Corporation.</t>
  </si>
  <si>
    <t>371-378</t>
  </si>
  <si>
    <t>60016969;60016969;60016969;60016969</t>
  </si>
  <si>
    <t>16424042200;36111848100;7003942479;7202904384</t>
  </si>
  <si>
    <t>Yang, H. T.;Wang, C. H.;Kou, R.;Chow, Y. S.</t>
  </si>
  <si>
    <t>Nankang</t>
  </si>
  <si>
    <t>Academia Sinica Taiwan</t>
  </si>
  <si>
    <t>Yang H.T.</t>
  </si>
  <si>
    <t>Electroantennogram responses of synthetic periplanone-A and periplanone-B in the american cockroach</t>
  </si>
  <si>
    <t>10.1007/BF00994238</t>
  </si>
  <si>
    <t>2-s2.0-7844223941</t>
  </si>
  <si>
    <t>['¬© 1992', 'super attenuators', 'small interferometer', 'seismic noise', 'previous measurements', 'pisa laboratory', 'noise measured', 'calculation shows', '100 hz', '10 less', '10 hz', '/‚ àöhz']</t>
  </si>
  <si>
    <t>In the framework of the development of the super attenuators for VIRGO, the French-Italian long arm interferometric antenna for gravitational wave detection, a small interferometer has been built in the Pisa laboratory, to investigate the sensitivity in the low frequency region. The noise measured at 10 Hz is below 10-13 m/‚àöHz, about a factor of 10 less than previous measurements in Munich. Calculation shows that the noise between 10 and 100 Hz is compatible with seismic noise. ¬© 1992.</t>
  </si>
  <si>
    <t>15-20</t>
  </si>
  <si>
    <t>Physics Letters A</t>
  </si>
  <si>
    <t>60113665;60113665;60113665;60113665;60113665;60113665;60113665;60113665;60008134;60008134;60113231;60000745;60008088</t>
  </si>
  <si>
    <t>35227009000;6603424528;7004046447;56212286300;22943966700;24326019700;57189876378;7003569996;7003573392;7004823317;56243143200;35225772100;6602971868</t>
  </si>
  <si>
    <t>Bradaschia, C.;del Fabbro, R.;di Virgilio, A.;Flaminio, R.;Giazotto, A.;Michelozzi, B.;Montelatici, V.;Passuello, D.;Brillet, A.;Man, N. C.;Calloni, E.;Holloway, L. E.;Velloso, W.</t>
  </si>
  <si>
    <t>Italy;Italy;France;Brazil;United States</t>
  </si>
  <si>
    <t>Pisa;Naples;Paris;Sao Paulo;Urbana</t>
  </si>
  <si>
    <t>Istituto Nazionale di Fisica Nucleare, Sezione di Pisa;Istituto Nazionale di Fisica Nucleare, Sezione di Napoli;CNRS Centre National de la Recherche Scientifique;Universidade de S√£o Paulo;University of Illinois Urbana-Champaign</t>
  </si>
  <si>
    <t>60113665;60113231;60008134;60008088;60000745</t>
  </si>
  <si>
    <t>Sensitivity of a rigid small interferometer in the 10 Hz frequency region</t>
  </si>
  <si>
    <t>0375-9601(92)90152-C</t>
  </si>
  <si>
    <t>10.1016/0375-9601(92)90152-C</t>
  </si>
  <si>
    <t>2-s2.0-0007139035</t>
  </si>
  <si>
    <t>['¬© 1992', 'spontaneous assembly', 'short axis', 'results suggest', 'order structures', 'methanoll extract', 'long axis', 'lipids extracted', 'lipid aggregates', 'like higher', 'intact chlorosomes', 'free pigments', 'fluorescence spectra', 'ellipsoidal bodies', 'direct chromophore', 'chromophore interactions', 'chlorosomes restores', 'bacteriochlorophyll c', 'average size', 'aqueous solution', '3chlorobium limicola']</t>
  </si>
  <si>
    <t>Bacteriochlorophyll c | Chlorosome | Green photosynthetic bacterium | Light-harvesting antenna | Linear dichroism | Pigment aggregate</t>
  </si>
  <si>
    <t>Pigment-lipid aggregates were formed in aqueous solution by diluting a chloroform/methanoll extract of chlorosomes of the green photosynthetic bacterium,3Chlorobium limicola. The aggregates showed absorption and fluorescence spectra very similar to those of intact chlorosomes. No proteins were detected in the aggregates. Electron micrographs showed that the pigment-lipid aggregates were ellipsoidal bodies with average size of 130 nm along the long axis and 86 nm along the short axis. The linear dichroism spectrum of bacteriochlorophyll c in the pigment-lipid aggregates oriented in a stretched polyacrylamide gel was as strong as that in chlorosomes. These results suggest that spontaneous assembly of the protein-free pigments and lipids extracted from chlorosomes restores not only direct chromophore-chromophore interactions of bacteriochlorophyll c molecules but also the chlorosome-like higher-order structures. ¬© 1992.</t>
  </si>
  <si>
    <t>60005038;60005038;60005038;60019160;60019160;60005038</t>
  </si>
  <si>
    <t>7201993560;57197909704;35556033100;7406531143;57203322585;57200274634</t>
  </si>
  <si>
    <t>Hirota, Masamitsu;Moriyama, Takeshi;Shimada, Keizo;Miller, Mette;Olson, John M.;Matsuura, Katsumi</t>
  </si>
  <si>
    <t>Denmark;Japan</t>
  </si>
  <si>
    <t>Odense;Hachioji</t>
  </si>
  <si>
    <t>Syddansk Universitet;Tokyo Metropolitan University</t>
  </si>
  <si>
    <t>60019160;60005038</t>
  </si>
  <si>
    <t>Hirota M.</t>
  </si>
  <si>
    <t>High degree of organization of bacteriochlorophyll c in chlorosome-like aggregates spontaneously assembled in aqueous solution</t>
  </si>
  <si>
    <t>0005-2728(92)90038-4</t>
  </si>
  <si>
    <t>10.1016/0005-2728(92)90038-4</t>
  </si>
  <si>
    <t>2-s2.0-0026522634</t>
  </si>
  <si>
    <t>['¬© 1992', 'significant fraction', 'partial decoupling', 'oxidative damage', 'nitrogen reserve', 'excitation energy', 'could occur', 'corresponding photo', 'biliprotein phycoerythrin']</t>
  </si>
  <si>
    <t>(Cyanobacterium) | Biliprotein | Energy transfer | Light harvesting | Nitrogen storage | Photosynthesis | Phycoerythrin</t>
  </si>
  <si>
    <t>Time-resolved fluorescence spectroscopy of the marine cyanobacterium Synechococcus sp WH7803 showed that a significant fraction of the biliprotein phycoerythrin did not transfer its excitation energy to the photosynthetic reaction centres when the organism had been cultured in non-limiting light conditions and with excess nitrogen supplied as nitrate. We consider that this partial decoupling of energy transfer shows the capacity that this organism has to use a portion of the phycocrythrin as a nitrogen reserve, without the corresponding photo-oxidative damage that could occur from having a larger functional antenna than is required by photosynthesis. ¬© 1992.</t>
  </si>
  <si>
    <t>267-270</t>
  </si>
  <si>
    <t>60022109;60022020;60022020;60003771</t>
  </si>
  <si>
    <t>7006179200;35918433800;7102879620;7004641416</t>
  </si>
  <si>
    <t>Heathcote, P.;Wyman, M.;Carr, N. G.;Beddard, G. S.</t>
  </si>
  <si>
    <t>United Kingdom;United Kingdom;United Kingdom</t>
  </si>
  <si>
    <t>London;Coventry;Manchester</t>
  </si>
  <si>
    <t>Queen Mary University of London;University of Warwick;The University of Manchester</t>
  </si>
  <si>
    <t>60022109;60022020;60003771</t>
  </si>
  <si>
    <t>Heathcote P.</t>
  </si>
  <si>
    <t>Partial uncoupling of energy transfer from phycoerythrin in the marine cyanobacterium Synechococcus sp. WH7803</t>
  </si>
  <si>
    <t>0005-2728(92)90037-3</t>
  </si>
  <si>
    <t>10.1016/0005-2728(92)90037-3</t>
  </si>
  <si>
    <t>2-s2.0-0026550168</t>
  </si>
  <si>
    <t>['wave bands', 'underlying surface', 'transmission frequency', 'remain unchanged', 'radio broadcasts', 'magnetic permeability', 'initial parameters', 'following postulate', 'extended period', 'electromagnetic properties', 'electrical conductivity', 'dielectric permittivity', 'air temperature']</t>
  </si>
  <si>
    <t>The transmission frequency, antenna radiation power, terrain and the electromagnetic properties of the underlying surface (the magnetic permeability, dielectric permittivity and electrical conductivity) are used as the initial parameters in calculating the range of the reliable reception zone of radio broadcasts. Often there is a discrepancy between the theoretical and experimentally measured boundaries of the radio signal reliable reception zone. This is due, in particular, to the fact that the following postulate is used in the calculations: the electrical conductivity of the underlying surface is assumed to remain unchanged for an extended period, since there is no relation between the radio field strength and the external air temperature. In this paper we establish a relationship between the air temperature and the electrical conductivity of the underlying surface, from which we conclude that the field strength depends on temperature in the medium- and long-wave bands.</t>
  </si>
  <si>
    <t>26-29</t>
  </si>
  <si>
    <t>Zakharenko, V. N.</t>
  </si>
  <si>
    <t>Zakharenko V.</t>
  </si>
  <si>
    <t>Effect of variations in the electrical conductivity of the underlying surface on the amplitude of a ground wave in the medium- and long-wave bands</t>
  </si>
  <si>
    <t>2-s2.0-0026840720</t>
  </si>
  <si>
    <t>['absolutely stable']</t>
  </si>
  <si>
    <t>The conditions for nonlinear dynamic control systems of adaptive antenna arrays to be absolutely stable are obtained.</t>
  </si>
  <si>
    <t>94-97</t>
  </si>
  <si>
    <t>7007006910;6506790615</t>
  </si>
  <si>
    <t>Marchuk, L. A.;Fattakhov, V. V.</t>
  </si>
  <si>
    <t>Marchuk L.</t>
  </si>
  <si>
    <t>Analysis of adaptive antenna array control system stability</t>
  </si>
  <si>
    <t>2-s2.0-0026840735</t>
  </si>
  <si>
    <t>['radiation pattern', 'main lobe', 'interference acts', 'factor vector', 'adaptive alignment']</t>
  </si>
  <si>
    <t>An algorithm for the adaptive alignment of the weighting-factor vector of an antenna array based on successive recursion orthogonalization with respect to the eigenvectors of the interference and noise sample correlation matrix is investigated. The results of modeling are presented for the cases when interference acts on the main lobe of the radiation pattern and on the sidelobes.</t>
  </si>
  <si>
    <t>72-75</t>
  </si>
  <si>
    <t>Zhirov, V. A.</t>
  </si>
  <si>
    <t>Zhirov V.</t>
  </si>
  <si>
    <t>Adaptation algorithm for an antenna array</t>
  </si>
  <si>
    <t>2-s2.0-0026842126</t>
  </si>
  <si>
    <t>['speed systems', 'radio transmitters', 'radio circuit', 'power tetrodes', 'power conditions', 'paper examines', 'mobile short', 'main problem', 'final stages', 'contain high', 'amplifiers resulting']</t>
  </si>
  <si>
    <t>It is necessary to take into account the change in the conditions of amplifiers resulting from random load mismatching in the final stages of radio transmitters for mobile short-wave communications equipment or active phased antenna arrays. Hence, the main problem when designing such stages is maintaining optimum power parameters while achieving good linearity and reliability of the radio circuit. This paper examines a method of optimizing the power conditions of tube oscillators employing high-power tetrodes in the final stages of radio transmitters that do not contain high-speed systems for adaptation to an antenna circuit mismatch.</t>
  </si>
  <si>
    <t>38-40</t>
  </si>
  <si>
    <t>Kotlyarov, V. N.</t>
  </si>
  <si>
    <t>Kotlyarov V.</t>
  </si>
  <si>
    <t>Features of a power calculation of tube oscillators with a rapidly varying load</t>
  </si>
  <si>
    <t>2-s2.0-0026842131</t>
  </si>
  <si>
    <t>['ussr makes', 'use spacecraft', 'therefore necessary', 'subpolar regions', 'scs ).', 'paper proposes', 'multibeam antennas', 'geostationary spacecraft', 'geographical location', 'fall within', 'circular orbits']</t>
  </si>
  <si>
    <t>Many nations use the unique geostationary orbit (GO) in satellite communications systems (SCS). Nevertheless, the geographical location of the USSR makes it impossible to use only geostationary spacecraft for radio communications throughout the country, since the polar and subpolar regions do not fall within the radio visibility range of these spacecraft. It is therefore necessary to use spacecraft in elliptical and circular orbits. This paper proposes a method that makes it possible to take into account the features of calculating the radio visibility zones for multibeam antennas (MBA) and phased antenna arrays (PAA) when they are adjusted to select sighting points.</t>
  </si>
  <si>
    <t>7101841774;7004178535;6603560986;57198248779;6508097138</t>
  </si>
  <si>
    <t>Akimov, A. A.;Anosov, A. M.;Gusakov, G. S.;Kolesnikov, A. V.;Sakhnin, L. A.</t>
  </si>
  <si>
    <t>Akimov A.</t>
  </si>
  <si>
    <t>Analysis of the radio visibility zones of satellite communications systems employing satellites in various orbits</t>
  </si>
  <si>
    <t>2-s2.0-0026842132</t>
  </si>
  <si>
    <t>['synthesizing models', 'random processes', 'arbitrary dimensions']</t>
  </si>
  <si>
    <t>A method is proposed for synthesizing models of partially coherent signals in continuous communication channels using linear stochastic differential equations. This method, unlike existing methods, can be used when the random processes being modeled have arbitrary dimensions.</t>
  </si>
  <si>
    <t>6602851818;6701556867;55989790300;6602436817</t>
  </si>
  <si>
    <t>Glushankov, Ye I.;Dotsenko, M. L.;Kontorovich, V. Ya;Kobin, S. V.</t>
  </si>
  <si>
    <t>Glushankov Y.</t>
  </si>
  <si>
    <t>Modeling of partially coherent signals in adaptive arrays using linear stochastic differential equations</t>
  </si>
  <si>
    <t>2-s2.0-0026842382</t>
  </si>
  <si>
    <t>['special type', 'correlation matrices']</t>
  </si>
  <si>
    <t>The structures of the correlation matrices in problems of adapting centrally symmetrical antenna arrays are considered. Expressions are proposed for approximating the sample correlation matrices by matrices of a special type. The accuracy of this approximation is analyzed.</t>
  </si>
  <si>
    <t>83-91</t>
  </si>
  <si>
    <t>6602851818;57195693574;6504539539;6507958195</t>
  </si>
  <si>
    <t>Glushankov, Ye I.;Kolesnikov, A. N.;Motkov, V. I.;Rodimov, V. A.</t>
  </si>
  <si>
    <t>Approximation of sample correlation matrices of a special type in problems of adapting centrally symmetrical antenna arrays</t>
  </si>
  <si>
    <t>2-s2.0-0026842625</t>
  </si>
  <si>
    <t>['pseudonoise modulation', 'broadband signals', 'aperture systems', 'adaptive space', 'adaptive processing']</t>
  </si>
  <si>
    <t>The features of the adaptive processing of broadband signals in synthesized-aperture systems are examined. An adaptive space-time processing algorithm for signals with pseudonoise modulation is proposed.</t>
  </si>
  <si>
    <t>104-106</t>
  </si>
  <si>
    <t>7005381162;6602436817;6507958195</t>
  </si>
  <si>
    <t>Gusev, N. A.;Kobin, S. V.;Rodimov, V. A.</t>
  </si>
  <si>
    <t>Gusev N.</t>
  </si>
  <si>
    <t>Adaptive space-time processing of broadband signals in radio communication links with moving vehicles</t>
  </si>
  <si>
    <t>2-s2.0-0026844190</t>
  </si>
  <si>
    <t>['time processing', 'systolic processor', 'synthesized using', 'state signal', 'speed processing', 'pseudorandom tuning', 'operating frequency', 'moving vehicles', 'interference situations']</t>
  </si>
  <si>
    <t>The quality of the space-time processing of signals with pseudorandom tuning of the operating frequency on moving vehicles in satellite communications links is analyzed for a nonsteady-state signal-interference situations. The structure of a systolic processor for carrying out high-speed processing is synthesized using the Householder hyperbolic transformation method.</t>
  </si>
  <si>
    <t>98-103</t>
  </si>
  <si>
    <t>6602851818;57195693574;36935670500</t>
  </si>
  <si>
    <t>Glushankov, Ye I.;Kolesnikov, A. N.;Ushakov, V. V.</t>
  </si>
  <si>
    <t>Space-time processing of signals with PTOF in satellite communications links with moving vehicles</t>
  </si>
  <si>
    <t>2-s2.0-0026844191</t>
  </si>
  <si>
    <t>['objective functions', 'global extremum', 'ensure convergence', 'adaptive space']</t>
  </si>
  <si>
    <t>The features of adaptive space-time signal processing in the case of nonconvexity of the objective functions being optimized are examined. Algorithms which ensure convergence to a global extremum are obtained by using locally Lipschitz functions to approximate the original objective function.</t>
  </si>
  <si>
    <t>92-93</t>
  </si>
  <si>
    <t>6602436817;7007006910;6507958195</t>
  </si>
  <si>
    <t>Kobin, S. V.;Marchuk, L. A.;Rodimov, V. A.</t>
  </si>
  <si>
    <t>Kobin S.</t>
  </si>
  <si>
    <t>Features of adaptive space-time signal processing in the case of nonconvexity of the objective functions</t>
  </si>
  <si>
    <t>2-s2.0-0026844192</t>
  </si>
  <si>
    <t>['regular method', 'modeling non', 'markov models', 'antenna arrays']</t>
  </si>
  <si>
    <t>A regular method of synthesizing multidimensional stochastic differential equations for modeling non-Gaussian vector random processes is proposed, serving as Markov models of the parameters of partially coherent signals in antenna arrays.</t>
  </si>
  <si>
    <t>6602851818;55989790300</t>
  </si>
  <si>
    <t>Glushankov, Ye I.;Kontorovich, V. Ya</t>
  </si>
  <si>
    <t>Construction of Markov models of non-Gaussian vector random processes describing the parameters of signals in antenna arrays</t>
  </si>
  <si>
    <t>2-s2.0-0026844193</t>
  </si>
  <si>
    <t>['multiposition signals', 'characteristics obtained', 'antenna array']</t>
  </si>
  <si>
    <t>Algorithms for the adaptive optimum reception of multiposition signals at an antenna array are considered. The characteristics obtained on a computer using modern statistical modeling methods are analyzed in detail.</t>
  </si>
  <si>
    <t>Yefimenko, V. S.</t>
  </si>
  <si>
    <t>Yefimenko V.</t>
  </si>
  <si>
    <t>Optimum discrimination characteristics of orthogonal multiposition signals in the case of spatial-multichannel reception</t>
  </si>
  <si>
    <t>2-s2.0-0026845108</t>
  </si>
  <si>
    <t>['time delays', 'spatial structure', 'reception conditions', 'experimental measurements', 'composite beams', 'arriving beams']</t>
  </si>
  <si>
    <t>The radio reception noise immunity in multipath communications channels will depend on the ratio of the intensities as well as on the ratio of the time delays of the arriving beams. In the case of mobile radio communications under urban operating conditions, these relations change continuously, thereby considerably complicating the prediction of reliable subscriber operation. To estimate the multipath propagation characteristics of urban radio channels in the meter-wavelength band based on the delays and intensities of the composite beams we carried out experimental measurements of the spatial structure of a pulsed radio signal under a variety of reception conditions.</t>
  </si>
  <si>
    <t>30-35</t>
  </si>
  <si>
    <t>6603179650;7003530599;6507969404</t>
  </si>
  <si>
    <t>Abarykov, V. N.;Alekseyev, V. K.;Afanas'yev, I. G.</t>
  </si>
  <si>
    <t>Abarykov V.</t>
  </si>
  <si>
    <t>Pulse response of urban radio channels in the VHF band</t>
  </si>
  <si>
    <t>2-s2.0-0026845285</t>
  </si>
  <si>
    <t>['synthesized apertures', 'synthesize algorithms', 'rayleigh systems', 'objective functions', 'generating beams', 'adaptive space']</t>
  </si>
  <si>
    <t>Rayleigh systems, used to synthesize algorithms for adaptive space-time signal processing in antennas with real and synthesized apertures, are considered. The properties of the objective functions and of their generating beams are analyzed. The conditions for which these systems become nonconvex are determined.</t>
  </si>
  <si>
    <t>79-82</t>
  </si>
  <si>
    <t>6602436817;7007006910</t>
  </si>
  <si>
    <t>Kobin, S. V.;Marchuk, L. A.</t>
  </si>
  <si>
    <t>Analysis of the properties of objective functions in adaptive space-time signal processing problems</t>
  </si>
  <si>
    <t>2-s2.0-0026845593</t>
  </si>
  <si>
    <t>['vertical plane', 'term fading', 'spatial filtering', 'single signal', 'receiver system', 'radiation pattern', 'polarization fading', 'magnetic components', 'largely determined', 'ionospheric modes', 'antenna system', 'antenna even']</t>
  </si>
  <si>
    <t>Improvements in decameter-wave radio communications reliability are largely determined by the possibility of narrowing the signal fading level at the output of the radio-receiver system, which consists of the antenna system and the received signal processing channel. As we know, there are two main causes of short-term fading: interference between different ionospheric paths and polarization fading, i.e., interference between the magnetic components of a single signal. It is possible to attenuate interpath interference by, for example, spatial filtering of the ionospheric modes in a multibeam antenna system with a sufficiently narrow radiation pattern in the vertical plane. This paper examines methods of attenuating polarization fading which cannot be eliminated by narrowing the radiation pattern of the antenna even to 1¬∞, even if the difference in the angles of arrival of the ordinary and extraordinary waves along extended routes, as a rule, is less than this value.</t>
  </si>
  <si>
    <t>20-25</t>
  </si>
  <si>
    <t>Fal'kovich, I. S.</t>
  </si>
  <si>
    <t>Fal'kovich I.</t>
  </si>
  <si>
    <t>Attenuation of polarization fading in the ionospheric propagation of decameter waves</t>
  </si>
  <si>
    <t>2-s2.0-0026845827</t>
  </si>
  <si>
    <t>[]</t>
  </si>
  <si>
    <t>A method for estimating the potential noise immunity of space-time signal processing under worst interference conditions by posing and solving game problems is considered. The results of an analysis of the efficiency of these algorithms are presented.</t>
  </si>
  <si>
    <t>76-78</t>
  </si>
  <si>
    <t>6602851818;6504502844;6602708933;6507958195</t>
  </si>
  <si>
    <t>Glushankov, Ye I.;Zimarin, V. I.;Misyura, V. R.;Rodimov, V. A.</t>
  </si>
  <si>
    <t>Space-time signal processing under conflict conditions</t>
  </si>
  <si>
    <t>2-s2.0-0026846108</t>
  </si>
  <si>
    <t>['synthesized apertures', 'particular features', 'factor vector', 'adaptive space']</t>
  </si>
  <si>
    <t>The particular features of the Œ®-transformation method when used in adaptive space-time signal processing problems with real and synthesized apertures are examined. The measure of the space of the weighting-factor vector, used in the signal processing algorithm for a nonconvex objective function, is determined.</t>
  </si>
  <si>
    <t>64-66</t>
  </si>
  <si>
    <t>Kobin, S. V.</t>
  </si>
  <si>
    <t>Use of the Œ®-transformation method for adaptive space-time signal processing</t>
  </si>
  <si>
    <t>2-s2.0-0026847736</t>
  </si>
  <si>
    <t>['worldwide phenomena', 'wide variety', 'still necessary', 'satellite communications', 'recent experiments', 'north america', 'japanese government', 'intensive r', 'current interest', '21st century']</t>
  </si>
  <si>
    <t>The current interest and enthusiam for fiber optic cable is a worldwide phenomena and is if anything more enthusiastic in Japan than it is in Europe or North America. Recent experiments with optical transmission technology in Japan has shown that a 'repeaterless' fiber optic cable can operate up to distances of one million kilometers. In Japan, however, we envision that satellite communications will still have many important applications well into the 21st Century and an intensive R &amp; D effort in a wide variety of fields is still necessary. This article sets forth the various experimental projects that the Japanese Government and the Communications Research Laboratory of the Ministry of Posts and Telecommunications will undertake in the 1990's.</t>
  </si>
  <si>
    <t>263-265</t>
  </si>
  <si>
    <t>IIDA, T.</t>
  </si>
  <si>
    <t>IIDA T.</t>
  </si>
  <si>
    <t>Japan's telecommunications. New initiatives in space communications</t>
  </si>
  <si>
    <t>2-s2.0-0026853942</t>
  </si>
  <si>
    <t>['tunnel junction', 'second step', 'radioastronomical applications', 'immersion lens', 'hot input', '8 ghz', '4 ghz', '115 ghz']</t>
  </si>
  <si>
    <t>Completely quasioptical heterodyne SIS receiver for radioastronomical applications at 115 GHz was designed and tested. Gaussian beam two lens input guide system and open structure SIS mixer with immersion lens were used. Integrated quasioptical structure consists of planar equiangular spiral antenna and superconductor-insulator-superconductor (SIS) tunnel junction as a mixing element connected to the antenna via microstrip impedance transformer. The best SIS mixer noise temperature at hot input and for heterodyne frequency 109.8 GHz with IF central frequency 1.4 GHz (DSB) was 28¬±7 K at the first quasiparticle step and 8¬±6 K at the second step. ¬© 1992 Plenum Publishing Corporation.</t>
  </si>
  <si>
    <t>389-396</t>
  </si>
  <si>
    <t>60029225;60029225;60029225;60029225;60029225</t>
  </si>
  <si>
    <t>7003813023;7006847399;6505930345;57193618079;6506493647</t>
  </si>
  <si>
    <t>Belitsky, V. Yu;Tarasov, M. A.;Kovtonjuk, S. A.;Filippenko, L. V.;Kaplunenko, O. V.</t>
  </si>
  <si>
    <t>Kotelnikov Institute of Radioengineering and Electronics (IRE) of Russian Academy of Sciences</t>
  </si>
  <si>
    <t>Belitsky V.</t>
  </si>
  <si>
    <t>Low noise completely quasioptical SIS receiver for radioastronomy at 115 GHZ</t>
  </si>
  <si>
    <t>10.1007/BF01010700</t>
  </si>
  <si>
    <t>2-s2.0-33847319239</t>
  </si>
  <si>
    <t>487-491</t>
  </si>
  <si>
    <t>Measurement Techniques</t>
  </si>
  <si>
    <t>Koryakin, N. D.</t>
  </si>
  <si>
    <t>Koryakin N.</t>
  </si>
  <si>
    <t>A bolometric noise generator of the through type built into a horn antenna</t>
  </si>
  <si>
    <t>10.1007/BF00978966</t>
  </si>
  <si>
    <t>2-s2.0-34250082610</t>
  </si>
  <si>
    <t>['¬© 1992', 'various parameters', 'tip mass', 'study described', 'shear deformation', 'rotational springs', 'rotary inertia', 'natural frequencies', 'free end', 'cantilever beam', 'basic model', 'antenna mast']</t>
  </si>
  <si>
    <t>A uniform cantilever beam carrying a tip mass at its free end, with translational and rotational springs, can be used as a basic model of many practical structures such as a flexible robot arm or an antenna mast. The aim of the study described here is to investigate the influence of rotary inertia and shear deformation on the natural frequencies of a cantilever beam with translational and rotational springs at an arbitrary point along the beam, carrying a tip mass the center of gravity of which does not coincide with the point of attachment. Frequencies were generated as a function of various parameters of the beam. ¬© 1992.</t>
  </si>
  <si>
    <t>67-80</t>
  </si>
  <si>
    <t>60022403;60022403</t>
  </si>
  <si>
    <t>7005581522;6506283223</t>
  </si>
  <si>
    <t>Abramovich, H.;Hamburger, O.</t>
  </si>
  <si>
    <t>Haifa</t>
  </si>
  <si>
    <t>Technion - Israel Institute of Technology</t>
  </si>
  <si>
    <t>Abramovich H.</t>
  </si>
  <si>
    <t>Vibration of a uniform cantilever Timoshenko beam with translational and rotational springs and with a tip mass</t>
  </si>
  <si>
    <t>0022460X9290404L</t>
  </si>
  <si>
    <t>10.1016/0022-460X(92)90404-L</t>
  </si>
  <si>
    <t>2-s2.0-0027114995</t>
  </si>
  <si>
    <t>['¬© 1992', 'thylakoid membrane', 'reassembly events', 'quantum yield', 'ps ii', 'primary function', 'light regime', 'light acclimation', 'intensity light', 'distinct sequence', 'cp47 polypeptide', 'conversion step', 'chlorophyll synthesis', 'chlorophyll binding', 'auxiliary light', 'antenna system', 'adapted cells', '4 h', '12 h']</t>
  </si>
  <si>
    <t>(D. salina) | Adaptation mechanism | Chlorphyll-protein complex | Fluorescence | Light-harvesting | PAGE, non-denaturing | Photosystem heterogeneity | Photosystem II</t>
  </si>
  <si>
    <t>The green alga Dunaliella salina responds to growth under high-intensity light by reducing the complement of auxiliary light-harvesting complexes integrated into the thylakoid membrane, giving a reduction in the functional chlorophyll antenna size for both photosystems. Acclimation of the antenna system of Photosystem II upon removal of high-light-adapted cells to a low-light regime was found to occur as a distinct sequence of reassembly events. Analysis of fluorescence-induction kinetics indicated a conversion step after 4 h of low-light acclimation in which PS IIŒ≥ centres were converted to PS IIŒ≤ centres. Conversion of PS IIŒ≤ centres to PS IIŒ± centres proceeded after 12 h and was accompanied by an increase in PS II-variable fluorescence yield and PS II-quantum yield. Changes in chlorophyll a binding by the CP47 polypeptide of the PS II core preceded changes in membrane protein composition and reassembly of auxiliary antenna complexes, suggesting that regulation of assembly of the PS II antenna occurs at the level of chlorophyll synthesis. Chlorophyll binding by CP47 is not essential for its primary function in assembly of the complete photosynthetic unit. A model for the PS II antenna in which CP47 and CP43 act independently for excitation energy transfer to the PS II reaction centre is proposed and its implications are discussed. ¬© 1992.</t>
  </si>
  <si>
    <t>60012070;60025038;60012070</t>
  </si>
  <si>
    <t>7401595128;57203081985;7406421287</t>
  </si>
  <si>
    <t>Harrison, Michael A.;Melis, Anastasios;Allen, John F.</t>
  </si>
  <si>
    <t>Berkeley;Leeds</t>
  </si>
  <si>
    <t>University of California, Berkeley;University of Leeds</t>
  </si>
  <si>
    <t>60025038;60012070</t>
  </si>
  <si>
    <t>Harrison M.</t>
  </si>
  <si>
    <t>Restoration of irradiance-stressed Dunaliella salina (green alga) to physiological growth conditions: changes in antenna size and composition of Photosystem II</t>
  </si>
  <si>
    <t>0005-2728(92)90129-P</t>
  </si>
  <si>
    <t>10.1016/0005-2728(92)90129-P</t>
  </si>
  <si>
    <t>2-s2.0-0026548293</t>
  </si>
  <si>
    <t>['¬© 1992', 'thylakoid proteins', 'thylakoid membranes', 'structurally associated', 'sodium fluoride', 'reversible phosphorylation', 'ps ii', 'prochlorothrix hollandica', 'prochloron indicates', 'phosphorylation levels', 'may form', 'major target', 'low light', 'illuminating conditions', 'high light', 'different rates', 'constantly active', '650 nm', '14 kd']</t>
  </si>
  <si>
    <t>(P. hollandica) | Chlorophyll a b antenna | Protein phosphorylation | Thylakoid protein</t>
  </si>
  <si>
    <t>Phosphorylation of thylakoid proteins of 35.25.23 and 14 kD was shown to occur in Prochlorothrix hollandica both in vivo and in vitro. In vivo: the kinase was active in high light, but not in low light or dark. Next to the 35 kDa protein, which formed the major target, 25 and 23 kDa proteins were phosphorylated. PS II light (650 nm) stimulated kinase activity, which was inactive in PS I light (710 nm). In vitro: the kinase was found to be constantly active, and inhibitors of photosynthetic electron transport had no effect on phosphorylation levels. Prolonged dark incubation before isolation of thylakoid membranes did yield a partially inactivated kinase. Rapid activation could be obtained by both light and addition of the plastoquinol analogue duroquinol. Phosphorylation of the 23 and 25 kDa proteins was enhanced by addition of antimycin A under illuminating conditions and by sodium fluoride. The latter observation suggests that thylakoid proteins may be phosphorylated by the same kinase, but are dephosphorylated at different rates. The 35 kDa phosphoprotein was shown to form a chlorophyll a b antenna copurifying with PS I. Light-regulated reversible phosphorylation of a chlorophyll a b binding protein in P. hollandica immunologically related to that of Prochloron indicates that a similar mechanism may operate in the latter. The hypothesis was raised that reversible phosphorylation of a 35 kDa apoprotein of the chlorophyll a b antenna results in a change in its orientation to PS I by which it enables/enhances energy transfer to PS II. It is suggested that this antenna is structurally associated with PS I. Lastly, a 33 kDa polypeptide was identified as a chlorophyll a b binding protein which may form an antenna to PS II. ¬© 1992.</t>
  </si>
  <si>
    <t>75-82</t>
  </si>
  <si>
    <t>60007903-60002483;60007903;60007903;60018475;60018475</t>
  </si>
  <si>
    <t>7006861021;7201835953;7005705984;6602737219;7004682381</t>
  </si>
  <si>
    <t>Post, Anton F.;Gal, Alma;Ohad, Itzhak;Milbauer, Karen M.;Bullerjahn, George S.</t>
  </si>
  <si>
    <t>United States;Israel;Netherlands</t>
  </si>
  <si>
    <t>Bowling Green;Jerusalem;Amsterdam</t>
  </si>
  <si>
    <t>Bowling Green State University;Hebrew University of Jerusalem;Universiteit van Amsterdam</t>
  </si>
  <si>
    <t>60018475;60007903;60002483</t>
  </si>
  <si>
    <t>Post A.</t>
  </si>
  <si>
    <t>Characterization of light-activated reversible phosphorylation of a chlorophyll a b antenna apoprotein in the photosynthetic prokaryote Prochlorothrix hollandica</t>
  </si>
  <si>
    <t>0005-2728(92)90128-O</t>
  </si>
  <si>
    <t>10.1016/0005-2728(92)90128-O</t>
  </si>
  <si>
    <t>2-s2.0-0026552674</t>
  </si>
  <si>
    <t>['¬© 1992', 'water soluble', 'vph copolymers', 'synthetic polymers', 'solubilizing microdomains', 'solubilization ability', 'several poly', 'sensitive probe', 'relative hydrophobicity', 'radical polymerization', 'photocatalytic efficiencies', 'methacrylic acid', 'ionic strength', 'efficient photocatalysts', 'efficient photocatalyst', 'block copolymer', 'aqueous solutions', 'aqueous solution', 'antenna effect', 'anionic polymerization']</t>
  </si>
  <si>
    <t>A block copolymer of methacrylic acid (MA) and 9-vinylphenanthrene (9-VPh) was prepared by anionic polymerization, and several poly(methacrylic acid-co-9-vinylphenanthrene) (PMA-9-VPh) polymers were synthesized by free-radical polymerization. All copolymers are water soluble and display solubilizing ability towards hydrophobic probes in aqueous solution. The relative hydrophobicity of the solubilizing microdomains in aqueous solutions of PMA-9-VPh copolymers, determined using pyrene as an environment-sensitive probe, is high. The effect of the pH and ionic strength of the solution on the solubilization ability of the copolymers was studied. The PMA-9-VPh copolymers act as efficient photocatalysts in the photo-oxidation of perylene. The block copolymer is the most efficient photocatalyst. The differences between the photocatalytic efficiencies of random and block copolymers demonstrate the importance of the antenna effect in synthetic polymers. ¬© 1992.</t>
  </si>
  <si>
    <t>329-342</t>
  </si>
  <si>
    <t>60016849;60016849;60016849;60016849;60016849</t>
  </si>
  <si>
    <t>7004369519;24754611900;23068571000;7103112378;7102379256</t>
  </si>
  <si>
    <t>Nowakowska, M.;Bakhtiyari, H.;Osselton, E.;Steele, M. R.;Guillet, J. E.</t>
  </si>
  <si>
    <t>Studies of the antenna effect in polymer molecules 19. Synthesis, solubilizing and photocatalytic activity of several methacrylic acid-9-vinylphenanthrene copolymers</t>
  </si>
  <si>
    <t>101060309285007H</t>
  </si>
  <si>
    <t>10.1016/1010-6030(92)85007-H</t>
  </si>
  <si>
    <t>2-s2.0-0009580363</t>
  </si>
  <si>
    <t>['¬© 1992', 'striking similarities', 'spectroscopic data', 'spectroscopic aspects', 'protein interactions', 'pigment arrangement', 'organizing protein', 'novel type', 'chlorosomes represent']</t>
  </si>
  <si>
    <t>The biochemical and spectroscopic evidence supporting the notion that chlorosomes, the main antenna complexes of the green photosynthetic bacterium Chloroflexus aurantiacus represent a novel type of self-organizing protein-free pigment structure are reviewed. The spectroscopic data from two different chlorosome preparations are compared with those of artificial pigment aggregates and the striking similarities in all spectroscopic aspects are discussed. Thus, chlorosomes represent the first known natural antenna structure where pigment-protein interactions do not determine the pigment arrangement. ¬© 1992.</t>
  </si>
  <si>
    <t>61-71</t>
  </si>
  <si>
    <t>60072285;60072285;60072285</t>
  </si>
  <si>
    <t>35501122300;36796558900;7006711511</t>
  </si>
  <si>
    <t>Holzwarth, Alfred R.;Griebenow, Kai;Schaffner, Kurt</t>
  </si>
  <si>
    <t>Mulheim an der Ruhr</t>
  </si>
  <si>
    <t>Max Planck Institute for Chemical Energy Conversion</t>
  </si>
  <si>
    <t>Holzwarth A.</t>
  </si>
  <si>
    <t>Chlorosomes, photosynthetic antennae with novel self-organized pigment structures</t>
  </si>
  <si>
    <t>101060309285032P</t>
  </si>
  <si>
    <t>10.1016/1010-6030(92)85032-P</t>
  </si>
  <si>
    <t>2-s2.0-0002791647</t>
  </si>
  <si>
    <t>Alexander von Humboldt-Stiftung</t>
  </si>
  <si>
    <t>DFG</t>
  </si>
  <si>
    <t>['¬© 1992', 'unilateral excitation', 'single cell', 'reaction centres', 'proposed method', 'photoreceptor potential', 'photoreceptor antenna', 'photoelectric signals', 'oriented cells', 'organisms shows', 'new method', 'mutants ).', 'mechanisms underlying', 'light reception', 'later components', 'general similarity', 'electric signal', 'electric responses', 'directional sensitivity', 'described previously']</t>
  </si>
  <si>
    <t>charge separation | Chlamydomonas | flagellated algae | Haematococcus | ion current | light gradient | mutants | Photoelectric response | photophobic response | phototaxis | receptor potential | regenerative response | sensory transduction</t>
  </si>
  <si>
    <t>A new method for the investigation of electric responses involved in the light reception in microorganisms has been developed. It is based on the detection of photoelectric signals in suspensions of cells (instead of a single cell) by two different techniques: (a) by unilateral excitation of non-oriented cells and (b) after preorientation of the cells (e.g. by gravitaxis or weak, phototactically active light). The method was applied to the flagellated green algae Haematococcus and Chlamydomonas (and several of its mutants). Three main components of the electric signal, which differs in their origin and the mechanisms underlying that registration, were identified. Fast (microsecond) responses reflect charge separation in reaction centres of photosynthesis and are due to the classical light gradient effect on unilateral flash excitation. The later components of the electric signal are involved in photoreception and represent the photoreceptor potential of phototaxis and the calcium-dependent regenerative response. They are measured because of the directional sensitivity of the photoreceptor antenna and the asymmetry of localization of the electric currents involved in the sensory transduction chain. A general similarity between the electric responses in both organisms shows that the sensory transduction chain of photomovements in Chlamydomonas is similar to that described previously for Haematococcus. The advantages of the proposed method are discussed. ¬© 1992.</t>
  </si>
  <si>
    <t>119-134</t>
  </si>
  <si>
    <t>60007457-60012556-60027811;60007457-60027811;60027811;60027811;60012556</t>
  </si>
  <si>
    <t>7003825671;6602110223;7004239734;7005105706;6701322294</t>
  </si>
  <si>
    <t>Sineshchekov, O. A.;Govorunova, E. G.;Der, A.;Keszthelyi, L.;Nultsch, W.</t>
  </si>
  <si>
    <t>Hungary;Germany;Russian Federation</t>
  </si>
  <si>
    <t>Budapest;Marburg;Moscow</t>
  </si>
  <si>
    <t>Magyar Tudomanyos Akademia;Philipps-Universit√§t Marburg;Lomonosov Moscow State University</t>
  </si>
  <si>
    <t>60027811;60012556;60007457</t>
  </si>
  <si>
    <t>Sineshchekov O.A.</t>
  </si>
  <si>
    <t>Photoelectric responses in phototactic flagellated algae measured in cell suspension</t>
  </si>
  <si>
    <t>101113449285051U</t>
  </si>
  <si>
    <t>10.1016/1011-1344(92)85051-U</t>
  </si>
  <si>
    <t>2-s2.0-0026521088</t>
  </si>
  <si>
    <t>['¬© 1992', 'photosystem ii', 'molecular complex', 'internal chlorophyll', 'exchange chromatography', 'crosslinking experiment', 'chromatographic result', 'antenna cp47']</t>
  </si>
  <si>
    <t>Fractionation by anionic-exchange chromatography of an oxygenevolving photosystem II complex solubilized with 10 mM dodecyl maltoside shows the existence of a sovra-molecular complex between the internal chlorophyll a antenna CP47 and the chlorophyll a b minor antenna CP29. The chromatographic result is confirmed by a crosslinking experiment which brings about a binary conjugate formed by CP47 and CP29. The sovra-molecular complex between the two chlorophyll protein-complexes has a low temperature fluorescence emission red shifted with respect to the two isolated antenna components. A possible two arms antenna topology for photosystem II is suggested. ¬© 1992.</t>
  </si>
  <si>
    <t>1094-1100</t>
  </si>
  <si>
    <t>0006291X</t>
  </si>
  <si>
    <t>Biochemical and Biophysical Research Communications</t>
  </si>
  <si>
    <t>60000481;60000481;60000481;60000481</t>
  </si>
  <si>
    <t>6603683440;7003283287;6701344764;16207173300</t>
  </si>
  <si>
    <t>Rigoni, Fernanda;Barbato, Roberto;Friso, Giulia;Giacometti, Giorgio M.</t>
  </si>
  <si>
    <t>Rigoni F.</t>
  </si>
  <si>
    <t>Evidence for direct interaction between the chlorophyll-proteins CP29 and CP47 in photosystem II</t>
  </si>
  <si>
    <t>0006291X9290704O</t>
  </si>
  <si>
    <t>10.1016/0006-291X(92)90704-O</t>
  </si>
  <si>
    <t>2-s2.0-0026724922</t>
  </si>
  <si>
    <t>['various temperatures', 'variable fluorescence', 'two species', 'sugar analyses', 'reaction centres', 'progressive inactivation', 'progressive decline', 'plagiomnium undulatum', 'plagiomnium affine', 'photosystem ii', 'photochemical reaction', 'ontogenetic variation', 'old tissues', 'maximum fluorescence', 'mature ones', 'little impaired', 'leaves cannot', 'kop .,', 'insignificant change', 'higher plants', 'hedw .)', 'fv indicates', 'frost tolerance', 'freeze inactivation', 'fast kinetics', 'energy transfer', 'electron donation', 'constant fluorescence', 'cellular levels', 'antenna pigments']</t>
  </si>
  <si>
    <t>Chlorophyll fluorescence (freezing injury) | Freeze-thaw damage | Photosynthesis (freezing damage) | Plagiomnium | Sugar content (frost hardiness)</t>
  </si>
  <si>
    <t>Shoots of two species of moss, Plagiomnium undulatum (Hedw.) Kop. and Plagiomnium affine (Funck) Kop., were subjected to freezing at various temperatures. After thawing, the activities of different photosynthetic reactions were determined in relation to the ages of the leaves. Analysis of the fast kinetics of chlorophyll-a fluorescence of individual leaves showed that young and old tissues were considerably less frost tolerant than mature ones. In principle, the pattern of freeze inactivation of photosynthetic reactions resembles that observed in higher plants. The decreases in the amplitude of Fv (variable fluorescence) and the ratio of Fv to Fm (maximum fluorescence) with increasing freezing stress reflect a progressive inactivation of photosystem II (PSII)-mediated electron transport, i.e. inhibition of photoreaction to photochemistry and-or electron donation to the photochemical reaction, and thus a decline in the potential photochemical efficiency of PSII. The insignificant change in the F0 (constant fluorescence) level during progressive decline of Fv indicates that the excitation-energy transfer between antenna pigments and from those to reaction centres of PSII was little impaired by lethal freezing stress. Sugar analyses of various stem sections showed that ontogenetic variation in the frost tolerance of leaves cannot be attributed to differences in the cellular levels of sucrose, glucose and fructose. ¬© 1992 Springer-Verlag.</t>
  </si>
  <si>
    <t>224-229</t>
  </si>
  <si>
    <t>Planta</t>
  </si>
  <si>
    <t>60025310;60025310</t>
  </si>
  <si>
    <t>6506179128;6701833153</t>
  </si>
  <si>
    <t>R√ºtten, Dorothea;Santarius, Kurt A.</t>
  </si>
  <si>
    <t>Dusseldorf</t>
  </si>
  <si>
    <t>Heinrich-Heine-Universit√§t D√ºsseldorf</t>
  </si>
  <si>
    <t>R√ºtten D.</t>
  </si>
  <si>
    <t>Age-related differences in frost sensitivity of the photosynthetic apparatus of two Plagiomnium species</t>
  </si>
  <si>
    <t>10.1007/BF00201943</t>
  </si>
  <si>
    <t>2-s2.0-0000596528</t>
  </si>
  <si>
    <t>['time domain', 'three narrow', 'rf antenna', 'radio frequency', 'priority scheme', 'physical properties', 'optical signals', 'noise spectrum', 'magnetospheric mode', 'lrd instrument', 'lightning ).', 'galileo probe', 'frequency domain', 'distant lightning', 'basic characteristics', 'band channels', 'also measure']</t>
  </si>
  <si>
    <t>The Lightning and Radio Emission Detector (LRD) instrument will be carried by the Galileo Probe into Jupiter's atmosphere. The LRD will verify the existence of lightning in the atmosphere and will determine the details of many of its basic characteristics. The instrument, operated in its magnetospheric mode at distances of about 5, 4, 3, and 2 planetary radii from Jupiter's center, will also measure the radio frequency (RF) noise spectrum in Jupiter's magnetosphere. The LRD instrument is composed of a ferritecore radio frequency antenna (‚àº 100 Hz to ‚àº 100 kHz) and two photodiodes mounted behind individual fisheye lenses. The output of the RF antenna is analyzed both separately and in coincidence with the optical signals from the photodiodes. The RF antenna provides data both in the frequency domain (with three narrow-band channels, primarily for deducing the physical properties of distant lightning) and in the time domain with a priority scheme (primarily for determining from individual RF waveforms the physical properties of closeby-lightning). ¬© 1992 Kluwer Academic Publishers.</t>
  </si>
  <si>
    <t>91-109</t>
  </si>
  <si>
    <t>Space Science Reviews</t>
  </si>
  <si>
    <t>60021378-60017695;60017695;60007902;60007902;60010065;60013959;60017695;60007902-60002286</t>
  </si>
  <si>
    <t>7006296097;6603835223;6603444954;6603713851;7003385765;7006300896;7801439412;8128608900</t>
  </si>
  <si>
    <t>Lanzerotti, L. J.;Rinnert, K.;Dehmel, G.;Gliem, F. O.;Krider, E. P.;Uman, M. A.;Umlauft, G.;Bach, J.</t>
  </si>
  <si>
    <t>United States;Germany;United States;United States;Germany;Netherlands</t>
  </si>
  <si>
    <t>Murray;Gottingen;Gainesville;Tucson;Braunschweig;Leiden</t>
  </si>
  <si>
    <t>Nokia Bell Labs;Max Planck Institute for Solar System Research;University of Florida;The University of Arizona;Technische Universit√§t Braunschweig;Airbus Group SE</t>
  </si>
  <si>
    <t>60021378;60017695;60013959;60010065;60007902;60002286</t>
  </si>
  <si>
    <t>Lanzerotti L.</t>
  </si>
  <si>
    <t>The Lightning And Radio Emission Detector (LRD) instrument</t>
  </si>
  <si>
    <t>10.1007/BF00216851</t>
  </si>
  <si>
    <t>2-s2.0-0009607670</t>
  </si>
  <si>
    <t>['structure within', 'specific sensilla', 'small appendage', 'sexual dimorphism', 'olfactory system', 'neuropid areas', 'muscular arrangement', 'located anteriorly', 'lobus masculinus', 'first antenna', 'chemoreceptive function', 'bearing parts']</t>
  </si>
  <si>
    <t>Boreomysis arctica-Boreomysis megalops | Chemoreception | Neomysis integer | Praunus flexuosus (Crustacea) | Sensilla | Sexual dimorphism</t>
  </si>
  <si>
    <t>A sexual dimorphism in the olfactory system of mysids is displayed in male-specific sensilla and neuropid areas. The sensilla are found on the first antenna, either on a small appendage, called the lobus masculinus, or on a structure within the peduncle. In both cases there is a muscular arrangement that is involved in the movement of sensilla-bearing parts. Each sensillum is innervated by one sensory cell whose dendrite develops two unbranched outer dendritic segments; due to their morphology a chemoreceptive function is suggested. The afferents from the bipolar sensory cells converge onto a small neuropil area, found in males only. The neuropil is located anteriorly to each of the paired olfactory lobes. ¬© 1992 Springer-Verlag.</t>
  </si>
  <si>
    <t>359-368</t>
  </si>
  <si>
    <t>7202519528;7006062747</t>
  </si>
  <si>
    <t>Johansson, Kjell U.I.;Hallberg, Eric</t>
  </si>
  <si>
    <t>Johansson K.</t>
  </si>
  <si>
    <t>Male-specific structures in the olfactory system of mysids (Mysidacea; Crustacea)</t>
  </si>
  <si>
    <t>10.1007/BF00318804</t>
  </si>
  <si>
    <t>2-s2.0-0026600169</t>
  </si>
  <si>
    <t>['¬© 1992', 'wherein epimerization', 'using 266', 'uniquely characteristic', 'triplet switch', 'triplet manifold', 'singlet lifetimes', 'rights reserved', 'principal photoreaction', 'pentadiene confirm', 'nm light', 'major consequence', 'ketone moieties', 'intramolecular triplet', 'intramolecular singlet', 'higher fraction', 'greater efficiency', 'epimerization originates', 'energy migration', 'dps group', 'dps antenna', 'direct photolysis', 'complete absence', 'carbonyl groups', 'c11 ketone', 'antenna excitation', 'also evidenced']</t>
  </si>
  <si>
    <t>Photolysis of 3Œ±-(dimethylphenylsiloxy)-5Œ±-androstane-11,17-dione (1) in acetonitrile with triethylamine, using 266-nm light absorbed by the dimethylphenylsiloxy (DPS) chromophore, leads to reduction of the C17 keto group as the principal photoreaction. This contrasts with the direct photolysis of the ketone moieties with 308-nm light, wherein epimerization of ring D is the major consequence and reduction is minimal. Triplet quenching studies with cis-1,3-pentadiene confirm that the reduction is derived from the C17 keto triplet state, while the epimerization originates with the C17 excited singlet state. Photolysis of 3Œ±-(dimethylphenylsiloxy)-5Œ±-androstan-17-one (3) under similar conditions gives qualitatively similar results but with a higher fraction of its epimer using 266-nm light and complete absence of reduction upon direct ketone excitation. Intramolecular singlet/singlet energy transfer (intra-SSET) from the DPS antenna to the carbonyl groups is demonstrable in both substrates by the reduced fluorescence quantum efficiencies and singlet lifetimes of the DPS group in these steroids. The rates of energy migration are ca. 2 √ó 108 and 29 √ó 108 s-1 for 3 and 1, respectively, reflecting the greater efficiency of transfer to the more proximal C11 keto group. Intramolecular triplet/triplet energy transfer (intra-TTET) is also evidenced in 3, for example, by the triplet-derived reduction chemistry at C17 which is uniquely characteristic of the antenna excitation; a through-bond exchange mechanism is proposed. Additional triplet chemistry observed at C17 in the diketone, 1, is rationalized by a conversion from the singlet to the triplet manifold at the C11 ketone (i.e., C11 acts as a singlet/triplet switch) followed by triplet energy migration from C11 to Cl7. ¬© 1992, American Chemical Society. All rights reserved.</t>
  </si>
  <si>
    <t>4119-4128</t>
  </si>
  <si>
    <t>Journal of the American Chemical Society</t>
  </si>
  <si>
    <t>60009254;60009254</t>
  </si>
  <si>
    <t>57191384731;7103158461</t>
  </si>
  <si>
    <t>Zheng-Zhi, Wu;Morrison, Harry</t>
  </si>
  <si>
    <t>Zheng-Zhi W.</t>
  </si>
  <si>
    <t>Antenna-Initiated Photochemistry of Distal Groups in Polyfunctional Steroids. Intramolecular Singlet and Triplet Energy Transfer in 3Œ±-(Dimethylphenylsiloxy)-5Œ±-androstan-17-one and 3Œ±-(Dimethylphenylsiloxy)-5Œ±-androstane- 11,17-dione</t>
  </si>
  <si>
    <t>10.1021/ja00037a013</t>
  </si>
  <si>
    <t>2-s2.0-0026772789</t>
  </si>
  <si>
    <t>['voice communication', 'video services', 'underground mining', 'system formed', 'supervisory control', 'stationary video', 'stationary locations', 'stationary data', 'results achieved', 'paper discusses', 'options considered', 'ontario division', 'observe crushing', 'mobile data', 'mine planning', 'mine monitoring', 'linked together', 'information systems', 'information system', 'inco limited', 'functions supplied', 'field testing', 'field experiment', 'engineering functions', 'data acquisition', 'communication system', 'automated mining']</t>
  </si>
  <si>
    <t>This paper describes recent developments at Inco Limited, Ontario Division, in the field of information systems for automated mining. A CATV cable network has been combined with a broad spectrum radio antenna system to allow the supply of voice, data and video services to underground mining. The system formed the basis of a field experiment at the Copper Cliff North Mine of the Ontario Division in 1990. The experimental information system was developed to supply underground mining with voice, data and video services to mobile and stationary locations. In order to test the communication system, telephones and radios were linked together with the outside phone lines for voice communication. Stationary data was implemented on a SCADA (Supervisory Control and Data Acquisition) system for mine monitoring and control using PLCs (Programmable Logic Controllers), while using personal workstations for the mine planning and engineering functions. Stationary video was installed in the experiment to observe crushing, conveyor transfer points and skip dumping areas. Mobile data and video were tested by the teleoperation of an LHD. The functions supplied to the vehicle were monitored through a computer, with control being maintained through a standard radio interface and real time video pictures for the operation of the machine. This paper discusses the field testing of the information system and results achieved to data. It concludes by discussing the options considered to be open to provide information systems for future automated mining.</t>
  </si>
  <si>
    <t>65-70</t>
  </si>
  <si>
    <t>CIM Bulletin</t>
  </si>
  <si>
    <t>100311664;100311664</t>
  </si>
  <si>
    <t>57214893502;7005555922</t>
  </si>
  <si>
    <t>Baiden, G. R.;Scoble, M.</t>
  </si>
  <si>
    <t>Mississauga</t>
  </si>
  <si>
    <t>Inco Ltd</t>
  </si>
  <si>
    <t>Baiden G.</t>
  </si>
  <si>
    <t>Mine-wide information system development at Inco Limited</t>
  </si>
  <si>
    <t>2-s2.0-0026856861</t>
  </si>
  <si>
    <t>['radio receivers', 'noise matching']</t>
  </si>
  <si>
    <t>The sensitivity or radio receivers (RR) with active loop antennas depends largely on the quality of noise matching of the passive loop antenna (PLA) to the preamplifier. The features of such matching when the antenna is used over a certain frequency band are considered.</t>
  </si>
  <si>
    <t>28-31</t>
  </si>
  <si>
    <t>6507730981;6506126296</t>
  </si>
  <si>
    <t>Lipskiy, V. K.;Moshinskiy, A. E.</t>
  </si>
  <si>
    <t>Matching of a loop antenna to an amplifier over a frequency band</t>
  </si>
  <si>
    <t>2-s2.0-0026857746</t>
  </si>
  <si>
    <t>['theoretical elucidations', 'systematic errors', 'simple loop', 'sae specification', 'radiated emissions', 'low impedance', 'impedance type', 'frequency range', '30 hz', '25 khz']</t>
  </si>
  <si>
    <t>In using a simple loop-antenna for the measurement of low-frequency magnetic fields, systematic errors (of the order of 20%) could arise if a low impedance (50 Œ©) meter is substituted in lieu of a high-impedance type. Nonconsideration of this error in recommended measurement practices and procedures (such as the SAE specification) for radiated emissions is indicated. Theoretical results indicating the systematic error computed over a frequency range of 30 Hz to 25 KHz are presented. Supporting experimental data concerning the loop impedance measurements and the difference in loop-antenna output voltage noticed with low and high impedance meters confirm the theoretical elucidations.</t>
  </si>
  <si>
    <t>136-138</t>
  </si>
  <si>
    <t>7201876510;6603724947;7003941001</t>
  </si>
  <si>
    <t>Roman, John;Ungvichian, Vichate;Neelakanta, Perambur S.</t>
  </si>
  <si>
    <t>Roman J.</t>
  </si>
  <si>
    <t>Effect of low meter impedance on loop-antenna based measurements of magnetic fields</t>
  </si>
  <si>
    <t>10.1109/15.135628</t>
  </si>
  <si>
    <t>2-s2.0-0026866131</t>
  </si>
  <si>
    <t>['two elements', 'theoretical relationships', 'periodic antennas', 'octave bandwidth', 'experimental results', 'electrical phase', 'direction finding']</t>
  </si>
  <si>
    <t>The authors discuss frequency-independent phase comparison interferometry as a method of direction finding. Theoretical relationships are derived that show the electrical phase between two elements of an array can remain approximately constant over frequency. The theory is developed for log-periodic dipole arrays. Design and fabrication of a two-element interferometer using log-periodic antennas are discussed. Experimental results are presented which show that this array remains frequency independent over a three-octave bandwidth.</t>
  </si>
  <si>
    <t>86-92</t>
  </si>
  <si>
    <t>7007026545;7003593918</t>
  </si>
  <si>
    <t>Musselman, Randall L.;Norgard, John D.</t>
  </si>
  <si>
    <t>Musselman R.</t>
  </si>
  <si>
    <t>Frequency invariant interferometry</t>
  </si>
  <si>
    <t>10.1109/15.135620</t>
  </si>
  <si>
    <t>2-s2.0-0026866646</t>
  </si>
  <si>
    <t>['wideband receiver', 'wideband measurements', 'time spectrogams', 'time resolution', 'resolution spectrums', 'real time', 'radio emissions', 'previous measurements', 'normal mode', 'magnetic fields', 'low time', 'increased bandwidth', 'high time', 'frequency resolution', 'fourier transformed', 'electromagnetic waves', 'electric fields', 'either transmitted', 'distinguish electrostatic', 'complete set', '80 khz', '6 mhz', '5 hz', '160 khz', '10 %,']</t>
  </si>
  <si>
    <t>The purpose of the Galileo plasma wave investigation is to study plasma waves and radio emissions in the magnetosphere of Jupiter. The plasma wave instrument uses an electric dipole antenna to detect electric fields, and two search coil magnetic antennas to detect magnetic fields. The frequency range covered is 5 Hz to 5.6 MHz for electric fields and 5 Hz to 160 kHz for magnetic fields. Low time-resolution survey spectrums are provided by three on-board spectrum analyzers. In the normal mode of operation the frequency resolution is about 10%, and the time resolution for a complete set of electric and magnetic field measurements is 37.33 s. High time-resolution spectrums are provided by a wideband receiver. The wideband receiver provides waveform measurements over bandwidths of 1, 10, and 80 kHz. These measurements can be either transmitted to the ground in real time, or stored on the spacecraft tape recorder. On the ground the waveforms are Fourier transformed and displayed as frequency-time spectrogams. Compared to previous measurements at Jupiter this instrument has several new capabilities. These new capabilities include (1) both electric and magnetic field measurements to distinguish electrostatic and electromagnetic waves, (2) direction finding measurements to determine source locations, and (3) increased bandwidth for the wideband measurements. ¬© 1992 Kluwer Academic Publishers.</t>
  </si>
  <si>
    <t>341-355</t>
  </si>
  <si>
    <t>60024324;60024324;;60104081;60104081;60027550;;</t>
  </si>
  <si>
    <t>7007153701;7006701856;23055679900;7101858037;6602094622;6701443253;6603955329;6603780166</t>
  </si>
  <si>
    <t>Gurnett, D. A.;Kurth, W. S.;Shaw, R. R.;Roux, A.;Gendrin, R.;Kennel, C. F.;Scarf, F. L.;Shawhan, S. D.</t>
  </si>
  <si>
    <t>France;United States;United States</t>
  </si>
  <si>
    <t>Issy-les-Moulineaux;Los Angeles;Iowa City</t>
  </si>
  <si>
    <t>Orange Labs;University of California, Los Angeles;University of Iowa</t>
  </si>
  <si>
    <t>60104081;60027550;60024324</t>
  </si>
  <si>
    <t>Gurnett D.A.</t>
  </si>
  <si>
    <t>The Galileo Plasma wave investigation</t>
  </si>
  <si>
    <t>10.1007/BF00216861</t>
  </si>
  <si>
    <t>2-s2.0-34249834343</t>
  </si>
  <si>
    <t>['surface ray', 'shaping parameter', 'ray tracing', 'quadric cylinders', 'mutual admittance', 'desired sharpness', 'common set', 'common approach', 'closed form', 'approach permits']</t>
  </si>
  <si>
    <t>A Geodesic Constant Method (GCM) is outlined which provides a common approach to ray tracing on quadric cylinders in general, and yields all the surface ray-geometric parameters required in the UTD mutual coupling analysis of conformal antenna arrays in the closed form. The approach permits the incorporation of a shaping parameter which permits the modeling of quadric cylindrical surfaces of desired sharpness/flatness with a common set of equations. The mutual admittance between the slots on a general parabolic cylinder is obtained as an illustration of the applicability of the GCM. ¬© 1992 Springer-Verlag.</t>
  </si>
  <si>
    <t>231-235</t>
  </si>
  <si>
    <t>Archiv f√ºr Elektrotechnik</t>
  </si>
  <si>
    <t>7101680121;7005329304</t>
  </si>
  <si>
    <t>Jha, R. M.;Mahapatra, P. R.</t>
  </si>
  <si>
    <t>A geodesic constant method for computing high-frequency mutual coupling between antennas on general quadric cylinders</t>
  </si>
  <si>
    <t>10.1007/BF01574327</t>
  </si>
  <si>
    <t>2-s2.0-34249839152</t>
  </si>
  <si>
    <t>['short lengths', 'microwave frequencies', 'frequent use', 'following contribution', 'electrical properties', 'circuits based', 'circuit design']</t>
  </si>
  <si>
    <t>Oscillators | Patch antennas</t>
  </si>
  <si>
    <t>At microwave frequencies, frequent use is made in circuit design of the electrical properties of short lengths of resistively terminated transmission line. It will be shown in the following contribution that circuits based on high frequency distributed lines can usefully be modelled at low audio frequencies using lumped element lines. ¬© 1992 Plenum Publishing Corporation.</t>
  </si>
  <si>
    <t>713-720</t>
  </si>
  <si>
    <t>Frayne, P. G.</t>
  </si>
  <si>
    <t>Egham</t>
  </si>
  <si>
    <t>Royal Holloway, University of London</t>
  </si>
  <si>
    <t>Frayne P.</t>
  </si>
  <si>
    <t>Experimental modelling of high frequency circuits at low audio frequencies part I</t>
  </si>
  <si>
    <t>10.1007/BF01010693</t>
  </si>
  <si>
    <t>2-s2.0-34249840750</t>
  </si>
  <si>
    <t>['theoretically investigate', 'simple structures', 'printed antennas', 'modes supported', 'harmonic response', 'harmonic generators']</t>
  </si>
  <si>
    <t>microstrip modes | Oscillators</t>
  </si>
  <si>
    <t>In this contribution, the transmission line model for a printed circuit microstrip resonator is used to theoretically investigate the modes supported by simple structures. Computer analysis yields useful information on the harmonic response of resonators that is relevant to the design of printed antennas and harmonic generators. ¬© 1992 Plenum Publishing Corporation.</t>
  </si>
  <si>
    <t>721-731</t>
  </si>
  <si>
    <t>Mode analysis in microstrip resonators part II</t>
  </si>
  <si>
    <t>10.1007/BF01010694</t>
  </si>
  <si>
    <t>2-s2.0-34249842565</t>
  </si>
  <si>
    <t>['¬© 1992', 'unequal powers', 'rights reserved', 'practical two', 'form expressions', 'fading correlation', 'equal power', 'electrical engineers', 'diversity antennas', 'also investigated']</t>
  </si>
  <si>
    <t>Digital communication systems | Fading | Noise | Phase-shift keying</t>
  </si>
  <si>
    <t>Closed-form expressions for the distribution of differential phase noise due to additive white Gaussian noise (AWGN) are derived for predetection selection diversity with independent, equal power very slow Rayleigh fading signals. Also investigated are the effects of fading correlation and unequal powers between diversity antennas on practical two-branch diversity reception. The derived phase distribution is used to calculate the average symbol error rate of 8DPSK as an example. ¬© 1992, The Institution of Electrical Engineers. All rights reserved.</t>
  </si>
  <si>
    <t>898-900</t>
  </si>
  <si>
    <t>7103400688;55411183500</t>
  </si>
  <si>
    <t>Adachi, F.;Sawahashi, M.</t>
  </si>
  <si>
    <t>Differential phase noise distribution of rayleigh faded dpsk signal with selection diversity</t>
  </si>
  <si>
    <t>10.1049/el:19920570</t>
  </si>
  <si>
    <t>2-s2.0-0027114154</t>
  </si>
  <si>
    <t>['¬© 1992', 'small even', 'rights reserved', 'rectangular waveguides', 'narrow slots', 'longitudinal component', 'electrical engineers']</t>
  </si>
  <si>
    <t>Antenna radiation patterns | Waveguides</t>
  </si>
  <si>
    <t>For longitudinal slots cut in rectangular waveguides, the longitudinal component of the aperture electric field is found to be significant when the offset is small even for narrow slots. Ignoring the E-longitudinal component can introduce substantial error in the computed scattering parameters for weakly excited slots. ¬© 1992, The Institution of Electrical Engineers. All rights reserved.</t>
  </si>
  <si>
    <t>909-911</t>
  </si>
  <si>
    <t>60027550;60020975</t>
  </si>
  <si>
    <t>6602250392;56219429900</t>
  </si>
  <si>
    <t>Espino, C. P.;Rengarajan, S. R.</t>
  </si>
  <si>
    <t>Los Angeles;Northridge</t>
  </si>
  <si>
    <t>University of California, Los Angeles;California State University, Northridge</t>
  </si>
  <si>
    <t>Espino C.</t>
  </si>
  <si>
    <t>Longitudinal component of aperture electric field in weakly-excited broadwall slot</t>
  </si>
  <si>
    <t>10.1049/el:19920577</t>
  </si>
  <si>
    <t>2-s2.0-0027114187</t>
  </si>
  <si>
    <t>Armstrong Flight Research Center</t>
  </si>
  <si>
    <t>AFRC</t>
  </si>
  <si>
    <t>['¬© 1992', 'rhodobacter capsulatus', 'redox dependence', 'reaction centre', 'quenching throughout', 'quantum yield', 'photochemical quenching', 'oxygen results', 'outer light', 'inner light', 'harvesting apparatus', 'harvesting antennae', 'fo ).', 'effect fv', 'distinct process', 'dependent inhibition', 'charge separation', 'bacteriochlorophyll fluorescence', 'antenna quenching', 'anaerobic conditions', 'aerobic quenching']</t>
  </si>
  <si>
    <t>bacteriochlorophyll | Chromatophores | fluorescence quenching | photosynthetic bacteria</t>
  </si>
  <si>
    <t>Exposure of chromatophores of Rhodobacter capsulatus to a high light intensity (10 000 ŒºE m-2 s-1) in the presence of oxygen results in non-photochemical quenching of bacteriochlorophyll fluorescence and a decrease in the quantum yield of charge separation at the reaction centre. Several observations support the hypothesis that this is due to the formation of a quencher in the light-harvesting antennae. The relationship between quenching of the maximum fluorescence yield Fm and the dark-level fluorescence yield Fo fits theoretical predictions for antenna quenching, while the decrease in photochemical quantum yield is proportional to the decrease in Fv/Fm (where Fv=Fm-Fo). The number of functional reaction centres appears to be unchanged. No change in redox dependence of charge separation can be detected, suggesting that no damage of the reaction centre occurs. It is suggested that the quencher is formed by the oxidation of some species. Consistent with this, quenching is inhibited by the removal of oxygen. Aerobic quenching can be observed in mutants lacking either the outer light-harvesting complex LHII or both the reaction centre and the inner light-harvesting complex LHI indicative of quenching throughout the light-harvesting apparatus. Under anaerobic conditions there is still some light-dependent inhibition of quantum yield of charge separation by a distinct process that does not effect Fv/Fm. The mechanism of this process is unknown. ¬© 1992.</t>
  </si>
  <si>
    <t>253-265</t>
  </si>
  <si>
    <t>7005880900;8975800000;57203184101</t>
  </si>
  <si>
    <t>Cleland, Robyn E.;Rees, Deborah;Horton, Peter</t>
  </si>
  <si>
    <t>Cleland R.</t>
  </si>
  <si>
    <t>Light-induced fluorescence quenching and loss of photochemistry in chromatophores of photosynthetic purple bacteria</t>
  </si>
  <si>
    <t>1011-1344(92)85065-3</t>
  </si>
  <si>
    <t>10.1016/1011-1344(92)85065-3</t>
  </si>
  <si>
    <t>2-s2.0-0026687478</t>
  </si>
  <si>
    <t>['optimal truncation', 'optical performance', 'heterodyne efficiency', 'gaussian beams', 'coherent lidar', 'cases considered', 'beam profiles', 'apertures illuminated', 'antenna efficiencies']</t>
  </si>
  <si>
    <t>Two earlier computations of the optimal truncation of Gaussian beams for a simple, focused, coherent lidar that used an incoherent backscatter target with identical circular transmitter and receiver apertures differ because they refer to different receiver geometries. The definitions of heterod3me and system- antenna efficiencies are reviewed in hght of the discrepancy and are used to compare the optical performance of systems with apertures illuminated by beam profiles that are not Gaussian. The heterodyne efficiency is less than 0.5 for all cases considered here. ¬© 1992 Optical Society of America.</t>
  </si>
  <si>
    <t>2891-2899</t>
  </si>
  <si>
    <t>60027716;60027716</t>
  </si>
  <si>
    <t>7004241240;7005560706</t>
  </si>
  <si>
    <t>Rye, Barry J.;Frehlich, Rod G.</t>
  </si>
  <si>
    <t>National Oceanic and Atmospheric Administration</t>
  </si>
  <si>
    <t>Rye B.</t>
  </si>
  <si>
    <t>Optimal truncation and optical efficiency of an apertured coherent lidar focused on an incoherent backscatter target</t>
  </si>
  <si>
    <t>10.1364/AO.31.002891</t>
  </si>
  <si>
    <t>2-s2.0-84975648063</t>
  </si>
  <si>
    <t>['¬© 1992', 'single substrate', 'rights reserved', 'rectification units', 'previous linear', 'electrical engineers', 'contiguous dipoles']</t>
  </si>
  <si>
    <t>Antennas | Rectification</t>
  </si>
  <si>
    <t>A dual polarisation rectenna capable of high power handling is described. It consists of contiguous dipoles and rectification units on a single substrate. High efficiencies comparable to previous linear and multiplane dual polarisation devices have been achieved. ¬© 1992 The Institution of Electrical Engineers. All rights reserved.</t>
  </si>
  <si>
    <t>1072-1073</t>
  </si>
  <si>
    <t>6701679723;7402659254</t>
  </si>
  <si>
    <t>Alden, A.;Ohno, T.</t>
  </si>
  <si>
    <t>Alden A.</t>
  </si>
  <si>
    <t>Single foreplane high power rectenna</t>
  </si>
  <si>
    <t>10.1049/el:19920679</t>
  </si>
  <si>
    <t>2-s2.0-0026865729</t>
  </si>
  <si>
    <t>['¬© 1992', 'systolic version', 'rights reserved', 'problem instance', 'many applications', 'electrical engineers', 'computing time', 'ann problem']</t>
  </si>
  <si>
    <t>Systolic arrays</t>
  </si>
  <si>
    <t>The all-nearest-neighbours (ANN) problem has many applications. In the Letter, a linear semisystolic array and its systolic version for the ANN problem are presented. The systolic array improves on previous linear systolic arrays for the problem in the computing time of a problem instance and the block pipelining period of consecutive problem instances. ¬© 1992 The Institution of Electrical Engineers. All rights reserved.</t>
  </si>
  <si>
    <t>1073-1074</t>
  </si>
  <si>
    <t>Lin, Y. C.</t>
  </si>
  <si>
    <t>National Taiwan University of Science and Technology</t>
  </si>
  <si>
    <t>New systolic array for all-nearest-neighbours problem</t>
  </si>
  <si>
    <t>10.1049/el:19920680</t>
  </si>
  <si>
    <t>2-s2.0-0026865760</t>
  </si>
  <si>
    <t>['¬© 1992', 'rights reserved', 'oscillation conditions', 'fet source', 'electrical engineers', 'design criteria', 'cavity consists']</t>
  </si>
  <si>
    <t>Antennas | Field-effect transistors | Oscillators</t>
  </si>
  <si>
    <t>A new radiating oscillator module is presented in which the cavity consists of an FET source and a multilayer slot coupled patch antenna exhibiting either an oscillator or an antenna. Oscillation conditions and design criteria of the structure are studied. Prototype circuits showed 4¬∑81 mW power output and 50 MHz tuning range at 4¬∑893 GHz. ¬© 1992, The Institution of Electrical Engineers. All rights reserved.</t>
  </si>
  <si>
    <t>991-992</t>
  </si>
  <si>
    <t>60031828;60013506;60031828;60031828</t>
  </si>
  <si>
    <t>7404767946;6602956219;7501662188;7006562937</t>
  </si>
  <si>
    <t>Shen, Y.;Fralich, R.;Wu, C.;Litva, J.</t>
  </si>
  <si>
    <t>Hamilton;Edmonton</t>
  </si>
  <si>
    <t>McMaster University;L-3 Communications SPAR Aerospace Limited</t>
  </si>
  <si>
    <t>60031828;60013506</t>
  </si>
  <si>
    <t>Shen Y.</t>
  </si>
  <si>
    <t>Active radiating oscillator using a reflection amplifier module</t>
  </si>
  <si>
    <t>10.1049/el:19920630</t>
  </si>
  <si>
    <t>2-s2.0-0026867480</t>
  </si>
  <si>
    <t>['¬© 1992', 'symmetrically load', 'rights reserved', 'resonant patch', 'pull operation', 'plane crosspolarisation', 'much power', 'electrical engineers', 'dramatic decrease', 'devices results', 'device patch']</t>
  </si>
  <si>
    <t>Antennas | Gunn oscillators | Microstrip</t>
  </si>
  <si>
    <t>An active microstrip patch antenna for quasioptical powercombining arrays is described. The oscillator circuit uses two Gunn diodes which symmetrically load a resonant patch. The symmetry of the structure and the push-pull operation of the devices results in a dramatic decrease in H-plane crosspolarisation, improved copolarisation patterns, and twice as much power as a single-device patch. ¬© 1992, The Institution of Electrical Engineers. All rights reserved.</t>
  </si>
  <si>
    <t>1019-1021</t>
  </si>
  <si>
    <t>60029241;60007776</t>
  </si>
  <si>
    <t>7103208478;7202478023</t>
  </si>
  <si>
    <t>York, R. A.;Compton, R. C.</t>
  </si>
  <si>
    <t>Santa Barbara;Ithaca</t>
  </si>
  <si>
    <t>University of California, Santa Barbara;Cornell University</t>
  </si>
  <si>
    <t>York R.</t>
  </si>
  <si>
    <t>Dual-device active patch antenna with improved radiation characteristics</t>
  </si>
  <si>
    <t>10.1049/el:19920647</t>
  </si>
  <si>
    <t>2-s2.0-0026868472</t>
  </si>
  <si>
    <t>['¬© 1992', 'substrate configuration', 'substrate anisotropy', 'rights reserved', 'printed dipole', 'important parameter', 'electrical engineers', 'crosspolarisation level']</t>
  </si>
  <si>
    <t>Antennas | Microstrip antennas | Polarisation</t>
  </si>
  <si>
    <t>The uniaxial anisotropy effects on the crosspolarisation level (CPL) of a printed dipole in the superstrate-substrate configuration are investigated. It is shown that the substrate anisotropy is more relevant than that of the cover, and is an important parameter to be considered in the design of a low CPL dipole array. ¬© 1992 The Institution of Electrical Engineers. All rights reserved.</t>
  </si>
  <si>
    <t>1050-1051</t>
  </si>
  <si>
    <t>60012729;60021657</t>
  </si>
  <si>
    <t>6603027259;6504350161</t>
  </si>
  <si>
    <t>Cividanes, L.;da Lacava, J. C.S.</t>
  </si>
  <si>
    <t>Sao Jose dos Campos;Sao Jose dos Campos</t>
  </si>
  <si>
    <t>Instituto Tecnologico de Aeronautica;Instituto Nacional de Pesquisas Espaciais</t>
  </si>
  <si>
    <t>60021657;60012729</t>
  </si>
  <si>
    <t>Cividanes L.</t>
  </si>
  <si>
    <t>Uniaxial anisotropy effects on crosspolarisation level of printed dipole in superstrate-substrate configuration</t>
  </si>
  <si>
    <t>10.1049/el:19920665</t>
  </si>
  <si>
    <t>2-s2.0-0026868795</t>
  </si>
  <si>
    <t>['virgin female', 'tunnel bioassays', 'significant numbers', 'moths examined', 'methylene chloride', 'heliothis virescens', 'flower petals', 'floral extracts', 'dispensers treated', 'debracted flowers', 'cotton squares']</t>
  </si>
  <si>
    <t>attractant | cotton | floral extracts | gossypium hirsutum | Heliothis virescens | Lepidoptera | Noctuidae | oviposition | Tobacco budworm</t>
  </si>
  <si>
    <t>Mated and virgin female and virgin male tobacco budworm moths, Heliothis virescens (F.), responded via directed upwind flight in wind-tunnel bioassays to volatiles from floral extracts of cotton, Gossypium hirsutum L. Significantly more male and female moths landed on cloth dispensers treated with a methylene chloride extract of debracted flowers than on control dispensers treated only with methylene chloride. Only mated females landed in significant numbers on the dispensers treated with extract of cotton squares, flowers (including bracts), or flower petals. After landing, most of the moths examined the dispensers by probing with their antennae, proboscis, and/or ovipositor. ¬© 1992 Plenum Publishing Corporation.</t>
  </si>
  <si>
    <t>907-914</t>
  </si>
  <si>
    <t>60103678;60103678</t>
  </si>
  <si>
    <t>7801421263;7201803935</t>
  </si>
  <si>
    <t>Tingle, F. C.;Mitchell, E. R.</t>
  </si>
  <si>
    <t>USDA Agricultural Research Service, Gainesville</t>
  </si>
  <si>
    <t>Tingle F.</t>
  </si>
  <si>
    <t>Attraction of Heliothis virescens (F.) (Lepidoptera: Noctuidae) to volatiles from extracts of cotton flowers</t>
  </si>
  <si>
    <t>10.1007/BF00988331</t>
  </si>
  <si>
    <t>2-s2.0-0000855506</t>
  </si>
  <si>
    <t>['wider application', 'unpolluted area', 'treatments compared', 'studies elsewhere', 'south australia', 'significant correlation', 'results showed', 'procladius paludicola', 'positive relationship', 'natural population', 'menta ).', 'less clear', 'larvae collected', 'laboratory experiments', 'higher incidence', 'generally showed', 'freshwater systems', 'determine whether', 'deformed mouthparts', 'cox creek', 'conducted using', 'chironomus sp', 'chironomid larvae', 'antennal deformities', 'aldgate creek']</t>
  </si>
  <si>
    <t>Australia | Chironomidae | DDT | deformities | pesticides</t>
  </si>
  <si>
    <t>Chironomid larvae (Chironomus spp., Dicrotendipes conjunctus and Procladius paludicola) collected from Cox Creek and Aldgate Creek, South Australia, showed morphological abnormalities similar to those reported in other studies elsewhere in the world. The sediment of Cox Creek contained high concentrations of pesticides and there was a significant correlation between the occurrence of mouthpart and antennal deformities in larvae and the concentration of DDT and the herbicide, Dacthal¬Æ. Laboratory experiments were conducted using a culture of Chironomus sp. to determine whether or not a causal relationship existed between exposure to pesticides and the occurrence of deformities in larvae. Results showed a positive relationship between the concentration of DDT and the percentage of deformed mouthparts (menta). The results for the effect of DDT on antennae and those for the effect of Dachthal¬Æ were less clear, but generally showed a higher incidence of deformity for treatments compared with controls. To compare these results to a natural population (i.e. from an unpolluted area) the incidence of deformities was measured for larvae collected from Deep Creek Conservation Park, an area virtually free of pollution. The significance of this work is discussed with regard to its wider application as a useful environmental monitoring technique for freshwater systems. ¬© 1992 Netherlands Hydrobiological Society.</t>
  </si>
  <si>
    <t>551-557</t>
  </si>
  <si>
    <t>Netherlands Journal of Aquatic Ecology</t>
  </si>
  <si>
    <t>60009512;101944435;101944435;60009512</t>
  </si>
  <si>
    <t>57225422476;16423639700;7103204742;7101987823</t>
  </si>
  <si>
    <t>Madden, C. P.;Suter, P. J.;Nicholson, B. C.;Austin, A. D.</t>
  </si>
  <si>
    <t>Adelaide;Adelaide</t>
  </si>
  <si>
    <t>The University of Adelaide;PMB Salisbury Post Office</t>
  </si>
  <si>
    <t>60009512;101944435</t>
  </si>
  <si>
    <t>Madden C.P.</t>
  </si>
  <si>
    <t>Deformities in chironomid larvae as indicators of pollution (pesticide) stress</t>
  </si>
  <si>
    <t>10.1007/BF02255289</t>
  </si>
  <si>
    <t>2-s2.0-0001455072</t>
  </si>
  <si>
    <t>['would indicate', 'large number', 'fluorescence intensity', 'fdmr spectrum', 'f720 ),', 'f690 emission', 'f690 ),', 'epr values', 'e transitions', 'detection wavelength', 'chlorophyll antennae', '700 nm', '4 cm', '2 k']</t>
  </si>
  <si>
    <t>EPR | FDMR | fluorescence fading | ODMR | P700 | triplet state</t>
  </si>
  <si>
    <t>The Photosystem I reaction centre protein CP1, isolated from barley using polyacrylamide gel electrophoresis showed an EPR (Electron Paramgnetic Resonance) spectrum with the polarisation pattern AEEAAE, typical of the primary donor triplet state 3P700, created via radical pair formation and recombination. 3P700 could also be detected by Fluorescence Detected Magnetic Resonance (FDMR) at Œªf &gt; 700 nm even in the presence of a large number of chlorophyll antennae. Its zero field splitting parameters, D=282.5√ó10-4 cm-1 and E=38.5√ó10-4 cm-1, were independent of the detection wavelength, and agreed with ADMR (Absorption Detected Magnetic Resonance) and EPR values. The signs of the 3P700 D+E and D-E transitions were positive (increase in fluorescence intensity on applying a resonance microwave field). In contrast, in the emission band 685 &lt; Œªf &lt; 700 nm FDMR spectra with negative D+E and D-E transitions were detected, and the D value was wavelength-dependent. These FDMR results support an excitation energy transfer model for CP1, derived from time-resolved fluorescence studies, in which two chlorophyll antenna forms are distinguished, with fluorescence at 685 &lt; Œªf &lt; 700 nm (inner core antennae, F690), and Œªf &gt; 700 nm (low energy antenna sites, F720), in addition to the P700. The FDMR spectrum in F690 emission can be interpreted as that of 3P700, observed via reverse singlet excitation energy transfer and added to the FDMR spectrum of the antenna triplet states generated via intramolecular intersystem crossing. This would indicate that reversible energy transfer between F690 and P700 occurs even at 4.2 K. ¬© 1992 Kluwer Academic Publishers.</t>
  </si>
  <si>
    <t>193-206</t>
  </si>
  <si>
    <t>60004156;60004156</t>
  </si>
  <si>
    <t>7006993297;7003523760</t>
  </si>
  <si>
    <t>Searle, Geoffrey F.W.;Schaafsma, Tjeerd J.</t>
  </si>
  <si>
    <t>Wageningen</t>
  </si>
  <si>
    <t>Wageningen University &amp; Research</t>
  </si>
  <si>
    <t>Searle G.</t>
  </si>
  <si>
    <t>Fluorescence detected magnetic resonance of the primary donor and inner core antenna chlorophyll in Photosystem I reaction centre protein: Sign inversion and energy transfer</t>
  </si>
  <si>
    <t>10.1007/BF00034795</t>
  </si>
  <si>
    <t>2-s2.0-0010676287</t>
  </si>
  <si>
    <t>['tracheal anoxia', 'strongly affected', 'reversible anoxia', 'receptor mechanisms', 'probably related', 'periplaneta americana', 'oxygen lack', 'oxygen cutoff', 'olfactory reception', 'normal conditions', 'microanatomical study', 'intact antenna', 'haemolymphatic vessel', 'gas exchange', 'first step', 'electrical characteristics', 'eag parameters', 'continuously recorded', 'cockroach antenna', 'antenna based']</t>
  </si>
  <si>
    <t>Electrical model | Electroantennogram | Oxygen | Periplaneta americana</t>
  </si>
  <si>
    <t>1. With a view to clarifying the role of oxygen in the olfactory reception of insects, the intact antenna of the male American cockroach (Periplaneta americana) was studied under normal conditions and during reversible anoxia, external or tracheal, using an electroantennogram (EAG) elicited by a sex pheromone stimulation. As a first step, the anatomical and electrical characteristics of the antenna were investigated. 2. Based on the microanatomical study, a cockroach antenna was characterized by structural parameters reflecting the haemolymph and gas exchange in the antenna. Valves in the wall of a haemolymphatic vessel were discovered. 3. The resting dc background voltage (DCBV) and the EAG were continuously recorded and proved to be more strongly affected by tracheal anoxia than by anoxia from the outside. 4. A minimal electrical model of the antenna based on the Thurm-Kaissling-De Kramer equivalent circuit of a sensillum was shown to be valid to explain the origin of the DCBV and EAG as well as their changes after oxygen cutoff and resumption. 5. Two formal opposing processes, excitation and desensitization, probably related to the receptor mechanisms, have been used to interpret the kinetics of the EAG and the effect of anoxia on EAG parameters. The desensitization is thought to be more sensitive to oxygen lack than the excitation. ¬© 1992 Springer-Verlag.</t>
  </si>
  <si>
    <t>651-663</t>
  </si>
  <si>
    <t>Journal of Comparative Physiology A</t>
  </si>
  <si>
    <t>60109558;60109558</t>
  </si>
  <si>
    <t>6507523417;6603692491</t>
  </si>
  <si>
    <t>Kapitskii, Sergej V.;Gribakin, Felix G.</t>
  </si>
  <si>
    <t>Sechenov Institute of Evolutionary Physiology and Biochemistry of the Russian Academy of Sciences</t>
  </si>
  <si>
    <t>Kapitskii S.</t>
  </si>
  <si>
    <t>Electroantennogram of the American cockroach: effect of oxygen and an electrical model</t>
  </si>
  <si>
    <t>10.1007/BF00199341</t>
  </si>
  <si>
    <t>2-s2.0-0026871726</t>
  </si>
  <si>
    <t>['ultrashortwave programs', 'transmitter outputs', 'transmitted television', 'traditional method', 'tower supports', 'television centers', 'primary feeder', 'paper examines', 'minimum separation', 'horizontal plane', 'fabricating antennas', 'devices provide', 'crosstalk attenuation', 'common solution', 'available space', 'applications due', '35 db', '3 mhz', '20 db']</t>
  </si>
  <si>
    <t>The traditional method of increasing the number of transmitted television and ultrashortwave programs is to install additional antennas on the tower supports at television centers. However, this method is not suitable for the majority of applications due to the lack of available space on the supports. A common solution to this situation is to employ frequency multiplexers [1, 2] in the antenna feeder channel which make it possible to connect several independent transmitters to the primary feeder of any antenna. One distinguishing feature of such devices is the constraints on the minimum separation (ŒîF) of the transmitter operating frequencies. For example, such devices provide a crosstalk attenuation between transmitter outputs of greater than 20 dB for ŒîF ‚â• 1.3 MHz in the 87-108 MHz frequency band, and greater than 35 dB for ŒîF ‚â• 16 MHz in the 470-790 MHz frequency band. Hence, the opportunities for introducing new broadcasting channels are limited. This paper examines the possibility of fabricating antennas that are nondirectional in the horizontal plane and to which it is possible to connect transmitters without any limits on the minimum operating frequency spacing.</t>
  </si>
  <si>
    <t>58-64</t>
  </si>
  <si>
    <t>Nosov, Yu N.</t>
  </si>
  <si>
    <t>Nosov Y.N.</t>
  </si>
  <si>
    <t>Antennas for television broadcasting on adjacent frequency channels</t>
  </si>
  <si>
    <t>2-s2.0-0026878694</t>
  </si>
  <si>
    <t>['transmission lines', 'solving internal', 'paper carries', 'functional units', 'first approximation', 'far fields', 'experimental results', 'experimental analysis', 'electrodynamic field', 'directional couplers', 'dielectric lines', 'develop components', '6 ].', '1 ].']</t>
  </si>
  <si>
    <t>Ribbed-dielectric transmission lines (RDL) are finding increasingly wide applications in volume microwave integrated circuits [1]. These lines have been used to develop components for such functional units as directional couplers ]2], phase shifters [3], filter [4], antennas [5], loads [6], etc. A knowledge of the electromagnetic field structure is required when designing the components. A rigorous field calculation involves cumbersome numerical methods of solving internal and external electrodynamic problems of the ribbed-dielectric lines [6]. These solutions can only be tested by comparison with experimental results. Moreover, information on the field distributions makes it possible, to a first approximation, to solve the problems of matching the RDL's to other types of transmission lines, and including active elements and inhomogeneities in such lines. This paper carries out an experimental analysis of the structure of the electrodynamic field of ribbed dielectric lines in the near and far fields.</t>
  </si>
  <si>
    <t>37-39</t>
  </si>
  <si>
    <t>7101700501;6506146595;7006743719;6504711489</t>
  </si>
  <si>
    <t>Gvozdev, V. I.;Girich, S. V.;Ponomarev, I. N.;Sheletina, V. A.</t>
  </si>
  <si>
    <t>Gvozdev V.</t>
  </si>
  <si>
    <t>Ribbed-dielectric transmission line</t>
  </si>
  <si>
    <t>2-s2.0-0026879093</t>
  </si>
  <si>
    <t>['wide use', 'relay links', 'quality cables', 'periscopic systems', 'many cases', 'low losses', 'good matching', 'ghz radio', 'ghz band', 'experimental investigation', 'design features', 'channels based', 'carrying capacity', 'cable feeders', 'appropriate diameter', 'also employed', 'ade antennas', '1 ].']</t>
  </si>
  <si>
    <t>The horn-parabola antennas used on 4- and 6-GHz radio-relay links provide a high carrying capacity when used in conjunction with circular waveguide channels for the H11-mode [1]. Periscopic systems are used in the 2-GHz band, which is also employed on radio-relay links, while ADE antennas 3.5 and 5 m in diameter with cable feeders [2] are used in many cases. Due to their design features, periscopic systems have a limited carrying capacity and the wide use of ADE antennas is hindered by the lack of high-quality cables with good matching and low losses. It should be possible to increase the carrying capacity of radio-relay links by incorporating circular waveguides of appropriate diameter. Since no such waveguides are available, we propose using standard tubes fabricated from 1925 aluminum alloy manufactured in accordance with State Standard GOST 18482-79 as 2-GHz circular waveguides, and report the results of an experimental investigation of channels based on such tubes.</t>
  </si>
  <si>
    <t>65-69</t>
  </si>
  <si>
    <t>Metrikin, A. A.</t>
  </si>
  <si>
    <t>Metrikin A.</t>
  </si>
  <si>
    <t>Waveguide channel for a 2-GHz band radio-relay link with a small number of channels</t>
  </si>
  <si>
    <t>2-s2.0-0026879530</t>
  </si>
  <si>
    <t>['wire cylinders', 'wave reception', 'wave band', 'version employs', 'using high', 'two versions', 'two points', 'subsequently developed', 'subsequently constructed', 'specific points', 'single wavelength', 'several points', 'section antenna', 'second version', 'radiated power', 'paper presents', 'operating wavelength', 'nonfading surface', 'mechanical strength', 'many cases', 'likewise fed', 'installing jumpers', 'high quality', 'high consisting', 'grounded mast', 'feed points', 'extended period', 'experimental studies', 'domestic medium', 'broadcasting purposes', 'antenna sections', 'antenna operates', 'also possible', 'abbreviation arrtz', '4 sections']</t>
  </si>
  <si>
    <t>In domestic medium-wave ratio broadcasting it is necessary in many cases to expand the circular service zones (undirected broadcasting). This problem can be solved by using high-gain antifading antennas. Such antennas can be used to increase the radiated power by a factor of Œµ (where Œµ is the antenna gain), to extend the zone of high quality, nonfading surface-wave reception at night, and to use more efficiently radio frequencies assigned for radio-broadcasting purposes. It is also possible to use large antennas consisting of multiple sections fed in phase at several points. A three-section antenna 320 m high with a controlled current distribution and two feed points was developed in 1971 [1, 2] and was subsequently constructed at one radio center. A more effective antenna 420 m high consisting of 4 sections that was likewise fed at two points [3] was subsequently developed. The sections of this antenna are mounted on a grounded mast to improve its mechanical strength, particularly in regions with increased seismic activity and to provide lightning protection. There are two versions of the four-section antenna. The first version uses custom tuning in the optimal radiation pattern (RP) mode at any operating wavelength in the medium-wave band. In the second version, the antenna is tuned in advance by installing jumpers between the wire cylinders of the antenna and its mast at specific points. This version employs a simpler antenna structure and is recommended in cases where the antenna operates at a single wavelength for an extended period. This paper presents the results of theoretical and experimental studies of the second version of the four-section antenna employing a controlled current distribution fed at two points (the abbreviation ARRTZ-2/4, where 2 is the number of feed points and 4 is the number of antenna sections.</t>
  </si>
  <si>
    <t>50-57</t>
  </si>
  <si>
    <t>7006168226;7101803021;7004885014</t>
  </si>
  <si>
    <t>Belousov, S. P.;Demin, V. N.;Klochkov, A. P.</t>
  </si>
  <si>
    <t>Belousov S.</t>
  </si>
  <si>
    <t>Improved antifading medium-wave antenna</t>
  </si>
  <si>
    <t>2-s2.0-0026879579</t>
  </si>
  <si>
    <t>['two basins', 'shore gradient', 'shore communities', 'seriously affected', 'organic pollution', 'lawrence river', 'laprairie basin', 'lac st', 'ecological succession', 'classic example', 'chironomid communities', '1985 ).']</t>
  </si>
  <si>
    <t>bioindicator communities | Chironomidae | contaminants | ecological succession | trophic state | water quality assessment</t>
  </si>
  <si>
    <t>The effects of contaminants and organic pollution on the chironomid communities of two basins in Lac St. Louis, a river-lake on the St. Lawrence River above Montreal, Quebec, were assessed and compared using lake classification theory techniques and morphological deformity indices based on the ligulae and antennae of Procladius, the dominant surviving component of the south-shore communities. Contaminants from the industrial complex around Beauharnois, Quebec, have seriously degraded communities along the south-shore gradient while the introduction of untreated domestic wastes from Laprairie, Quebec, has seriously affected the communities of the Laprairie basin. The interaction between trophic and contaminant effects constitutes a classic example of the setback or deflection in the trajectory of ecological succession in biological communities hypothesized by ODUM (1981, 1985). ¬© 1992 Netherlands Hydrobiological Society.</t>
  </si>
  <si>
    <t>563-575</t>
  </si>
  <si>
    <t>Warwick, W. F.</t>
  </si>
  <si>
    <t>Gatineau</t>
  </si>
  <si>
    <t>Environment Canada</t>
  </si>
  <si>
    <t>Warwick W.F.</t>
  </si>
  <si>
    <t>The effect of trophic/contaminant interactions on chironomid community structure and succession (Diptera: Chironomidae)</t>
  </si>
  <si>
    <t>10.1007/BF02255291</t>
  </si>
  <si>
    <t>2-s2.0-0141612061</t>
  </si>
  <si>
    <t>['subsequent sucrose', 'spectral properties', 'small amount', 'psii ),', 'protein pattern', 'protein complexes', 'pigment composition', 'photochemical activity', 'major carotenoids', 'higher plants', 'gradient centrifugation', 'fraction cross', 'energy transfer', 'efficient antenna', 'detergent n', 'chlorophyll could', 'antibodies raised', '718 nm', '700 photooxidation', '694 nm', '679 nm', '672 nm', '495 nm', '433 nm']</t>
  </si>
  <si>
    <t>Carotenoid | Chlorophyll protein complex (fluorescence spectroscopy) | Photosystem I, II | Porphyridium (Rhodophyceae)</t>
  </si>
  <si>
    <t>Two green fractions, thought to represent the chlorophyll-antennae of photosystems I (PSI) and II (PSII), were isolated from the red alga Porphyridium purpureum by solubilisation of the thylakoid membranes using the detergent N-lauryl-√ü-iminodipropionate and subsequent sucrose-density-gradient centrifugation. No release of pigments from the pigment-protein complexes was detected during isolation. The fractions were analyzed with respect to their chlorophyll-protein pattern, spectral properties and pigment composition. The supposed PSII antenna fraction contained both the major carotenoids of P. purpureum, Œ≤-carotene and zeaxanthin, and showed a long-wavelength absorption maximum at 672 nm and a low-temperature fluorescence maximum at 692-694 nm. Polypeptides of this fraction cross-reacted with antibodies raised against the PSII polypeptides D1, CP43 and CP47 from higher plants. The PSI fraction could perform P-700 photooxidation and showed a long-wavelength absorbance maximum at 679 nm and a low-temperature fluorescence maximum at 718 nm. It contained Œ≤-carotene as the only carotenoid. The fluorescence excitation spectrum of the fraction and measurements of the photochemical activity of a thylakoid preparation excited with light that is preferentially absorbed either by chlorophyll (433 nm) or by carotenoids (495 nm) indicate that Œ≤-carotene serves as a very efficient antenna-pigment in PSI. In contrast, only a small amount of energy transfer from the carotenoids to chlorophyll could be observed with the supposed PSII fraction. ¬© 1992 Springer-Verlag.</t>
  </si>
  <si>
    <t>372-380</t>
  </si>
  <si>
    <t>60007762;60007762</t>
  </si>
  <si>
    <t>7005368215;6602529217</t>
  </si>
  <si>
    <t>Marquardt, J√ºrgen;Ried, August</t>
  </si>
  <si>
    <t>Frankfurt am Main</t>
  </si>
  <si>
    <t>Goethe-Universit√§t Frankfurt am Main</t>
  </si>
  <si>
    <t>Marquardt J.</t>
  </si>
  <si>
    <t>Fractionation of thylakoid membranes from Porphyridium purpureum using the detergent N-lauryl-Œ≤-iminodipropionate - A study on the chlorophyll-protein and pigment composition of the membrane-intrinsic antenna complexes of a red alga</t>
  </si>
  <si>
    <t>10.1007/BF00195661</t>
  </si>
  <si>
    <t>2-s2.0-0343943204</t>
  </si>
  <si>
    <t>['virgin females', 'trapping tests', 'tetradecenyl acetate', 'tetradecanyl acetate', 'significant difference', 'ostrinia furnacalis', 'oac ),', 'male antennae', 'japan formulation', 'female tips', 'female gland', 'e 12', 'average amount', '7 ng', '47 ),', '2 ).', '143noac ),']</t>
  </si>
  <si>
    <t>14:OAc | E12-14:OAc | Ostrinia furnacalis | Sex pheromone | Z12-14:OAc</t>
  </si>
  <si>
    <t>(E)-12-Tetradecenyl acetate (E12-14:OAc), (Z)-12-tetradecenyl acetate (Z12-143nOAc), and tetradecanyl acetate (14:OAc) were extracted and identified as major chemical components from female tips of the Asian corn borer, Ostrinia furnacalis (H√ºbner) (Lepidoptera: Pyralidae) in Taiwan, with a combined wash ratio of 48:37:15 and an individual female ratio of 45:39:16. The average amount of E12-, Z12-14:OAc and 14:OAc in each female gland was 6.6¬±4.6, 5.8¬±3.5, and 2.4¬±1.7 ng/female, respectively. The mixture of these three synthetic chemicals not only gave strong activities in male antennae but also could catch significantly more males than virgin females in field-trapping tests. The field test also showed no significant difference in trapping ability among the three-component Taiwan formulations, the two-component Taiwan formulation (Z12-14:OAc and Z1214:OAc, 53:47), and the Japan formulation (Z12-14: OAc and E 12-14:OAc, 3:2). ¬© 1992 Plenum Publishing Corporation.</t>
  </si>
  <si>
    <t>833-840</t>
  </si>
  <si>
    <t>60103515;60103515;60103515;60103515;60103515</t>
  </si>
  <si>
    <t>7003942479;7401465237;16424042200;7202904384;55584801496</t>
  </si>
  <si>
    <t>Kou, R.;Ho, H. Y.;Yang, H. T.;Chow, Y. S.;Wu, H. J.</t>
  </si>
  <si>
    <t>Academia Sinica, Institute of Cellular and Organismic Biology</t>
  </si>
  <si>
    <t>Kou R.</t>
  </si>
  <si>
    <t>Investigation of sex pheromone components of female asian corn borer, Ostrinia furnacalis (H√ºbner) (Lepidoptera: Pyralidae) in Taiwan</t>
  </si>
  <si>
    <t>10.1007/BF00988323</t>
  </si>
  <si>
    <t>2-s2.0-0344140484</t>
  </si>
  <si>
    <t>['¬© 1992', 'stochastic processes', 'site ).', 'probability flow', 'occupation probabilities', 'noise assumption', 'molecule aggregate', 'molecular aggregate', 'mean de', 'general method', 'gaussian process', 'excitation time', 'excitation function', 'exact calculation', 'decay channel', 'broad family', 'antenna system']</t>
  </si>
  <si>
    <t>We have investigated the kinetics of excitation in the frame of the conventional Pauli master equation for a molecular aggregate with a decay channel attached to one distinguished molecule (or site). As a principally new feature we assume the rate of probability flow through the decay channel to be a randomly modulated function of time. The modulation is described by a Markoff stochastic process and we do not invoke the white-noise assumption. An exact calculation is given for a broad family of stochastic processes which bridges (and includes) the asymmetric random telegraph signal and the Gaussian process. The general method is then applied in three physically relevant situations: one-molecule aggregate, cyclic-antenna system and infinite linear chain. In these models, we discuss the site-occupation probabilities, the aggregate-excitation function and the mean de-excitation time. ¬© 1992.</t>
  </si>
  <si>
    <t>143-168</t>
  </si>
  <si>
    <t>Physica A: Statistical Mechanics and its Applications</t>
  </si>
  <si>
    <t>60016605;60008134;60008134;60210266</t>
  </si>
  <si>
    <t>6603912258;6701342597;6701496968;6507533330</t>
  </si>
  <si>
    <t>Chvosta, Petr;Aslangul, Claude;Pottier, No√´lle;Saint-James, Daniel</t>
  </si>
  <si>
    <t>France;Czech Republic;France</t>
  </si>
  <si>
    <t>Paris;Prague Praha;Paris</t>
  </si>
  <si>
    <t>Laboratoire de Physique de l‚ÄôEcole Normale Sup√©rieure;Charles University;CNRS Centre National de la Recherche Scientifique</t>
  </si>
  <si>
    <t>60210266;60016605;60008134</t>
  </si>
  <si>
    <t>Chvosta P.</t>
  </si>
  <si>
    <t>Dynamics of excitation in systems with a randomly modulated decay channel</t>
  </si>
  <si>
    <t>037843719290163K</t>
  </si>
  <si>
    <t>10.1016/0378-4371(92)90163-K</t>
  </si>
  <si>
    <t>2-s2.0-0344821771</t>
  </si>
  <si>
    <t>['two versions', 'signal amplitude', 'phase difference', 'experimental study', '3 mm']</t>
  </si>
  <si>
    <t>Result are presented for an experimental study of fluctuations of signal arrival angle and intensity and the crosscorrelation of fluctuations of signal amplitude and phase difference at a wavelength of 8.3 mm at spatially separated antennas for two versions of a 14.5-km sea path. ¬© 1993 Plenum Publishing Corporation.</t>
  </si>
  <si>
    <t>315-317</t>
  </si>
  <si>
    <t>57213795565;7801571062;24341156400;7003556129;6507465597</t>
  </si>
  <si>
    <t>Lobkova, L. M.;Mishareva, N. I.;Is'kiv, V. M.;Stel'makh, V. V.;Dushenko, A. V.</t>
  </si>
  <si>
    <t>Lobkova L.</t>
  </si>
  <si>
    <t>Estimation of time characteristics of millimeter-band signals on sea path at small grazing angles</t>
  </si>
  <si>
    <t>10.1007/BF01041779</t>
  </si>
  <si>
    <t>2-s2.0-34249835034</t>
  </si>
  <si>
    <t>['quadratic limitation', 'principal maximum', 'linear limitation', 'factor vector', 'directivity pattern', 'antenna channels', 'absolute value']</t>
  </si>
  <si>
    <t>The author compares two widely used types of adaptive antenna arrays with linear limitation in the principal maximum of the directivity pattern and quadratic limitation of the absolute value of the weight-factor vector in the antenna channels in the reception of correlated interfering signals. ¬© 1993 Plenum Publishing Corporation.</t>
  </si>
  <si>
    <t>344-348</t>
  </si>
  <si>
    <t>Litvinov, O. S.</t>
  </si>
  <si>
    <t>Litvinov O.S.</t>
  </si>
  <si>
    <t>Comparison of adaptive antenna arrays that employ algorithms for minimization of total noise power with desired-signal protection and limitation of internal-noise level</t>
  </si>
  <si>
    <t>10.1007/BF01041784</t>
  </si>
  <si>
    <t>2-s2.0-34249841696</t>
  </si>
  <si>
    <t>723-728</t>
  </si>
  <si>
    <t>Lipskii, V. K.</t>
  </si>
  <si>
    <t>Lipskii V.</t>
  </si>
  <si>
    <t>Design of broadband pulsed magnetic antennas with constant conversion factor in the frequency band</t>
  </si>
  <si>
    <t>10.1007/BF00977067</t>
  </si>
  <si>
    <t>2-s2.0-34250076832</t>
  </si>
  <si>
    <t>715-722</t>
  </si>
  <si>
    <t>Tokatly, V. I.</t>
  </si>
  <si>
    <t>Tokatly V.</t>
  </si>
  <si>
    <t>Design of an electrodynamic model of a variable electric field meter with dipole antenna</t>
  </si>
  <si>
    <t>10.1007/BF00977066</t>
  </si>
  <si>
    <t>2-s2.0-34250083888</t>
  </si>
  <si>
    <t>['õå 0', '¬© 1992', 'optical society', 'optic architecture', 'high speed', 'features include', '4 œºs']</t>
  </si>
  <si>
    <t>Analog control | Bragg cell | Planar phased-array antenna | Two-dimensional beam scanning</t>
  </si>
  <si>
    <t>An in-line additive acousto-optic architecture for very high speed ( Õå 0.4 Œºs) two-dimensional, phased- array antenna beam scanning is introduced that uses only two independent analog scan control signals. Features include up to Ku band operation, intrapulse beam forming, and multiband, wide (2-GHz) tunable bandwidth capability. ¬© 1992, Optical Society of America.</t>
  </si>
  <si>
    <t>3278-3284</t>
  </si>
  <si>
    <t>Acousto-optic architecture for two-dimensional beam scanning in phased-array antennas</t>
  </si>
  <si>
    <t>10.1364/AO.31.003278</t>
  </si>
  <si>
    <t>2-s2.0-0000113655</t>
  </si>
  <si>
    <t>['source frequency', 'presented using', 'plane waves', 'experimental study', 'conventional antenna', 'collimating aperture', 'also demonstrated', '40 ghz', '29 ghz']</t>
  </si>
  <si>
    <t>A theoretical and experimental study of passive, microwave beam modulation is presented using a planar dielectric multilayer structure in the frequency range 26-40 GHz. The structure is shown to exhibit both spectral and angular filtering properties with respect to plane waves. The same filter is also demonstrated to function as a collimating aperture and apodizer when combined with a conventional antenna. In addition the filter is used to steer a beam through a few degrees of arc by sweeping the source frequency from ~ 27 to ~ 29 GHz. ¬© 1992 IOP Publishing Ltd.</t>
  </si>
  <si>
    <t>1026-1031</t>
  </si>
  <si>
    <t>Chandran, Sathish;Smith, Peter R.</t>
  </si>
  <si>
    <t>Modulation of a Microwave Beam by a Dielectric Multilayer Filter</t>
  </si>
  <si>
    <t>10.1088/0022-3727/25/6/022</t>
  </si>
  <si>
    <t>2-s2.0-0026883850</t>
  </si>
  <si>
    <t>['¬© 1992', 'inner ellipse', 'field distribution']</t>
  </si>
  <si>
    <t>Fraunhofer diffraction field through an elliptical annular aperture is obtained for plane wave incidence when there is offset or tilt of the inner ellipse. The effects are observed through the field distribution. ¬© 1992.</t>
  </si>
  <si>
    <t>207-212</t>
  </si>
  <si>
    <t>Optics Communications</t>
  </si>
  <si>
    <t>60011846;60011846;60011846</t>
  </si>
  <si>
    <t>55628537462;7202459692;55741538100</t>
  </si>
  <si>
    <t>Tanaka, Toshiyuki;Taguchi, Mitsuo;Tanaka, Kazumasa</t>
  </si>
  <si>
    <t>Nagasaki</t>
  </si>
  <si>
    <t>Nagasaki University</t>
  </si>
  <si>
    <t>Tanaka T.</t>
  </si>
  <si>
    <t>Fraunhofer diffraction of a plane wave by an elliptical annular aperture with offset or tilt</t>
  </si>
  <si>
    <t>003040189290261O</t>
  </si>
  <si>
    <t>10.1016/0030-4018(92)90261-O</t>
  </si>
  <si>
    <t>2-s2.0-0026879997</t>
  </si>
  <si>
    <t>['¬© 1992', 'simplified form', 'rights reserved', 'microwave antenna', 'measuring aspects', 'hyperthermia induction', 'electrical engineers', 'biomedical radiometry']</t>
  </si>
  <si>
    <t>Antennas | Biomedical engineering | Microwave antennas</t>
  </si>
  <si>
    <t>A simplified form of the nonresonant perturbation technique is described which is suitable for measuring aspects of the performance of commonly used types of UHF and microwave antenna for biomedical radiometry and hyperthermia induction. ¬© 1992, The Institution of Electrical Engineers. All rights reserved.</t>
  </si>
  <si>
    <t>1190-1191</t>
  </si>
  <si>
    <t>Land, A. V.</t>
  </si>
  <si>
    <t>Glasgow</t>
  </si>
  <si>
    <t>University of Glasgow</t>
  </si>
  <si>
    <t>Land A.</t>
  </si>
  <si>
    <t>Simplified nonresonant perturbation method of measuring aspects of performance of UHF and microwave antennas for biomedical applications</t>
  </si>
  <si>
    <t>10.1049/el:19920752</t>
  </si>
  <si>
    <t>2-s2.0-0026871418</t>
  </si>
  <si>
    <t>['¬© 1992', 'rights reserved', 'electrical engineers', 'deterministic model']</t>
  </si>
  <si>
    <t>Local area networks | Radiocommunication</t>
  </si>
  <si>
    <t>A deterministic model of indoor radio propagation that uses ray tracing techniques is introduced. This model is suitable for analysing the performance of sector antenna systems in an indoor radio environment. Using this model, the effects of sectorisation of the antenna on the data rate limitations of BPSK and BPSK/DFE modems operating in an indoor radio channel are analysed. ¬© 1992, The Institution of Electrical Engineers. All rights reserved.</t>
  </si>
  <si>
    <t>1182-1184</t>
  </si>
  <si>
    <t>60011410;60011410;60011410</t>
  </si>
  <si>
    <t>7405752126;7005949527;7006060145</t>
  </si>
  <si>
    <t>Yang, G.;Pahlavan, K.;Holt, T.</t>
  </si>
  <si>
    <t>Worcester</t>
  </si>
  <si>
    <t>Worcester Polytechnic Institute</t>
  </si>
  <si>
    <t>Yang G.</t>
  </si>
  <si>
    <t>Effects of antenna sectorisation on data rate limitations of indoor radio modems</t>
  </si>
  <si>
    <t>10.1049/el:19920747</t>
  </si>
  <si>
    <t>2-s2.0-0026873804</t>
  </si>
  <si>
    <t>['¬© 1992', 'weak light', 'results suggest', 'ps ii', 'prominently deleted', 'ph 7', 'oxidizing side', 'oxidation site', 'located close', 'lesser extent', 'intrinsic proteins', 'high efficiency', 'degradation products', 'cp43 indicates', 'breakdown process', 'also affected']</t>
  </si>
  <si>
    <t>Chlorophyll protein | CP43 | CP47 | Photoinhibition | PS II | Reaction center | Thylakoid membrane</t>
  </si>
  <si>
    <t>Treatment of spinach Photosystem II membranes by Tris (0.8 M, pH 7.5-10) in weak light (20 ŒºE m2 s1) induced partial deletion of intrinsic proteins of PS II as well as release of three extrinsic proteins and Mn from the membranes. Most prominently deleted was CP43, which was detected by sodium dodecyl sulfate/urea-polyacrylamide gel electrophoresis. D1 and CP47 were also affected by the same treatment but to a lesser extent. Deletion of CP43 did not occur when the PS II membranes were treated with Tris in the dark, or treated in the light in the presence of reductants for PS II. The results suggest that CP43 is located close to the water-oxidation site and is damaged by the oxidizing radicals produced at the oxidizing side of PS II during the Tris-treatment of the PS II membranes in the weak light. Difficulty in detecting the degradation products of CP43 indicates the high efficiency of the breakdown process of the protein. ¬© 1992.</t>
  </si>
  <si>
    <t>293-298</t>
  </si>
  <si>
    <t>Biochimica et Biophysica Acta (BBA)/Protein Structure and Molecular</t>
  </si>
  <si>
    <t>60023147;60023147</t>
  </si>
  <si>
    <t>57192933353;7405516662</t>
  </si>
  <si>
    <t>Mori, Hiroki;Yamamoto, Yasusi</t>
  </si>
  <si>
    <t>Okayama</t>
  </si>
  <si>
    <t>Okayama University</t>
  </si>
  <si>
    <t>Deletion of antenna chlorophyll-a-binding proteins CP43 and CP47 by Tris-treatment of PS II membranes in weak light: Evidence for a photo-degradative effect on the PS II components other than the reaction center-binding proteins</t>
  </si>
  <si>
    <t>016748389290484U</t>
  </si>
  <si>
    <t>10.1016/0167-4838(92)90484-U</t>
  </si>
  <si>
    <t>2-s2.0-0026751756</t>
  </si>
  <si>
    <t>['¬© 1992', 'peaks shifted', 'p700 appears', 'extracted photosystem', 'emission peaks', 'delayed fluorescence', 'absorption peaks', 'absorption peak', '77 k', '701 nm', '696 nm', '686 nm', '679 nm', '4 nm', '273 k']</t>
  </si>
  <si>
    <t>Chlorophyll | Energy transfer | Fluorescence | Photosynthesis | Photosystem 1 | Reaction center</t>
  </si>
  <si>
    <t>The organization of chlorophylls in ether-extracted Photosystem I particles from spinach, which contain 11 chlorophylls per reaction center chlorophyll P700, was studied by analysis of fluorescence at temperatures between 273 and 77 K. P700 appears to emit both prompt and delayed fluorescence, with absorption and emission peaks of P700 at 696 nm and 701 nm, respectively, at 77K. Both peaks shifted by 4 nm to the blue on warming from 77 K to 273 K. Chlorophylls with absorption peaks at 662, 670, 682 and 686 nm at 77 K transfer excitation energy to P700. Chlorophylls with an absorption peak at 676 nm emit fluorescence with a peak at 679 nm at 77 K and do not transfer excitation energy to P700. ¬© 1992.</t>
  </si>
  <si>
    <t>278-284</t>
  </si>
  <si>
    <t>60028586;60028586;60028586</t>
  </si>
  <si>
    <t>7201981957;7006461138;55684257100</t>
  </si>
  <si>
    <t>Iwaki, Masayo;Mimuro, Mamoru;Itoh, Shigeru</t>
  </si>
  <si>
    <t>Iwaki M.</t>
  </si>
  <si>
    <t>Fluorescence of P700 and antenna chlorophylls in Photosystem I particles that contain 11 chlorophylls/P700</t>
  </si>
  <si>
    <t>016748389290482S</t>
  </si>
  <si>
    <t>10.1016/0167-4838(92)90482-S</t>
  </si>
  <si>
    <t>2-s2.0-0026773126</t>
  </si>
  <si>
    <t>SC1 0004-C</t>
  </si>
  <si>
    <t>['¬© 1992', 'subunits resulted', 'similar subunits', 'rhodospirillum rubrum', 'results imply', 'prior extraction', 'odps ).', 'lh1 obtained', 'fluorescence polarization', 'detergent treatment', 'detergent odps', 'detergent n', 'circular dichroism', 'chromatophore membranes', 'buffer containing', 'b820 subunits', 'apparently native', 'absorbance maximum', '845 nm']</t>
  </si>
  <si>
    <t>(Rb. sphaeroides) | (Rs. rubrum) | Bacteriochlorophyll | Energy transfer | Light harvesting complex | Photosynthesis</t>
  </si>
  <si>
    <t>B820 subunits from the light-harvesting complex 1 (LH1) were prepared by treatment of chromatophore membranes from Rhodospirillum rubrum with the detergent n-octyl-rac-2,3-dipropysulfoxide (ODPS). Similar subunits were obtained by dialysis of purified LH1 complexes from Rb. sphaeroides mutant M2192 against a buffer containing the same detergent. In contrast to other methods, no prior extraction of carotenoids is necessary for the preparation of these subunits when using the detergent ODPS. Reassociation of the B820(ODPS) subunits resulted in an apparently native, but carotenoid depleted LH1 complex. The presence of a fourth spectral component, with an absorbance maximum at 845 nm, was demonstrated by fitting the absorbance difference spectra with a sum of gaussians. Results from absorbance, fluorescence polarization, circular dichroism and triplet-singlet spectroscopy indicate that the subunits from LH1 obtained by this method are very similar to the B820 subunit isolated from carotenoid depleted light-harvesting complex 1 by octyl glucoside titration. These results imply that the B820 subunit structure created by detergent treatment is inherent to the structure of the functional LH1 antenna both for Rs. rubrum and Rb. sphaeroides. ¬© 1992.</t>
  </si>
  <si>
    <t>259-266</t>
  </si>
  <si>
    <t>60008734;60001881;60008734;60008734;60001881;60001881;60008734</t>
  </si>
  <si>
    <t>7004878962;7006501888;6603289700;7003691142;57203953084;7402056324;35599806700</t>
  </si>
  <si>
    <t>Visschers, Ronald W.;Nunn, Rashmi;Calkoen, Florentine;van Mourik, Frank;Neil Hunter, C.;Rice, David W.;van Grondelle, Rienk</t>
  </si>
  <si>
    <t>Visschers R.</t>
  </si>
  <si>
    <t>Spectroscopic characterization of B820 subunits from light-harvesting complex I of Rhodospirillum rubrum and Rhodobacter sphaeroides prepared with the detergent n-octyl-rac-2,3-dipropylsulfoxide</t>
  </si>
  <si>
    <t>10.1016/0167-4838(92)90480-2</t>
  </si>
  <si>
    <t>2-s2.0-0026777394</t>
  </si>
  <si>
    <t>['¬© 1992', 'usually comigrating', 'type ii', 'tryptic peptides', 'tomato leaves', 'teminally blocked', 'results indicate', 'peptide sequences', 'page system', 'major chlorophyll', 'lhcii polypeptide', 'improved sds', 'harvesting complex', 'genes encoding', 'gene sequences', 'distinct gene', 'b light', '27 kda', '25 kda', '24 kda']</t>
  </si>
  <si>
    <t>Chlorophyll a/b-(CAB)protein | gene, Type III LHCII | Liglit-harvesting antenna | Lycopersicon</t>
  </si>
  <si>
    <t>Using an improved SDS-PAGE system, the polypeptides of the major chlorophyll a/b light-harvesting complex of PSII (LHCII) from tomato leaves were resolved into five polypeptide bands. All the polypeptides were matched with the genes encoding them by comparing amino acid sequences of tryptic peptides with gene sequences. The two major LHCII bands (usually comigrating as a '27 kDa' polypeptide) were encoded by cab1 and cab3 (Type I LHCII) genes. A third strong band or about 25 kDa was encoded by cab4 (Type II) genes. Polypeptides from two minor bands of 23-24 kDa were not N-teminally blocked; their N-terminal sequences showed they were Type III LHCII proteins. One complete cDNA clone and several incomplete clones for Type III polypeptides were sequenced. Combined with the peptide sequences, the results indicate that there are at least four different Type III genes in tomato, encoding four almost identical polypeptides. Thus, all the LHCII CAB polypeptides have been identified, and each type of LHCII polypeptide is encoded by distinct gene or genes in tomato. ¬© 1992.</t>
  </si>
  <si>
    <t>18-22</t>
  </si>
  <si>
    <t>FEBS Letters</t>
  </si>
  <si>
    <t>60010365;60010365;60010365;60025778</t>
  </si>
  <si>
    <t>7401825069;7401738353;36066918700;7005046349</t>
  </si>
  <si>
    <t>Green, Beverley R.;Shen, Dingren;Aebersold, Ruedi;Pichersky, Eran</t>
  </si>
  <si>
    <t>Ann Arbor;Vancouver</t>
  </si>
  <si>
    <t>University of Michigan, Ann Arbor;The University of British Columbia</t>
  </si>
  <si>
    <t>60025778;60010365</t>
  </si>
  <si>
    <t>Green B.R.</t>
  </si>
  <si>
    <t>Identification of the polypeptides of the major light-harvesting complex of photosystem II (LHCII) with their genes in tomato</t>
  </si>
  <si>
    <t>001457939280646X</t>
  </si>
  <si>
    <t>10.1016/0014-5793(92)80646-X</t>
  </si>
  <si>
    <t>2-s2.0-0026651060</t>
  </si>
  <si>
    <t>weighted matrix_7:3</t>
  </si>
  <si>
    <t>weighted matrix_5:5</t>
  </si>
  <si>
    <t>weighted matrix_3:7</t>
  </si>
  <si>
    <t>if</t>
  </si>
  <si>
    <t>fund_sponsor</t>
  </si>
  <si>
    <t>fund_no</t>
  </si>
  <si>
    <t>fund_acr</t>
  </si>
  <si>
    <t>openaccess</t>
  </si>
  <si>
    <t>max-min</t>
  </si>
  <si>
    <t>citation_norm</t>
  </si>
  <si>
    <t>average_citation</t>
  </si>
  <si>
    <t>citedby_count</t>
  </si>
  <si>
    <t>Rake Keyword</t>
  </si>
  <si>
    <t>authkeywords</t>
  </si>
  <si>
    <t>description</t>
  </si>
  <si>
    <t>pageRange</t>
  </si>
  <si>
    <t>article_number</t>
  </si>
  <si>
    <t>issueIdentifier</t>
  </si>
  <si>
    <t>volume</t>
  </si>
  <si>
    <t>aggregationType</t>
  </si>
  <si>
    <t>eIssn</t>
  </si>
  <si>
    <t>source_id</t>
  </si>
  <si>
    <t>issn</t>
  </si>
  <si>
    <t>sjr_norm</t>
  </si>
  <si>
    <t>sjr</t>
  </si>
  <si>
    <t>publicationName</t>
  </si>
  <si>
    <t>coverDisplayDate</t>
  </si>
  <si>
    <t>Year Gap</t>
  </si>
  <si>
    <t>Year</t>
  </si>
  <si>
    <t>coverDate</t>
  </si>
  <si>
    <t>author_afids</t>
  </si>
  <si>
    <t>author_ids</t>
  </si>
  <si>
    <t>author_names</t>
  </si>
  <si>
    <t>author_count</t>
  </si>
  <si>
    <t>affiliation_country</t>
  </si>
  <si>
    <t>affiliation_city</t>
  </si>
  <si>
    <t>affilname</t>
  </si>
  <si>
    <t>afid</t>
  </si>
  <si>
    <t>creator</t>
  </si>
  <si>
    <t>subtypeDescription</t>
  </si>
  <si>
    <t>subtype</t>
  </si>
  <si>
    <t>title</t>
  </si>
  <si>
    <t>pubmed_id</t>
  </si>
  <si>
    <t>pii</t>
  </si>
  <si>
    <t>doi</t>
  </si>
  <si>
    <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</si>
</sst>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sz val="12"/>
      <color rgb="FFFF0000"/>
      <name val="Calibri"/>
      <family val="2"/>
      <scheme val="minor"/>
    </font>
    <font>
      <b/>
      <sz val="12"/>
      <color theme="1"/>
      <name val="Calibri"/>
      <family val="2"/>
      <scheme val="minor"/>
    </font>
    <font>
      <b/>
      <sz val="12"/>
      <color rgb="FF3F3F76"/>
      <name val="Calibri"/>
      <family val="2"/>
      <scheme val="minor"/>
    </font>
    <font>
      <b/>
      <sz val="11"/>
      <color theme="1"/>
      <name val="Calibri"/>
      <family val="2"/>
      <scheme val="minor"/>
    </font>
    <font>
      <b/>
      <sz val="12"/>
      <color rgb="FF006100"/>
      <name val="Calibri"/>
      <family val="2"/>
      <scheme val="minor"/>
    </font>
    <font>
      <b/>
      <sz val="12"/>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1">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0" fontId="4" fillId="0" borderId="0" xfId="0" applyFont="1"/>
    <xf numFmtId="0" fontId="0" fillId="7" borderId="0" xfId="0" applyFill="1"/>
    <xf numFmtId="0" fontId="6" fillId="0" borderId="1" xfId="3" applyFont="1" applyFill="1"/>
    <xf numFmtId="0" fontId="7" fillId="0" borderId="2" xfId="0" applyFont="1" applyBorder="1" applyAlignment="1">
      <alignment horizontal="center" vertical="top"/>
    </xf>
    <xf numFmtId="0" fontId="5" fillId="0" borderId="0" xfId="0" applyFont="1"/>
    <xf numFmtId="2" fontId="8" fillId="0" borderId="0" xfId="1" applyNumberFormat="1" applyFont="1" applyFill="1"/>
    <xf numFmtId="2" fontId="5" fillId="0" borderId="0" xfId="0" applyNumberFormat="1" applyFont="1"/>
    <xf numFmtId="0" fontId="7" fillId="0" borderId="0" xfId="0" applyFont="1" applyAlignment="1">
      <alignment horizontal="center" vertical="top"/>
    </xf>
    <xf numFmtId="0" fontId="9" fillId="0" borderId="0" xfId="2" applyFont="1" applyFill="1" applyBorder="1" applyAlignment="1">
      <alignment horizontal="center" vertical="top"/>
    </xf>
    <xf numFmtId="164" fontId="5" fillId="0" borderId="0" xfId="0" applyNumberFormat="1" applyFont="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1993"/>
      <sheetName val="1994"/>
      <sheetName val="1995"/>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69F70-FA40-F742-89BE-617931D70BCD}">
  <dimension ref="A1:AW1033"/>
  <sheetViews>
    <sheetView tabSelected="1" topLeftCell="T1" workbookViewId="0">
      <selection activeCell="AO12" sqref="AO12"/>
    </sheetView>
  </sheetViews>
  <sheetFormatPr baseColWidth="10" defaultRowHeight="16" x14ac:dyDescent="0.2"/>
  <sheetData>
    <row r="1" spans="1:49" s="12" customFormat="1" x14ac:dyDescent="0.2">
      <c r="A1" s="15"/>
      <c r="B1" s="15" t="s">
        <v>11581</v>
      </c>
      <c r="C1" s="15" t="s">
        <v>11580</v>
      </c>
      <c r="D1" s="15" t="s">
        <v>11579</v>
      </c>
      <c r="E1" s="15" t="s">
        <v>11578</v>
      </c>
      <c r="F1" s="15" t="s">
        <v>11577</v>
      </c>
      <c r="G1" s="15" t="s">
        <v>11576</v>
      </c>
      <c r="H1" s="15" t="s">
        <v>11575</v>
      </c>
      <c r="I1" s="15" t="s">
        <v>11574</v>
      </c>
      <c r="J1" s="15" t="s">
        <v>11573</v>
      </c>
      <c r="K1" s="15" t="s">
        <v>11572</v>
      </c>
      <c r="L1" s="15" t="s">
        <v>11571</v>
      </c>
      <c r="M1" s="15" t="s">
        <v>11570</v>
      </c>
      <c r="N1" s="15" t="s">
        <v>11569</v>
      </c>
      <c r="O1" s="15" t="s">
        <v>11568</v>
      </c>
      <c r="P1" s="15" t="s">
        <v>11567</v>
      </c>
      <c r="Q1" s="15" t="s">
        <v>11566</v>
      </c>
      <c r="R1" s="20" t="s">
        <v>11565</v>
      </c>
      <c r="S1" s="15" t="s">
        <v>11564</v>
      </c>
      <c r="T1" s="15" t="s">
        <v>11564</v>
      </c>
      <c r="U1" s="15" t="s">
        <v>11563</v>
      </c>
      <c r="V1" s="20" t="s">
        <v>11562</v>
      </c>
      <c r="W1" s="15" t="s">
        <v>11561</v>
      </c>
      <c r="X1" s="14" t="s">
        <v>11560</v>
      </c>
      <c r="Y1" s="19" t="s">
        <v>11559</v>
      </c>
      <c r="Z1" s="18" t="s">
        <v>11544</v>
      </c>
      <c r="AA1" s="15" t="s">
        <v>11558</v>
      </c>
      <c r="AB1" s="15" t="s">
        <v>11557</v>
      </c>
      <c r="AC1" s="15" t="s">
        <v>11556</v>
      </c>
      <c r="AD1" s="15" t="s">
        <v>11555</v>
      </c>
      <c r="AE1" s="15" t="s">
        <v>11554</v>
      </c>
      <c r="AF1" s="15" t="s">
        <v>11553</v>
      </c>
      <c r="AG1" s="15" t="s">
        <v>11552</v>
      </c>
      <c r="AH1" s="15" t="s">
        <v>11551</v>
      </c>
      <c r="AI1" s="15" t="s">
        <v>11550</v>
      </c>
      <c r="AJ1" s="15" t="s">
        <v>11549</v>
      </c>
      <c r="AK1" s="14" t="s">
        <v>11548</v>
      </c>
      <c r="AL1" s="15" t="s">
        <v>11547</v>
      </c>
      <c r="AM1" s="17" t="s">
        <v>11546</v>
      </c>
      <c r="AN1" s="16" t="s">
        <v>11545</v>
      </c>
      <c r="AO1" s="16" t="s">
        <v>11544</v>
      </c>
      <c r="AP1" s="15" t="s">
        <v>11543</v>
      </c>
      <c r="AQ1" s="15" t="s">
        <v>11542</v>
      </c>
      <c r="AR1" s="15" t="s">
        <v>11541</v>
      </c>
      <c r="AS1" s="15" t="s">
        <v>11540</v>
      </c>
      <c r="AT1" s="14" t="s">
        <v>11539</v>
      </c>
      <c r="AU1" s="13" t="s">
        <v>11538</v>
      </c>
      <c r="AV1" s="13" t="s">
        <v>11537</v>
      </c>
      <c r="AW1" s="13" t="s">
        <v>11536</v>
      </c>
    </row>
    <row r="2" spans="1:49" x14ac:dyDescent="0.2">
      <c r="A2">
        <v>0</v>
      </c>
      <c r="B2" t="s">
        <v>11535</v>
      </c>
      <c r="C2" t="s">
        <v>11534</v>
      </c>
      <c r="D2" t="s">
        <v>11533</v>
      </c>
      <c r="E2">
        <v>1633855</v>
      </c>
      <c r="F2" t="s">
        <v>11532</v>
      </c>
      <c r="G2" t="s">
        <v>12</v>
      </c>
      <c r="H2" t="s">
        <v>11</v>
      </c>
      <c r="I2" t="s">
        <v>11531</v>
      </c>
      <c r="J2" t="s">
        <v>11530</v>
      </c>
      <c r="K2" t="s">
        <v>11529</v>
      </c>
      <c r="L2" t="s">
        <v>11528</v>
      </c>
      <c r="M2" t="s">
        <v>3512</v>
      </c>
      <c r="N2">
        <v>4</v>
      </c>
      <c r="O2" t="s">
        <v>11527</v>
      </c>
      <c r="P2" t="s">
        <v>11526</v>
      </c>
      <c r="Q2" t="s">
        <v>11525</v>
      </c>
      <c r="R2" s="7">
        <v>33777</v>
      </c>
      <c r="S2" s="8">
        <f t="shared" ref="S2:S17" si="0">YEAR(R2)</f>
        <v>1992</v>
      </c>
      <c r="T2" s="8">
        <v>1992</v>
      </c>
      <c r="U2" s="8">
        <f t="shared" ref="U2:U17" si="1">2022-T2</f>
        <v>30</v>
      </c>
      <c r="V2" s="7">
        <v>33777</v>
      </c>
      <c r="W2" t="s">
        <v>11524</v>
      </c>
      <c r="X2" s="2">
        <v>1.593</v>
      </c>
      <c r="Y2" s="6">
        <f t="shared" ref="Y2:Y65" si="2">(X2-$Z$4)/($Z$3-$Z$4)</f>
        <v>4.2524225194201973E-2</v>
      </c>
      <c r="AA2">
        <v>145793</v>
      </c>
      <c r="AB2">
        <v>17481</v>
      </c>
      <c r="AD2" t="s">
        <v>4</v>
      </c>
      <c r="AE2">
        <v>305</v>
      </c>
      <c r="AF2">
        <v>1</v>
      </c>
      <c r="AH2" t="s">
        <v>11523</v>
      </c>
      <c r="AI2" t="s">
        <v>11522</v>
      </c>
      <c r="AJ2" t="s">
        <v>11521</v>
      </c>
      <c r="AK2" t="s">
        <v>11520</v>
      </c>
      <c r="AL2">
        <v>26</v>
      </c>
      <c r="AM2" s="5">
        <f t="shared" ref="AM2:AM17" si="3">AL2/U2</f>
        <v>0.8666666666666667</v>
      </c>
      <c r="AN2" s="4">
        <f t="shared" ref="AN2:AN65" si="4">(AM2-$AO$4)/($AO$3-$AO$4)</f>
        <v>1.3126341032437209E-3</v>
      </c>
      <c r="AO2" s="3"/>
      <c r="AP2">
        <v>0</v>
      </c>
      <c r="AR2" t="s">
        <v>0</v>
      </c>
      <c r="AT2" s="2">
        <v>4.1239999999999997</v>
      </c>
      <c r="AU2" s="1">
        <f t="shared" ref="AU2:AU17" si="5">(Y2*0.7+AN2*0.3)*100</f>
        <v>3.0160747866914495</v>
      </c>
      <c r="AV2" s="1">
        <f t="shared" ref="AV2:AV17" si="6">(Y2*0.5+AN2*0.5)*100</f>
        <v>2.1918429648722846</v>
      </c>
      <c r="AW2" s="1">
        <f t="shared" ref="AW2:AW17" si="7">(Y2*0.3+AN2*0.7)*100</f>
        <v>1.3676111430531195</v>
      </c>
    </row>
    <row r="3" spans="1:49" x14ac:dyDescent="0.2">
      <c r="A3">
        <v>1</v>
      </c>
      <c r="B3" t="s">
        <v>11519</v>
      </c>
      <c r="C3" t="s">
        <v>11518</v>
      </c>
      <c r="D3">
        <v>167483892904802</v>
      </c>
      <c r="F3" t="s">
        <v>11517</v>
      </c>
      <c r="G3" t="s">
        <v>12</v>
      </c>
      <c r="H3" t="s">
        <v>11</v>
      </c>
      <c r="I3" t="s">
        <v>11516</v>
      </c>
      <c r="J3" t="s">
        <v>1049</v>
      </c>
      <c r="K3" t="s">
        <v>1048</v>
      </c>
      <c r="L3" t="s">
        <v>1047</v>
      </c>
      <c r="M3" t="s">
        <v>1046</v>
      </c>
      <c r="N3">
        <v>7</v>
      </c>
      <c r="O3" t="s">
        <v>11515</v>
      </c>
      <c r="P3" t="s">
        <v>11514</v>
      </c>
      <c r="Q3" t="s">
        <v>11513</v>
      </c>
      <c r="R3" s="7">
        <v>33774</v>
      </c>
      <c r="S3" s="8">
        <f t="shared" si="0"/>
        <v>1992</v>
      </c>
      <c r="T3" s="8">
        <v>1992</v>
      </c>
      <c r="U3" s="8">
        <f t="shared" si="1"/>
        <v>30</v>
      </c>
      <c r="V3" s="7">
        <v>33774</v>
      </c>
      <c r="W3" t="s">
        <v>11486</v>
      </c>
      <c r="X3" s="2" t="s">
        <v>16</v>
      </c>
      <c r="Y3" s="6" t="e">
        <f t="shared" si="2"/>
        <v>#VALUE!</v>
      </c>
      <c r="Z3">
        <v>37.460999999999999</v>
      </c>
      <c r="AA3">
        <v>1674838</v>
      </c>
      <c r="AB3">
        <v>52056</v>
      </c>
      <c r="AD3" t="s">
        <v>4</v>
      </c>
      <c r="AE3">
        <v>1100</v>
      </c>
      <c r="AF3">
        <v>3</v>
      </c>
      <c r="AH3" t="s">
        <v>11512</v>
      </c>
      <c r="AI3" t="s">
        <v>11511</v>
      </c>
      <c r="AJ3" t="s">
        <v>11510</v>
      </c>
      <c r="AK3" t="s">
        <v>11509</v>
      </c>
      <c r="AL3">
        <v>31</v>
      </c>
      <c r="AM3" s="5">
        <f t="shared" si="3"/>
        <v>1.0333333333333334</v>
      </c>
      <c r="AN3" s="4">
        <f t="shared" si="4"/>
        <v>1.5650637384828981E-3</v>
      </c>
      <c r="AO3" s="3">
        <v>660.25</v>
      </c>
      <c r="AP3">
        <v>0</v>
      </c>
      <c r="AQ3" t="s">
        <v>11183</v>
      </c>
      <c r="AR3" t="s">
        <v>11508</v>
      </c>
      <c r="AS3" t="s">
        <v>11182</v>
      </c>
      <c r="AT3" s="2" t="s">
        <v>16</v>
      </c>
      <c r="AU3" s="1" t="e">
        <f t="shared" si="5"/>
        <v>#VALUE!</v>
      </c>
      <c r="AV3" s="1" t="e">
        <f t="shared" si="6"/>
        <v>#VALUE!</v>
      </c>
      <c r="AW3" s="1" t="e">
        <f t="shared" si="7"/>
        <v>#VALUE!</v>
      </c>
    </row>
    <row r="4" spans="1:49" x14ac:dyDescent="0.2">
      <c r="A4">
        <v>2</v>
      </c>
      <c r="B4" t="s">
        <v>11507</v>
      </c>
      <c r="C4" t="s">
        <v>11506</v>
      </c>
      <c r="D4" t="s">
        <v>11505</v>
      </c>
      <c r="F4" t="s">
        <v>11504</v>
      </c>
      <c r="G4" t="s">
        <v>12</v>
      </c>
      <c r="H4" t="s">
        <v>11</v>
      </c>
      <c r="I4" t="s">
        <v>11503</v>
      </c>
      <c r="J4">
        <v>60028586</v>
      </c>
      <c r="K4" t="s">
        <v>9895</v>
      </c>
      <c r="L4" t="s">
        <v>9894</v>
      </c>
      <c r="M4" t="s">
        <v>151</v>
      </c>
      <c r="N4">
        <v>3</v>
      </c>
      <c r="O4" t="s">
        <v>11502</v>
      </c>
      <c r="P4" t="s">
        <v>11501</v>
      </c>
      <c r="Q4" t="s">
        <v>11500</v>
      </c>
      <c r="R4" s="7">
        <v>33774</v>
      </c>
      <c r="S4" s="8">
        <f t="shared" si="0"/>
        <v>1992</v>
      </c>
      <c r="T4" s="8">
        <v>1992</v>
      </c>
      <c r="U4" s="8">
        <f t="shared" si="1"/>
        <v>30</v>
      </c>
      <c r="V4" s="7">
        <v>33774</v>
      </c>
      <c r="W4" t="s">
        <v>11486</v>
      </c>
      <c r="X4" s="2" t="s">
        <v>16</v>
      </c>
      <c r="Y4" s="6" t="e">
        <f t="shared" si="2"/>
        <v>#VALUE!</v>
      </c>
      <c r="Z4">
        <v>0</v>
      </c>
      <c r="AA4">
        <v>1674838</v>
      </c>
      <c r="AB4">
        <v>52056</v>
      </c>
      <c r="AD4" t="s">
        <v>4</v>
      </c>
      <c r="AE4">
        <v>1100</v>
      </c>
      <c r="AF4">
        <v>3</v>
      </c>
      <c r="AH4" t="s">
        <v>11499</v>
      </c>
      <c r="AI4" t="s">
        <v>11498</v>
      </c>
      <c r="AJ4" t="s">
        <v>11497</v>
      </c>
      <c r="AK4" t="s">
        <v>11496</v>
      </c>
      <c r="AL4">
        <v>20</v>
      </c>
      <c r="AM4" s="5">
        <f t="shared" si="3"/>
        <v>0.66666666666666663</v>
      </c>
      <c r="AN4" s="4">
        <f t="shared" si="4"/>
        <v>1.0097185409567082E-3</v>
      </c>
      <c r="AO4" s="3">
        <v>0</v>
      </c>
      <c r="AP4">
        <v>0</v>
      </c>
      <c r="AR4" t="s">
        <v>0</v>
      </c>
      <c r="AT4" s="2" t="s">
        <v>16</v>
      </c>
      <c r="AU4" s="1" t="e">
        <f t="shared" si="5"/>
        <v>#VALUE!</v>
      </c>
      <c r="AV4" s="1" t="e">
        <f t="shared" si="6"/>
        <v>#VALUE!</v>
      </c>
      <c r="AW4" s="1" t="e">
        <f t="shared" si="7"/>
        <v>#VALUE!</v>
      </c>
    </row>
    <row r="5" spans="1:49" x14ac:dyDescent="0.2">
      <c r="A5">
        <v>3</v>
      </c>
      <c r="B5" t="s">
        <v>11495</v>
      </c>
      <c r="C5" t="s">
        <v>11494</v>
      </c>
      <c r="D5" t="s">
        <v>11493</v>
      </c>
      <c r="F5" t="s">
        <v>11492</v>
      </c>
      <c r="G5" t="s">
        <v>12</v>
      </c>
      <c r="H5" t="s">
        <v>11</v>
      </c>
      <c r="I5" t="s">
        <v>10653</v>
      </c>
      <c r="J5">
        <v>60023147</v>
      </c>
      <c r="K5" t="s">
        <v>11491</v>
      </c>
      <c r="L5" t="s">
        <v>11490</v>
      </c>
      <c r="M5" t="s">
        <v>151</v>
      </c>
      <c r="N5">
        <v>2</v>
      </c>
      <c r="O5" t="s">
        <v>11489</v>
      </c>
      <c r="P5" t="s">
        <v>11488</v>
      </c>
      <c r="Q5" t="s">
        <v>11487</v>
      </c>
      <c r="R5" s="7">
        <v>33774</v>
      </c>
      <c r="S5" s="8">
        <f t="shared" si="0"/>
        <v>1992</v>
      </c>
      <c r="T5" s="8">
        <v>1992</v>
      </c>
      <c r="U5" s="8">
        <f t="shared" si="1"/>
        <v>30</v>
      </c>
      <c r="V5" s="7">
        <v>33774</v>
      </c>
      <c r="W5" t="s">
        <v>11486</v>
      </c>
      <c r="X5" s="2" t="s">
        <v>16</v>
      </c>
      <c r="Y5" s="6" t="e">
        <f t="shared" si="2"/>
        <v>#VALUE!</v>
      </c>
      <c r="AA5">
        <v>1674838</v>
      </c>
      <c r="AB5">
        <v>52056</v>
      </c>
      <c r="AD5" t="s">
        <v>4</v>
      </c>
      <c r="AE5">
        <v>1100</v>
      </c>
      <c r="AF5">
        <v>3</v>
      </c>
      <c r="AH5" t="s">
        <v>11485</v>
      </c>
      <c r="AI5" t="s">
        <v>11484</v>
      </c>
      <c r="AJ5" t="s">
        <v>11483</v>
      </c>
      <c r="AK5" t="s">
        <v>11482</v>
      </c>
      <c r="AL5">
        <v>11</v>
      </c>
      <c r="AM5" s="5">
        <f t="shared" si="3"/>
        <v>0.36666666666666664</v>
      </c>
      <c r="AN5" s="4">
        <f t="shared" si="4"/>
        <v>5.5534519752618958E-4</v>
      </c>
      <c r="AO5" s="3"/>
      <c r="AP5">
        <v>0</v>
      </c>
      <c r="AR5" t="s">
        <v>0</v>
      </c>
      <c r="AT5" s="2" t="s">
        <v>16</v>
      </c>
      <c r="AU5" s="1" t="e">
        <f t="shared" si="5"/>
        <v>#VALUE!</v>
      </c>
      <c r="AV5" s="1" t="e">
        <f t="shared" si="6"/>
        <v>#VALUE!</v>
      </c>
      <c r="AW5" s="1" t="e">
        <f t="shared" si="7"/>
        <v>#VALUE!</v>
      </c>
    </row>
    <row r="6" spans="1:49" x14ac:dyDescent="0.2">
      <c r="A6">
        <v>4</v>
      </c>
      <c r="B6" t="s">
        <v>11481</v>
      </c>
      <c r="C6" t="s">
        <v>11480</v>
      </c>
      <c r="F6" t="s">
        <v>11479</v>
      </c>
      <c r="G6" t="s">
        <v>12</v>
      </c>
      <c r="H6" t="s">
        <v>11</v>
      </c>
      <c r="I6" t="s">
        <v>11478</v>
      </c>
      <c r="J6">
        <v>60011410</v>
      </c>
      <c r="K6" t="s">
        <v>11477</v>
      </c>
      <c r="L6" t="s">
        <v>11476</v>
      </c>
      <c r="M6" t="s">
        <v>7</v>
      </c>
      <c r="N6">
        <v>3</v>
      </c>
      <c r="O6" t="s">
        <v>11475</v>
      </c>
      <c r="P6" t="s">
        <v>11474</v>
      </c>
      <c r="Q6" t="s">
        <v>11473</v>
      </c>
      <c r="R6" s="7">
        <v>33773</v>
      </c>
      <c r="S6" s="8">
        <f t="shared" si="0"/>
        <v>1992</v>
      </c>
      <c r="T6" s="8">
        <v>1992</v>
      </c>
      <c r="U6" s="8">
        <f t="shared" si="1"/>
        <v>30</v>
      </c>
      <c r="V6" s="7">
        <v>33773</v>
      </c>
      <c r="W6" t="s">
        <v>599</v>
      </c>
      <c r="X6" s="2">
        <v>0.375</v>
      </c>
      <c r="Y6" s="6">
        <f t="shared" si="2"/>
        <v>1.0010410827260351E-2</v>
      </c>
      <c r="AA6">
        <v>135194</v>
      </c>
      <c r="AB6">
        <v>24918</v>
      </c>
      <c r="AD6" t="s">
        <v>4</v>
      </c>
      <c r="AE6">
        <v>28</v>
      </c>
      <c r="AF6">
        <v>13</v>
      </c>
      <c r="AH6" t="s">
        <v>11472</v>
      </c>
      <c r="AI6" t="s">
        <v>11471</v>
      </c>
      <c r="AJ6" t="s">
        <v>11470</v>
      </c>
      <c r="AK6" t="s">
        <v>11469</v>
      </c>
      <c r="AL6">
        <v>3</v>
      </c>
      <c r="AM6" s="5">
        <f t="shared" si="3"/>
        <v>0.1</v>
      </c>
      <c r="AN6" s="4">
        <f t="shared" si="4"/>
        <v>1.5145778114350627E-4</v>
      </c>
      <c r="AO6" s="3"/>
      <c r="AP6">
        <v>0</v>
      </c>
      <c r="AR6" t="s">
        <v>0</v>
      </c>
      <c r="AT6" s="2">
        <v>1.3140000000000001</v>
      </c>
      <c r="AU6" s="1">
        <f t="shared" si="5"/>
        <v>0.70527249134252978</v>
      </c>
      <c r="AV6" s="1">
        <f t="shared" si="6"/>
        <v>0.50809343042019284</v>
      </c>
      <c r="AW6" s="1">
        <f t="shared" si="7"/>
        <v>0.31091436949785595</v>
      </c>
    </row>
    <row r="7" spans="1:49" x14ac:dyDescent="0.2">
      <c r="A7">
        <v>5</v>
      </c>
      <c r="B7" t="s">
        <v>11468</v>
      </c>
      <c r="C7" t="s">
        <v>11467</v>
      </c>
      <c r="F7" t="s">
        <v>11466</v>
      </c>
      <c r="G7" t="s">
        <v>12</v>
      </c>
      <c r="H7" t="s">
        <v>11</v>
      </c>
      <c r="I7" t="s">
        <v>11465</v>
      </c>
      <c r="J7">
        <v>60001490</v>
      </c>
      <c r="K7" t="s">
        <v>11464</v>
      </c>
      <c r="L7" t="s">
        <v>11463</v>
      </c>
      <c r="M7" t="s">
        <v>856</v>
      </c>
      <c r="N7">
        <v>1</v>
      </c>
      <c r="O7" t="s">
        <v>11462</v>
      </c>
      <c r="P7">
        <v>57194914830</v>
      </c>
      <c r="Q7">
        <v>60001490</v>
      </c>
      <c r="R7" s="7">
        <v>33773</v>
      </c>
      <c r="S7" s="8">
        <f t="shared" si="0"/>
        <v>1992</v>
      </c>
      <c r="T7" s="8">
        <v>1992</v>
      </c>
      <c r="U7" s="8">
        <f t="shared" si="1"/>
        <v>30</v>
      </c>
      <c r="V7" s="7">
        <v>33773</v>
      </c>
      <c r="W7" t="s">
        <v>599</v>
      </c>
      <c r="X7" s="2">
        <v>0.375</v>
      </c>
      <c r="Y7" s="6">
        <f t="shared" si="2"/>
        <v>1.0010410827260351E-2</v>
      </c>
      <c r="AA7">
        <v>135194</v>
      </c>
      <c r="AB7">
        <v>24918</v>
      </c>
      <c r="AD7" t="s">
        <v>4</v>
      </c>
      <c r="AE7">
        <v>28</v>
      </c>
      <c r="AF7">
        <v>13</v>
      </c>
      <c r="AH7" t="s">
        <v>11461</v>
      </c>
      <c r="AI7" t="s">
        <v>11460</v>
      </c>
      <c r="AJ7" t="s">
        <v>11459</v>
      </c>
      <c r="AK7" t="s">
        <v>11458</v>
      </c>
      <c r="AL7">
        <v>0</v>
      </c>
      <c r="AM7" s="5">
        <f t="shared" si="3"/>
        <v>0</v>
      </c>
      <c r="AN7" s="4">
        <f t="shared" si="4"/>
        <v>0</v>
      </c>
      <c r="AO7" s="3"/>
      <c r="AP7">
        <v>0</v>
      </c>
      <c r="AR7" t="s">
        <v>0</v>
      </c>
      <c r="AT7" s="2">
        <v>1.3140000000000001</v>
      </c>
      <c r="AU7" s="1">
        <f t="shared" si="5"/>
        <v>0.70072875790822453</v>
      </c>
      <c r="AV7" s="1">
        <f t="shared" si="6"/>
        <v>0.5005205413630176</v>
      </c>
      <c r="AW7" s="1">
        <f t="shared" si="7"/>
        <v>0.30031232481781051</v>
      </c>
    </row>
    <row r="8" spans="1:49" x14ac:dyDescent="0.2">
      <c r="A8">
        <v>6</v>
      </c>
      <c r="B8" t="s">
        <v>11457</v>
      </c>
      <c r="C8" t="s">
        <v>11456</v>
      </c>
      <c r="D8" t="s">
        <v>11455</v>
      </c>
      <c r="F8" t="s">
        <v>11454</v>
      </c>
      <c r="G8" t="s">
        <v>12</v>
      </c>
      <c r="H8" t="s">
        <v>11</v>
      </c>
      <c r="I8" t="s">
        <v>11453</v>
      </c>
      <c r="J8">
        <v>60011846</v>
      </c>
      <c r="K8" t="s">
        <v>11452</v>
      </c>
      <c r="L8" t="s">
        <v>11451</v>
      </c>
      <c r="M8" t="s">
        <v>151</v>
      </c>
      <c r="N8">
        <v>3</v>
      </c>
      <c r="O8" t="s">
        <v>11450</v>
      </c>
      <c r="P8" t="s">
        <v>11449</v>
      </c>
      <c r="Q8" t="s">
        <v>11448</v>
      </c>
      <c r="R8" s="7">
        <v>33770</v>
      </c>
      <c r="S8" s="8">
        <f t="shared" si="0"/>
        <v>1992</v>
      </c>
      <c r="T8" s="8">
        <v>1992</v>
      </c>
      <c r="U8" s="8">
        <f t="shared" si="1"/>
        <v>30</v>
      </c>
      <c r="V8" s="7">
        <v>33770</v>
      </c>
      <c r="W8" t="s">
        <v>11447</v>
      </c>
      <c r="X8" s="2">
        <v>0.625</v>
      </c>
      <c r="Y8" s="6">
        <f t="shared" si="2"/>
        <v>1.6684018045433919E-2</v>
      </c>
      <c r="AA8">
        <v>304018</v>
      </c>
      <c r="AB8">
        <v>12352</v>
      </c>
      <c r="AD8" t="s">
        <v>4</v>
      </c>
      <c r="AE8">
        <v>90</v>
      </c>
      <c r="AF8" s="9">
        <v>44351</v>
      </c>
      <c r="AH8" t="s">
        <v>11446</v>
      </c>
      <c r="AI8" t="s">
        <v>11445</v>
      </c>
      <c r="AK8" t="s">
        <v>11444</v>
      </c>
      <c r="AL8">
        <v>5</v>
      </c>
      <c r="AM8" s="5">
        <f t="shared" si="3"/>
        <v>0.16666666666666666</v>
      </c>
      <c r="AN8" s="4">
        <f t="shared" si="4"/>
        <v>2.5242963523917705E-4</v>
      </c>
      <c r="AO8" s="3"/>
      <c r="AP8">
        <v>0</v>
      </c>
      <c r="AR8" t="s">
        <v>0</v>
      </c>
      <c r="AT8" s="2">
        <v>2.31</v>
      </c>
      <c r="AU8" s="1">
        <f t="shared" si="5"/>
        <v>1.1754541522375495</v>
      </c>
      <c r="AV8" s="1">
        <f t="shared" si="6"/>
        <v>0.84682238403365473</v>
      </c>
      <c r="AW8" s="1">
        <f t="shared" si="7"/>
        <v>0.51819061582976</v>
      </c>
    </row>
    <row r="9" spans="1:49" x14ac:dyDescent="0.2">
      <c r="A9">
        <v>7</v>
      </c>
      <c r="B9" t="s">
        <v>11443</v>
      </c>
      <c r="C9" t="s">
        <v>11442</v>
      </c>
      <c r="F9" t="s">
        <v>11441</v>
      </c>
      <c r="G9" t="s">
        <v>12</v>
      </c>
      <c r="H9" t="s">
        <v>11</v>
      </c>
      <c r="I9" t="s">
        <v>3873</v>
      </c>
      <c r="J9">
        <v>60000891</v>
      </c>
      <c r="K9" t="s">
        <v>3022</v>
      </c>
      <c r="L9" t="s">
        <v>3021</v>
      </c>
      <c r="M9" t="s">
        <v>856</v>
      </c>
      <c r="N9">
        <v>2</v>
      </c>
      <c r="O9" t="s">
        <v>11440</v>
      </c>
      <c r="P9" t="s">
        <v>3871</v>
      </c>
      <c r="Q9" t="s">
        <v>3018</v>
      </c>
      <c r="R9" s="7">
        <v>33769</v>
      </c>
      <c r="S9" s="8">
        <f t="shared" si="0"/>
        <v>1992</v>
      </c>
      <c r="T9" s="8">
        <v>1992</v>
      </c>
      <c r="U9" s="8">
        <f t="shared" si="1"/>
        <v>30</v>
      </c>
      <c r="V9" s="7">
        <v>33769</v>
      </c>
      <c r="W9" t="s">
        <v>10211</v>
      </c>
      <c r="X9" s="2">
        <v>0.85699999999999998</v>
      </c>
      <c r="Y9" s="6">
        <f t="shared" si="2"/>
        <v>2.287712554389899E-2</v>
      </c>
      <c r="AA9">
        <v>223727</v>
      </c>
      <c r="AB9">
        <v>28570</v>
      </c>
      <c r="AC9">
        <v>13616463</v>
      </c>
      <c r="AD9" t="s">
        <v>4</v>
      </c>
      <c r="AE9">
        <v>25</v>
      </c>
      <c r="AF9">
        <v>6</v>
      </c>
      <c r="AH9" t="s">
        <v>11439</v>
      </c>
      <c r="AI9" t="s">
        <v>11438</v>
      </c>
      <c r="AK9" t="s">
        <v>11437</v>
      </c>
      <c r="AL9">
        <v>3</v>
      </c>
      <c r="AM9" s="5">
        <f t="shared" si="3"/>
        <v>0.1</v>
      </c>
      <c r="AN9" s="4">
        <f t="shared" si="4"/>
        <v>1.5145778114350627E-4</v>
      </c>
      <c r="AO9" s="3"/>
      <c r="AP9">
        <v>0</v>
      </c>
      <c r="AR9" t="s">
        <v>0</v>
      </c>
      <c r="AT9" s="2" t="s">
        <v>16</v>
      </c>
      <c r="AU9" s="1">
        <f t="shared" si="5"/>
        <v>1.6059425215072345</v>
      </c>
      <c r="AV9" s="1">
        <f t="shared" si="6"/>
        <v>1.1514291662521248</v>
      </c>
      <c r="AW9" s="1">
        <f t="shared" si="7"/>
        <v>0.69691581099701516</v>
      </c>
    </row>
    <row r="10" spans="1:49" x14ac:dyDescent="0.2">
      <c r="A10">
        <v>8</v>
      </c>
      <c r="B10" t="s">
        <v>11436</v>
      </c>
      <c r="C10" t="s">
        <v>11435</v>
      </c>
      <c r="F10" t="s">
        <v>11434</v>
      </c>
      <c r="G10" t="s">
        <v>12</v>
      </c>
      <c r="H10" t="s">
        <v>11</v>
      </c>
      <c r="I10" t="s">
        <v>2947</v>
      </c>
      <c r="J10">
        <v>60021211</v>
      </c>
      <c r="K10" t="s">
        <v>2946</v>
      </c>
      <c r="L10" t="s">
        <v>2945</v>
      </c>
      <c r="M10" t="s">
        <v>7</v>
      </c>
      <c r="N10">
        <v>1</v>
      </c>
      <c r="O10" t="s">
        <v>2944</v>
      </c>
      <c r="P10">
        <v>7103231658</v>
      </c>
      <c r="Q10">
        <v>60021211</v>
      </c>
      <c r="R10" s="7">
        <v>33765</v>
      </c>
      <c r="S10" s="8">
        <f t="shared" si="0"/>
        <v>1992</v>
      </c>
      <c r="T10" s="8">
        <v>1992</v>
      </c>
      <c r="U10" s="8">
        <f t="shared" si="1"/>
        <v>30</v>
      </c>
      <c r="V10" s="7">
        <v>33765</v>
      </c>
      <c r="W10" t="s">
        <v>9736</v>
      </c>
      <c r="X10" s="2">
        <v>0.66800000000000004</v>
      </c>
      <c r="Y10" s="6">
        <f t="shared" si="2"/>
        <v>1.7831878486959774E-2</v>
      </c>
      <c r="AA10" t="s">
        <v>9735</v>
      </c>
      <c r="AB10">
        <v>29593</v>
      </c>
      <c r="AC10">
        <v>21553165</v>
      </c>
      <c r="AD10" t="s">
        <v>4</v>
      </c>
      <c r="AE10">
        <v>31</v>
      </c>
      <c r="AF10">
        <v>17</v>
      </c>
      <c r="AH10" t="s">
        <v>11433</v>
      </c>
      <c r="AI10" t="s">
        <v>11432</v>
      </c>
      <c r="AJ10" t="s">
        <v>11431</v>
      </c>
      <c r="AK10" t="s">
        <v>11430</v>
      </c>
      <c r="AL10">
        <v>9</v>
      </c>
      <c r="AM10" s="5">
        <f t="shared" si="3"/>
        <v>0.3</v>
      </c>
      <c r="AN10" s="4">
        <f t="shared" si="4"/>
        <v>4.5437334343051872E-4</v>
      </c>
      <c r="AO10" s="3"/>
      <c r="AP10">
        <v>0</v>
      </c>
      <c r="AR10" t="s">
        <v>0</v>
      </c>
      <c r="AT10" s="2">
        <v>1.98</v>
      </c>
      <c r="AU10" s="1">
        <f t="shared" si="5"/>
        <v>1.2618626943900997</v>
      </c>
      <c r="AV10" s="1">
        <f t="shared" si="6"/>
        <v>0.91431259151951461</v>
      </c>
      <c r="AW10" s="1">
        <f t="shared" si="7"/>
        <v>0.56676248864892953</v>
      </c>
    </row>
    <row r="11" spans="1:49" x14ac:dyDescent="0.2">
      <c r="A11">
        <v>9</v>
      </c>
      <c r="B11" t="s">
        <v>11429</v>
      </c>
      <c r="C11" t="s">
        <v>11428</v>
      </c>
      <c r="F11" t="s">
        <v>11427</v>
      </c>
      <c r="G11" t="s">
        <v>12</v>
      </c>
      <c r="H11" t="s">
        <v>11</v>
      </c>
      <c r="I11" t="s">
        <v>11426</v>
      </c>
      <c r="N11">
        <v>1</v>
      </c>
      <c r="O11" t="s">
        <v>11425</v>
      </c>
      <c r="P11">
        <v>6701453221</v>
      </c>
      <c r="R11" s="7">
        <v>33756</v>
      </c>
      <c r="S11" s="8">
        <f t="shared" si="0"/>
        <v>1992</v>
      </c>
      <c r="T11" s="8">
        <v>1992</v>
      </c>
      <c r="U11" s="8">
        <f t="shared" si="1"/>
        <v>30</v>
      </c>
      <c r="V11" s="7">
        <v>33756</v>
      </c>
      <c r="W11" t="s">
        <v>10929</v>
      </c>
      <c r="X11" s="2">
        <v>0.14899999999999999</v>
      </c>
      <c r="Y11" s="6">
        <f t="shared" si="2"/>
        <v>3.977469902031446E-3</v>
      </c>
      <c r="AA11">
        <v>5431972</v>
      </c>
      <c r="AB11">
        <v>15425</v>
      </c>
      <c r="AC11">
        <v>15738906</v>
      </c>
      <c r="AD11" t="s">
        <v>4</v>
      </c>
      <c r="AE11">
        <v>35</v>
      </c>
      <c r="AF11">
        <v>6</v>
      </c>
      <c r="AH11" t="s">
        <v>11424</v>
      </c>
      <c r="AL11">
        <v>0</v>
      </c>
      <c r="AM11" s="5">
        <f t="shared" si="3"/>
        <v>0</v>
      </c>
      <c r="AN11" s="4">
        <f t="shared" si="4"/>
        <v>0</v>
      </c>
      <c r="AO11" s="3"/>
      <c r="AP11">
        <v>0</v>
      </c>
      <c r="AR11" t="s">
        <v>0</v>
      </c>
      <c r="AT11" s="2" t="s">
        <v>16</v>
      </c>
      <c r="AU11" s="1">
        <f t="shared" si="5"/>
        <v>0.2784228931422012</v>
      </c>
      <c r="AV11" s="1">
        <f t="shared" si="6"/>
        <v>0.19887349510157229</v>
      </c>
      <c r="AW11" s="1">
        <f t="shared" si="7"/>
        <v>0.11932409706094337</v>
      </c>
    </row>
    <row r="12" spans="1:49" x14ac:dyDescent="0.2">
      <c r="A12">
        <v>10</v>
      </c>
      <c r="B12" t="s">
        <v>11423</v>
      </c>
      <c r="C12" t="s">
        <v>11422</v>
      </c>
      <c r="F12" t="s">
        <v>11421</v>
      </c>
      <c r="G12" t="s">
        <v>12</v>
      </c>
      <c r="H12" t="s">
        <v>11</v>
      </c>
      <c r="I12" t="s">
        <v>11420</v>
      </c>
      <c r="N12">
        <v>1</v>
      </c>
      <c r="O12" t="s">
        <v>11419</v>
      </c>
      <c r="P12">
        <v>6603526791</v>
      </c>
      <c r="R12" s="7">
        <v>33756</v>
      </c>
      <c r="S12" s="8">
        <f t="shared" si="0"/>
        <v>1992</v>
      </c>
      <c r="T12" s="8">
        <v>1992</v>
      </c>
      <c r="U12" s="8">
        <f t="shared" si="1"/>
        <v>30</v>
      </c>
      <c r="V12" s="7">
        <v>33756</v>
      </c>
      <c r="W12" t="s">
        <v>10929</v>
      </c>
      <c r="X12" s="2">
        <v>0.14899999999999999</v>
      </c>
      <c r="Y12" s="6">
        <f t="shared" si="2"/>
        <v>3.977469902031446E-3</v>
      </c>
      <c r="AA12">
        <v>5431972</v>
      </c>
      <c r="AB12">
        <v>15425</v>
      </c>
      <c r="AC12">
        <v>15738906</v>
      </c>
      <c r="AD12" t="s">
        <v>4</v>
      </c>
      <c r="AE12">
        <v>35</v>
      </c>
      <c r="AF12">
        <v>6</v>
      </c>
      <c r="AH12" t="s">
        <v>11418</v>
      </c>
      <c r="AL12">
        <v>0</v>
      </c>
      <c r="AM12" s="5">
        <f t="shared" si="3"/>
        <v>0</v>
      </c>
      <c r="AN12" s="4">
        <f t="shared" si="4"/>
        <v>0</v>
      </c>
      <c r="AO12" s="3"/>
      <c r="AP12">
        <v>0</v>
      </c>
      <c r="AR12" t="s">
        <v>0</v>
      </c>
      <c r="AT12" s="2" t="s">
        <v>16</v>
      </c>
      <c r="AU12" s="1">
        <f t="shared" si="5"/>
        <v>0.2784228931422012</v>
      </c>
      <c r="AV12" s="1">
        <f t="shared" si="6"/>
        <v>0.19887349510157229</v>
      </c>
      <c r="AW12" s="1">
        <f t="shared" si="7"/>
        <v>0.11932409706094337</v>
      </c>
    </row>
    <row r="13" spans="1:49" x14ac:dyDescent="0.2">
      <c r="A13">
        <v>11</v>
      </c>
      <c r="B13" t="s">
        <v>11417</v>
      </c>
      <c r="C13" t="s">
        <v>11416</v>
      </c>
      <c r="F13" t="s">
        <v>11415</v>
      </c>
      <c r="G13" t="s">
        <v>12</v>
      </c>
      <c r="H13" t="s">
        <v>11</v>
      </c>
      <c r="I13" t="s">
        <v>11414</v>
      </c>
      <c r="N13">
        <v>1</v>
      </c>
      <c r="O13" t="s">
        <v>11413</v>
      </c>
      <c r="P13">
        <v>57222049411</v>
      </c>
      <c r="R13" s="7">
        <v>33756</v>
      </c>
      <c r="S13" s="8">
        <f t="shared" si="0"/>
        <v>1992</v>
      </c>
      <c r="T13" s="8">
        <v>1992</v>
      </c>
      <c r="U13" s="8">
        <f t="shared" si="1"/>
        <v>30</v>
      </c>
      <c r="V13" s="7">
        <v>33756</v>
      </c>
      <c r="W13" t="s">
        <v>10468</v>
      </c>
      <c r="X13" s="2">
        <v>0.318</v>
      </c>
      <c r="Y13" s="6">
        <f t="shared" si="2"/>
        <v>8.4888283815167786E-3</v>
      </c>
      <c r="AA13">
        <v>338443</v>
      </c>
      <c r="AB13">
        <v>27160</v>
      </c>
      <c r="AC13">
        <v>15739120</v>
      </c>
      <c r="AD13" t="s">
        <v>4</v>
      </c>
      <c r="AE13">
        <v>35</v>
      </c>
      <c r="AF13" s="9">
        <v>44383</v>
      </c>
      <c r="AH13" t="s">
        <v>11412</v>
      </c>
      <c r="AI13" t="s">
        <v>11411</v>
      </c>
      <c r="AK13" t="s">
        <v>11410</v>
      </c>
      <c r="AL13">
        <v>0</v>
      </c>
      <c r="AM13" s="5">
        <f t="shared" si="3"/>
        <v>0</v>
      </c>
      <c r="AN13" s="4">
        <f t="shared" si="4"/>
        <v>0</v>
      </c>
      <c r="AO13" s="3"/>
      <c r="AP13">
        <v>0</v>
      </c>
      <c r="AR13" t="s">
        <v>0</v>
      </c>
      <c r="AT13" s="2">
        <v>0.77</v>
      </c>
      <c r="AU13" s="1">
        <f t="shared" si="5"/>
        <v>0.59421798670617454</v>
      </c>
      <c r="AV13" s="1">
        <f t="shared" si="6"/>
        <v>0.42444141907583893</v>
      </c>
      <c r="AW13" s="1">
        <f t="shared" si="7"/>
        <v>0.25466485144550338</v>
      </c>
    </row>
    <row r="14" spans="1:49" x14ac:dyDescent="0.2">
      <c r="A14">
        <v>12</v>
      </c>
      <c r="B14" t="s">
        <v>11409</v>
      </c>
      <c r="C14" t="s">
        <v>11408</v>
      </c>
      <c r="F14" t="s">
        <v>11407</v>
      </c>
      <c r="G14" t="s">
        <v>12</v>
      </c>
      <c r="H14" t="s">
        <v>11</v>
      </c>
      <c r="I14" t="s">
        <v>11406</v>
      </c>
      <c r="N14">
        <v>5</v>
      </c>
      <c r="O14" t="s">
        <v>11405</v>
      </c>
      <c r="P14" t="s">
        <v>11404</v>
      </c>
      <c r="Q14" t="s">
        <v>2445</v>
      </c>
      <c r="R14" s="7">
        <v>33756</v>
      </c>
      <c r="S14" s="8">
        <f t="shared" si="0"/>
        <v>1992</v>
      </c>
      <c r="T14" s="8">
        <v>1992</v>
      </c>
      <c r="U14" s="8">
        <f t="shared" si="1"/>
        <v>30</v>
      </c>
      <c r="V14" s="7">
        <v>33756</v>
      </c>
      <c r="W14" t="s">
        <v>10468</v>
      </c>
      <c r="X14" s="2">
        <v>0.318</v>
      </c>
      <c r="Y14" s="6">
        <f t="shared" si="2"/>
        <v>8.4888283815167786E-3</v>
      </c>
      <c r="AA14">
        <v>338443</v>
      </c>
      <c r="AB14">
        <v>27160</v>
      </c>
      <c r="AC14">
        <v>15739120</v>
      </c>
      <c r="AD14" t="s">
        <v>4</v>
      </c>
      <c r="AE14">
        <v>35</v>
      </c>
      <c r="AF14" s="9">
        <v>44383</v>
      </c>
      <c r="AH14" t="s">
        <v>11403</v>
      </c>
      <c r="AI14" t="s">
        <v>11402</v>
      </c>
      <c r="AK14" t="s">
        <v>11401</v>
      </c>
      <c r="AL14">
        <v>0</v>
      </c>
      <c r="AM14" s="5">
        <f t="shared" si="3"/>
        <v>0</v>
      </c>
      <c r="AN14" s="4">
        <f t="shared" si="4"/>
        <v>0</v>
      </c>
      <c r="AO14" s="3"/>
      <c r="AP14">
        <v>0</v>
      </c>
      <c r="AR14" t="s">
        <v>0</v>
      </c>
      <c r="AT14" s="2">
        <v>0.77</v>
      </c>
      <c r="AU14" s="1">
        <f t="shared" si="5"/>
        <v>0.59421798670617454</v>
      </c>
      <c r="AV14" s="1">
        <f t="shared" si="6"/>
        <v>0.42444141907583893</v>
      </c>
      <c r="AW14" s="1">
        <f t="shared" si="7"/>
        <v>0.25466485144550338</v>
      </c>
    </row>
    <row r="15" spans="1:49" x14ac:dyDescent="0.2">
      <c r="A15">
        <v>13</v>
      </c>
      <c r="B15" t="s">
        <v>11400</v>
      </c>
      <c r="C15" t="s">
        <v>11399</v>
      </c>
      <c r="D15" t="s">
        <v>11398</v>
      </c>
      <c r="F15" t="s">
        <v>11397</v>
      </c>
      <c r="G15" t="s">
        <v>12</v>
      </c>
      <c r="H15" t="s">
        <v>11</v>
      </c>
      <c r="I15" t="s">
        <v>11396</v>
      </c>
      <c r="J15" t="s">
        <v>11395</v>
      </c>
      <c r="K15" t="s">
        <v>11394</v>
      </c>
      <c r="L15" t="s">
        <v>11393</v>
      </c>
      <c r="M15" t="s">
        <v>11392</v>
      </c>
      <c r="N15">
        <v>4</v>
      </c>
      <c r="O15" t="s">
        <v>11391</v>
      </c>
      <c r="P15" t="s">
        <v>11390</v>
      </c>
      <c r="Q15" t="s">
        <v>11389</v>
      </c>
      <c r="R15" s="7">
        <v>33756</v>
      </c>
      <c r="S15" s="8">
        <f t="shared" si="0"/>
        <v>1992</v>
      </c>
      <c r="T15" s="8">
        <v>1992</v>
      </c>
      <c r="U15" s="8">
        <f t="shared" si="1"/>
        <v>30</v>
      </c>
      <c r="V15" s="7">
        <v>33756</v>
      </c>
      <c r="W15" t="s">
        <v>11388</v>
      </c>
      <c r="X15" s="2">
        <v>0.64</v>
      </c>
      <c r="Y15" s="6">
        <f t="shared" si="2"/>
        <v>1.7084434478524334E-2</v>
      </c>
      <c r="AA15">
        <v>3784371</v>
      </c>
      <c r="AB15">
        <v>29115</v>
      </c>
      <c r="AD15" t="s">
        <v>4</v>
      </c>
      <c r="AE15">
        <v>184</v>
      </c>
      <c r="AF15" s="9">
        <v>44228</v>
      </c>
      <c r="AH15" t="s">
        <v>11387</v>
      </c>
      <c r="AI15" t="s">
        <v>11386</v>
      </c>
      <c r="AK15" t="s">
        <v>11385</v>
      </c>
      <c r="AL15">
        <v>2</v>
      </c>
      <c r="AM15" s="5">
        <f t="shared" si="3"/>
        <v>6.6666666666666666E-2</v>
      </c>
      <c r="AN15" s="4">
        <f t="shared" si="4"/>
        <v>1.0097185409567084E-4</v>
      </c>
      <c r="AO15" s="3"/>
      <c r="AP15">
        <v>0</v>
      </c>
      <c r="AR15" t="s">
        <v>0</v>
      </c>
      <c r="AT15" s="2" t="s">
        <v>16</v>
      </c>
      <c r="AU15" s="1">
        <f t="shared" si="5"/>
        <v>1.1989395691195734</v>
      </c>
      <c r="AV15" s="1">
        <f t="shared" si="6"/>
        <v>0.85927031663100029</v>
      </c>
      <c r="AW15" s="1">
        <f t="shared" si="7"/>
        <v>0.51960106414242702</v>
      </c>
    </row>
    <row r="16" spans="1:49" x14ac:dyDescent="0.2">
      <c r="A16">
        <v>14</v>
      </c>
      <c r="B16" t="s">
        <v>11384</v>
      </c>
      <c r="C16" t="s">
        <v>11383</v>
      </c>
      <c r="F16" t="s">
        <v>11382</v>
      </c>
      <c r="G16" t="s">
        <v>12</v>
      </c>
      <c r="H16" t="s">
        <v>11</v>
      </c>
      <c r="I16" t="s">
        <v>11381</v>
      </c>
      <c r="J16">
        <v>60103515</v>
      </c>
      <c r="K16" t="s">
        <v>11380</v>
      </c>
      <c r="L16" t="s">
        <v>6096</v>
      </c>
      <c r="M16" t="s">
        <v>3610</v>
      </c>
      <c r="N16">
        <v>5</v>
      </c>
      <c r="O16" t="s">
        <v>11379</v>
      </c>
      <c r="P16" t="s">
        <v>11378</v>
      </c>
      <c r="Q16" t="s">
        <v>11377</v>
      </c>
      <c r="R16" s="7">
        <v>33756</v>
      </c>
      <c r="S16" s="8">
        <f t="shared" si="0"/>
        <v>1992</v>
      </c>
      <c r="T16" s="8">
        <v>1992</v>
      </c>
      <c r="U16" s="8">
        <f t="shared" si="1"/>
        <v>30</v>
      </c>
      <c r="V16" s="7">
        <v>33756</v>
      </c>
      <c r="W16" t="s">
        <v>10572</v>
      </c>
      <c r="X16" s="2">
        <v>0.85499999999999998</v>
      </c>
      <c r="Y16" s="6">
        <f t="shared" si="2"/>
        <v>2.28237366861536E-2</v>
      </c>
      <c r="AA16">
        <v>980331</v>
      </c>
      <c r="AB16">
        <v>23342</v>
      </c>
      <c r="AC16">
        <v>15731561</v>
      </c>
      <c r="AD16" t="s">
        <v>4</v>
      </c>
      <c r="AE16">
        <v>18</v>
      </c>
      <c r="AF16">
        <v>6</v>
      </c>
      <c r="AH16" t="s">
        <v>11376</v>
      </c>
      <c r="AI16" t="s">
        <v>11375</v>
      </c>
      <c r="AJ16" t="s">
        <v>11374</v>
      </c>
      <c r="AK16" t="s">
        <v>11373</v>
      </c>
      <c r="AL16">
        <v>21</v>
      </c>
      <c r="AM16" s="5">
        <f t="shared" si="3"/>
        <v>0.7</v>
      </c>
      <c r="AN16" s="4">
        <f t="shared" si="4"/>
        <v>1.0602044680045437E-3</v>
      </c>
      <c r="AO16" s="3"/>
      <c r="AP16">
        <v>0</v>
      </c>
      <c r="AR16" t="s">
        <v>0</v>
      </c>
      <c r="AT16" s="2">
        <v>2.6259999999999999</v>
      </c>
      <c r="AU16" s="1">
        <f t="shared" si="5"/>
        <v>1.6294677020708883</v>
      </c>
      <c r="AV16" s="1">
        <f t="shared" si="6"/>
        <v>1.1941970577079071</v>
      </c>
      <c r="AW16" s="1">
        <f t="shared" si="7"/>
        <v>0.75892641334492605</v>
      </c>
    </row>
    <row r="17" spans="1:49" x14ac:dyDescent="0.2">
      <c r="A17">
        <v>15</v>
      </c>
      <c r="B17" t="s">
        <v>11372</v>
      </c>
      <c r="C17" t="s">
        <v>11371</v>
      </c>
      <c r="F17" t="s">
        <v>11370</v>
      </c>
      <c r="G17" t="s">
        <v>12</v>
      </c>
      <c r="H17" t="s">
        <v>11</v>
      </c>
      <c r="I17" t="s">
        <v>11369</v>
      </c>
      <c r="J17">
        <v>60007762</v>
      </c>
      <c r="K17" t="s">
        <v>11368</v>
      </c>
      <c r="L17" t="s">
        <v>11367</v>
      </c>
      <c r="M17" t="s">
        <v>817</v>
      </c>
      <c r="N17">
        <v>2</v>
      </c>
      <c r="O17" t="s">
        <v>11366</v>
      </c>
      <c r="P17" t="s">
        <v>11365</v>
      </c>
      <c r="Q17" t="s">
        <v>11364</v>
      </c>
      <c r="R17" s="7">
        <v>33756</v>
      </c>
      <c r="S17" s="8">
        <f t="shared" si="0"/>
        <v>1992</v>
      </c>
      <c r="T17" s="8">
        <v>1992</v>
      </c>
      <c r="U17" s="8">
        <f t="shared" si="1"/>
        <v>30</v>
      </c>
      <c r="V17" s="7">
        <v>33756</v>
      </c>
      <c r="W17" t="s">
        <v>11036</v>
      </c>
      <c r="X17" s="2">
        <v>1.2529999999999999</v>
      </c>
      <c r="Y17" s="6">
        <f t="shared" si="2"/>
        <v>3.3448119377485916E-2</v>
      </c>
      <c r="AA17">
        <v>320935</v>
      </c>
      <c r="AB17">
        <v>16646</v>
      </c>
      <c r="AC17">
        <v>14322048</v>
      </c>
      <c r="AD17" t="s">
        <v>4</v>
      </c>
      <c r="AE17">
        <v>187</v>
      </c>
      <c r="AF17">
        <v>3</v>
      </c>
      <c r="AH17" t="s">
        <v>11363</v>
      </c>
      <c r="AI17" t="s">
        <v>11362</v>
      </c>
      <c r="AJ17" t="s">
        <v>11361</v>
      </c>
      <c r="AK17" t="s">
        <v>11360</v>
      </c>
      <c r="AL17">
        <v>8</v>
      </c>
      <c r="AM17" s="5">
        <f t="shared" si="3"/>
        <v>0.26666666666666666</v>
      </c>
      <c r="AN17" s="4">
        <f t="shared" si="4"/>
        <v>4.0388741638268334E-4</v>
      </c>
      <c r="AO17" s="3"/>
      <c r="AP17">
        <v>0</v>
      </c>
      <c r="AR17" t="s">
        <v>0</v>
      </c>
      <c r="AT17" s="2">
        <v>4.1159999999999997</v>
      </c>
      <c r="AU17" s="1">
        <f t="shared" si="5"/>
        <v>2.3534849789154944</v>
      </c>
      <c r="AV17" s="1">
        <f t="shared" si="6"/>
        <v>1.6926003396934299</v>
      </c>
      <c r="AW17" s="1">
        <f t="shared" si="7"/>
        <v>1.0317157004713651</v>
      </c>
    </row>
    <row r="18" spans="1:49" x14ac:dyDescent="0.2">
      <c r="A18">
        <v>16</v>
      </c>
      <c r="B18" t="s">
        <v>11359</v>
      </c>
      <c r="C18" t="s">
        <v>11358</v>
      </c>
      <c r="F18" t="s">
        <v>11357</v>
      </c>
      <c r="G18" t="s">
        <v>12</v>
      </c>
      <c r="H18" t="s">
        <v>11</v>
      </c>
      <c r="I18" t="s">
        <v>11356</v>
      </c>
      <c r="J18">
        <v>60000673</v>
      </c>
      <c r="K18" t="s">
        <v>11355</v>
      </c>
      <c r="L18" t="s">
        <v>11354</v>
      </c>
      <c r="M18" t="s">
        <v>393</v>
      </c>
      <c r="N18">
        <v>1</v>
      </c>
      <c r="O18" t="s">
        <v>11353</v>
      </c>
      <c r="P18">
        <v>7005209825</v>
      </c>
      <c r="Q18">
        <v>60000673</v>
      </c>
      <c r="R18" s="7">
        <v>33756</v>
      </c>
      <c r="S18" s="8">
        <f t="shared" ref="S18:S81" si="8">YEAR(R18)</f>
        <v>1992</v>
      </c>
      <c r="T18" s="8">
        <v>1992</v>
      </c>
      <c r="U18" s="8">
        <f t="shared" ref="U18:U81" si="9">2022-T18</f>
        <v>30</v>
      </c>
      <c r="V18" s="7">
        <v>33756</v>
      </c>
      <c r="W18" t="s">
        <v>11282</v>
      </c>
      <c r="X18" s="2" t="s">
        <v>16</v>
      </c>
      <c r="Y18" s="6" t="e">
        <f t="shared" si="2"/>
        <v>#VALUE!</v>
      </c>
      <c r="AA18">
        <v>13808427</v>
      </c>
      <c r="AB18">
        <v>94154</v>
      </c>
      <c r="AC18">
        <v>15735125</v>
      </c>
      <c r="AD18" t="s">
        <v>4</v>
      </c>
      <c r="AE18">
        <v>26</v>
      </c>
      <c r="AF18" s="9">
        <v>44288</v>
      </c>
      <c r="AH18" t="s">
        <v>11352</v>
      </c>
      <c r="AI18" t="s">
        <v>11351</v>
      </c>
      <c r="AJ18" t="s">
        <v>11350</v>
      </c>
      <c r="AK18" t="s">
        <v>11349</v>
      </c>
      <c r="AL18">
        <v>10</v>
      </c>
      <c r="AM18" s="5">
        <f t="shared" ref="AM18:AM81" si="10">AL18/U18</f>
        <v>0.33333333333333331</v>
      </c>
      <c r="AN18" s="4">
        <f t="shared" si="4"/>
        <v>5.048592704783541E-4</v>
      </c>
      <c r="AO18" s="3"/>
      <c r="AP18">
        <v>0</v>
      </c>
      <c r="AR18" t="s">
        <v>0</v>
      </c>
      <c r="AT18" s="2" t="s">
        <v>16</v>
      </c>
      <c r="AU18" s="1" t="e">
        <f t="shared" ref="AU18:AU81" si="11">(Y18*0.7+AN18*0.3)*100</f>
        <v>#VALUE!</v>
      </c>
      <c r="AV18" s="1" t="e">
        <f t="shared" ref="AV18:AV81" si="12">(Y18*0.5+AN18*0.5)*100</f>
        <v>#VALUE!</v>
      </c>
      <c r="AW18" s="1" t="e">
        <f t="shared" ref="AW18:AW81" si="13">(Y18*0.3+AN18*0.7)*100</f>
        <v>#VALUE!</v>
      </c>
    </row>
    <row r="19" spans="1:49" x14ac:dyDescent="0.2">
      <c r="A19">
        <v>17</v>
      </c>
      <c r="B19" t="s">
        <v>11348</v>
      </c>
      <c r="F19" t="s">
        <v>11347</v>
      </c>
      <c r="G19" t="s">
        <v>12</v>
      </c>
      <c r="H19" t="s">
        <v>11</v>
      </c>
      <c r="I19" t="s">
        <v>11346</v>
      </c>
      <c r="N19">
        <v>3</v>
      </c>
      <c r="O19" t="s">
        <v>11345</v>
      </c>
      <c r="P19" t="s">
        <v>11344</v>
      </c>
      <c r="Q19" t="s">
        <v>1191</v>
      </c>
      <c r="R19" s="7">
        <v>33756</v>
      </c>
      <c r="S19" s="8">
        <f t="shared" si="8"/>
        <v>1992</v>
      </c>
      <c r="T19" s="8">
        <v>1992</v>
      </c>
      <c r="U19" s="8">
        <f t="shared" si="9"/>
        <v>30</v>
      </c>
      <c r="V19" s="7">
        <v>33756</v>
      </c>
      <c r="W19" t="s">
        <v>590</v>
      </c>
      <c r="X19" s="2">
        <v>0.14099999999999999</v>
      </c>
      <c r="Y19" s="6">
        <f t="shared" si="2"/>
        <v>3.7639144710498915E-3</v>
      </c>
      <c r="AA19">
        <v>402508</v>
      </c>
      <c r="AB19">
        <v>20868</v>
      </c>
      <c r="AD19" t="s">
        <v>4</v>
      </c>
      <c r="AE19">
        <v>47</v>
      </c>
      <c r="AF19">
        <v>6</v>
      </c>
      <c r="AH19" t="s">
        <v>11343</v>
      </c>
      <c r="AI19" t="s">
        <v>11342</v>
      </c>
      <c r="AK19" t="s">
        <v>11341</v>
      </c>
      <c r="AL19">
        <v>0</v>
      </c>
      <c r="AM19" s="5">
        <f t="shared" si="10"/>
        <v>0</v>
      </c>
      <c r="AN19" s="4">
        <f t="shared" si="4"/>
        <v>0</v>
      </c>
      <c r="AO19" s="3"/>
      <c r="AP19">
        <v>0</v>
      </c>
      <c r="AR19" t="s">
        <v>0</v>
      </c>
      <c r="AT19" s="2" t="s">
        <v>16</v>
      </c>
      <c r="AU19" s="1">
        <f t="shared" si="11"/>
        <v>0.26347401297349238</v>
      </c>
      <c r="AV19" s="1">
        <f t="shared" si="12"/>
        <v>0.18819572355249459</v>
      </c>
      <c r="AW19" s="1">
        <f t="shared" si="13"/>
        <v>0.11291743413149673</v>
      </c>
    </row>
    <row r="20" spans="1:49" x14ac:dyDescent="0.2">
      <c r="A20">
        <v>18</v>
      </c>
      <c r="B20" t="s">
        <v>11340</v>
      </c>
      <c r="F20" t="s">
        <v>11339</v>
      </c>
      <c r="G20" t="s">
        <v>12</v>
      </c>
      <c r="H20" t="s">
        <v>11</v>
      </c>
      <c r="I20" t="s">
        <v>11338</v>
      </c>
      <c r="N20">
        <v>1</v>
      </c>
      <c r="O20" t="s">
        <v>11337</v>
      </c>
      <c r="P20">
        <v>6602120722</v>
      </c>
      <c r="R20" s="7">
        <v>33756</v>
      </c>
      <c r="S20" s="8">
        <f t="shared" si="8"/>
        <v>1992</v>
      </c>
      <c r="T20" s="8">
        <v>1992</v>
      </c>
      <c r="U20" s="8">
        <f t="shared" si="9"/>
        <v>30</v>
      </c>
      <c r="V20" s="7">
        <v>33756</v>
      </c>
      <c r="W20" t="s">
        <v>590</v>
      </c>
      <c r="X20" s="2">
        <v>0.14099999999999999</v>
      </c>
      <c r="Y20" s="6">
        <f t="shared" si="2"/>
        <v>3.7639144710498915E-3</v>
      </c>
      <c r="AA20">
        <v>402508</v>
      </c>
      <c r="AB20">
        <v>20868</v>
      </c>
      <c r="AD20" t="s">
        <v>4</v>
      </c>
      <c r="AE20">
        <v>47</v>
      </c>
      <c r="AF20">
        <v>6</v>
      </c>
      <c r="AH20" t="s">
        <v>11336</v>
      </c>
      <c r="AI20" t="s">
        <v>11335</v>
      </c>
      <c r="AK20" t="s">
        <v>11334</v>
      </c>
      <c r="AL20">
        <v>0</v>
      </c>
      <c r="AM20" s="5">
        <f t="shared" si="10"/>
        <v>0</v>
      </c>
      <c r="AN20" s="4">
        <f t="shared" si="4"/>
        <v>0</v>
      </c>
      <c r="AO20" s="3"/>
      <c r="AP20">
        <v>0</v>
      </c>
      <c r="AR20" t="s">
        <v>0</v>
      </c>
      <c r="AT20" s="2" t="s">
        <v>16</v>
      </c>
      <c r="AU20" s="1">
        <f t="shared" si="11"/>
        <v>0.26347401297349238</v>
      </c>
      <c r="AV20" s="1">
        <f t="shared" si="12"/>
        <v>0.18819572355249459</v>
      </c>
      <c r="AW20" s="1">
        <f t="shared" si="13"/>
        <v>0.11291743413149673</v>
      </c>
    </row>
    <row r="21" spans="1:49" x14ac:dyDescent="0.2">
      <c r="A21">
        <v>19</v>
      </c>
      <c r="B21" t="s">
        <v>11333</v>
      </c>
      <c r="F21" t="s">
        <v>11332</v>
      </c>
      <c r="G21" t="s">
        <v>12</v>
      </c>
      <c r="H21" t="s">
        <v>11</v>
      </c>
      <c r="I21" t="s">
        <v>11331</v>
      </c>
      <c r="N21">
        <v>4</v>
      </c>
      <c r="O21" t="s">
        <v>11330</v>
      </c>
      <c r="P21" t="s">
        <v>11329</v>
      </c>
      <c r="Q21" t="s">
        <v>1572</v>
      </c>
      <c r="R21" s="7">
        <v>33756</v>
      </c>
      <c r="S21" s="8">
        <f t="shared" si="8"/>
        <v>1992</v>
      </c>
      <c r="T21" s="8">
        <v>1992</v>
      </c>
      <c r="U21" s="8">
        <f t="shared" si="9"/>
        <v>30</v>
      </c>
      <c r="V21" s="7">
        <v>33756</v>
      </c>
      <c r="W21" t="s">
        <v>590</v>
      </c>
      <c r="X21" s="2">
        <v>0.14099999999999999</v>
      </c>
      <c r="Y21" s="6">
        <f t="shared" si="2"/>
        <v>3.7639144710498915E-3</v>
      </c>
      <c r="AA21">
        <v>402508</v>
      </c>
      <c r="AB21">
        <v>20868</v>
      </c>
      <c r="AD21" t="s">
        <v>4</v>
      </c>
      <c r="AE21">
        <v>47</v>
      </c>
      <c r="AF21">
        <v>6</v>
      </c>
      <c r="AH21" t="s">
        <v>11328</v>
      </c>
      <c r="AI21" t="s">
        <v>11327</v>
      </c>
      <c r="AK21" t="s">
        <v>11326</v>
      </c>
      <c r="AL21">
        <v>0</v>
      </c>
      <c r="AM21" s="5">
        <f t="shared" si="10"/>
        <v>0</v>
      </c>
      <c r="AN21" s="4">
        <f t="shared" si="4"/>
        <v>0</v>
      </c>
      <c r="AO21" s="3"/>
      <c r="AP21">
        <v>0</v>
      </c>
      <c r="AR21" t="s">
        <v>0</v>
      </c>
      <c r="AT21" s="2" t="s">
        <v>16</v>
      </c>
      <c r="AU21" s="1">
        <f t="shared" si="11"/>
        <v>0.26347401297349238</v>
      </c>
      <c r="AV21" s="1">
        <f t="shared" si="12"/>
        <v>0.18819572355249459</v>
      </c>
      <c r="AW21" s="1">
        <f t="shared" si="13"/>
        <v>0.11291743413149673</v>
      </c>
    </row>
    <row r="22" spans="1:49" x14ac:dyDescent="0.2">
      <c r="A22">
        <v>20</v>
      </c>
      <c r="B22" t="s">
        <v>11325</v>
      </c>
      <c r="F22" t="s">
        <v>11324</v>
      </c>
      <c r="G22" t="s">
        <v>12</v>
      </c>
      <c r="H22" t="s">
        <v>11</v>
      </c>
      <c r="I22" t="s">
        <v>11323</v>
      </c>
      <c r="N22">
        <v>1</v>
      </c>
      <c r="O22" t="s">
        <v>11322</v>
      </c>
      <c r="P22">
        <v>7003563011</v>
      </c>
      <c r="R22" s="7">
        <v>33756</v>
      </c>
      <c r="S22" s="8">
        <f t="shared" si="8"/>
        <v>1992</v>
      </c>
      <c r="T22" s="8">
        <v>1992</v>
      </c>
      <c r="U22" s="8">
        <f t="shared" si="9"/>
        <v>30</v>
      </c>
      <c r="V22" s="7">
        <v>33756</v>
      </c>
      <c r="W22" t="s">
        <v>590</v>
      </c>
      <c r="X22" s="2">
        <v>0.14099999999999999</v>
      </c>
      <c r="Y22" s="6">
        <f t="shared" si="2"/>
        <v>3.7639144710498915E-3</v>
      </c>
      <c r="AA22">
        <v>402508</v>
      </c>
      <c r="AB22">
        <v>20868</v>
      </c>
      <c r="AD22" t="s">
        <v>4</v>
      </c>
      <c r="AE22">
        <v>47</v>
      </c>
      <c r="AF22">
        <v>6</v>
      </c>
      <c r="AH22" t="s">
        <v>11321</v>
      </c>
      <c r="AI22" t="s">
        <v>11320</v>
      </c>
      <c r="AK22" t="s">
        <v>11319</v>
      </c>
      <c r="AL22">
        <v>0</v>
      </c>
      <c r="AM22" s="5">
        <f t="shared" si="10"/>
        <v>0</v>
      </c>
      <c r="AN22" s="4">
        <f t="shared" si="4"/>
        <v>0</v>
      </c>
      <c r="AO22" s="3"/>
      <c r="AP22">
        <v>0</v>
      </c>
      <c r="AR22" t="s">
        <v>0</v>
      </c>
      <c r="AT22" s="2" t="s">
        <v>16</v>
      </c>
      <c r="AU22" s="1">
        <f t="shared" si="11"/>
        <v>0.26347401297349238</v>
      </c>
      <c r="AV22" s="1">
        <f t="shared" si="12"/>
        <v>0.18819572355249459</v>
      </c>
      <c r="AW22" s="1">
        <f t="shared" si="13"/>
        <v>0.11291743413149673</v>
      </c>
    </row>
    <row r="23" spans="1:49" x14ac:dyDescent="0.2">
      <c r="A23">
        <v>21</v>
      </c>
      <c r="B23" t="s">
        <v>11318</v>
      </c>
      <c r="C23" t="s">
        <v>11317</v>
      </c>
      <c r="E23">
        <v>1507161</v>
      </c>
      <c r="F23" t="s">
        <v>11316</v>
      </c>
      <c r="G23" t="s">
        <v>12</v>
      </c>
      <c r="H23" t="s">
        <v>11</v>
      </c>
      <c r="I23" t="s">
        <v>11315</v>
      </c>
      <c r="J23">
        <v>60109558</v>
      </c>
      <c r="K23" t="s">
        <v>11314</v>
      </c>
      <c r="L23" t="s">
        <v>9499</v>
      </c>
      <c r="M23" t="s">
        <v>460</v>
      </c>
      <c r="N23">
        <v>2</v>
      </c>
      <c r="O23" t="s">
        <v>11313</v>
      </c>
      <c r="P23" t="s">
        <v>11312</v>
      </c>
      <c r="Q23" t="s">
        <v>11311</v>
      </c>
      <c r="R23" s="7">
        <v>33756</v>
      </c>
      <c r="S23" s="8">
        <f t="shared" si="8"/>
        <v>1992</v>
      </c>
      <c r="T23" s="8">
        <v>1992</v>
      </c>
      <c r="U23" s="8">
        <f t="shared" si="9"/>
        <v>30</v>
      </c>
      <c r="V23" s="7">
        <v>33756</v>
      </c>
      <c r="W23" t="s">
        <v>11310</v>
      </c>
      <c r="X23" s="2">
        <v>0.8</v>
      </c>
      <c r="Y23" s="6">
        <f t="shared" si="2"/>
        <v>2.1355543098155415E-2</v>
      </c>
      <c r="AA23">
        <v>3407594</v>
      </c>
      <c r="AB23">
        <v>23456</v>
      </c>
      <c r="AC23">
        <v>14321351</v>
      </c>
      <c r="AD23" t="s">
        <v>4</v>
      </c>
      <c r="AE23">
        <v>170</v>
      </c>
      <c r="AF23">
        <v>5</v>
      </c>
      <c r="AH23" t="s">
        <v>11309</v>
      </c>
      <c r="AI23" t="s">
        <v>11308</v>
      </c>
      <c r="AJ23" t="s">
        <v>11307</v>
      </c>
      <c r="AK23" t="s">
        <v>11306</v>
      </c>
      <c r="AL23">
        <v>14</v>
      </c>
      <c r="AM23" s="5">
        <f t="shared" si="10"/>
        <v>0.46666666666666667</v>
      </c>
      <c r="AN23" s="4">
        <f t="shared" si="4"/>
        <v>7.0680297866969582E-4</v>
      </c>
      <c r="AO23" s="3"/>
      <c r="AP23">
        <v>0</v>
      </c>
      <c r="AR23" t="s">
        <v>0</v>
      </c>
      <c r="AT23" s="2" t="s">
        <v>16</v>
      </c>
      <c r="AU23" s="1">
        <f t="shared" si="11"/>
        <v>1.5160921062309698</v>
      </c>
      <c r="AV23" s="1">
        <f t="shared" si="12"/>
        <v>1.1031173038412556</v>
      </c>
      <c r="AW23" s="1">
        <f t="shared" si="13"/>
        <v>0.6901425014515411</v>
      </c>
    </row>
    <row r="24" spans="1:49" x14ac:dyDescent="0.2">
      <c r="A24">
        <v>22</v>
      </c>
      <c r="B24" t="s">
        <v>11305</v>
      </c>
      <c r="C24" t="s">
        <v>11304</v>
      </c>
      <c r="F24" t="s">
        <v>11303</v>
      </c>
      <c r="G24" t="s">
        <v>12</v>
      </c>
      <c r="H24" t="s">
        <v>11</v>
      </c>
      <c r="I24" t="s">
        <v>11302</v>
      </c>
      <c r="J24">
        <v>60004156</v>
      </c>
      <c r="K24" t="s">
        <v>11301</v>
      </c>
      <c r="L24" t="s">
        <v>11300</v>
      </c>
      <c r="M24" t="s">
        <v>273</v>
      </c>
      <c r="N24">
        <v>2</v>
      </c>
      <c r="O24" t="s">
        <v>11299</v>
      </c>
      <c r="P24" t="s">
        <v>11298</v>
      </c>
      <c r="Q24" t="s">
        <v>11297</v>
      </c>
      <c r="R24" s="7">
        <v>33756</v>
      </c>
      <c r="S24" s="8">
        <f t="shared" si="8"/>
        <v>1992</v>
      </c>
      <c r="T24" s="8">
        <v>1992</v>
      </c>
      <c r="U24" s="8">
        <f t="shared" si="9"/>
        <v>30</v>
      </c>
      <c r="V24" s="7">
        <v>33756</v>
      </c>
      <c r="W24" t="s">
        <v>10335</v>
      </c>
      <c r="X24" s="2">
        <v>1.1579999999999999</v>
      </c>
      <c r="Y24" s="6">
        <f t="shared" si="2"/>
        <v>3.0912148634579962E-2</v>
      </c>
      <c r="AA24">
        <v>1668595</v>
      </c>
      <c r="AB24">
        <v>14223</v>
      </c>
      <c r="AC24">
        <v>15735079</v>
      </c>
      <c r="AD24" t="s">
        <v>4</v>
      </c>
      <c r="AE24">
        <v>32</v>
      </c>
      <c r="AF24">
        <v>3</v>
      </c>
      <c r="AH24" t="s">
        <v>11296</v>
      </c>
      <c r="AI24" t="s">
        <v>11295</v>
      </c>
      <c r="AJ24" t="s">
        <v>11294</v>
      </c>
      <c r="AK24" t="s">
        <v>11293</v>
      </c>
      <c r="AL24">
        <v>13</v>
      </c>
      <c r="AM24" s="5">
        <f t="shared" si="10"/>
        <v>0.43333333333333335</v>
      </c>
      <c r="AN24" s="4">
        <f t="shared" si="4"/>
        <v>6.5631705162186044E-4</v>
      </c>
      <c r="AO24" s="3"/>
      <c r="AP24">
        <v>0</v>
      </c>
      <c r="AR24" t="s">
        <v>0</v>
      </c>
      <c r="AT24" s="2">
        <v>3.573</v>
      </c>
      <c r="AU24" s="1">
        <f t="shared" si="11"/>
        <v>2.183539915969253</v>
      </c>
      <c r="AV24" s="1">
        <f t="shared" si="12"/>
        <v>1.5784232843100912</v>
      </c>
      <c r="AW24" s="1">
        <f t="shared" si="13"/>
        <v>0.97330665265092908</v>
      </c>
    </row>
    <row r="25" spans="1:49" x14ac:dyDescent="0.2">
      <c r="A25">
        <v>23</v>
      </c>
      <c r="B25" t="s">
        <v>11292</v>
      </c>
      <c r="C25" t="s">
        <v>11291</v>
      </c>
      <c r="F25" t="s">
        <v>11290</v>
      </c>
      <c r="G25" t="s">
        <v>12</v>
      </c>
      <c r="H25" t="s">
        <v>11</v>
      </c>
      <c r="I25" t="s">
        <v>11289</v>
      </c>
      <c r="J25" t="s">
        <v>11288</v>
      </c>
      <c r="K25" t="s">
        <v>11287</v>
      </c>
      <c r="L25" t="s">
        <v>11286</v>
      </c>
      <c r="M25" t="s">
        <v>10071</v>
      </c>
      <c r="N25">
        <v>4</v>
      </c>
      <c r="O25" t="s">
        <v>11285</v>
      </c>
      <c r="P25" t="s">
        <v>11284</v>
      </c>
      <c r="Q25" t="s">
        <v>11283</v>
      </c>
      <c r="R25" s="7">
        <v>33756</v>
      </c>
      <c r="S25" s="8">
        <f t="shared" si="8"/>
        <v>1992</v>
      </c>
      <c r="T25" s="8">
        <v>1992</v>
      </c>
      <c r="U25" s="8">
        <f t="shared" si="9"/>
        <v>30</v>
      </c>
      <c r="V25" s="7">
        <v>33756</v>
      </c>
      <c r="W25" t="s">
        <v>11282</v>
      </c>
      <c r="X25" s="2" t="s">
        <v>16</v>
      </c>
      <c r="Y25" s="6" t="e">
        <f t="shared" si="2"/>
        <v>#VALUE!</v>
      </c>
      <c r="AA25">
        <v>13808427</v>
      </c>
      <c r="AB25">
        <v>94154</v>
      </c>
      <c r="AC25">
        <v>15735125</v>
      </c>
      <c r="AD25" t="s">
        <v>4</v>
      </c>
      <c r="AE25">
        <v>26</v>
      </c>
      <c r="AF25" s="9">
        <v>44288</v>
      </c>
      <c r="AH25" t="s">
        <v>11281</v>
      </c>
      <c r="AI25" t="s">
        <v>11280</v>
      </c>
      <c r="AJ25" t="s">
        <v>11279</v>
      </c>
      <c r="AK25" t="s">
        <v>11278</v>
      </c>
      <c r="AL25">
        <v>49</v>
      </c>
      <c r="AM25" s="5">
        <f t="shared" si="10"/>
        <v>1.6333333333333333</v>
      </c>
      <c r="AN25" s="4">
        <f t="shared" si="4"/>
        <v>2.4738104253439353E-3</v>
      </c>
      <c r="AO25" s="3"/>
      <c r="AP25">
        <v>0</v>
      </c>
      <c r="AR25" t="s">
        <v>0</v>
      </c>
      <c r="AT25" s="2" t="s">
        <v>16</v>
      </c>
      <c r="AU25" s="1" t="e">
        <f t="shared" si="11"/>
        <v>#VALUE!</v>
      </c>
      <c r="AV25" s="1" t="e">
        <f t="shared" si="12"/>
        <v>#VALUE!</v>
      </c>
      <c r="AW25" s="1" t="e">
        <f t="shared" si="13"/>
        <v>#VALUE!</v>
      </c>
    </row>
    <row r="26" spans="1:49" x14ac:dyDescent="0.2">
      <c r="A26">
        <v>24</v>
      </c>
      <c r="B26" t="s">
        <v>11277</v>
      </c>
      <c r="C26" t="s">
        <v>11276</v>
      </c>
      <c r="F26" t="s">
        <v>11275</v>
      </c>
      <c r="G26" t="s">
        <v>12</v>
      </c>
      <c r="H26" t="s">
        <v>11</v>
      </c>
      <c r="I26" t="s">
        <v>11274</v>
      </c>
      <c r="J26">
        <v>60103678</v>
      </c>
      <c r="K26" t="s">
        <v>11273</v>
      </c>
      <c r="L26" t="s">
        <v>1010</v>
      </c>
      <c r="M26" t="s">
        <v>7</v>
      </c>
      <c r="N26">
        <v>2</v>
      </c>
      <c r="O26" t="s">
        <v>11272</v>
      </c>
      <c r="P26" t="s">
        <v>11271</v>
      </c>
      <c r="Q26" t="s">
        <v>11270</v>
      </c>
      <c r="R26" s="7">
        <v>33756</v>
      </c>
      <c r="S26" s="8">
        <f t="shared" si="8"/>
        <v>1992</v>
      </c>
      <c r="T26" s="8">
        <v>1992</v>
      </c>
      <c r="U26" s="8">
        <f t="shared" si="9"/>
        <v>30</v>
      </c>
      <c r="V26" s="7">
        <v>33756</v>
      </c>
      <c r="W26" t="s">
        <v>10572</v>
      </c>
      <c r="X26" s="2">
        <v>0.85499999999999998</v>
      </c>
      <c r="Y26" s="6">
        <f t="shared" si="2"/>
        <v>2.28237366861536E-2</v>
      </c>
      <c r="AA26">
        <v>980331</v>
      </c>
      <c r="AB26">
        <v>23342</v>
      </c>
      <c r="AC26">
        <v>15731561</v>
      </c>
      <c r="AD26" t="s">
        <v>4</v>
      </c>
      <c r="AE26">
        <v>18</v>
      </c>
      <c r="AF26">
        <v>6</v>
      </c>
      <c r="AH26" t="s">
        <v>11269</v>
      </c>
      <c r="AI26" t="s">
        <v>11268</v>
      </c>
      <c r="AJ26" t="s">
        <v>11267</v>
      </c>
      <c r="AK26" t="s">
        <v>11266</v>
      </c>
      <c r="AL26">
        <v>34</v>
      </c>
      <c r="AM26" s="5">
        <f t="shared" si="10"/>
        <v>1.1333333333333333</v>
      </c>
      <c r="AN26" s="4">
        <f t="shared" si="4"/>
        <v>1.7165215196264041E-3</v>
      </c>
      <c r="AO26" s="3"/>
      <c r="AP26">
        <v>0</v>
      </c>
      <c r="AR26" t="s">
        <v>0</v>
      </c>
      <c r="AT26" s="2">
        <v>2.6259999999999999</v>
      </c>
      <c r="AU26" s="1">
        <f t="shared" si="11"/>
        <v>1.649157213619544</v>
      </c>
      <c r="AV26" s="1">
        <f t="shared" si="12"/>
        <v>1.2270129102890002</v>
      </c>
      <c r="AW26" s="1">
        <f t="shared" si="13"/>
        <v>0.8048686069584563</v>
      </c>
    </row>
    <row r="27" spans="1:49" x14ac:dyDescent="0.2">
      <c r="A27">
        <v>25</v>
      </c>
      <c r="B27" t="s">
        <v>11265</v>
      </c>
      <c r="C27" t="s">
        <v>11264</v>
      </c>
      <c r="F27" t="s">
        <v>11263</v>
      </c>
      <c r="G27" t="s">
        <v>12</v>
      </c>
      <c r="H27" t="s">
        <v>11</v>
      </c>
      <c r="I27" t="s">
        <v>11262</v>
      </c>
      <c r="J27" t="s">
        <v>11261</v>
      </c>
      <c r="K27" t="s">
        <v>11260</v>
      </c>
      <c r="L27" t="s">
        <v>11259</v>
      </c>
      <c r="M27" t="s">
        <v>6526</v>
      </c>
      <c r="N27">
        <v>2</v>
      </c>
      <c r="O27" t="s">
        <v>11258</v>
      </c>
      <c r="P27" t="s">
        <v>11257</v>
      </c>
      <c r="Q27" t="s">
        <v>11256</v>
      </c>
      <c r="R27" s="7">
        <v>33745</v>
      </c>
      <c r="S27" s="8">
        <f t="shared" si="8"/>
        <v>1992</v>
      </c>
      <c r="T27" s="8">
        <v>1992</v>
      </c>
      <c r="U27" s="8">
        <f t="shared" si="9"/>
        <v>30</v>
      </c>
      <c r="V27" s="7">
        <v>33745</v>
      </c>
      <c r="W27" t="s">
        <v>599</v>
      </c>
      <c r="X27" s="2">
        <v>0.375</v>
      </c>
      <c r="Y27" s="6">
        <f t="shared" si="2"/>
        <v>1.0010410827260351E-2</v>
      </c>
      <c r="AA27">
        <v>135194</v>
      </c>
      <c r="AB27">
        <v>24918</v>
      </c>
      <c r="AD27" t="s">
        <v>4</v>
      </c>
      <c r="AE27">
        <v>28</v>
      </c>
      <c r="AF27">
        <v>11</v>
      </c>
      <c r="AH27" t="s">
        <v>11255</v>
      </c>
      <c r="AI27" t="s">
        <v>11254</v>
      </c>
      <c r="AJ27" t="s">
        <v>11253</v>
      </c>
      <c r="AK27" t="s">
        <v>11252</v>
      </c>
      <c r="AL27">
        <v>3</v>
      </c>
      <c r="AM27" s="5">
        <f t="shared" si="10"/>
        <v>0.1</v>
      </c>
      <c r="AN27" s="4">
        <f t="shared" si="4"/>
        <v>1.5145778114350627E-4</v>
      </c>
      <c r="AO27" s="3"/>
      <c r="AP27">
        <v>0</v>
      </c>
      <c r="AR27" t="s">
        <v>0</v>
      </c>
      <c r="AT27" s="2">
        <v>1.3140000000000001</v>
      </c>
      <c r="AU27" s="1">
        <f t="shared" si="11"/>
        <v>0.70527249134252978</v>
      </c>
      <c r="AV27" s="1">
        <f t="shared" si="12"/>
        <v>0.50809343042019284</v>
      </c>
      <c r="AW27" s="1">
        <f t="shared" si="13"/>
        <v>0.31091436949785595</v>
      </c>
    </row>
    <row r="28" spans="1:49" x14ac:dyDescent="0.2">
      <c r="A28">
        <v>26</v>
      </c>
      <c r="B28" t="s">
        <v>11251</v>
      </c>
      <c r="C28" t="s">
        <v>11250</v>
      </c>
      <c r="F28" t="s">
        <v>11249</v>
      </c>
      <c r="G28" t="s">
        <v>12</v>
      </c>
      <c r="H28" t="s">
        <v>11</v>
      </c>
      <c r="I28" t="s">
        <v>11248</v>
      </c>
      <c r="J28" t="s">
        <v>11243</v>
      </c>
      <c r="K28" t="s">
        <v>11247</v>
      </c>
      <c r="L28" t="s">
        <v>11246</v>
      </c>
      <c r="M28" t="s">
        <v>125</v>
      </c>
      <c r="N28">
        <v>2</v>
      </c>
      <c r="O28" t="s">
        <v>11245</v>
      </c>
      <c r="P28" t="s">
        <v>11244</v>
      </c>
      <c r="Q28" t="s">
        <v>11243</v>
      </c>
      <c r="R28" s="7">
        <v>33745</v>
      </c>
      <c r="S28" s="8">
        <f t="shared" si="8"/>
        <v>1992</v>
      </c>
      <c r="T28" s="8">
        <v>1992</v>
      </c>
      <c r="U28" s="8">
        <f t="shared" si="9"/>
        <v>30</v>
      </c>
      <c r="V28" s="7">
        <v>33745</v>
      </c>
      <c r="W28" t="s">
        <v>599</v>
      </c>
      <c r="X28" s="2">
        <v>0.375</v>
      </c>
      <c r="Y28" s="6">
        <f t="shared" si="2"/>
        <v>1.0010410827260351E-2</v>
      </c>
      <c r="AA28">
        <v>135194</v>
      </c>
      <c r="AB28">
        <v>24918</v>
      </c>
      <c r="AD28" t="s">
        <v>4</v>
      </c>
      <c r="AE28">
        <v>28</v>
      </c>
      <c r="AF28">
        <v>11</v>
      </c>
      <c r="AH28" t="s">
        <v>11242</v>
      </c>
      <c r="AI28" t="s">
        <v>11241</v>
      </c>
      <c r="AJ28" t="s">
        <v>11240</v>
      </c>
      <c r="AK28" t="s">
        <v>11239</v>
      </c>
      <c r="AL28">
        <v>23</v>
      </c>
      <c r="AM28" s="5">
        <f t="shared" si="10"/>
        <v>0.76666666666666672</v>
      </c>
      <c r="AN28" s="4">
        <f t="shared" si="4"/>
        <v>1.1611763221002146E-3</v>
      </c>
      <c r="AO28" s="3"/>
      <c r="AP28">
        <v>0</v>
      </c>
      <c r="AR28" t="s">
        <v>0</v>
      </c>
      <c r="AT28" s="2">
        <v>1.3140000000000001</v>
      </c>
      <c r="AU28" s="1">
        <f t="shared" si="11"/>
        <v>0.73556404757123095</v>
      </c>
      <c r="AV28" s="1">
        <f t="shared" si="12"/>
        <v>0.55857935746802834</v>
      </c>
      <c r="AW28" s="1">
        <f t="shared" si="13"/>
        <v>0.38159466736482556</v>
      </c>
    </row>
    <row r="29" spans="1:49" x14ac:dyDescent="0.2">
      <c r="A29">
        <v>27</v>
      </c>
      <c r="B29" t="s">
        <v>11238</v>
      </c>
      <c r="C29" t="s">
        <v>11237</v>
      </c>
      <c r="F29" t="s">
        <v>11236</v>
      </c>
      <c r="G29" t="s">
        <v>12</v>
      </c>
      <c r="H29" t="s">
        <v>11</v>
      </c>
      <c r="I29" t="s">
        <v>11235</v>
      </c>
      <c r="J29" t="s">
        <v>11234</v>
      </c>
      <c r="K29" t="s">
        <v>11233</v>
      </c>
      <c r="L29" t="s">
        <v>11232</v>
      </c>
      <c r="M29" t="s">
        <v>4185</v>
      </c>
      <c r="N29">
        <v>4</v>
      </c>
      <c r="O29" t="s">
        <v>11231</v>
      </c>
      <c r="P29" t="s">
        <v>11230</v>
      </c>
      <c r="Q29" t="s">
        <v>11229</v>
      </c>
      <c r="R29" s="7">
        <v>33745</v>
      </c>
      <c r="S29" s="8">
        <f t="shared" si="8"/>
        <v>1992</v>
      </c>
      <c r="T29" s="8">
        <v>1992</v>
      </c>
      <c r="U29" s="8">
        <f t="shared" si="9"/>
        <v>30</v>
      </c>
      <c r="V29" s="7">
        <v>33745</v>
      </c>
      <c r="W29" t="s">
        <v>599</v>
      </c>
      <c r="X29" s="2">
        <v>0.375</v>
      </c>
      <c r="Y29" s="6">
        <f t="shared" si="2"/>
        <v>1.0010410827260351E-2</v>
      </c>
      <c r="AA29">
        <v>135194</v>
      </c>
      <c r="AB29">
        <v>24918</v>
      </c>
      <c r="AD29" t="s">
        <v>4</v>
      </c>
      <c r="AE29">
        <v>28</v>
      </c>
      <c r="AF29">
        <v>11</v>
      </c>
      <c r="AH29" t="s">
        <v>11228</v>
      </c>
      <c r="AI29" t="s">
        <v>11227</v>
      </c>
      <c r="AJ29" t="s">
        <v>11226</v>
      </c>
      <c r="AK29" t="s">
        <v>11225</v>
      </c>
      <c r="AL29">
        <v>7</v>
      </c>
      <c r="AM29" s="5">
        <f t="shared" si="10"/>
        <v>0.23333333333333334</v>
      </c>
      <c r="AN29" s="4">
        <f t="shared" si="4"/>
        <v>3.5340148933484791E-4</v>
      </c>
      <c r="AO29" s="3"/>
      <c r="AP29">
        <v>0</v>
      </c>
      <c r="AR29" t="s">
        <v>0</v>
      </c>
      <c r="AT29" s="2">
        <v>1.3140000000000001</v>
      </c>
      <c r="AU29" s="1">
        <f t="shared" si="11"/>
        <v>0.71133080258826997</v>
      </c>
      <c r="AV29" s="1">
        <f t="shared" si="12"/>
        <v>0.51819061582976</v>
      </c>
      <c r="AW29" s="1">
        <f t="shared" si="13"/>
        <v>0.32505042907124987</v>
      </c>
    </row>
    <row r="30" spans="1:49" x14ac:dyDescent="0.2">
      <c r="A30">
        <v>28</v>
      </c>
      <c r="B30" t="s">
        <v>11224</v>
      </c>
      <c r="C30" t="s">
        <v>11223</v>
      </c>
      <c r="F30" t="s">
        <v>11222</v>
      </c>
      <c r="G30" t="s">
        <v>12</v>
      </c>
      <c r="H30" t="s">
        <v>11</v>
      </c>
      <c r="I30" t="s">
        <v>7463</v>
      </c>
      <c r="J30">
        <v>60027709</v>
      </c>
      <c r="K30" t="s">
        <v>11221</v>
      </c>
      <c r="L30" t="s">
        <v>6096</v>
      </c>
      <c r="M30" t="s">
        <v>3610</v>
      </c>
      <c r="N30">
        <v>1</v>
      </c>
      <c r="O30" t="s">
        <v>11220</v>
      </c>
      <c r="P30">
        <v>57144888900</v>
      </c>
      <c r="Q30">
        <v>60027709</v>
      </c>
      <c r="R30" s="7">
        <v>33745</v>
      </c>
      <c r="S30" s="8">
        <f t="shared" si="8"/>
        <v>1992</v>
      </c>
      <c r="T30" s="8">
        <v>1992</v>
      </c>
      <c r="U30" s="8">
        <f t="shared" si="9"/>
        <v>30</v>
      </c>
      <c r="V30" s="7">
        <v>33745</v>
      </c>
      <c r="W30" t="s">
        <v>599</v>
      </c>
      <c r="X30" s="2">
        <v>0.375</v>
      </c>
      <c r="Y30" s="6">
        <f t="shared" si="2"/>
        <v>1.0010410827260351E-2</v>
      </c>
      <c r="AA30">
        <v>135194</v>
      </c>
      <c r="AB30">
        <v>24918</v>
      </c>
      <c r="AD30" t="s">
        <v>4</v>
      </c>
      <c r="AE30">
        <v>28</v>
      </c>
      <c r="AF30">
        <v>11</v>
      </c>
      <c r="AH30" t="s">
        <v>11219</v>
      </c>
      <c r="AI30" t="s">
        <v>11218</v>
      </c>
      <c r="AJ30" t="s">
        <v>11217</v>
      </c>
      <c r="AK30" t="s">
        <v>11216</v>
      </c>
      <c r="AL30">
        <v>2</v>
      </c>
      <c r="AM30" s="5">
        <f t="shared" si="10"/>
        <v>6.6666666666666666E-2</v>
      </c>
      <c r="AN30" s="4">
        <f t="shared" si="4"/>
        <v>1.0097185409567084E-4</v>
      </c>
      <c r="AO30" s="3"/>
      <c r="AP30">
        <v>0</v>
      </c>
      <c r="AR30" t="s">
        <v>0</v>
      </c>
      <c r="AT30" s="2">
        <v>1.3140000000000001</v>
      </c>
      <c r="AU30" s="1">
        <f t="shared" si="11"/>
        <v>0.70375791353109474</v>
      </c>
      <c r="AV30" s="1">
        <f t="shared" si="12"/>
        <v>0.50556913406780113</v>
      </c>
      <c r="AW30" s="1">
        <f t="shared" si="13"/>
        <v>0.30738035460450747</v>
      </c>
    </row>
    <row r="31" spans="1:49" x14ac:dyDescent="0.2">
      <c r="A31">
        <v>29</v>
      </c>
      <c r="B31" t="s">
        <v>11215</v>
      </c>
      <c r="C31" t="s">
        <v>11214</v>
      </c>
      <c r="F31" t="s">
        <v>11213</v>
      </c>
      <c r="G31" t="s">
        <v>12</v>
      </c>
      <c r="H31" t="s">
        <v>11</v>
      </c>
      <c r="I31" t="s">
        <v>11212</v>
      </c>
      <c r="J31">
        <v>60018714</v>
      </c>
      <c r="K31" t="s">
        <v>2170</v>
      </c>
      <c r="L31" t="s">
        <v>2169</v>
      </c>
      <c r="M31" t="s">
        <v>393</v>
      </c>
      <c r="N31">
        <v>2</v>
      </c>
      <c r="O31" t="s">
        <v>11211</v>
      </c>
      <c r="P31" t="s">
        <v>11210</v>
      </c>
      <c r="Q31" t="s">
        <v>2166</v>
      </c>
      <c r="R31" s="7">
        <v>33745</v>
      </c>
      <c r="S31" s="8">
        <f t="shared" si="8"/>
        <v>1992</v>
      </c>
      <c r="T31" s="8">
        <v>1992</v>
      </c>
      <c r="U31" s="8">
        <f t="shared" si="9"/>
        <v>30</v>
      </c>
      <c r="V31" s="7">
        <v>33745</v>
      </c>
      <c r="W31" t="s">
        <v>599</v>
      </c>
      <c r="X31" s="2">
        <v>0.375</v>
      </c>
      <c r="Y31" s="6">
        <f t="shared" si="2"/>
        <v>1.0010410827260351E-2</v>
      </c>
      <c r="AA31">
        <v>135194</v>
      </c>
      <c r="AB31">
        <v>24918</v>
      </c>
      <c r="AD31" t="s">
        <v>4</v>
      </c>
      <c r="AE31">
        <v>28</v>
      </c>
      <c r="AF31">
        <v>11</v>
      </c>
      <c r="AH31" t="s">
        <v>11209</v>
      </c>
      <c r="AI31" t="s">
        <v>11208</v>
      </c>
      <c r="AJ31" t="s">
        <v>11207</v>
      </c>
      <c r="AK31" t="s">
        <v>11206</v>
      </c>
      <c r="AL31">
        <v>6</v>
      </c>
      <c r="AM31" s="5">
        <f t="shared" si="10"/>
        <v>0.2</v>
      </c>
      <c r="AN31" s="4">
        <f t="shared" si="4"/>
        <v>3.0291556228701253E-4</v>
      </c>
      <c r="AO31" s="3"/>
      <c r="AP31">
        <v>0</v>
      </c>
      <c r="AR31" t="s">
        <v>0</v>
      </c>
      <c r="AT31" s="2">
        <v>1.3140000000000001</v>
      </c>
      <c r="AU31" s="1">
        <f t="shared" si="11"/>
        <v>0.70981622477683493</v>
      </c>
      <c r="AV31" s="1">
        <f t="shared" si="12"/>
        <v>0.51566631947736818</v>
      </c>
      <c r="AW31" s="1">
        <f t="shared" si="13"/>
        <v>0.32151641417790139</v>
      </c>
    </row>
    <row r="32" spans="1:49" x14ac:dyDescent="0.2">
      <c r="A32">
        <v>30</v>
      </c>
      <c r="B32" t="s">
        <v>11205</v>
      </c>
      <c r="C32" t="s">
        <v>11204</v>
      </c>
      <c r="F32" t="s">
        <v>11203</v>
      </c>
      <c r="G32" t="s">
        <v>12</v>
      </c>
      <c r="H32" t="s">
        <v>11</v>
      </c>
      <c r="I32" t="s">
        <v>11202</v>
      </c>
      <c r="J32">
        <v>60027716</v>
      </c>
      <c r="K32" t="s">
        <v>11201</v>
      </c>
      <c r="L32" t="s">
        <v>1223</v>
      </c>
      <c r="M32" t="s">
        <v>7</v>
      </c>
      <c r="N32">
        <v>2</v>
      </c>
      <c r="O32" t="s">
        <v>11200</v>
      </c>
      <c r="P32" t="s">
        <v>11199</v>
      </c>
      <c r="Q32" t="s">
        <v>11198</v>
      </c>
      <c r="R32" s="7">
        <v>33744</v>
      </c>
      <c r="S32" s="8">
        <f t="shared" si="8"/>
        <v>1992</v>
      </c>
      <c r="T32" s="8">
        <v>1992</v>
      </c>
      <c r="U32" s="8">
        <f t="shared" si="9"/>
        <v>30</v>
      </c>
      <c r="V32" s="7">
        <v>33744</v>
      </c>
      <c r="W32" t="s">
        <v>9736</v>
      </c>
      <c r="X32" s="2">
        <v>0.66800000000000004</v>
      </c>
      <c r="Y32" s="6">
        <f t="shared" si="2"/>
        <v>1.7831878486959774E-2</v>
      </c>
      <c r="AA32" t="s">
        <v>9735</v>
      </c>
      <c r="AB32">
        <v>29593</v>
      </c>
      <c r="AC32">
        <v>21553165</v>
      </c>
      <c r="AD32" t="s">
        <v>4</v>
      </c>
      <c r="AE32">
        <v>31</v>
      </c>
      <c r="AF32">
        <v>15</v>
      </c>
      <c r="AH32" t="s">
        <v>11197</v>
      </c>
      <c r="AI32" t="s">
        <v>11196</v>
      </c>
      <c r="AK32" t="s">
        <v>11195</v>
      </c>
      <c r="AL32">
        <v>34</v>
      </c>
      <c r="AM32" s="5">
        <f t="shared" si="10"/>
        <v>1.1333333333333333</v>
      </c>
      <c r="AN32" s="4">
        <f t="shared" si="4"/>
        <v>1.7165215196264041E-3</v>
      </c>
      <c r="AO32" s="3"/>
      <c r="AP32">
        <v>0</v>
      </c>
      <c r="AR32" t="s">
        <v>0</v>
      </c>
      <c r="AT32" s="2">
        <v>1.98</v>
      </c>
      <c r="AU32" s="1">
        <f t="shared" si="11"/>
        <v>1.2997271396759762</v>
      </c>
      <c r="AV32" s="1">
        <f t="shared" si="12"/>
        <v>0.97742000032930887</v>
      </c>
      <c r="AW32" s="1">
        <f t="shared" si="13"/>
        <v>0.65511286098264154</v>
      </c>
    </row>
    <row r="33" spans="1:49" x14ac:dyDescent="0.2">
      <c r="A33">
        <v>31</v>
      </c>
      <c r="B33" t="s">
        <v>11194</v>
      </c>
      <c r="C33" t="s">
        <v>11193</v>
      </c>
      <c r="D33" t="s">
        <v>11192</v>
      </c>
      <c r="F33" t="s">
        <v>11191</v>
      </c>
      <c r="G33" t="s">
        <v>12</v>
      </c>
      <c r="H33" t="s">
        <v>11</v>
      </c>
      <c r="I33" t="s">
        <v>11190</v>
      </c>
      <c r="J33">
        <v>60001881</v>
      </c>
      <c r="K33" t="s">
        <v>2555</v>
      </c>
      <c r="L33" t="s">
        <v>2554</v>
      </c>
      <c r="M33" t="s">
        <v>856</v>
      </c>
      <c r="N33">
        <v>3</v>
      </c>
      <c r="O33" t="s">
        <v>11189</v>
      </c>
      <c r="P33" t="s">
        <v>11188</v>
      </c>
      <c r="Q33" t="s">
        <v>2551</v>
      </c>
      <c r="R33" s="7">
        <v>33739</v>
      </c>
      <c r="S33" s="8">
        <f t="shared" si="8"/>
        <v>1992</v>
      </c>
      <c r="T33" s="8">
        <v>1992</v>
      </c>
      <c r="U33" s="8">
        <f t="shared" si="9"/>
        <v>30</v>
      </c>
      <c r="V33" s="7">
        <v>33739</v>
      </c>
      <c r="W33" t="s">
        <v>576</v>
      </c>
      <c r="X33" s="2" t="s">
        <v>16</v>
      </c>
      <c r="Y33" s="6" t="e">
        <f t="shared" si="2"/>
        <v>#VALUE!</v>
      </c>
      <c r="AA33">
        <v>10111344</v>
      </c>
      <c r="AB33">
        <v>17622</v>
      </c>
      <c r="AD33" t="s">
        <v>4</v>
      </c>
      <c r="AE33">
        <v>13</v>
      </c>
      <c r="AF33" s="9">
        <v>44289</v>
      </c>
      <c r="AH33" t="s">
        <v>11187</v>
      </c>
      <c r="AI33" t="s">
        <v>11186</v>
      </c>
      <c r="AJ33" t="s">
        <v>11185</v>
      </c>
      <c r="AK33" t="s">
        <v>11184</v>
      </c>
      <c r="AL33">
        <v>5</v>
      </c>
      <c r="AM33" s="5">
        <f t="shared" si="10"/>
        <v>0.16666666666666666</v>
      </c>
      <c r="AN33" s="4">
        <f t="shared" si="4"/>
        <v>2.5242963523917705E-4</v>
      </c>
      <c r="AO33" s="3"/>
      <c r="AP33">
        <v>0</v>
      </c>
      <c r="AQ33" t="s">
        <v>11183</v>
      </c>
      <c r="AR33" t="s">
        <v>0</v>
      </c>
      <c r="AS33" t="s">
        <v>11182</v>
      </c>
      <c r="AT33" s="2" t="s">
        <v>16</v>
      </c>
      <c r="AU33" s="1" t="e">
        <f t="shared" si="11"/>
        <v>#VALUE!</v>
      </c>
      <c r="AV33" s="1" t="e">
        <f t="shared" si="12"/>
        <v>#VALUE!</v>
      </c>
      <c r="AW33" s="1" t="e">
        <f t="shared" si="13"/>
        <v>#VALUE!</v>
      </c>
    </row>
    <row r="34" spans="1:49" x14ac:dyDescent="0.2">
      <c r="A34">
        <v>32</v>
      </c>
      <c r="B34" t="s">
        <v>11181</v>
      </c>
      <c r="C34" t="s">
        <v>11180</v>
      </c>
      <c r="F34" t="s">
        <v>11179</v>
      </c>
      <c r="G34" t="s">
        <v>12</v>
      </c>
      <c r="H34" t="s">
        <v>11</v>
      </c>
      <c r="I34" t="s">
        <v>11178</v>
      </c>
      <c r="J34" t="s">
        <v>11173</v>
      </c>
      <c r="K34" t="s">
        <v>11177</v>
      </c>
      <c r="L34" t="s">
        <v>11176</v>
      </c>
      <c r="M34" t="s">
        <v>125</v>
      </c>
      <c r="N34">
        <v>2</v>
      </c>
      <c r="O34" t="s">
        <v>11175</v>
      </c>
      <c r="P34" t="s">
        <v>11174</v>
      </c>
      <c r="Q34" t="s">
        <v>11173</v>
      </c>
      <c r="R34" s="7">
        <v>33731</v>
      </c>
      <c r="S34" s="8">
        <f t="shared" si="8"/>
        <v>1992</v>
      </c>
      <c r="T34" s="8">
        <v>1992</v>
      </c>
      <c r="U34" s="8">
        <f t="shared" si="9"/>
        <v>30</v>
      </c>
      <c r="V34" s="7">
        <v>33731</v>
      </c>
      <c r="W34" t="s">
        <v>599</v>
      </c>
      <c r="X34" s="2">
        <v>0.375</v>
      </c>
      <c r="Y34" s="6">
        <f t="shared" si="2"/>
        <v>1.0010410827260351E-2</v>
      </c>
      <c r="AA34">
        <v>135194</v>
      </c>
      <c r="AB34">
        <v>24918</v>
      </c>
      <c r="AD34" t="s">
        <v>4</v>
      </c>
      <c r="AE34">
        <v>28</v>
      </c>
      <c r="AF34">
        <v>10</v>
      </c>
      <c r="AH34" t="s">
        <v>11172</v>
      </c>
      <c r="AI34" t="s">
        <v>11171</v>
      </c>
      <c r="AJ34" t="s">
        <v>11170</v>
      </c>
      <c r="AK34" t="s">
        <v>11169</v>
      </c>
      <c r="AL34">
        <v>5</v>
      </c>
      <c r="AM34" s="5">
        <f t="shared" si="10"/>
        <v>0.16666666666666666</v>
      </c>
      <c r="AN34" s="4">
        <f t="shared" si="4"/>
        <v>2.5242963523917705E-4</v>
      </c>
      <c r="AO34" s="3"/>
      <c r="AP34">
        <v>0</v>
      </c>
      <c r="AR34" t="s">
        <v>0</v>
      </c>
      <c r="AT34" s="2">
        <v>1.3140000000000001</v>
      </c>
      <c r="AU34" s="1">
        <f t="shared" si="11"/>
        <v>0.70830164696539988</v>
      </c>
      <c r="AV34" s="1">
        <f t="shared" si="12"/>
        <v>0.51314202312497648</v>
      </c>
      <c r="AW34" s="1">
        <f t="shared" si="13"/>
        <v>0.31798239928455291</v>
      </c>
    </row>
    <row r="35" spans="1:49" x14ac:dyDescent="0.2">
      <c r="A35">
        <v>33</v>
      </c>
      <c r="B35" t="s">
        <v>11168</v>
      </c>
      <c r="C35" t="s">
        <v>11167</v>
      </c>
      <c r="F35" t="s">
        <v>11166</v>
      </c>
      <c r="G35" t="s">
        <v>12</v>
      </c>
      <c r="H35" t="s">
        <v>11</v>
      </c>
      <c r="I35" t="s">
        <v>4234</v>
      </c>
      <c r="J35">
        <v>60025555</v>
      </c>
      <c r="K35" t="s">
        <v>2889</v>
      </c>
      <c r="L35" t="s">
        <v>667</v>
      </c>
      <c r="M35" t="s">
        <v>151</v>
      </c>
      <c r="N35">
        <v>2</v>
      </c>
      <c r="O35" t="s">
        <v>11165</v>
      </c>
      <c r="P35" t="s">
        <v>11164</v>
      </c>
      <c r="Q35" t="s">
        <v>7382</v>
      </c>
      <c r="R35" s="7">
        <v>33731</v>
      </c>
      <c r="S35" s="8">
        <f t="shared" si="8"/>
        <v>1992</v>
      </c>
      <c r="T35" s="8">
        <v>1992</v>
      </c>
      <c r="U35" s="8">
        <f t="shared" si="9"/>
        <v>30</v>
      </c>
      <c r="V35" s="7">
        <v>33731</v>
      </c>
      <c r="W35" t="s">
        <v>599</v>
      </c>
      <c r="X35" s="2">
        <v>0.375</v>
      </c>
      <c r="Y35" s="6">
        <f t="shared" si="2"/>
        <v>1.0010410827260351E-2</v>
      </c>
      <c r="AA35">
        <v>135194</v>
      </c>
      <c r="AB35">
        <v>24918</v>
      </c>
      <c r="AD35" t="s">
        <v>4</v>
      </c>
      <c r="AE35">
        <v>28</v>
      </c>
      <c r="AF35">
        <v>10</v>
      </c>
      <c r="AH35" t="s">
        <v>11163</v>
      </c>
      <c r="AI35" t="s">
        <v>11162</v>
      </c>
      <c r="AJ35" t="s">
        <v>11161</v>
      </c>
      <c r="AK35" t="s">
        <v>11160</v>
      </c>
      <c r="AL35">
        <v>2</v>
      </c>
      <c r="AM35" s="5">
        <f t="shared" si="10"/>
        <v>6.6666666666666666E-2</v>
      </c>
      <c r="AN35" s="4">
        <f t="shared" si="4"/>
        <v>1.0097185409567084E-4</v>
      </c>
      <c r="AO35" s="3"/>
      <c r="AP35">
        <v>0</v>
      </c>
      <c r="AR35" t="s">
        <v>0</v>
      </c>
      <c r="AT35" s="2">
        <v>1.3140000000000001</v>
      </c>
      <c r="AU35" s="1">
        <f t="shared" si="11"/>
        <v>0.70375791353109474</v>
      </c>
      <c r="AV35" s="1">
        <f t="shared" si="12"/>
        <v>0.50556913406780113</v>
      </c>
      <c r="AW35" s="1">
        <f t="shared" si="13"/>
        <v>0.30738035460450747</v>
      </c>
    </row>
    <row r="36" spans="1:49" x14ac:dyDescent="0.2">
      <c r="A36">
        <v>34</v>
      </c>
      <c r="B36" t="s">
        <v>11159</v>
      </c>
      <c r="C36" t="s">
        <v>11158</v>
      </c>
      <c r="F36" t="s">
        <v>11157</v>
      </c>
      <c r="G36" t="s">
        <v>12</v>
      </c>
      <c r="H36" t="s">
        <v>11</v>
      </c>
      <c r="I36" t="s">
        <v>11149</v>
      </c>
      <c r="J36">
        <v>60020595</v>
      </c>
      <c r="K36" t="s">
        <v>11148</v>
      </c>
      <c r="L36" t="s">
        <v>11147</v>
      </c>
      <c r="M36" t="s">
        <v>856</v>
      </c>
      <c r="N36">
        <v>1</v>
      </c>
      <c r="O36" t="s">
        <v>11146</v>
      </c>
      <c r="P36">
        <v>6701816265</v>
      </c>
      <c r="Q36">
        <v>60020595</v>
      </c>
      <c r="R36" s="7">
        <v>33725</v>
      </c>
      <c r="S36" s="8">
        <f t="shared" si="8"/>
        <v>1992</v>
      </c>
      <c r="T36" s="8">
        <v>1992</v>
      </c>
      <c r="U36" s="8">
        <f t="shared" si="9"/>
        <v>30</v>
      </c>
      <c r="V36" s="7">
        <v>33725</v>
      </c>
      <c r="W36" t="s">
        <v>1775</v>
      </c>
      <c r="X36" s="2">
        <v>0.61499999999999999</v>
      </c>
      <c r="Y36" s="6">
        <f t="shared" si="2"/>
        <v>1.6417073756706976E-2</v>
      </c>
      <c r="AA36">
        <v>1959271</v>
      </c>
      <c r="AB36">
        <v>12141</v>
      </c>
      <c r="AC36">
        <v>15729559</v>
      </c>
      <c r="AD36" t="s">
        <v>4</v>
      </c>
      <c r="AE36">
        <v>13</v>
      </c>
      <c r="AF36">
        <v>5</v>
      </c>
      <c r="AH36" t="s">
        <v>11156</v>
      </c>
      <c r="AI36" t="s">
        <v>11155</v>
      </c>
      <c r="AJ36" t="s">
        <v>11154</v>
      </c>
      <c r="AK36" t="s">
        <v>11153</v>
      </c>
      <c r="AL36">
        <v>0</v>
      </c>
      <c r="AM36" s="5">
        <f t="shared" si="10"/>
        <v>0</v>
      </c>
      <c r="AN36" s="4">
        <f t="shared" si="4"/>
        <v>0</v>
      </c>
      <c r="AO36" s="3"/>
      <c r="AP36">
        <v>0</v>
      </c>
      <c r="AR36" t="s">
        <v>0</v>
      </c>
      <c r="AT36" s="2" t="s">
        <v>16</v>
      </c>
      <c r="AU36" s="1">
        <f t="shared" si="11"/>
        <v>1.1491951629694881</v>
      </c>
      <c r="AV36" s="1">
        <f t="shared" si="12"/>
        <v>0.82085368783534873</v>
      </c>
      <c r="AW36" s="1">
        <f t="shared" si="13"/>
        <v>0.49251221270120926</v>
      </c>
    </row>
    <row r="37" spans="1:49" x14ac:dyDescent="0.2">
      <c r="A37">
        <v>35</v>
      </c>
      <c r="B37" t="s">
        <v>11152</v>
      </c>
      <c r="C37" t="s">
        <v>11151</v>
      </c>
      <c r="F37" t="s">
        <v>11150</v>
      </c>
      <c r="G37" t="s">
        <v>12</v>
      </c>
      <c r="H37" t="s">
        <v>11</v>
      </c>
      <c r="I37" t="s">
        <v>11149</v>
      </c>
      <c r="J37">
        <v>60020595</v>
      </c>
      <c r="K37" t="s">
        <v>11148</v>
      </c>
      <c r="L37" t="s">
        <v>11147</v>
      </c>
      <c r="M37" t="s">
        <v>856</v>
      </c>
      <c r="N37">
        <v>1</v>
      </c>
      <c r="O37" t="s">
        <v>11146</v>
      </c>
      <c r="P37">
        <v>6701816265</v>
      </c>
      <c r="Q37">
        <v>60020595</v>
      </c>
      <c r="R37" s="7">
        <v>33725</v>
      </c>
      <c r="S37" s="8">
        <f t="shared" si="8"/>
        <v>1992</v>
      </c>
      <c r="T37" s="8">
        <v>1992</v>
      </c>
      <c r="U37" s="8">
        <f t="shared" si="9"/>
        <v>30</v>
      </c>
      <c r="V37" s="7">
        <v>33725</v>
      </c>
      <c r="W37" t="s">
        <v>1775</v>
      </c>
      <c r="X37" s="2">
        <v>0.61499999999999999</v>
      </c>
      <c r="Y37" s="6">
        <f t="shared" si="2"/>
        <v>1.6417073756706976E-2</v>
      </c>
      <c r="AA37">
        <v>1959271</v>
      </c>
      <c r="AB37">
        <v>12141</v>
      </c>
      <c r="AC37">
        <v>15729559</v>
      </c>
      <c r="AD37" t="s">
        <v>4</v>
      </c>
      <c r="AE37">
        <v>13</v>
      </c>
      <c r="AF37">
        <v>5</v>
      </c>
      <c r="AH37" t="s">
        <v>11145</v>
      </c>
      <c r="AI37" t="s">
        <v>11144</v>
      </c>
      <c r="AJ37" t="s">
        <v>11143</v>
      </c>
      <c r="AK37" t="s">
        <v>11142</v>
      </c>
      <c r="AL37">
        <v>0</v>
      </c>
      <c r="AM37" s="5">
        <f t="shared" si="10"/>
        <v>0</v>
      </c>
      <c r="AN37" s="4">
        <f t="shared" si="4"/>
        <v>0</v>
      </c>
      <c r="AO37" s="3"/>
      <c r="AP37">
        <v>0</v>
      </c>
      <c r="AR37" t="s">
        <v>0</v>
      </c>
      <c r="AT37" s="2" t="s">
        <v>16</v>
      </c>
      <c r="AU37" s="1">
        <f t="shared" si="11"/>
        <v>1.1491951629694881</v>
      </c>
      <c r="AV37" s="1">
        <f t="shared" si="12"/>
        <v>0.82085368783534873</v>
      </c>
      <c r="AW37" s="1">
        <f t="shared" si="13"/>
        <v>0.49251221270120926</v>
      </c>
    </row>
    <row r="38" spans="1:49" x14ac:dyDescent="0.2">
      <c r="A38">
        <v>36</v>
      </c>
      <c r="B38" t="s">
        <v>11141</v>
      </c>
      <c r="C38" t="s">
        <v>11140</v>
      </c>
      <c r="F38" t="s">
        <v>11139</v>
      </c>
      <c r="G38" t="s">
        <v>12</v>
      </c>
      <c r="H38" t="s">
        <v>11</v>
      </c>
      <c r="I38" t="s">
        <v>2865</v>
      </c>
      <c r="J38" t="s">
        <v>2864</v>
      </c>
      <c r="K38" t="s">
        <v>2863</v>
      </c>
      <c r="L38" t="s">
        <v>2862</v>
      </c>
      <c r="M38" t="s">
        <v>2861</v>
      </c>
      <c r="N38">
        <v>2</v>
      </c>
      <c r="O38" t="s">
        <v>11138</v>
      </c>
      <c r="P38" t="s">
        <v>11137</v>
      </c>
      <c r="Q38" t="s">
        <v>2864</v>
      </c>
      <c r="R38" s="7">
        <v>33725</v>
      </c>
      <c r="S38" s="8">
        <f t="shared" si="8"/>
        <v>1992</v>
      </c>
      <c r="T38" s="8">
        <v>1992</v>
      </c>
      <c r="U38" s="8">
        <f t="shared" si="9"/>
        <v>30</v>
      </c>
      <c r="V38" s="7">
        <v>33725</v>
      </c>
      <c r="W38" t="s">
        <v>11136</v>
      </c>
      <c r="X38" s="2" t="s">
        <v>16</v>
      </c>
      <c r="Y38" s="6" t="e">
        <f t="shared" si="2"/>
        <v>#VALUE!</v>
      </c>
      <c r="AA38">
        <v>39039</v>
      </c>
      <c r="AB38">
        <v>31407</v>
      </c>
      <c r="AC38">
        <v>14320487</v>
      </c>
      <c r="AD38" t="s">
        <v>4</v>
      </c>
      <c r="AE38">
        <v>75</v>
      </c>
      <c r="AF38">
        <v>3</v>
      </c>
      <c r="AH38" t="s">
        <v>11135</v>
      </c>
      <c r="AI38" t="s">
        <v>11134</v>
      </c>
      <c r="AK38" t="s">
        <v>11133</v>
      </c>
      <c r="AL38">
        <v>1</v>
      </c>
      <c r="AM38" s="5">
        <f t="shared" si="10"/>
        <v>3.3333333333333333E-2</v>
      </c>
      <c r="AN38" s="4">
        <f t="shared" si="4"/>
        <v>5.0485927047835418E-5</v>
      </c>
      <c r="AO38" s="3"/>
      <c r="AP38">
        <v>0</v>
      </c>
      <c r="AR38" t="s">
        <v>0</v>
      </c>
      <c r="AT38" s="2" t="s">
        <v>16</v>
      </c>
      <c r="AU38" s="1" t="e">
        <f t="shared" si="11"/>
        <v>#VALUE!</v>
      </c>
      <c r="AV38" s="1" t="e">
        <f t="shared" si="12"/>
        <v>#VALUE!</v>
      </c>
      <c r="AW38" s="1" t="e">
        <f t="shared" si="13"/>
        <v>#VALUE!</v>
      </c>
    </row>
    <row r="39" spans="1:49" x14ac:dyDescent="0.2">
      <c r="A39">
        <v>37</v>
      </c>
      <c r="B39" t="s">
        <v>11132</v>
      </c>
      <c r="C39" t="s">
        <v>11131</v>
      </c>
      <c r="F39" t="s">
        <v>11130</v>
      </c>
      <c r="G39" t="s">
        <v>12</v>
      </c>
      <c r="H39" t="s">
        <v>11</v>
      </c>
      <c r="I39" t="s">
        <v>11129</v>
      </c>
      <c r="J39" t="s">
        <v>11128</v>
      </c>
      <c r="K39" t="s">
        <v>11127</v>
      </c>
      <c r="L39" t="s">
        <v>11126</v>
      </c>
      <c r="M39" t="s">
        <v>11125</v>
      </c>
      <c r="N39">
        <v>8</v>
      </c>
      <c r="O39" t="s">
        <v>11124</v>
      </c>
      <c r="P39" t="s">
        <v>11123</v>
      </c>
      <c r="Q39" t="s">
        <v>11122</v>
      </c>
      <c r="R39" s="7">
        <v>33725</v>
      </c>
      <c r="S39" s="8">
        <f t="shared" si="8"/>
        <v>1992</v>
      </c>
      <c r="T39" s="8">
        <v>1992</v>
      </c>
      <c r="U39" s="8">
        <f t="shared" si="9"/>
        <v>30</v>
      </c>
      <c r="V39" s="7">
        <v>33725</v>
      </c>
      <c r="W39" t="s">
        <v>11049</v>
      </c>
      <c r="X39" s="2">
        <v>2.4740000000000002</v>
      </c>
      <c r="Y39" s="6">
        <f t="shared" si="2"/>
        <v>6.6042017031045633E-2</v>
      </c>
      <c r="AA39">
        <v>386308</v>
      </c>
      <c r="AB39">
        <v>28261</v>
      </c>
      <c r="AC39">
        <v>15729672</v>
      </c>
      <c r="AD39" t="s">
        <v>4</v>
      </c>
      <c r="AE39">
        <v>60</v>
      </c>
      <c r="AF39" s="9">
        <v>44287</v>
      </c>
      <c r="AH39" t="s">
        <v>11121</v>
      </c>
      <c r="AI39" t="s">
        <v>11120</v>
      </c>
      <c r="AK39" t="s">
        <v>11119</v>
      </c>
      <c r="AL39">
        <v>103</v>
      </c>
      <c r="AM39" s="5">
        <f t="shared" si="10"/>
        <v>3.4333333333333331</v>
      </c>
      <c r="AN39" s="4">
        <f t="shared" si="4"/>
        <v>5.2000504859270472E-3</v>
      </c>
      <c r="AO39" s="3"/>
      <c r="AP39">
        <v>0</v>
      </c>
      <c r="AR39" t="s">
        <v>0</v>
      </c>
      <c r="AT39" s="2">
        <v>8.0169999999999995</v>
      </c>
      <c r="AU39" s="1">
        <f t="shared" si="11"/>
        <v>4.778942706751006</v>
      </c>
      <c r="AV39" s="1">
        <f t="shared" si="12"/>
        <v>3.562103375848634</v>
      </c>
      <c r="AW39" s="1">
        <f t="shared" si="13"/>
        <v>2.3452640449462625</v>
      </c>
    </row>
    <row r="40" spans="1:49" x14ac:dyDescent="0.2">
      <c r="A40">
        <v>38</v>
      </c>
      <c r="B40" t="s">
        <v>11118</v>
      </c>
      <c r="C40" t="s">
        <v>11117</v>
      </c>
      <c r="F40" t="s">
        <v>11116</v>
      </c>
      <c r="G40" t="s">
        <v>12</v>
      </c>
      <c r="H40" t="s">
        <v>11</v>
      </c>
      <c r="I40" t="s">
        <v>11115</v>
      </c>
      <c r="N40">
        <v>2</v>
      </c>
      <c r="O40" t="s">
        <v>11114</v>
      </c>
      <c r="P40" t="s">
        <v>11113</v>
      </c>
      <c r="Q40" t="s">
        <v>720</v>
      </c>
      <c r="R40" s="7">
        <v>33725</v>
      </c>
      <c r="S40" s="8">
        <f t="shared" si="8"/>
        <v>1992</v>
      </c>
      <c r="T40" s="8">
        <v>1992</v>
      </c>
      <c r="U40" s="8">
        <f t="shared" si="9"/>
        <v>30</v>
      </c>
      <c r="V40" s="7">
        <v>33725</v>
      </c>
      <c r="W40" t="s">
        <v>529</v>
      </c>
      <c r="X40" s="2">
        <v>0.65500000000000003</v>
      </c>
      <c r="Y40" s="6">
        <f t="shared" si="2"/>
        <v>1.7484850911614749E-2</v>
      </c>
      <c r="AA40">
        <v>189375</v>
      </c>
      <c r="AB40">
        <v>26051</v>
      </c>
      <c r="AD40" t="s">
        <v>4</v>
      </c>
      <c r="AE40">
        <v>34</v>
      </c>
      <c r="AF40">
        <v>2</v>
      </c>
      <c r="AH40" t="s">
        <v>11112</v>
      </c>
      <c r="AI40" t="s">
        <v>11111</v>
      </c>
      <c r="AK40" t="s">
        <v>11110</v>
      </c>
      <c r="AL40">
        <v>2</v>
      </c>
      <c r="AM40" s="5">
        <f t="shared" si="10"/>
        <v>6.6666666666666666E-2</v>
      </c>
      <c r="AN40" s="4">
        <f t="shared" si="4"/>
        <v>1.0097185409567084E-4</v>
      </c>
      <c r="AO40" s="3"/>
      <c r="AP40">
        <v>0</v>
      </c>
      <c r="AR40" t="s">
        <v>0</v>
      </c>
      <c r="AT40" s="2" t="s">
        <v>16</v>
      </c>
      <c r="AU40" s="1">
        <f t="shared" si="11"/>
        <v>1.2269687194359025</v>
      </c>
      <c r="AV40" s="1">
        <f t="shared" si="12"/>
        <v>0.87929113828552097</v>
      </c>
      <c r="AW40" s="1">
        <f t="shared" si="13"/>
        <v>0.53161355713513947</v>
      </c>
    </row>
    <row r="41" spans="1:49" x14ac:dyDescent="0.2">
      <c r="A41">
        <v>39</v>
      </c>
      <c r="B41" t="s">
        <v>11109</v>
      </c>
      <c r="C41" t="s">
        <v>11108</v>
      </c>
      <c r="F41" t="s">
        <v>11107</v>
      </c>
      <c r="G41" t="s">
        <v>12</v>
      </c>
      <c r="H41" t="s">
        <v>11</v>
      </c>
      <c r="I41" t="s">
        <v>11106</v>
      </c>
      <c r="N41">
        <v>3</v>
      </c>
      <c r="O41" t="s">
        <v>11105</v>
      </c>
      <c r="P41" t="s">
        <v>11104</v>
      </c>
      <c r="Q41" t="s">
        <v>1191</v>
      </c>
      <c r="R41" s="7">
        <v>33725</v>
      </c>
      <c r="S41" s="8">
        <f t="shared" si="8"/>
        <v>1992</v>
      </c>
      <c r="T41" s="8">
        <v>1992</v>
      </c>
      <c r="U41" s="8">
        <f t="shared" si="9"/>
        <v>30</v>
      </c>
      <c r="V41" s="7">
        <v>33725</v>
      </c>
      <c r="W41" t="s">
        <v>529</v>
      </c>
      <c r="X41" s="2">
        <v>0.65500000000000003</v>
      </c>
      <c r="Y41" s="6">
        <f t="shared" si="2"/>
        <v>1.7484850911614749E-2</v>
      </c>
      <c r="AA41">
        <v>189375</v>
      </c>
      <c r="AB41">
        <v>26051</v>
      </c>
      <c r="AD41" t="s">
        <v>4</v>
      </c>
      <c r="AE41">
        <v>34</v>
      </c>
      <c r="AF41">
        <v>2</v>
      </c>
      <c r="AH41" t="s">
        <v>11103</v>
      </c>
      <c r="AI41" t="s">
        <v>11102</v>
      </c>
      <c r="AK41" t="s">
        <v>11101</v>
      </c>
      <c r="AL41">
        <v>0</v>
      </c>
      <c r="AM41" s="5">
        <f t="shared" si="10"/>
        <v>0</v>
      </c>
      <c r="AN41" s="4">
        <f t="shared" si="4"/>
        <v>0</v>
      </c>
      <c r="AO41" s="3"/>
      <c r="AP41">
        <v>0</v>
      </c>
      <c r="AR41" t="s">
        <v>0</v>
      </c>
      <c r="AT41" s="2" t="s">
        <v>16</v>
      </c>
      <c r="AU41" s="1">
        <f t="shared" si="11"/>
        <v>1.2239395638130324</v>
      </c>
      <c r="AV41" s="1">
        <f t="shared" si="12"/>
        <v>0.87424254558073744</v>
      </c>
      <c r="AW41" s="1">
        <f t="shared" si="13"/>
        <v>0.52454552734844251</v>
      </c>
    </row>
    <row r="42" spans="1:49" x14ac:dyDescent="0.2">
      <c r="A42">
        <v>40</v>
      </c>
      <c r="B42" t="s">
        <v>11100</v>
      </c>
      <c r="F42" t="s">
        <v>11099</v>
      </c>
      <c r="G42" t="s">
        <v>12</v>
      </c>
      <c r="H42" t="s">
        <v>11</v>
      </c>
      <c r="I42" t="s">
        <v>10644</v>
      </c>
      <c r="N42">
        <v>2</v>
      </c>
      <c r="O42" t="s">
        <v>11098</v>
      </c>
      <c r="P42" t="s">
        <v>11097</v>
      </c>
      <c r="Q42" t="s">
        <v>720</v>
      </c>
      <c r="R42" s="7">
        <v>33725</v>
      </c>
      <c r="S42" s="8">
        <f t="shared" si="8"/>
        <v>1992</v>
      </c>
      <c r="T42" s="8">
        <v>1992</v>
      </c>
      <c r="U42" s="8">
        <f t="shared" si="9"/>
        <v>30</v>
      </c>
      <c r="V42" s="7">
        <v>33725</v>
      </c>
      <c r="W42" t="s">
        <v>590</v>
      </c>
      <c r="X42" s="2">
        <v>0.14099999999999999</v>
      </c>
      <c r="Y42" s="6">
        <f t="shared" si="2"/>
        <v>3.7639144710498915E-3</v>
      </c>
      <c r="AA42">
        <v>402508</v>
      </c>
      <c r="AB42">
        <v>20868</v>
      </c>
      <c r="AD42" t="s">
        <v>4</v>
      </c>
      <c r="AE42">
        <v>47</v>
      </c>
      <c r="AF42">
        <v>5</v>
      </c>
      <c r="AH42" t="s">
        <v>11096</v>
      </c>
      <c r="AI42" t="s">
        <v>11095</v>
      </c>
      <c r="AK42" t="s">
        <v>11094</v>
      </c>
      <c r="AL42">
        <v>0</v>
      </c>
      <c r="AM42" s="5">
        <f t="shared" si="10"/>
        <v>0</v>
      </c>
      <c r="AN42" s="4">
        <f t="shared" si="4"/>
        <v>0</v>
      </c>
      <c r="AO42" s="3"/>
      <c r="AP42">
        <v>0</v>
      </c>
      <c r="AR42" t="s">
        <v>0</v>
      </c>
      <c r="AT42" s="2" t="s">
        <v>16</v>
      </c>
      <c r="AU42" s="1">
        <f t="shared" si="11"/>
        <v>0.26347401297349238</v>
      </c>
      <c r="AV42" s="1">
        <f t="shared" si="12"/>
        <v>0.18819572355249459</v>
      </c>
      <c r="AW42" s="1">
        <f t="shared" si="13"/>
        <v>0.11291743413149673</v>
      </c>
    </row>
    <row r="43" spans="1:49" x14ac:dyDescent="0.2">
      <c r="A43">
        <v>41</v>
      </c>
      <c r="B43" t="s">
        <v>11093</v>
      </c>
      <c r="F43" t="s">
        <v>11092</v>
      </c>
      <c r="G43" t="s">
        <v>12</v>
      </c>
      <c r="H43" t="s">
        <v>11</v>
      </c>
      <c r="I43" t="s">
        <v>11091</v>
      </c>
      <c r="J43">
        <v>100311664</v>
      </c>
      <c r="K43" t="s">
        <v>11090</v>
      </c>
      <c r="L43" t="s">
        <v>11089</v>
      </c>
      <c r="M43" t="s">
        <v>393</v>
      </c>
      <c r="N43">
        <v>2</v>
      </c>
      <c r="O43" t="s">
        <v>11088</v>
      </c>
      <c r="P43" t="s">
        <v>11087</v>
      </c>
      <c r="Q43" t="s">
        <v>11086</v>
      </c>
      <c r="R43" s="7">
        <v>33725</v>
      </c>
      <c r="S43" s="8">
        <f t="shared" si="8"/>
        <v>1992</v>
      </c>
      <c r="T43" s="8">
        <v>1992</v>
      </c>
      <c r="U43" s="8">
        <f t="shared" si="9"/>
        <v>30</v>
      </c>
      <c r="V43" s="7">
        <v>33725</v>
      </c>
      <c r="W43" t="s">
        <v>11085</v>
      </c>
      <c r="X43" s="2" t="s">
        <v>16</v>
      </c>
      <c r="Y43" s="6" t="e">
        <f t="shared" si="2"/>
        <v>#VALUE!</v>
      </c>
      <c r="AA43">
        <v>3170926</v>
      </c>
      <c r="AB43">
        <v>19026</v>
      </c>
      <c r="AD43" t="s">
        <v>4</v>
      </c>
      <c r="AE43">
        <v>85</v>
      </c>
      <c r="AF43">
        <v>960</v>
      </c>
      <c r="AH43" t="s">
        <v>11084</v>
      </c>
      <c r="AI43" t="s">
        <v>11083</v>
      </c>
      <c r="AK43" t="s">
        <v>11082</v>
      </c>
      <c r="AL43">
        <v>2</v>
      </c>
      <c r="AM43" s="5">
        <f t="shared" si="10"/>
        <v>6.6666666666666666E-2</v>
      </c>
      <c r="AN43" s="4">
        <f t="shared" si="4"/>
        <v>1.0097185409567084E-4</v>
      </c>
      <c r="AO43" s="3"/>
      <c r="AP43">
        <v>0</v>
      </c>
      <c r="AR43" t="s">
        <v>0</v>
      </c>
      <c r="AT43" s="2" t="s">
        <v>16</v>
      </c>
      <c r="AU43" s="1" t="e">
        <f t="shared" si="11"/>
        <v>#VALUE!</v>
      </c>
      <c r="AV43" s="1" t="e">
        <f t="shared" si="12"/>
        <v>#VALUE!</v>
      </c>
      <c r="AW43" s="1" t="e">
        <f t="shared" si="13"/>
        <v>#VALUE!</v>
      </c>
    </row>
    <row r="44" spans="1:49" x14ac:dyDescent="0.2">
      <c r="A44">
        <v>42</v>
      </c>
      <c r="B44" t="s">
        <v>11081</v>
      </c>
      <c r="C44" t="s">
        <v>11080</v>
      </c>
      <c r="F44" t="s">
        <v>11079</v>
      </c>
      <c r="G44" t="s">
        <v>12</v>
      </c>
      <c r="H44" t="s">
        <v>11</v>
      </c>
      <c r="I44" t="s">
        <v>11078</v>
      </c>
      <c r="J44">
        <v>60009254</v>
      </c>
      <c r="K44" t="s">
        <v>3785</v>
      </c>
      <c r="L44" t="s">
        <v>3784</v>
      </c>
      <c r="M44" t="s">
        <v>7</v>
      </c>
      <c r="N44">
        <v>2</v>
      </c>
      <c r="O44" t="s">
        <v>11077</v>
      </c>
      <c r="P44" t="s">
        <v>11076</v>
      </c>
      <c r="Q44" t="s">
        <v>11075</v>
      </c>
      <c r="R44" s="7">
        <v>33725</v>
      </c>
      <c r="S44" s="8">
        <f t="shared" si="8"/>
        <v>1992</v>
      </c>
      <c r="T44" s="8">
        <v>1992</v>
      </c>
      <c r="U44" s="8">
        <f t="shared" si="9"/>
        <v>30</v>
      </c>
      <c r="V44" s="7">
        <v>33725</v>
      </c>
      <c r="W44" t="s">
        <v>11074</v>
      </c>
      <c r="X44" s="2">
        <v>7.1150000000000002</v>
      </c>
      <c r="Y44" s="6">
        <f t="shared" si="2"/>
        <v>0.18993086142921972</v>
      </c>
      <c r="AA44">
        <v>27863</v>
      </c>
      <c r="AB44">
        <v>22680</v>
      </c>
      <c r="AC44">
        <v>15205126</v>
      </c>
      <c r="AD44" t="s">
        <v>4</v>
      </c>
      <c r="AE44">
        <v>114</v>
      </c>
      <c r="AF44">
        <v>11</v>
      </c>
      <c r="AH44" t="s">
        <v>11073</v>
      </c>
      <c r="AI44" t="s">
        <v>11072</v>
      </c>
      <c r="AK44" t="s">
        <v>11071</v>
      </c>
      <c r="AL44">
        <v>31</v>
      </c>
      <c r="AM44" s="5">
        <f t="shared" si="10"/>
        <v>1.0333333333333334</v>
      </c>
      <c r="AN44" s="4">
        <f t="shared" si="4"/>
        <v>1.5650637384828981E-3</v>
      </c>
      <c r="AO44" s="3"/>
      <c r="AP44">
        <v>0</v>
      </c>
      <c r="AR44" t="s">
        <v>0</v>
      </c>
      <c r="AT44" s="2" t="s">
        <v>16</v>
      </c>
      <c r="AU44" s="1">
        <f t="shared" si="11"/>
        <v>13.342112212199867</v>
      </c>
      <c r="AV44" s="1">
        <f t="shared" si="12"/>
        <v>9.5747962583851312</v>
      </c>
      <c r="AW44" s="1">
        <f t="shared" si="13"/>
        <v>5.8074803045703938</v>
      </c>
    </row>
    <row r="45" spans="1:49" x14ac:dyDescent="0.2">
      <c r="A45">
        <v>43</v>
      </c>
      <c r="B45" t="s">
        <v>11070</v>
      </c>
      <c r="C45" t="s">
        <v>11069</v>
      </c>
      <c r="F45" t="s">
        <v>11068</v>
      </c>
      <c r="G45" t="s">
        <v>12</v>
      </c>
      <c r="H45" t="s">
        <v>11</v>
      </c>
      <c r="I45" t="s">
        <v>11067</v>
      </c>
      <c r="J45">
        <v>60029170</v>
      </c>
      <c r="K45" t="s">
        <v>2407</v>
      </c>
      <c r="L45" t="s">
        <v>2406</v>
      </c>
      <c r="M45" t="s">
        <v>1091</v>
      </c>
      <c r="N45">
        <v>2</v>
      </c>
      <c r="O45" t="s">
        <v>11066</v>
      </c>
      <c r="P45" t="s">
        <v>11065</v>
      </c>
      <c r="Q45" t="s">
        <v>6266</v>
      </c>
      <c r="R45" s="7">
        <v>33725</v>
      </c>
      <c r="S45" s="8">
        <f t="shared" si="8"/>
        <v>1992</v>
      </c>
      <c r="T45" s="8">
        <v>1992</v>
      </c>
      <c r="U45" s="8">
        <f t="shared" si="9"/>
        <v>30</v>
      </c>
      <c r="V45" s="7">
        <v>33725</v>
      </c>
      <c r="W45" t="s">
        <v>1901</v>
      </c>
      <c r="X45" s="2" t="s">
        <v>16</v>
      </c>
      <c r="Y45" s="6" t="e">
        <f t="shared" si="2"/>
        <v>#VALUE!</v>
      </c>
      <c r="AA45" t="s">
        <v>1900</v>
      </c>
      <c r="AB45">
        <v>18446</v>
      </c>
      <c r="AC45">
        <v>14320878</v>
      </c>
      <c r="AD45" t="s">
        <v>4</v>
      </c>
      <c r="AE45">
        <v>268</v>
      </c>
      <c r="AF45">
        <v>2</v>
      </c>
      <c r="AH45" t="s">
        <v>11064</v>
      </c>
      <c r="AI45" t="s">
        <v>11063</v>
      </c>
      <c r="AJ45" t="s">
        <v>11062</v>
      </c>
      <c r="AK45" t="s">
        <v>11061</v>
      </c>
      <c r="AL45">
        <v>23</v>
      </c>
      <c r="AM45" s="5">
        <f t="shared" si="10"/>
        <v>0.76666666666666672</v>
      </c>
      <c r="AN45" s="4">
        <f t="shared" si="4"/>
        <v>1.1611763221002146E-3</v>
      </c>
      <c r="AO45" s="3"/>
      <c r="AP45">
        <v>0</v>
      </c>
      <c r="AR45" t="s">
        <v>0</v>
      </c>
      <c r="AT45" s="2" t="s">
        <v>16</v>
      </c>
      <c r="AU45" s="1" t="e">
        <f t="shared" si="11"/>
        <v>#VALUE!</v>
      </c>
      <c r="AV45" s="1" t="e">
        <f t="shared" si="12"/>
        <v>#VALUE!</v>
      </c>
      <c r="AW45" s="1" t="e">
        <f t="shared" si="13"/>
        <v>#VALUE!</v>
      </c>
    </row>
    <row r="46" spans="1:49" x14ac:dyDescent="0.2">
      <c r="A46">
        <v>44</v>
      </c>
      <c r="B46" t="s">
        <v>11060</v>
      </c>
      <c r="C46" t="s">
        <v>11059</v>
      </c>
      <c r="F46" t="s">
        <v>11058</v>
      </c>
      <c r="G46" t="s">
        <v>12</v>
      </c>
      <c r="H46" t="s">
        <v>11</v>
      </c>
      <c r="I46" t="s">
        <v>11057</v>
      </c>
      <c r="J46" t="s">
        <v>11056</v>
      </c>
      <c r="K46" t="s">
        <v>11055</v>
      </c>
      <c r="L46" t="s">
        <v>11054</v>
      </c>
      <c r="M46" t="s">
        <v>11053</v>
      </c>
      <c r="N46">
        <v>8</v>
      </c>
      <c r="O46" t="s">
        <v>11052</v>
      </c>
      <c r="P46" t="s">
        <v>11051</v>
      </c>
      <c r="Q46" t="s">
        <v>11050</v>
      </c>
      <c r="R46" s="7">
        <v>33725</v>
      </c>
      <c r="S46" s="8">
        <f t="shared" si="8"/>
        <v>1992</v>
      </c>
      <c r="T46" s="8">
        <v>1992</v>
      </c>
      <c r="U46" s="8">
        <f t="shared" si="9"/>
        <v>30</v>
      </c>
      <c r="V46" s="7">
        <v>33725</v>
      </c>
      <c r="W46" t="s">
        <v>11049</v>
      </c>
      <c r="X46" s="2">
        <v>2.4740000000000002</v>
      </c>
      <c r="Y46" s="6">
        <f t="shared" si="2"/>
        <v>6.6042017031045633E-2</v>
      </c>
      <c r="AA46">
        <v>386308</v>
      </c>
      <c r="AB46">
        <v>28261</v>
      </c>
      <c r="AC46">
        <v>15729672</v>
      </c>
      <c r="AD46" t="s">
        <v>4</v>
      </c>
      <c r="AE46">
        <v>60</v>
      </c>
      <c r="AF46" s="9">
        <v>44287</v>
      </c>
      <c r="AH46" t="s">
        <v>11048</v>
      </c>
      <c r="AI46" t="s">
        <v>11047</v>
      </c>
      <c r="AK46" t="s">
        <v>11046</v>
      </c>
      <c r="AL46">
        <v>10</v>
      </c>
      <c r="AM46" s="5">
        <f t="shared" si="10"/>
        <v>0.33333333333333331</v>
      </c>
      <c r="AN46" s="4">
        <f t="shared" si="4"/>
        <v>5.048592704783541E-4</v>
      </c>
      <c r="AO46" s="3"/>
      <c r="AP46">
        <v>0</v>
      </c>
      <c r="AR46" t="s">
        <v>0</v>
      </c>
      <c r="AT46" s="2">
        <v>8.0169999999999995</v>
      </c>
      <c r="AU46" s="1">
        <f t="shared" si="11"/>
        <v>4.638086970287544</v>
      </c>
      <c r="AV46" s="1">
        <f t="shared" si="12"/>
        <v>3.3273438150761994</v>
      </c>
      <c r="AW46" s="1">
        <f t="shared" si="13"/>
        <v>2.0166006598648538</v>
      </c>
    </row>
    <row r="47" spans="1:49" x14ac:dyDescent="0.2">
      <c r="A47">
        <v>45</v>
      </c>
      <c r="B47" t="s">
        <v>11045</v>
      </c>
      <c r="C47" t="s">
        <v>11044</v>
      </c>
      <c r="F47" t="s">
        <v>11043</v>
      </c>
      <c r="G47" t="s">
        <v>12</v>
      </c>
      <c r="H47" t="s">
        <v>11</v>
      </c>
      <c r="I47" t="s">
        <v>11042</v>
      </c>
      <c r="J47">
        <v>60025310</v>
      </c>
      <c r="K47" t="s">
        <v>11041</v>
      </c>
      <c r="L47" t="s">
        <v>11040</v>
      </c>
      <c r="M47" t="s">
        <v>817</v>
      </c>
      <c r="N47">
        <v>2</v>
      </c>
      <c r="O47" t="s">
        <v>11039</v>
      </c>
      <c r="P47" t="s">
        <v>11038</v>
      </c>
      <c r="Q47" t="s">
        <v>11037</v>
      </c>
      <c r="R47" s="7">
        <v>33725</v>
      </c>
      <c r="S47" s="8">
        <f t="shared" si="8"/>
        <v>1992</v>
      </c>
      <c r="T47" s="8">
        <v>1992</v>
      </c>
      <c r="U47" s="8">
        <f t="shared" si="9"/>
        <v>30</v>
      </c>
      <c r="V47" s="7">
        <v>33725</v>
      </c>
      <c r="W47" t="s">
        <v>11036</v>
      </c>
      <c r="X47" s="2">
        <v>1.2529999999999999</v>
      </c>
      <c r="Y47" s="6">
        <f t="shared" si="2"/>
        <v>3.3448119377485916E-2</v>
      </c>
      <c r="AA47">
        <v>320935</v>
      </c>
      <c r="AB47">
        <v>16646</v>
      </c>
      <c r="AC47">
        <v>14322048</v>
      </c>
      <c r="AD47" t="s">
        <v>4</v>
      </c>
      <c r="AE47">
        <v>187</v>
      </c>
      <c r="AF47">
        <v>2</v>
      </c>
      <c r="AH47" t="s">
        <v>11035</v>
      </c>
      <c r="AI47" t="s">
        <v>11034</v>
      </c>
      <c r="AJ47" t="s">
        <v>11033</v>
      </c>
      <c r="AK47" t="s">
        <v>11032</v>
      </c>
      <c r="AL47">
        <v>26</v>
      </c>
      <c r="AM47" s="5">
        <f t="shared" si="10"/>
        <v>0.8666666666666667</v>
      </c>
      <c r="AN47" s="4">
        <f t="shared" si="4"/>
        <v>1.3126341032437209E-3</v>
      </c>
      <c r="AO47" s="3"/>
      <c r="AP47">
        <v>0</v>
      </c>
      <c r="AR47" t="s">
        <v>0</v>
      </c>
      <c r="AT47" s="2">
        <v>4.1159999999999997</v>
      </c>
      <c r="AU47" s="1">
        <f t="shared" si="11"/>
        <v>2.3807473795213254</v>
      </c>
      <c r="AV47" s="1">
        <f t="shared" si="12"/>
        <v>1.7380376740364818</v>
      </c>
      <c r="AW47" s="1">
        <f t="shared" si="13"/>
        <v>1.0953279685516377</v>
      </c>
    </row>
    <row r="48" spans="1:49" x14ac:dyDescent="0.2">
      <c r="A48">
        <v>46</v>
      </c>
      <c r="B48" t="s">
        <v>11031</v>
      </c>
      <c r="C48" t="s">
        <v>11030</v>
      </c>
      <c r="D48" t="s">
        <v>11029</v>
      </c>
      <c r="E48">
        <v>1575729</v>
      </c>
      <c r="F48" t="s">
        <v>11028</v>
      </c>
      <c r="G48" t="s">
        <v>12</v>
      </c>
      <c r="H48" t="s">
        <v>11</v>
      </c>
      <c r="I48" t="s">
        <v>11027</v>
      </c>
      <c r="J48">
        <v>60000481</v>
      </c>
      <c r="K48" t="s">
        <v>984</v>
      </c>
      <c r="L48" t="s">
        <v>983</v>
      </c>
      <c r="M48" t="s">
        <v>338</v>
      </c>
      <c r="N48">
        <v>4</v>
      </c>
      <c r="O48" t="s">
        <v>11026</v>
      </c>
      <c r="P48" t="s">
        <v>11025</v>
      </c>
      <c r="Q48" t="s">
        <v>11024</v>
      </c>
      <c r="R48" s="7">
        <v>33724</v>
      </c>
      <c r="S48" s="8">
        <f t="shared" si="8"/>
        <v>1992</v>
      </c>
      <c r="T48" s="8">
        <v>1992</v>
      </c>
      <c r="U48" s="8">
        <f t="shared" si="9"/>
        <v>30</v>
      </c>
      <c r="V48" s="7">
        <v>33724</v>
      </c>
      <c r="W48" t="s">
        <v>11023</v>
      </c>
      <c r="X48" s="2">
        <v>0.998</v>
      </c>
      <c r="Y48" s="6">
        <f t="shared" si="2"/>
        <v>2.664104001494888E-2</v>
      </c>
      <c r="AA48" t="s">
        <v>11022</v>
      </c>
      <c r="AB48">
        <v>16845</v>
      </c>
      <c r="AC48">
        <v>10902104</v>
      </c>
      <c r="AD48" t="s">
        <v>4</v>
      </c>
      <c r="AE48">
        <v>184</v>
      </c>
      <c r="AF48">
        <v>2</v>
      </c>
      <c r="AH48" t="s">
        <v>11021</v>
      </c>
      <c r="AI48" t="s">
        <v>11020</v>
      </c>
      <c r="AK48" t="s">
        <v>11019</v>
      </c>
      <c r="AL48">
        <v>9</v>
      </c>
      <c r="AM48" s="5">
        <f t="shared" si="10"/>
        <v>0.3</v>
      </c>
      <c r="AN48" s="4">
        <f t="shared" si="4"/>
        <v>4.5437334343051872E-4</v>
      </c>
      <c r="AO48" s="3"/>
      <c r="AP48">
        <v>0</v>
      </c>
      <c r="AR48" t="s">
        <v>0</v>
      </c>
      <c r="AT48" s="2" t="s">
        <v>16</v>
      </c>
      <c r="AU48" s="1">
        <f t="shared" si="11"/>
        <v>1.8785040013493373</v>
      </c>
      <c r="AV48" s="1">
        <f t="shared" si="12"/>
        <v>1.3547706679189699</v>
      </c>
      <c r="AW48" s="1">
        <f t="shared" si="13"/>
        <v>0.83103733448860273</v>
      </c>
    </row>
    <row r="49" spans="1:49" x14ac:dyDescent="0.2">
      <c r="A49">
        <v>47</v>
      </c>
      <c r="B49" t="s">
        <v>11018</v>
      </c>
      <c r="C49" t="s">
        <v>11017</v>
      </c>
      <c r="D49" t="s">
        <v>11016</v>
      </c>
      <c r="F49" t="s">
        <v>11015</v>
      </c>
      <c r="G49" t="s">
        <v>12</v>
      </c>
      <c r="H49" t="s">
        <v>11</v>
      </c>
      <c r="I49" t="s">
        <v>11014</v>
      </c>
      <c r="J49" t="s">
        <v>11013</v>
      </c>
      <c r="K49" t="s">
        <v>11012</v>
      </c>
      <c r="L49" t="s">
        <v>11011</v>
      </c>
      <c r="M49" t="s">
        <v>11010</v>
      </c>
      <c r="N49">
        <v>5</v>
      </c>
      <c r="O49" t="s">
        <v>11009</v>
      </c>
      <c r="P49" t="s">
        <v>11008</v>
      </c>
      <c r="Q49" t="s">
        <v>11007</v>
      </c>
      <c r="R49" s="7">
        <v>33724</v>
      </c>
      <c r="S49" s="8">
        <f t="shared" si="8"/>
        <v>1992</v>
      </c>
      <c r="T49" s="8">
        <v>1992</v>
      </c>
      <c r="U49" s="8">
        <f t="shared" si="9"/>
        <v>30</v>
      </c>
      <c r="V49" s="7">
        <v>33724</v>
      </c>
      <c r="W49" t="s">
        <v>576</v>
      </c>
      <c r="X49" s="2" t="s">
        <v>16</v>
      </c>
      <c r="Y49" s="6" t="e">
        <f t="shared" si="2"/>
        <v>#VALUE!</v>
      </c>
      <c r="AA49">
        <v>10111344</v>
      </c>
      <c r="AB49">
        <v>17622</v>
      </c>
      <c r="AD49" t="s">
        <v>4</v>
      </c>
      <c r="AE49">
        <v>13</v>
      </c>
      <c r="AF49">
        <v>2</v>
      </c>
      <c r="AH49" t="s">
        <v>11006</v>
      </c>
      <c r="AI49" t="s">
        <v>11005</v>
      </c>
      <c r="AJ49" t="s">
        <v>11004</v>
      </c>
      <c r="AK49" t="s">
        <v>11003</v>
      </c>
      <c r="AL49">
        <v>46</v>
      </c>
      <c r="AM49" s="5">
        <f t="shared" si="10"/>
        <v>1.5333333333333334</v>
      </c>
      <c r="AN49" s="4">
        <f t="shared" si="4"/>
        <v>2.3223526442004293E-3</v>
      </c>
      <c r="AO49" s="3"/>
      <c r="AP49">
        <v>0</v>
      </c>
      <c r="AQ49" t="s">
        <v>11002</v>
      </c>
      <c r="AR49" t="s">
        <v>0</v>
      </c>
      <c r="AS49" t="s">
        <v>11001</v>
      </c>
      <c r="AT49" s="2" t="s">
        <v>16</v>
      </c>
      <c r="AU49" s="1" t="e">
        <f t="shared" si="11"/>
        <v>#VALUE!</v>
      </c>
      <c r="AV49" s="1" t="e">
        <f t="shared" si="12"/>
        <v>#VALUE!</v>
      </c>
      <c r="AW49" s="1" t="e">
        <f t="shared" si="13"/>
        <v>#VALUE!</v>
      </c>
    </row>
    <row r="50" spans="1:49" x14ac:dyDescent="0.2">
      <c r="A50">
        <v>48</v>
      </c>
      <c r="B50" t="s">
        <v>11000</v>
      </c>
      <c r="C50" t="s">
        <v>10999</v>
      </c>
      <c r="D50" t="s">
        <v>10998</v>
      </c>
      <c r="F50" t="s">
        <v>10997</v>
      </c>
      <c r="G50" t="s">
        <v>12</v>
      </c>
      <c r="H50" t="s">
        <v>11</v>
      </c>
      <c r="I50" t="s">
        <v>10996</v>
      </c>
      <c r="J50">
        <v>60072285</v>
      </c>
      <c r="K50" t="s">
        <v>10995</v>
      </c>
      <c r="L50" t="s">
        <v>10994</v>
      </c>
      <c r="M50" t="s">
        <v>817</v>
      </c>
      <c r="N50">
        <v>3</v>
      </c>
      <c r="O50" t="s">
        <v>10993</v>
      </c>
      <c r="P50" t="s">
        <v>10992</v>
      </c>
      <c r="Q50" t="s">
        <v>10991</v>
      </c>
      <c r="R50" s="7">
        <v>33724</v>
      </c>
      <c r="S50" s="8">
        <f t="shared" si="8"/>
        <v>1992</v>
      </c>
      <c r="T50" s="8">
        <v>1992</v>
      </c>
      <c r="U50" s="8">
        <f t="shared" si="9"/>
        <v>30</v>
      </c>
      <c r="V50" s="7">
        <v>33724</v>
      </c>
      <c r="W50" t="s">
        <v>10551</v>
      </c>
      <c r="X50" s="2" t="s">
        <v>16</v>
      </c>
      <c r="Y50" s="6" t="e">
        <f t="shared" si="2"/>
        <v>#VALUE!</v>
      </c>
      <c r="AA50">
        <v>10106030</v>
      </c>
      <c r="AB50">
        <v>26966</v>
      </c>
      <c r="AD50" t="s">
        <v>4</v>
      </c>
      <c r="AE50">
        <v>65</v>
      </c>
      <c r="AF50" s="9">
        <v>44228</v>
      </c>
      <c r="AH50" t="s">
        <v>10990</v>
      </c>
      <c r="AI50" t="s">
        <v>10989</v>
      </c>
      <c r="AK50" t="s">
        <v>10988</v>
      </c>
      <c r="AL50">
        <v>81</v>
      </c>
      <c r="AM50" s="5">
        <f t="shared" si="10"/>
        <v>2.7</v>
      </c>
      <c r="AN50" s="4">
        <f t="shared" si="4"/>
        <v>4.0893600908746691E-3</v>
      </c>
      <c r="AO50" s="3"/>
      <c r="AP50">
        <v>0</v>
      </c>
      <c r="AR50" t="s">
        <v>0</v>
      </c>
      <c r="AT50" s="2" t="s">
        <v>16</v>
      </c>
      <c r="AU50" s="1" t="e">
        <f t="shared" si="11"/>
        <v>#VALUE!</v>
      </c>
      <c r="AV50" s="1" t="e">
        <f t="shared" si="12"/>
        <v>#VALUE!</v>
      </c>
      <c r="AW50" s="1" t="e">
        <f t="shared" si="13"/>
        <v>#VALUE!</v>
      </c>
    </row>
    <row r="51" spans="1:49" x14ac:dyDescent="0.2">
      <c r="A51">
        <v>49</v>
      </c>
      <c r="B51" t="s">
        <v>10987</v>
      </c>
      <c r="C51" t="s">
        <v>10986</v>
      </c>
      <c r="D51" t="s">
        <v>10985</v>
      </c>
      <c r="F51" t="s">
        <v>10984</v>
      </c>
      <c r="G51" t="s">
        <v>12</v>
      </c>
      <c r="H51" t="s">
        <v>11</v>
      </c>
      <c r="I51" t="s">
        <v>2514</v>
      </c>
      <c r="J51">
        <v>60016849</v>
      </c>
      <c r="K51" t="s">
        <v>2513</v>
      </c>
      <c r="L51" t="s">
        <v>2512</v>
      </c>
      <c r="M51" t="s">
        <v>393</v>
      </c>
      <c r="N51">
        <v>5</v>
      </c>
      <c r="O51" t="s">
        <v>10983</v>
      </c>
      <c r="P51" t="s">
        <v>10982</v>
      </c>
      <c r="Q51" t="s">
        <v>10981</v>
      </c>
      <c r="R51" s="7">
        <v>33709</v>
      </c>
      <c r="S51" s="8">
        <f t="shared" si="8"/>
        <v>1992</v>
      </c>
      <c r="T51" s="8">
        <v>1992</v>
      </c>
      <c r="U51" s="8">
        <f t="shared" si="9"/>
        <v>30</v>
      </c>
      <c r="V51" s="7">
        <v>33709</v>
      </c>
      <c r="W51" t="s">
        <v>10551</v>
      </c>
      <c r="X51" s="2" t="s">
        <v>16</v>
      </c>
      <c r="Y51" s="6" t="e">
        <f t="shared" si="2"/>
        <v>#VALUE!</v>
      </c>
      <c r="AA51">
        <v>10106030</v>
      </c>
      <c r="AB51">
        <v>26966</v>
      </c>
      <c r="AD51" t="s">
        <v>4</v>
      </c>
      <c r="AE51">
        <v>64</v>
      </c>
      <c r="AF51">
        <v>3</v>
      </c>
      <c r="AH51" t="s">
        <v>10980</v>
      </c>
      <c r="AI51" t="s">
        <v>10979</v>
      </c>
      <c r="AK51" t="s">
        <v>10978</v>
      </c>
      <c r="AL51">
        <v>18</v>
      </c>
      <c r="AM51" s="5">
        <f t="shared" si="10"/>
        <v>0.6</v>
      </c>
      <c r="AN51" s="4">
        <f t="shared" si="4"/>
        <v>9.0874668686103744E-4</v>
      </c>
      <c r="AO51" s="3"/>
      <c r="AP51">
        <v>0</v>
      </c>
      <c r="AQ51" t="s">
        <v>571</v>
      </c>
      <c r="AR51" t="s">
        <v>0</v>
      </c>
      <c r="AS51" t="s">
        <v>570</v>
      </c>
      <c r="AT51" s="2" t="s">
        <v>16</v>
      </c>
      <c r="AU51" s="1" t="e">
        <f t="shared" si="11"/>
        <v>#VALUE!</v>
      </c>
      <c r="AV51" s="1" t="e">
        <f t="shared" si="12"/>
        <v>#VALUE!</v>
      </c>
      <c r="AW51" s="1" t="e">
        <f t="shared" si="13"/>
        <v>#VALUE!</v>
      </c>
    </row>
    <row r="52" spans="1:49" x14ac:dyDescent="0.2">
      <c r="A52">
        <v>50</v>
      </c>
      <c r="B52" t="s">
        <v>10977</v>
      </c>
      <c r="C52" t="s">
        <v>10976</v>
      </c>
      <c r="D52" t="s">
        <v>10975</v>
      </c>
      <c r="F52" t="s">
        <v>10974</v>
      </c>
      <c r="G52" t="s">
        <v>12</v>
      </c>
      <c r="H52" t="s">
        <v>11</v>
      </c>
      <c r="I52" t="s">
        <v>10973</v>
      </c>
      <c r="J52" t="s">
        <v>10972</v>
      </c>
      <c r="K52" t="s">
        <v>10971</v>
      </c>
      <c r="L52" t="s">
        <v>10970</v>
      </c>
      <c r="M52" t="s">
        <v>10969</v>
      </c>
      <c r="N52">
        <v>5</v>
      </c>
      <c r="O52" t="s">
        <v>10968</v>
      </c>
      <c r="P52" t="s">
        <v>10967</v>
      </c>
      <c r="Q52" t="s">
        <v>10966</v>
      </c>
      <c r="R52" s="7">
        <v>33704</v>
      </c>
      <c r="S52" s="8">
        <f t="shared" si="8"/>
        <v>1992</v>
      </c>
      <c r="T52" s="8">
        <v>1992</v>
      </c>
      <c r="U52" s="8">
        <f t="shared" si="9"/>
        <v>30</v>
      </c>
      <c r="V52" s="7">
        <v>33704</v>
      </c>
      <c r="W52" t="s">
        <v>10244</v>
      </c>
      <c r="X52" s="2">
        <v>1.59</v>
      </c>
      <c r="Y52" s="6">
        <f t="shared" si="2"/>
        <v>4.2444141907583888E-2</v>
      </c>
      <c r="AA52">
        <v>52728</v>
      </c>
      <c r="AB52">
        <v>16791</v>
      </c>
      <c r="AD52" t="s">
        <v>4</v>
      </c>
      <c r="AE52">
        <v>1100</v>
      </c>
      <c r="AF52">
        <v>1</v>
      </c>
      <c r="AH52" t="s">
        <v>10965</v>
      </c>
      <c r="AI52" t="s">
        <v>10964</v>
      </c>
      <c r="AJ52" t="s">
        <v>10963</v>
      </c>
      <c r="AK52" t="s">
        <v>10962</v>
      </c>
      <c r="AL52">
        <v>19</v>
      </c>
      <c r="AM52" s="5">
        <f t="shared" si="10"/>
        <v>0.6333333333333333</v>
      </c>
      <c r="AN52" s="4">
        <f t="shared" si="4"/>
        <v>9.5923261390887281E-4</v>
      </c>
      <c r="AO52" s="3"/>
      <c r="AP52">
        <v>0</v>
      </c>
      <c r="AR52" t="s">
        <v>0</v>
      </c>
      <c r="AT52" s="2" t="s">
        <v>16</v>
      </c>
      <c r="AU52" s="1">
        <f t="shared" si="11"/>
        <v>2.9998669119481383</v>
      </c>
      <c r="AV52" s="1">
        <f t="shared" si="12"/>
        <v>2.1701687260746381</v>
      </c>
      <c r="AW52" s="1">
        <f t="shared" si="13"/>
        <v>1.3404705402011377</v>
      </c>
    </row>
    <row r="53" spans="1:49" x14ac:dyDescent="0.2">
      <c r="A53">
        <v>51</v>
      </c>
      <c r="B53" t="s">
        <v>10961</v>
      </c>
      <c r="C53" t="s">
        <v>10960</v>
      </c>
      <c r="D53" t="s">
        <v>10959</v>
      </c>
      <c r="F53" t="s">
        <v>10958</v>
      </c>
      <c r="G53" t="s">
        <v>12</v>
      </c>
      <c r="H53" t="s">
        <v>11</v>
      </c>
      <c r="I53" t="s">
        <v>10957</v>
      </c>
      <c r="J53" t="s">
        <v>10956</v>
      </c>
      <c r="K53" t="s">
        <v>10955</v>
      </c>
      <c r="L53" t="s">
        <v>10954</v>
      </c>
      <c r="M53" t="s">
        <v>9361</v>
      </c>
      <c r="N53">
        <v>3</v>
      </c>
      <c r="O53" t="s">
        <v>10953</v>
      </c>
      <c r="P53" t="s">
        <v>10952</v>
      </c>
      <c r="Q53" t="s">
        <v>10951</v>
      </c>
      <c r="R53" s="7">
        <v>33704</v>
      </c>
      <c r="S53" s="8">
        <f t="shared" si="8"/>
        <v>1992</v>
      </c>
      <c r="T53" s="8">
        <v>1992</v>
      </c>
      <c r="U53" s="8">
        <f t="shared" si="9"/>
        <v>30</v>
      </c>
      <c r="V53" s="7">
        <v>33704</v>
      </c>
      <c r="W53" t="s">
        <v>10244</v>
      </c>
      <c r="X53" s="2">
        <v>1.59</v>
      </c>
      <c r="Y53" s="6">
        <f t="shared" si="2"/>
        <v>4.2444141907583888E-2</v>
      </c>
      <c r="AA53">
        <v>52728</v>
      </c>
      <c r="AB53">
        <v>16791</v>
      </c>
      <c r="AD53" t="s">
        <v>4</v>
      </c>
      <c r="AE53">
        <v>1100</v>
      </c>
      <c r="AF53">
        <v>1</v>
      </c>
      <c r="AH53" t="s">
        <v>10835</v>
      </c>
      <c r="AI53" t="s">
        <v>10950</v>
      </c>
      <c r="AJ53" t="s">
        <v>10949</v>
      </c>
      <c r="AK53" t="s">
        <v>10948</v>
      </c>
      <c r="AL53">
        <v>18</v>
      </c>
      <c r="AM53" s="5">
        <f t="shared" si="10"/>
        <v>0.6</v>
      </c>
      <c r="AN53" s="4">
        <f t="shared" si="4"/>
        <v>9.0874668686103744E-4</v>
      </c>
      <c r="AO53" s="3"/>
      <c r="AP53">
        <v>0</v>
      </c>
      <c r="AR53" t="s">
        <v>0</v>
      </c>
      <c r="AT53" s="2" t="s">
        <v>16</v>
      </c>
      <c r="AU53" s="1">
        <f t="shared" si="11"/>
        <v>2.9983523341367033</v>
      </c>
      <c r="AV53" s="1">
        <f t="shared" si="12"/>
        <v>2.1676444297222464</v>
      </c>
      <c r="AW53" s="1">
        <f t="shared" si="13"/>
        <v>1.3369365253077892</v>
      </c>
    </row>
    <row r="54" spans="1:49" x14ac:dyDescent="0.2">
      <c r="A54">
        <v>52</v>
      </c>
      <c r="B54" t="s">
        <v>10947</v>
      </c>
      <c r="C54" t="s">
        <v>10946</v>
      </c>
      <c r="D54" t="s">
        <v>10945</v>
      </c>
      <c r="F54" t="s">
        <v>10944</v>
      </c>
      <c r="G54" t="s">
        <v>12</v>
      </c>
      <c r="H54" t="s">
        <v>11</v>
      </c>
      <c r="I54" t="s">
        <v>10943</v>
      </c>
      <c r="J54">
        <v>60022403</v>
      </c>
      <c r="K54" t="s">
        <v>10942</v>
      </c>
      <c r="L54" t="s">
        <v>10941</v>
      </c>
      <c r="M54" t="s">
        <v>1548</v>
      </c>
      <c r="N54">
        <v>2</v>
      </c>
      <c r="O54" t="s">
        <v>10940</v>
      </c>
      <c r="P54" t="s">
        <v>10939</v>
      </c>
      <c r="Q54" t="s">
        <v>10938</v>
      </c>
      <c r="R54" s="7">
        <v>33702</v>
      </c>
      <c r="S54" s="8">
        <f t="shared" si="8"/>
        <v>1992</v>
      </c>
      <c r="T54" s="8">
        <v>1992</v>
      </c>
      <c r="U54" s="8">
        <f t="shared" si="9"/>
        <v>30</v>
      </c>
      <c r="V54" s="7">
        <v>33702</v>
      </c>
      <c r="W54" t="s">
        <v>10310</v>
      </c>
      <c r="X54" s="2">
        <v>1.3149999999999999</v>
      </c>
      <c r="Y54" s="6">
        <f t="shared" si="2"/>
        <v>3.5103173967592965E-2</v>
      </c>
      <c r="AA54" t="s">
        <v>10309</v>
      </c>
      <c r="AB54">
        <v>13030</v>
      </c>
      <c r="AC54">
        <v>10958568</v>
      </c>
      <c r="AD54" t="s">
        <v>4</v>
      </c>
      <c r="AE54">
        <v>154</v>
      </c>
      <c r="AF54">
        <v>1</v>
      </c>
      <c r="AH54" t="s">
        <v>10937</v>
      </c>
      <c r="AI54" t="s">
        <v>10936</v>
      </c>
      <c r="AK54" t="s">
        <v>10935</v>
      </c>
      <c r="AL54">
        <v>0</v>
      </c>
      <c r="AM54" s="5">
        <f t="shared" si="10"/>
        <v>0</v>
      </c>
      <c r="AN54" s="4">
        <f t="shared" si="4"/>
        <v>0</v>
      </c>
      <c r="AO54" s="3"/>
      <c r="AP54">
        <v>0</v>
      </c>
      <c r="AR54" t="s">
        <v>0</v>
      </c>
      <c r="AT54" s="2">
        <v>3.6549999999999998</v>
      </c>
      <c r="AU54" s="1">
        <f t="shared" si="11"/>
        <v>2.4572221777315075</v>
      </c>
      <c r="AV54" s="1">
        <f t="shared" si="12"/>
        <v>1.7551586983796483</v>
      </c>
      <c r="AW54" s="1">
        <f t="shared" si="13"/>
        <v>1.0530952190277889</v>
      </c>
    </row>
    <row r="55" spans="1:49" x14ac:dyDescent="0.2">
      <c r="A55">
        <v>53</v>
      </c>
      <c r="B55" t="s">
        <v>10934</v>
      </c>
      <c r="C55" t="s">
        <v>10933</v>
      </c>
      <c r="F55" t="s">
        <v>10932</v>
      </c>
      <c r="G55" t="s">
        <v>12</v>
      </c>
      <c r="H55" t="s">
        <v>11</v>
      </c>
      <c r="I55" t="s">
        <v>10931</v>
      </c>
      <c r="N55">
        <v>1</v>
      </c>
      <c r="O55" t="s">
        <v>10930</v>
      </c>
      <c r="P55">
        <v>6602580837</v>
      </c>
      <c r="R55" s="7">
        <v>33695</v>
      </c>
      <c r="S55" s="8">
        <f t="shared" si="8"/>
        <v>1992</v>
      </c>
      <c r="T55" s="8">
        <v>1992</v>
      </c>
      <c r="U55" s="8">
        <f t="shared" si="9"/>
        <v>30</v>
      </c>
      <c r="V55" s="7">
        <v>33695</v>
      </c>
      <c r="W55" t="s">
        <v>10929</v>
      </c>
      <c r="X55" s="2">
        <v>0.14899999999999999</v>
      </c>
      <c r="Y55" s="6">
        <f t="shared" si="2"/>
        <v>3.977469902031446E-3</v>
      </c>
      <c r="AA55">
        <v>5431972</v>
      </c>
      <c r="AB55">
        <v>15425</v>
      </c>
      <c r="AC55">
        <v>15738906</v>
      </c>
      <c r="AD55" t="s">
        <v>4</v>
      </c>
      <c r="AE55">
        <v>35</v>
      </c>
      <c r="AF55">
        <v>4</v>
      </c>
      <c r="AH55" t="s">
        <v>10928</v>
      </c>
      <c r="AL55">
        <v>0</v>
      </c>
      <c r="AM55" s="5">
        <f t="shared" si="10"/>
        <v>0</v>
      </c>
      <c r="AN55" s="4">
        <f t="shared" si="4"/>
        <v>0</v>
      </c>
      <c r="AO55" s="3"/>
      <c r="AP55">
        <v>0</v>
      </c>
      <c r="AR55" t="s">
        <v>0</v>
      </c>
      <c r="AT55" s="2" t="s">
        <v>16</v>
      </c>
      <c r="AU55" s="1">
        <f t="shared" si="11"/>
        <v>0.2784228931422012</v>
      </c>
      <c r="AV55" s="1">
        <f t="shared" si="12"/>
        <v>0.19887349510157229</v>
      </c>
      <c r="AW55" s="1">
        <f t="shared" si="13"/>
        <v>0.11932409706094337</v>
      </c>
    </row>
    <row r="56" spans="1:49" x14ac:dyDescent="0.2">
      <c r="A56">
        <v>54</v>
      </c>
      <c r="B56" t="s">
        <v>10927</v>
      </c>
      <c r="C56" t="s">
        <v>10926</v>
      </c>
      <c r="F56" t="s">
        <v>10925</v>
      </c>
      <c r="G56" t="s">
        <v>12</v>
      </c>
      <c r="H56" t="s">
        <v>11</v>
      </c>
      <c r="I56" t="s">
        <v>10924</v>
      </c>
      <c r="J56">
        <v>60029225</v>
      </c>
      <c r="K56" t="s">
        <v>10923</v>
      </c>
      <c r="L56" t="s">
        <v>461</v>
      </c>
      <c r="M56" t="s">
        <v>460</v>
      </c>
      <c r="N56">
        <v>5</v>
      </c>
      <c r="O56" t="s">
        <v>10922</v>
      </c>
      <c r="P56" t="s">
        <v>10921</v>
      </c>
      <c r="Q56" t="s">
        <v>10920</v>
      </c>
      <c r="R56" s="7">
        <v>33695</v>
      </c>
      <c r="S56" s="8">
        <f t="shared" si="8"/>
        <v>1992</v>
      </c>
      <c r="T56" s="8">
        <v>1992</v>
      </c>
      <c r="U56" s="8">
        <f t="shared" si="9"/>
        <v>30</v>
      </c>
      <c r="V56" s="7">
        <v>33695</v>
      </c>
      <c r="W56" t="s">
        <v>1775</v>
      </c>
      <c r="X56" s="2">
        <v>0.61499999999999999</v>
      </c>
      <c r="Y56" s="6">
        <f t="shared" si="2"/>
        <v>1.6417073756706976E-2</v>
      </c>
      <c r="AA56">
        <v>1959271</v>
      </c>
      <c r="AB56">
        <v>12141</v>
      </c>
      <c r="AC56">
        <v>15729559</v>
      </c>
      <c r="AD56" t="s">
        <v>4</v>
      </c>
      <c r="AE56">
        <v>13</v>
      </c>
      <c r="AF56">
        <v>4</v>
      </c>
      <c r="AH56" t="s">
        <v>10919</v>
      </c>
      <c r="AI56" t="s">
        <v>10918</v>
      </c>
      <c r="AK56" t="s">
        <v>10917</v>
      </c>
      <c r="AL56">
        <v>11</v>
      </c>
      <c r="AM56" s="5">
        <f t="shared" si="10"/>
        <v>0.36666666666666664</v>
      </c>
      <c r="AN56" s="4">
        <f t="shared" si="4"/>
        <v>5.5534519752618958E-4</v>
      </c>
      <c r="AO56" s="3"/>
      <c r="AP56">
        <v>0</v>
      </c>
      <c r="AR56" t="s">
        <v>0</v>
      </c>
      <c r="AT56" s="2" t="s">
        <v>16</v>
      </c>
      <c r="AU56" s="1">
        <f t="shared" si="11"/>
        <v>1.1658555188952737</v>
      </c>
      <c r="AV56" s="1">
        <f t="shared" si="12"/>
        <v>0.84862094771165819</v>
      </c>
      <c r="AW56" s="1">
        <f t="shared" si="13"/>
        <v>0.53138637652804255</v>
      </c>
    </row>
    <row r="57" spans="1:49" x14ac:dyDescent="0.2">
      <c r="A57">
        <v>55</v>
      </c>
      <c r="B57" t="s">
        <v>10916</v>
      </c>
      <c r="F57" t="s">
        <v>10915</v>
      </c>
      <c r="G57" t="s">
        <v>12</v>
      </c>
      <c r="H57" t="s">
        <v>11</v>
      </c>
      <c r="I57" t="s">
        <v>10914</v>
      </c>
      <c r="J57">
        <v>60092258</v>
      </c>
      <c r="K57" t="s">
        <v>4518</v>
      </c>
      <c r="L57" t="s">
        <v>4517</v>
      </c>
      <c r="M57" t="s">
        <v>151</v>
      </c>
      <c r="N57">
        <v>1</v>
      </c>
      <c r="O57" t="s">
        <v>10913</v>
      </c>
      <c r="P57">
        <v>35466077200</v>
      </c>
      <c r="Q57">
        <v>60092258</v>
      </c>
      <c r="R57" s="7">
        <v>33695</v>
      </c>
      <c r="S57" s="8">
        <f t="shared" si="8"/>
        <v>1992</v>
      </c>
      <c r="T57" s="8">
        <v>1992</v>
      </c>
      <c r="U57" s="8">
        <f t="shared" si="9"/>
        <v>30</v>
      </c>
      <c r="V57" s="7">
        <v>33695</v>
      </c>
      <c r="W57" t="s">
        <v>793</v>
      </c>
      <c r="X57" s="2" t="s">
        <v>16</v>
      </c>
      <c r="Y57" s="6" t="e">
        <f t="shared" si="2"/>
        <v>#VALUE!</v>
      </c>
      <c r="AA57">
        <v>9248625</v>
      </c>
      <c r="AB57">
        <v>12897</v>
      </c>
      <c r="AD57" t="s">
        <v>4</v>
      </c>
      <c r="AE57">
        <v>9</v>
      </c>
      <c r="AF57">
        <v>4</v>
      </c>
      <c r="AH57" t="s">
        <v>10912</v>
      </c>
      <c r="AI57" t="s">
        <v>10911</v>
      </c>
      <c r="AK57" t="s">
        <v>10910</v>
      </c>
      <c r="AL57">
        <v>0</v>
      </c>
      <c r="AM57" s="5">
        <f t="shared" si="10"/>
        <v>0</v>
      </c>
      <c r="AN57" s="4">
        <f t="shared" si="4"/>
        <v>0</v>
      </c>
      <c r="AO57" s="3"/>
      <c r="AP57">
        <v>0</v>
      </c>
      <c r="AR57" t="s">
        <v>0</v>
      </c>
      <c r="AT57" s="2" t="s">
        <v>16</v>
      </c>
      <c r="AU57" s="1" t="e">
        <f t="shared" si="11"/>
        <v>#VALUE!</v>
      </c>
      <c r="AV57" s="1" t="e">
        <f t="shared" si="12"/>
        <v>#VALUE!</v>
      </c>
      <c r="AW57" s="1" t="e">
        <f t="shared" si="13"/>
        <v>#VALUE!</v>
      </c>
    </row>
    <row r="58" spans="1:49" x14ac:dyDescent="0.2">
      <c r="A58">
        <v>56</v>
      </c>
      <c r="B58" t="s">
        <v>10909</v>
      </c>
      <c r="F58" t="s">
        <v>10908</v>
      </c>
      <c r="G58" t="s">
        <v>12</v>
      </c>
      <c r="H58" t="s">
        <v>11</v>
      </c>
      <c r="I58" t="s">
        <v>10860</v>
      </c>
      <c r="N58">
        <v>1</v>
      </c>
      <c r="O58" t="s">
        <v>10907</v>
      </c>
      <c r="P58">
        <v>6602436817</v>
      </c>
      <c r="R58" s="7">
        <v>33695</v>
      </c>
      <c r="S58" s="8">
        <f t="shared" si="8"/>
        <v>1992</v>
      </c>
      <c r="T58" s="8">
        <v>1992</v>
      </c>
      <c r="U58" s="8">
        <f t="shared" si="9"/>
        <v>30</v>
      </c>
      <c r="V58" s="7">
        <v>33695</v>
      </c>
      <c r="W58" t="s">
        <v>590</v>
      </c>
      <c r="X58" s="2">
        <v>0.14099999999999999</v>
      </c>
      <c r="Y58" s="6">
        <f t="shared" si="2"/>
        <v>3.7639144710498915E-3</v>
      </c>
      <c r="AA58">
        <v>402508</v>
      </c>
      <c r="AB58">
        <v>20868</v>
      </c>
      <c r="AD58" t="s">
        <v>4</v>
      </c>
      <c r="AE58">
        <v>47</v>
      </c>
      <c r="AF58">
        <v>4</v>
      </c>
      <c r="AH58" t="s">
        <v>10906</v>
      </c>
      <c r="AI58" t="s">
        <v>10905</v>
      </c>
      <c r="AK58" t="s">
        <v>10904</v>
      </c>
      <c r="AL58">
        <v>0</v>
      </c>
      <c r="AM58" s="5">
        <f t="shared" si="10"/>
        <v>0</v>
      </c>
      <c r="AN58" s="4">
        <f t="shared" si="4"/>
        <v>0</v>
      </c>
      <c r="AO58" s="3"/>
      <c r="AP58">
        <v>0</v>
      </c>
      <c r="AR58" t="s">
        <v>0</v>
      </c>
      <c r="AT58" s="2" t="s">
        <v>16</v>
      </c>
      <c r="AU58" s="1">
        <f t="shared" si="11"/>
        <v>0.26347401297349238</v>
      </c>
      <c r="AV58" s="1">
        <f t="shared" si="12"/>
        <v>0.18819572355249459</v>
      </c>
      <c r="AW58" s="1">
        <f t="shared" si="13"/>
        <v>0.11291743413149673</v>
      </c>
    </row>
    <row r="59" spans="1:49" x14ac:dyDescent="0.2">
      <c r="A59">
        <v>57</v>
      </c>
      <c r="B59" t="s">
        <v>10903</v>
      </c>
      <c r="F59" t="s">
        <v>10902</v>
      </c>
      <c r="G59" t="s">
        <v>12</v>
      </c>
      <c r="H59" t="s">
        <v>11</v>
      </c>
      <c r="I59" t="s">
        <v>10830</v>
      </c>
      <c r="N59">
        <v>4</v>
      </c>
      <c r="O59" t="s">
        <v>10901</v>
      </c>
      <c r="P59" t="s">
        <v>10900</v>
      </c>
      <c r="Q59" t="s">
        <v>1572</v>
      </c>
      <c r="R59" s="7">
        <v>33695</v>
      </c>
      <c r="S59" s="8">
        <f t="shared" si="8"/>
        <v>1992</v>
      </c>
      <c r="T59" s="8">
        <v>1992</v>
      </c>
      <c r="U59" s="8">
        <f t="shared" si="9"/>
        <v>30</v>
      </c>
      <c r="V59" s="7">
        <v>33695</v>
      </c>
      <c r="W59" t="s">
        <v>590</v>
      </c>
      <c r="X59" s="2">
        <v>0.14099999999999999</v>
      </c>
      <c r="Y59" s="6">
        <f t="shared" si="2"/>
        <v>3.7639144710498915E-3</v>
      </c>
      <c r="AA59">
        <v>402508</v>
      </c>
      <c r="AB59">
        <v>20868</v>
      </c>
      <c r="AD59" t="s">
        <v>4</v>
      </c>
      <c r="AE59">
        <v>47</v>
      </c>
      <c r="AF59">
        <v>4</v>
      </c>
      <c r="AH59" t="s">
        <v>10899</v>
      </c>
      <c r="AI59" t="s">
        <v>10898</v>
      </c>
      <c r="AK59" t="s">
        <v>10897</v>
      </c>
      <c r="AL59">
        <v>0</v>
      </c>
      <c r="AM59" s="5">
        <f t="shared" si="10"/>
        <v>0</v>
      </c>
      <c r="AN59" s="4">
        <f t="shared" si="4"/>
        <v>0</v>
      </c>
      <c r="AO59" s="3"/>
      <c r="AP59">
        <v>0</v>
      </c>
      <c r="AR59" t="s">
        <v>0</v>
      </c>
      <c r="AT59" s="2" t="s">
        <v>16</v>
      </c>
      <c r="AU59" s="1">
        <f t="shared" si="11"/>
        <v>0.26347401297349238</v>
      </c>
      <c r="AV59" s="1">
        <f t="shared" si="12"/>
        <v>0.18819572355249459</v>
      </c>
      <c r="AW59" s="1">
        <f t="shared" si="13"/>
        <v>0.11291743413149673</v>
      </c>
    </row>
    <row r="60" spans="1:49" x14ac:dyDescent="0.2">
      <c r="A60">
        <v>58</v>
      </c>
      <c r="B60" t="s">
        <v>10896</v>
      </c>
      <c r="F60" t="s">
        <v>10895</v>
      </c>
      <c r="G60" t="s">
        <v>12</v>
      </c>
      <c r="H60" t="s">
        <v>11</v>
      </c>
      <c r="I60" t="s">
        <v>10894</v>
      </c>
      <c r="N60">
        <v>1</v>
      </c>
      <c r="O60" t="s">
        <v>10893</v>
      </c>
      <c r="P60">
        <v>6602449699</v>
      </c>
      <c r="R60" s="7">
        <v>33695</v>
      </c>
      <c r="S60" s="8">
        <f t="shared" si="8"/>
        <v>1992</v>
      </c>
      <c r="T60" s="8">
        <v>1992</v>
      </c>
      <c r="U60" s="8">
        <f t="shared" si="9"/>
        <v>30</v>
      </c>
      <c r="V60" s="7">
        <v>33695</v>
      </c>
      <c r="W60" t="s">
        <v>590</v>
      </c>
      <c r="X60" s="2">
        <v>0.14099999999999999</v>
      </c>
      <c r="Y60" s="6">
        <f t="shared" si="2"/>
        <v>3.7639144710498915E-3</v>
      </c>
      <c r="AA60">
        <v>402508</v>
      </c>
      <c r="AB60">
        <v>20868</v>
      </c>
      <c r="AD60" t="s">
        <v>4</v>
      </c>
      <c r="AE60">
        <v>47</v>
      </c>
      <c r="AF60">
        <v>4</v>
      </c>
      <c r="AH60" t="s">
        <v>10892</v>
      </c>
      <c r="AI60" t="s">
        <v>10891</v>
      </c>
      <c r="AK60" t="s">
        <v>10890</v>
      </c>
      <c r="AL60">
        <v>0</v>
      </c>
      <c r="AM60" s="5">
        <f t="shared" si="10"/>
        <v>0</v>
      </c>
      <c r="AN60" s="4">
        <f t="shared" si="4"/>
        <v>0</v>
      </c>
      <c r="AO60" s="3"/>
      <c r="AP60">
        <v>0</v>
      </c>
      <c r="AR60" t="s">
        <v>0</v>
      </c>
      <c r="AT60" s="2" t="s">
        <v>16</v>
      </c>
      <c r="AU60" s="1">
        <f t="shared" si="11"/>
        <v>0.26347401297349238</v>
      </c>
      <c r="AV60" s="1">
        <f t="shared" si="12"/>
        <v>0.18819572355249459</v>
      </c>
      <c r="AW60" s="1">
        <f t="shared" si="13"/>
        <v>0.11291743413149673</v>
      </c>
    </row>
    <row r="61" spans="1:49" x14ac:dyDescent="0.2">
      <c r="A61">
        <v>59</v>
      </c>
      <c r="B61" t="s">
        <v>10889</v>
      </c>
      <c r="F61" t="s">
        <v>10888</v>
      </c>
      <c r="G61" t="s">
        <v>12</v>
      </c>
      <c r="H61" t="s">
        <v>11</v>
      </c>
      <c r="I61" t="s">
        <v>10860</v>
      </c>
      <c r="N61">
        <v>2</v>
      </c>
      <c r="O61" t="s">
        <v>10887</v>
      </c>
      <c r="P61" t="s">
        <v>10886</v>
      </c>
      <c r="Q61" t="s">
        <v>720</v>
      </c>
      <c r="R61" s="7">
        <v>33695</v>
      </c>
      <c r="S61" s="8">
        <f t="shared" si="8"/>
        <v>1992</v>
      </c>
      <c r="T61" s="8">
        <v>1992</v>
      </c>
      <c r="U61" s="8">
        <f t="shared" si="9"/>
        <v>30</v>
      </c>
      <c r="V61" s="7">
        <v>33695</v>
      </c>
      <c r="W61" t="s">
        <v>590</v>
      </c>
      <c r="X61" s="2">
        <v>0.14099999999999999</v>
      </c>
      <c r="Y61" s="6">
        <f t="shared" si="2"/>
        <v>3.7639144710498915E-3</v>
      </c>
      <c r="AA61">
        <v>402508</v>
      </c>
      <c r="AB61">
        <v>20868</v>
      </c>
      <c r="AD61" t="s">
        <v>4</v>
      </c>
      <c r="AE61">
        <v>47</v>
      </c>
      <c r="AF61">
        <v>4</v>
      </c>
      <c r="AH61" t="s">
        <v>10885</v>
      </c>
      <c r="AI61" t="s">
        <v>10884</v>
      </c>
      <c r="AK61" t="s">
        <v>10883</v>
      </c>
      <c r="AL61">
        <v>0</v>
      </c>
      <c r="AM61" s="5">
        <f t="shared" si="10"/>
        <v>0</v>
      </c>
      <c r="AN61" s="4">
        <f t="shared" si="4"/>
        <v>0</v>
      </c>
      <c r="AO61" s="3"/>
      <c r="AP61">
        <v>0</v>
      </c>
      <c r="AR61" t="s">
        <v>0</v>
      </c>
      <c r="AT61" s="2" t="s">
        <v>16</v>
      </c>
      <c r="AU61" s="1">
        <f t="shared" si="11"/>
        <v>0.26347401297349238</v>
      </c>
      <c r="AV61" s="1">
        <f t="shared" si="12"/>
        <v>0.18819572355249459</v>
      </c>
      <c r="AW61" s="1">
        <f t="shared" si="13"/>
        <v>0.11291743413149673</v>
      </c>
    </row>
    <row r="62" spans="1:49" x14ac:dyDescent="0.2">
      <c r="A62">
        <v>60</v>
      </c>
      <c r="B62" t="s">
        <v>10882</v>
      </c>
      <c r="F62" t="s">
        <v>10881</v>
      </c>
      <c r="G62" t="s">
        <v>12</v>
      </c>
      <c r="H62" t="s">
        <v>11</v>
      </c>
      <c r="I62" t="s">
        <v>10880</v>
      </c>
      <c r="N62">
        <v>3</v>
      </c>
      <c r="O62" t="s">
        <v>10879</v>
      </c>
      <c r="P62" t="s">
        <v>10878</v>
      </c>
      <c r="Q62" t="s">
        <v>1191</v>
      </c>
      <c r="R62" s="7">
        <v>33695</v>
      </c>
      <c r="S62" s="8">
        <f t="shared" si="8"/>
        <v>1992</v>
      </c>
      <c r="T62" s="8">
        <v>1992</v>
      </c>
      <c r="U62" s="8">
        <f t="shared" si="9"/>
        <v>30</v>
      </c>
      <c r="V62" s="7">
        <v>33695</v>
      </c>
      <c r="W62" t="s">
        <v>590</v>
      </c>
      <c r="X62" s="2">
        <v>0.14099999999999999</v>
      </c>
      <c r="Y62" s="6">
        <f t="shared" si="2"/>
        <v>3.7639144710498915E-3</v>
      </c>
      <c r="AA62">
        <v>402508</v>
      </c>
      <c r="AB62">
        <v>20868</v>
      </c>
      <c r="AD62" t="s">
        <v>4</v>
      </c>
      <c r="AE62">
        <v>47</v>
      </c>
      <c r="AF62">
        <v>4</v>
      </c>
      <c r="AH62" t="s">
        <v>10877</v>
      </c>
      <c r="AI62" t="s">
        <v>10876</v>
      </c>
      <c r="AK62" t="s">
        <v>10875</v>
      </c>
      <c r="AL62">
        <v>0</v>
      </c>
      <c r="AM62" s="5">
        <f t="shared" si="10"/>
        <v>0</v>
      </c>
      <c r="AN62" s="4">
        <f t="shared" si="4"/>
        <v>0</v>
      </c>
      <c r="AO62" s="3"/>
      <c r="AP62">
        <v>0</v>
      </c>
      <c r="AR62" t="s">
        <v>0</v>
      </c>
      <c r="AT62" s="2" t="s">
        <v>16</v>
      </c>
      <c r="AU62" s="1">
        <f t="shared" si="11"/>
        <v>0.26347401297349238</v>
      </c>
      <c r="AV62" s="1">
        <f t="shared" si="12"/>
        <v>0.18819572355249459</v>
      </c>
      <c r="AW62" s="1">
        <f t="shared" si="13"/>
        <v>0.11291743413149673</v>
      </c>
    </row>
    <row r="63" spans="1:49" x14ac:dyDescent="0.2">
      <c r="A63">
        <v>61</v>
      </c>
      <c r="B63" t="s">
        <v>10874</v>
      </c>
      <c r="F63" t="s">
        <v>10873</v>
      </c>
      <c r="G63" t="s">
        <v>12</v>
      </c>
      <c r="H63" t="s">
        <v>11</v>
      </c>
      <c r="I63" t="s">
        <v>10872</v>
      </c>
      <c r="N63">
        <v>1</v>
      </c>
      <c r="O63" t="s">
        <v>10871</v>
      </c>
      <c r="P63">
        <v>6603183790</v>
      </c>
      <c r="R63" s="7">
        <v>33695</v>
      </c>
      <c r="S63" s="8">
        <f t="shared" si="8"/>
        <v>1992</v>
      </c>
      <c r="T63" s="8">
        <v>1992</v>
      </c>
      <c r="U63" s="8">
        <f t="shared" si="9"/>
        <v>30</v>
      </c>
      <c r="V63" s="7">
        <v>33695</v>
      </c>
      <c r="W63" t="s">
        <v>590</v>
      </c>
      <c r="X63" s="2">
        <v>0.14099999999999999</v>
      </c>
      <c r="Y63" s="6">
        <f t="shared" si="2"/>
        <v>3.7639144710498915E-3</v>
      </c>
      <c r="AA63">
        <v>402508</v>
      </c>
      <c r="AB63">
        <v>20868</v>
      </c>
      <c r="AD63" t="s">
        <v>4</v>
      </c>
      <c r="AE63">
        <v>47</v>
      </c>
      <c r="AF63">
        <v>4</v>
      </c>
      <c r="AH63" t="s">
        <v>5341</v>
      </c>
      <c r="AI63" t="s">
        <v>10870</v>
      </c>
      <c r="AK63" t="s">
        <v>10869</v>
      </c>
      <c r="AL63">
        <v>0</v>
      </c>
      <c r="AM63" s="5">
        <f t="shared" si="10"/>
        <v>0</v>
      </c>
      <c r="AN63" s="4">
        <f t="shared" si="4"/>
        <v>0</v>
      </c>
      <c r="AO63" s="3"/>
      <c r="AP63">
        <v>0</v>
      </c>
      <c r="AR63" t="s">
        <v>0</v>
      </c>
      <c r="AT63" s="2" t="s">
        <v>16</v>
      </c>
      <c r="AU63" s="1">
        <f t="shared" si="11"/>
        <v>0.26347401297349238</v>
      </c>
      <c r="AV63" s="1">
        <f t="shared" si="12"/>
        <v>0.18819572355249459</v>
      </c>
      <c r="AW63" s="1">
        <f t="shared" si="13"/>
        <v>0.11291743413149673</v>
      </c>
    </row>
    <row r="64" spans="1:49" x14ac:dyDescent="0.2">
      <c r="A64">
        <v>62</v>
      </c>
      <c r="B64" t="s">
        <v>10868</v>
      </c>
      <c r="F64" t="s">
        <v>10867</v>
      </c>
      <c r="G64" t="s">
        <v>12</v>
      </c>
      <c r="H64" t="s">
        <v>11</v>
      </c>
      <c r="I64" t="s">
        <v>10830</v>
      </c>
      <c r="N64">
        <v>2</v>
      </c>
      <c r="O64" t="s">
        <v>10866</v>
      </c>
      <c r="P64" t="s">
        <v>10865</v>
      </c>
      <c r="Q64" t="s">
        <v>720</v>
      </c>
      <c r="R64" s="7">
        <v>33695</v>
      </c>
      <c r="S64" s="8">
        <f t="shared" si="8"/>
        <v>1992</v>
      </c>
      <c r="T64" s="8">
        <v>1992</v>
      </c>
      <c r="U64" s="8">
        <f t="shared" si="9"/>
        <v>30</v>
      </c>
      <c r="V64" s="7">
        <v>33695</v>
      </c>
      <c r="W64" t="s">
        <v>590</v>
      </c>
      <c r="X64" s="2">
        <v>0.14099999999999999</v>
      </c>
      <c r="Y64" s="6">
        <f t="shared" si="2"/>
        <v>3.7639144710498915E-3</v>
      </c>
      <c r="AA64">
        <v>402508</v>
      </c>
      <c r="AB64">
        <v>20868</v>
      </c>
      <c r="AD64" t="s">
        <v>4</v>
      </c>
      <c r="AE64">
        <v>47</v>
      </c>
      <c r="AF64">
        <v>4</v>
      </c>
      <c r="AH64" t="s">
        <v>2764</v>
      </c>
      <c r="AI64" t="s">
        <v>10864</v>
      </c>
      <c r="AK64" t="s">
        <v>10863</v>
      </c>
      <c r="AL64">
        <v>0</v>
      </c>
      <c r="AM64" s="5">
        <f t="shared" si="10"/>
        <v>0</v>
      </c>
      <c r="AN64" s="4">
        <f t="shared" si="4"/>
        <v>0</v>
      </c>
      <c r="AO64" s="3"/>
      <c r="AP64">
        <v>0</v>
      </c>
      <c r="AR64" t="s">
        <v>0</v>
      </c>
      <c r="AT64" s="2" t="s">
        <v>16</v>
      </c>
      <c r="AU64" s="1">
        <f t="shared" si="11"/>
        <v>0.26347401297349238</v>
      </c>
      <c r="AV64" s="1">
        <f t="shared" si="12"/>
        <v>0.18819572355249459</v>
      </c>
      <c r="AW64" s="1">
        <f t="shared" si="13"/>
        <v>0.11291743413149673</v>
      </c>
    </row>
    <row r="65" spans="1:49" x14ac:dyDescent="0.2">
      <c r="A65">
        <v>63</v>
      </c>
      <c r="B65" t="s">
        <v>10862</v>
      </c>
      <c r="F65" t="s">
        <v>10861</v>
      </c>
      <c r="G65" t="s">
        <v>12</v>
      </c>
      <c r="H65" t="s">
        <v>11</v>
      </c>
      <c r="I65" t="s">
        <v>10860</v>
      </c>
      <c r="N65">
        <v>3</v>
      </c>
      <c r="O65" t="s">
        <v>10859</v>
      </c>
      <c r="P65" t="s">
        <v>10858</v>
      </c>
      <c r="Q65" t="s">
        <v>1191</v>
      </c>
      <c r="R65" s="7">
        <v>33695</v>
      </c>
      <c r="S65" s="8">
        <f t="shared" si="8"/>
        <v>1992</v>
      </c>
      <c r="T65" s="8">
        <v>1992</v>
      </c>
      <c r="U65" s="8">
        <f t="shared" si="9"/>
        <v>30</v>
      </c>
      <c r="V65" s="7">
        <v>33695</v>
      </c>
      <c r="W65" t="s">
        <v>590</v>
      </c>
      <c r="X65" s="2">
        <v>0.14099999999999999</v>
      </c>
      <c r="Y65" s="6">
        <f t="shared" si="2"/>
        <v>3.7639144710498915E-3</v>
      </c>
      <c r="AA65">
        <v>402508</v>
      </c>
      <c r="AB65">
        <v>20868</v>
      </c>
      <c r="AD65" t="s">
        <v>4</v>
      </c>
      <c r="AE65">
        <v>47</v>
      </c>
      <c r="AF65">
        <v>4</v>
      </c>
      <c r="AH65" t="s">
        <v>10857</v>
      </c>
      <c r="AI65" t="s">
        <v>10856</v>
      </c>
      <c r="AK65" t="s">
        <v>10855</v>
      </c>
      <c r="AL65">
        <v>0</v>
      </c>
      <c r="AM65" s="5">
        <f t="shared" si="10"/>
        <v>0</v>
      </c>
      <c r="AN65" s="4">
        <f t="shared" si="4"/>
        <v>0</v>
      </c>
      <c r="AO65" s="3"/>
      <c r="AP65">
        <v>0</v>
      </c>
      <c r="AR65" t="s">
        <v>0</v>
      </c>
      <c r="AT65" s="2" t="s">
        <v>16</v>
      </c>
      <c r="AU65" s="1">
        <f t="shared" si="11"/>
        <v>0.26347401297349238</v>
      </c>
      <c r="AV65" s="1">
        <f t="shared" si="12"/>
        <v>0.18819572355249459</v>
      </c>
      <c r="AW65" s="1">
        <f t="shared" si="13"/>
        <v>0.11291743413149673</v>
      </c>
    </row>
    <row r="66" spans="1:49" x14ac:dyDescent="0.2">
      <c r="A66">
        <v>64</v>
      </c>
      <c r="B66" t="s">
        <v>10854</v>
      </c>
      <c r="F66" t="s">
        <v>10853</v>
      </c>
      <c r="G66" t="s">
        <v>12</v>
      </c>
      <c r="H66" t="s">
        <v>11</v>
      </c>
      <c r="I66" t="s">
        <v>10830</v>
      </c>
      <c r="N66">
        <v>3</v>
      </c>
      <c r="O66" t="s">
        <v>10852</v>
      </c>
      <c r="P66" t="s">
        <v>10851</v>
      </c>
      <c r="Q66" t="s">
        <v>1191</v>
      </c>
      <c r="R66" s="7">
        <v>33695</v>
      </c>
      <c r="S66" s="8">
        <f t="shared" si="8"/>
        <v>1992</v>
      </c>
      <c r="T66" s="8">
        <v>1992</v>
      </c>
      <c r="U66" s="8">
        <f t="shared" si="9"/>
        <v>30</v>
      </c>
      <c r="V66" s="7">
        <v>33695</v>
      </c>
      <c r="W66" t="s">
        <v>590</v>
      </c>
      <c r="X66" s="2">
        <v>0.14099999999999999</v>
      </c>
      <c r="Y66" s="6">
        <f t="shared" ref="Y66:Y129" si="14">(X66-$Z$4)/($Z$3-$Z$4)</f>
        <v>3.7639144710498915E-3</v>
      </c>
      <c r="AA66">
        <v>402508</v>
      </c>
      <c r="AB66">
        <v>20868</v>
      </c>
      <c r="AD66" t="s">
        <v>4</v>
      </c>
      <c r="AE66">
        <v>47</v>
      </c>
      <c r="AF66">
        <v>4</v>
      </c>
      <c r="AH66" t="s">
        <v>10850</v>
      </c>
      <c r="AI66" t="s">
        <v>10849</v>
      </c>
      <c r="AK66" t="s">
        <v>10848</v>
      </c>
      <c r="AL66">
        <v>0</v>
      </c>
      <c r="AM66" s="5">
        <f t="shared" si="10"/>
        <v>0</v>
      </c>
      <c r="AN66" s="4">
        <f t="shared" ref="AN66:AN129" si="15">(AM66-$AO$4)/($AO$3-$AO$4)</f>
        <v>0</v>
      </c>
      <c r="AO66" s="3"/>
      <c r="AP66">
        <v>0</v>
      </c>
      <c r="AR66" t="s">
        <v>0</v>
      </c>
      <c r="AT66" s="2" t="s">
        <v>16</v>
      </c>
      <c r="AU66" s="1">
        <f t="shared" si="11"/>
        <v>0.26347401297349238</v>
      </c>
      <c r="AV66" s="1">
        <f t="shared" si="12"/>
        <v>0.18819572355249459</v>
      </c>
      <c r="AW66" s="1">
        <f t="shared" si="13"/>
        <v>0.11291743413149673</v>
      </c>
    </row>
    <row r="67" spans="1:49" x14ac:dyDescent="0.2">
      <c r="A67">
        <v>65</v>
      </c>
      <c r="B67" t="s">
        <v>10847</v>
      </c>
      <c r="F67" t="s">
        <v>10846</v>
      </c>
      <c r="G67" t="s">
        <v>12</v>
      </c>
      <c r="H67" t="s">
        <v>11</v>
      </c>
      <c r="I67" t="s">
        <v>10845</v>
      </c>
      <c r="N67">
        <v>3</v>
      </c>
      <c r="O67" t="s">
        <v>10844</v>
      </c>
      <c r="P67" t="s">
        <v>10843</v>
      </c>
      <c r="Q67" t="s">
        <v>1191</v>
      </c>
      <c r="R67" s="7">
        <v>33695</v>
      </c>
      <c r="S67" s="8">
        <f t="shared" si="8"/>
        <v>1992</v>
      </c>
      <c r="T67" s="8">
        <v>1992</v>
      </c>
      <c r="U67" s="8">
        <f t="shared" si="9"/>
        <v>30</v>
      </c>
      <c r="V67" s="7">
        <v>33695</v>
      </c>
      <c r="W67" t="s">
        <v>590</v>
      </c>
      <c r="X67" s="2">
        <v>0.14099999999999999</v>
      </c>
      <c r="Y67" s="6">
        <f t="shared" si="14"/>
        <v>3.7639144710498915E-3</v>
      </c>
      <c r="AA67">
        <v>402508</v>
      </c>
      <c r="AB67">
        <v>20868</v>
      </c>
      <c r="AD67" t="s">
        <v>4</v>
      </c>
      <c r="AE67">
        <v>47</v>
      </c>
      <c r="AF67">
        <v>4</v>
      </c>
      <c r="AH67" t="s">
        <v>10842</v>
      </c>
      <c r="AI67" t="s">
        <v>10841</v>
      </c>
      <c r="AK67" t="s">
        <v>10840</v>
      </c>
      <c r="AL67">
        <v>0</v>
      </c>
      <c r="AM67" s="5">
        <f t="shared" si="10"/>
        <v>0</v>
      </c>
      <c r="AN67" s="4">
        <f t="shared" si="15"/>
        <v>0</v>
      </c>
      <c r="AO67" s="3"/>
      <c r="AP67">
        <v>0</v>
      </c>
      <c r="AR67" t="s">
        <v>0</v>
      </c>
      <c r="AT67" s="2" t="s">
        <v>16</v>
      </c>
      <c r="AU67" s="1">
        <f t="shared" si="11"/>
        <v>0.26347401297349238</v>
      </c>
      <c r="AV67" s="1">
        <f t="shared" si="12"/>
        <v>0.18819572355249459</v>
      </c>
      <c r="AW67" s="1">
        <f t="shared" si="13"/>
        <v>0.11291743413149673</v>
      </c>
    </row>
    <row r="68" spans="1:49" x14ac:dyDescent="0.2">
      <c r="A68">
        <v>66</v>
      </c>
      <c r="B68" t="s">
        <v>10839</v>
      </c>
      <c r="F68" t="s">
        <v>10838</v>
      </c>
      <c r="G68" t="s">
        <v>12</v>
      </c>
      <c r="H68" t="s">
        <v>11</v>
      </c>
      <c r="I68" t="s">
        <v>10830</v>
      </c>
      <c r="N68">
        <v>4</v>
      </c>
      <c r="O68" t="s">
        <v>10837</v>
      </c>
      <c r="P68" t="s">
        <v>10836</v>
      </c>
      <c r="Q68" t="s">
        <v>1572</v>
      </c>
      <c r="R68" s="7">
        <v>33695</v>
      </c>
      <c r="S68" s="8">
        <f t="shared" si="8"/>
        <v>1992</v>
      </c>
      <c r="T68" s="8">
        <v>1992</v>
      </c>
      <c r="U68" s="8">
        <f t="shared" si="9"/>
        <v>30</v>
      </c>
      <c r="V68" s="7">
        <v>33695</v>
      </c>
      <c r="W68" t="s">
        <v>590</v>
      </c>
      <c r="X68" s="2">
        <v>0.14099999999999999</v>
      </c>
      <c r="Y68" s="6">
        <f t="shared" si="14"/>
        <v>3.7639144710498915E-3</v>
      </c>
      <c r="AA68">
        <v>402508</v>
      </c>
      <c r="AB68">
        <v>20868</v>
      </c>
      <c r="AD68" t="s">
        <v>4</v>
      </c>
      <c r="AE68">
        <v>47</v>
      </c>
      <c r="AF68">
        <v>4</v>
      </c>
      <c r="AH68" t="s">
        <v>10835</v>
      </c>
      <c r="AI68" t="s">
        <v>10834</v>
      </c>
      <c r="AK68" t="s">
        <v>10833</v>
      </c>
      <c r="AL68">
        <v>0</v>
      </c>
      <c r="AM68" s="5">
        <f t="shared" si="10"/>
        <v>0</v>
      </c>
      <c r="AN68" s="4">
        <f t="shared" si="15"/>
        <v>0</v>
      </c>
      <c r="AO68" s="3"/>
      <c r="AP68">
        <v>0</v>
      </c>
      <c r="AR68" t="s">
        <v>0</v>
      </c>
      <c r="AT68" s="2" t="s">
        <v>16</v>
      </c>
      <c r="AU68" s="1">
        <f t="shared" si="11"/>
        <v>0.26347401297349238</v>
      </c>
      <c r="AV68" s="1">
        <f t="shared" si="12"/>
        <v>0.18819572355249459</v>
      </c>
      <c r="AW68" s="1">
        <f t="shared" si="13"/>
        <v>0.11291743413149673</v>
      </c>
    </row>
    <row r="69" spans="1:49" x14ac:dyDescent="0.2">
      <c r="A69">
        <v>67</v>
      </c>
      <c r="B69" t="s">
        <v>10832</v>
      </c>
      <c r="F69" t="s">
        <v>10831</v>
      </c>
      <c r="G69" t="s">
        <v>12</v>
      </c>
      <c r="H69" t="s">
        <v>11</v>
      </c>
      <c r="I69" t="s">
        <v>10830</v>
      </c>
      <c r="N69">
        <v>4</v>
      </c>
      <c r="O69" t="s">
        <v>10829</v>
      </c>
      <c r="P69" t="s">
        <v>10828</v>
      </c>
      <c r="Q69" t="s">
        <v>1572</v>
      </c>
      <c r="R69" s="7">
        <v>33695</v>
      </c>
      <c r="S69" s="8">
        <f t="shared" si="8"/>
        <v>1992</v>
      </c>
      <c r="T69" s="8">
        <v>1992</v>
      </c>
      <c r="U69" s="8">
        <f t="shared" si="9"/>
        <v>30</v>
      </c>
      <c r="V69" s="7">
        <v>33695</v>
      </c>
      <c r="W69" t="s">
        <v>590</v>
      </c>
      <c r="X69" s="2">
        <v>0.14099999999999999</v>
      </c>
      <c r="Y69" s="6">
        <f t="shared" si="14"/>
        <v>3.7639144710498915E-3</v>
      </c>
      <c r="AA69">
        <v>402508</v>
      </c>
      <c r="AB69">
        <v>20868</v>
      </c>
      <c r="AD69" t="s">
        <v>4</v>
      </c>
      <c r="AE69">
        <v>47</v>
      </c>
      <c r="AF69">
        <v>4</v>
      </c>
      <c r="AH69" t="s">
        <v>8057</v>
      </c>
      <c r="AI69" t="s">
        <v>10827</v>
      </c>
      <c r="AK69" t="s">
        <v>10826</v>
      </c>
      <c r="AL69">
        <v>0</v>
      </c>
      <c r="AM69" s="5">
        <f t="shared" si="10"/>
        <v>0</v>
      </c>
      <c r="AN69" s="4">
        <f t="shared" si="15"/>
        <v>0</v>
      </c>
      <c r="AO69" s="3"/>
      <c r="AP69">
        <v>0</v>
      </c>
      <c r="AR69" t="s">
        <v>0</v>
      </c>
      <c r="AT69" s="2" t="s">
        <v>16</v>
      </c>
      <c r="AU69" s="1">
        <f t="shared" si="11"/>
        <v>0.26347401297349238</v>
      </c>
      <c r="AV69" s="1">
        <f t="shared" si="12"/>
        <v>0.18819572355249459</v>
      </c>
      <c r="AW69" s="1">
        <f t="shared" si="13"/>
        <v>0.11291743413149673</v>
      </c>
    </row>
    <row r="70" spans="1:49" x14ac:dyDescent="0.2">
      <c r="A70">
        <v>68</v>
      </c>
      <c r="B70" t="s">
        <v>10825</v>
      </c>
      <c r="F70" t="s">
        <v>10824</v>
      </c>
      <c r="G70" t="s">
        <v>12</v>
      </c>
      <c r="H70" t="s">
        <v>11</v>
      </c>
      <c r="I70" t="s">
        <v>10823</v>
      </c>
      <c r="N70">
        <v>5</v>
      </c>
      <c r="O70" t="s">
        <v>10822</v>
      </c>
      <c r="P70" t="s">
        <v>10821</v>
      </c>
      <c r="Q70" t="s">
        <v>2445</v>
      </c>
      <c r="R70" s="7">
        <v>33695</v>
      </c>
      <c r="S70" s="8">
        <f t="shared" si="8"/>
        <v>1992</v>
      </c>
      <c r="T70" s="8">
        <v>1992</v>
      </c>
      <c r="U70" s="8">
        <f t="shared" si="9"/>
        <v>30</v>
      </c>
      <c r="V70" s="7">
        <v>33695</v>
      </c>
      <c r="W70" t="s">
        <v>590</v>
      </c>
      <c r="X70" s="2">
        <v>0.14099999999999999</v>
      </c>
      <c r="Y70" s="6">
        <f t="shared" si="14"/>
        <v>3.7639144710498915E-3</v>
      </c>
      <c r="AA70">
        <v>402508</v>
      </c>
      <c r="AB70">
        <v>20868</v>
      </c>
      <c r="AD70" t="s">
        <v>4</v>
      </c>
      <c r="AE70">
        <v>47</v>
      </c>
      <c r="AF70">
        <v>4</v>
      </c>
      <c r="AH70" t="s">
        <v>1788</v>
      </c>
      <c r="AI70" t="s">
        <v>10820</v>
      </c>
      <c r="AK70" t="s">
        <v>10819</v>
      </c>
      <c r="AL70">
        <v>0</v>
      </c>
      <c r="AM70" s="5">
        <f t="shared" si="10"/>
        <v>0</v>
      </c>
      <c r="AN70" s="4">
        <f t="shared" si="15"/>
        <v>0</v>
      </c>
      <c r="AO70" s="3"/>
      <c r="AP70">
        <v>0</v>
      </c>
      <c r="AR70" t="s">
        <v>0</v>
      </c>
      <c r="AT70" s="2" t="s">
        <v>16</v>
      </c>
      <c r="AU70" s="1">
        <f t="shared" si="11"/>
        <v>0.26347401297349238</v>
      </c>
      <c r="AV70" s="1">
        <f t="shared" si="12"/>
        <v>0.18819572355249459</v>
      </c>
      <c r="AW70" s="1">
        <f t="shared" si="13"/>
        <v>0.11291743413149673</v>
      </c>
    </row>
    <row r="71" spans="1:49" x14ac:dyDescent="0.2">
      <c r="A71">
        <v>69</v>
      </c>
      <c r="B71" t="s">
        <v>10818</v>
      </c>
      <c r="F71" t="s">
        <v>10817</v>
      </c>
      <c r="G71" t="s">
        <v>12</v>
      </c>
      <c r="H71" t="s">
        <v>11</v>
      </c>
      <c r="I71" t="s">
        <v>10816</v>
      </c>
      <c r="N71">
        <v>1</v>
      </c>
      <c r="O71" t="s">
        <v>10815</v>
      </c>
      <c r="P71">
        <v>7004017524</v>
      </c>
      <c r="R71" s="7">
        <v>33695</v>
      </c>
      <c r="S71" s="8">
        <f t="shared" si="8"/>
        <v>1992</v>
      </c>
      <c r="T71" s="8">
        <v>1992</v>
      </c>
      <c r="U71" s="8">
        <f t="shared" si="9"/>
        <v>30</v>
      </c>
      <c r="V71" s="7">
        <v>33695</v>
      </c>
      <c r="W71" t="s">
        <v>590</v>
      </c>
      <c r="X71" s="2">
        <v>0.14099999999999999</v>
      </c>
      <c r="Y71" s="6">
        <f t="shared" si="14"/>
        <v>3.7639144710498915E-3</v>
      </c>
      <c r="AA71">
        <v>402508</v>
      </c>
      <c r="AB71">
        <v>20868</v>
      </c>
      <c r="AD71" t="s">
        <v>4</v>
      </c>
      <c r="AE71">
        <v>47</v>
      </c>
      <c r="AF71">
        <v>4</v>
      </c>
      <c r="AH71" t="s">
        <v>10814</v>
      </c>
      <c r="AI71" t="s">
        <v>10813</v>
      </c>
      <c r="AK71" t="s">
        <v>10812</v>
      </c>
      <c r="AL71">
        <v>0</v>
      </c>
      <c r="AM71" s="5">
        <f t="shared" si="10"/>
        <v>0</v>
      </c>
      <c r="AN71" s="4">
        <f t="shared" si="15"/>
        <v>0</v>
      </c>
      <c r="AO71" s="3"/>
      <c r="AP71">
        <v>0</v>
      </c>
      <c r="AR71" t="s">
        <v>0</v>
      </c>
      <c r="AT71" s="2" t="s">
        <v>16</v>
      </c>
      <c r="AU71" s="1">
        <f t="shared" si="11"/>
        <v>0.26347401297349238</v>
      </c>
      <c r="AV71" s="1">
        <f t="shared" si="12"/>
        <v>0.18819572355249459</v>
      </c>
      <c r="AW71" s="1">
        <f t="shared" si="13"/>
        <v>0.11291743413149673</v>
      </c>
    </row>
    <row r="72" spans="1:49" x14ac:dyDescent="0.2">
      <c r="A72">
        <v>70</v>
      </c>
      <c r="B72" t="s">
        <v>10811</v>
      </c>
      <c r="F72" t="s">
        <v>10810</v>
      </c>
      <c r="G72" t="s">
        <v>12</v>
      </c>
      <c r="H72" t="s">
        <v>11</v>
      </c>
      <c r="I72" t="s">
        <v>10809</v>
      </c>
      <c r="N72">
        <v>1</v>
      </c>
      <c r="O72" t="s">
        <v>10808</v>
      </c>
      <c r="P72">
        <v>6602546836</v>
      </c>
      <c r="R72" s="7">
        <v>33695</v>
      </c>
      <c r="S72" s="8">
        <f t="shared" si="8"/>
        <v>1992</v>
      </c>
      <c r="T72" s="8">
        <v>1992</v>
      </c>
      <c r="U72" s="8">
        <f t="shared" si="9"/>
        <v>30</v>
      </c>
      <c r="V72" s="7">
        <v>33695</v>
      </c>
      <c r="W72" t="s">
        <v>590</v>
      </c>
      <c r="X72" s="2">
        <v>0.14099999999999999</v>
      </c>
      <c r="Y72" s="6">
        <f t="shared" si="14"/>
        <v>3.7639144710498915E-3</v>
      </c>
      <c r="AA72">
        <v>402508</v>
      </c>
      <c r="AB72">
        <v>20868</v>
      </c>
      <c r="AD72" t="s">
        <v>4</v>
      </c>
      <c r="AE72">
        <v>47</v>
      </c>
      <c r="AF72">
        <v>4</v>
      </c>
      <c r="AH72" t="s">
        <v>10807</v>
      </c>
      <c r="AI72" t="s">
        <v>10806</v>
      </c>
      <c r="AK72" t="s">
        <v>10805</v>
      </c>
      <c r="AL72">
        <v>0</v>
      </c>
      <c r="AM72" s="5">
        <f t="shared" si="10"/>
        <v>0</v>
      </c>
      <c r="AN72" s="4">
        <f t="shared" si="15"/>
        <v>0</v>
      </c>
      <c r="AO72" s="3"/>
      <c r="AP72">
        <v>0</v>
      </c>
      <c r="AR72" t="s">
        <v>0</v>
      </c>
      <c r="AT72" s="2" t="s">
        <v>16</v>
      </c>
      <c r="AU72" s="1">
        <f t="shared" si="11"/>
        <v>0.26347401297349238</v>
      </c>
      <c r="AV72" s="1">
        <f t="shared" si="12"/>
        <v>0.18819572355249459</v>
      </c>
      <c r="AW72" s="1">
        <f t="shared" si="13"/>
        <v>0.11291743413149673</v>
      </c>
    </row>
    <row r="73" spans="1:49" x14ac:dyDescent="0.2">
      <c r="A73">
        <v>71</v>
      </c>
      <c r="B73" t="s">
        <v>10804</v>
      </c>
      <c r="F73" t="s">
        <v>10803</v>
      </c>
      <c r="G73" t="s">
        <v>12</v>
      </c>
      <c r="H73" t="s">
        <v>11</v>
      </c>
      <c r="I73" t="s">
        <v>10802</v>
      </c>
      <c r="N73">
        <v>2</v>
      </c>
      <c r="O73" t="s">
        <v>10801</v>
      </c>
      <c r="P73" t="s">
        <v>10800</v>
      </c>
      <c r="Q73" t="s">
        <v>720</v>
      </c>
      <c r="R73" s="7">
        <v>33695</v>
      </c>
      <c r="S73" s="8">
        <f t="shared" si="8"/>
        <v>1992</v>
      </c>
      <c r="T73" s="8">
        <v>1992</v>
      </c>
      <c r="U73" s="8">
        <f t="shared" si="9"/>
        <v>30</v>
      </c>
      <c r="V73" s="7">
        <v>33695</v>
      </c>
      <c r="W73" t="s">
        <v>590</v>
      </c>
      <c r="X73" s="2">
        <v>0.14099999999999999</v>
      </c>
      <c r="Y73" s="6">
        <f t="shared" si="14"/>
        <v>3.7639144710498915E-3</v>
      </c>
      <c r="AA73">
        <v>402508</v>
      </c>
      <c r="AB73">
        <v>20868</v>
      </c>
      <c r="AD73" t="s">
        <v>4</v>
      </c>
      <c r="AE73">
        <v>47</v>
      </c>
      <c r="AF73">
        <v>4</v>
      </c>
      <c r="AH73" t="s">
        <v>10799</v>
      </c>
      <c r="AI73" t="s">
        <v>10798</v>
      </c>
      <c r="AK73" t="s">
        <v>10797</v>
      </c>
      <c r="AL73">
        <v>0</v>
      </c>
      <c r="AM73" s="5">
        <f t="shared" si="10"/>
        <v>0</v>
      </c>
      <c r="AN73" s="4">
        <f t="shared" si="15"/>
        <v>0</v>
      </c>
      <c r="AO73" s="3"/>
      <c r="AP73">
        <v>0</v>
      </c>
      <c r="AR73" t="s">
        <v>0</v>
      </c>
      <c r="AT73" s="2" t="s">
        <v>16</v>
      </c>
      <c r="AU73" s="1">
        <f t="shared" si="11"/>
        <v>0.26347401297349238</v>
      </c>
      <c r="AV73" s="1">
        <f t="shared" si="12"/>
        <v>0.18819572355249459</v>
      </c>
      <c r="AW73" s="1">
        <f t="shared" si="13"/>
        <v>0.11291743413149673</v>
      </c>
    </row>
    <row r="74" spans="1:49" x14ac:dyDescent="0.2">
      <c r="A74">
        <v>72</v>
      </c>
      <c r="B74" t="s">
        <v>10796</v>
      </c>
      <c r="F74" t="s">
        <v>10795</v>
      </c>
      <c r="G74" t="s">
        <v>12</v>
      </c>
      <c r="H74" t="s">
        <v>11</v>
      </c>
      <c r="I74" t="s">
        <v>10794</v>
      </c>
      <c r="N74">
        <v>1</v>
      </c>
      <c r="O74" t="s">
        <v>10793</v>
      </c>
      <c r="P74">
        <v>7006028240</v>
      </c>
      <c r="R74" s="7">
        <v>33695</v>
      </c>
      <c r="S74" s="8">
        <f t="shared" si="8"/>
        <v>1992</v>
      </c>
      <c r="T74" s="8">
        <v>1992</v>
      </c>
      <c r="U74" s="8">
        <f t="shared" si="9"/>
        <v>30</v>
      </c>
      <c r="V74" s="7">
        <v>33695</v>
      </c>
      <c r="W74" t="s">
        <v>590</v>
      </c>
      <c r="X74" s="2">
        <v>0.14099999999999999</v>
      </c>
      <c r="Y74" s="6">
        <f t="shared" si="14"/>
        <v>3.7639144710498915E-3</v>
      </c>
      <c r="AA74">
        <v>402508</v>
      </c>
      <c r="AB74">
        <v>20868</v>
      </c>
      <c r="AD74" t="s">
        <v>4</v>
      </c>
      <c r="AE74">
        <v>47</v>
      </c>
      <c r="AF74">
        <v>4</v>
      </c>
      <c r="AH74" t="s">
        <v>10792</v>
      </c>
      <c r="AI74" t="s">
        <v>10791</v>
      </c>
      <c r="AK74" t="s">
        <v>10790</v>
      </c>
      <c r="AL74">
        <v>0</v>
      </c>
      <c r="AM74" s="5">
        <f t="shared" si="10"/>
        <v>0</v>
      </c>
      <c r="AN74" s="4">
        <f t="shared" si="15"/>
        <v>0</v>
      </c>
      <c r="AO74" s="3"/>
      <c r="AP74">
        <v>0</v>
      </c>
      <c r="AR74" t="s">
        <v>0</v>
      </c>
      <c r="AT74" s="2" t="s">
        <v>16</v>
      </c>
      <c r="AU74" s="1">
        <f t="shared" si="11"/>
        <v>0.26347401297349238</v>
      </c>
      <c r="AV74" s="1">
        <f t="shared" si="12"/>
        <v>0.18819572355249459</v>
      </c>
      <c r="AW74" s="1">
        <f t="shared" si="13"/>
        <v>0.11291743413149673</v>
      </c>
    </row>
    <row r="75" spans="1:49" x14ac:dyDescent="0.2">
      <c r="A75">
        <v>73</v>
      </c>
      <c r="B75" t="s">
        <v>10789</v>
      </c>
      <c r="C75" t="s">
        <v>10788</v>
      </c>
      <c r="D75" t="s">
        <v>10787</v>
      </c>
      <c r="F75" t="s">
        <v>10786</v>
      </c>
      <c r="G75" t="s">
        <v>12</v>
      </c>
      <c r="H75" t="s">
        <v>11</v>
      </c>
      <c r="I75" t="s">
        <v>10785</v>
      </c>
      <c r="J75" t="s">
        <v>10784</v>
      </c>
      <c r="K75" t="s">
        <v>10783</v>
      </c>
      <c r="L75" t="s">
        <v>10782</v>
      </c>
      <c r="M75" t="s">
        <v>10781</v>
      </c>
      <c r="N75">
        <v>4</v>
      </c>
      <c r="O75" t="s">
        <v>10780</v>
      </c>
      <c r="P75" t="s">
        <v>10779</v>
      </c>
      <c r="Q75" t="s">
        <v>10778</v>
      </c>
      <c r="R75" s="7">
        <v>33676</v>
      </c>
      <c r="S75" s="8">
        <f t="shared" si="8"/>
        <v>1992</v>
      </c>
      <c r="T75" s="8">
        <v>1992</v>
      </c>
      <c r="U75" s="8">
        <f t="shared" si="9"/>
        <v>30</v>
      </c>
      <c r="V75" s="7">
        <v>33676</v>
      </c>
      <c r="W75" t="s">
        <v>10244</v>
      </c>
      <c r="X75" s="2">
        <v>1.59</v>
      </c>
      <c r="Y75" s="6">
        <f t="shared" si="14"/>
        <v>4.2444141907583888E-2</v>
      </c>
      <c r="AA75">
        <v>52728</v>
      </c>
      <c r="AB75">
        <v>16791</v>
      </c>
      <c r="AD75" t="s">
        <v>4</v>
      </c>
      <c r="AE75">
        <v>1099</v>
      </c>
      <c r="AF75">
        <v>3</v>
      </c>
      <c r="AH75" t="s">
        <v>10777</v>
      </c>
      <c r="AI75" t="s">
        <v>10776</v>
      </c>
      <c r="AJ75" t="s">
        <v>10775</v>
      </c>
      <c r="AK75" t="s">
        <v>10774</v>
      </c>
      <c r="AL75">
        <v>9</v>
      </c>
      <c r="AM75" s="5">
        <f t="shared" si="10"/>
        <v>0.3</v>
      </c>
      <c r="AN75" s="4">
        <f t="shared" si="15"/>
        <v>4.5437334343051872E-4</v>
      </c>
      <c r="AO75" s="3"/>
      <c r="AP75">
        <v>0</v>
      </c>
      <c r="AR75" t="s">
        <v>0</v>
      </c>
      <c r="AT75" s="2" t="s">
        <v>16</v>
      </c>
      <c r="AU75" s="1">
        <f t="shared" si="11"/>
        <v>2.9847211338337876</v>
      </c>
      <c r="AV75" s="1">
        <f t="shared" si="12"/>
        <v>2.1449257625507205</v>
      </c>
      <c r="AW75" s="1">
        <f t="shared" si="13"/>
        <v>1.3051303912676528</v>
      </c>
    </row>
    <row r="76" spans="1:49" x14ac:dyDescent="0.2">
      <c r="A76">
        <v>74</v>
      </c>
      <c r="B76" t="s">
        <v>10773</v>
      </c>
      <c r="C76" t="s">
        <v>10772</v>
      </c>
      <c r="D76" t="s">
        <v>10771</v>
      </c>
      <c r="F76" t="s">
        <v>10770</v>
      </c>
      <c r="G76" t="s">
        <v>12</v>
      </c>
      <c r="H76" t="s">
        <v>11</v>
      </c>
      <c r="I76" t="s">
        <v>10769</v>
      </c>
      <c r="J76" t="s">
        <v>10768</v>
      </c>
      <c r="K76" t="s">
        <v>10767</v>
      </c>
      <c r="L76" t="s">
        <v>10766</v>
      </c>
      <c r="M76" t="s">
        <v>10765</v>
      </c>
      <c r="N76">
        <v>6</v>
      </c>
      <c r="O76" t="s">
        <v>10764</v>
      </c>
      <c r="P76" t="s">
        <v>10763</v>
      </c>
      <c r="Q76" t="s">
        <v>10762</v>
      </c>
      <c r="R76" s="7">
        <v>33676</v>
      </c>
      <c r="S76" s="8">
        <f t="shared" si="8"/>
        <v>1992</v>
      </c>
      <c r="T76" s="8">
        <v>1992</v>
      </c>
      <c r="U76" s="8">
        <f t="shared" si="9"/>
        <v>30</v>
      </c>
      <c r="V76" s="7">
        <v>33676</v>
      </c>
      <c r="W76" t="s">
        <v>10244</v>
      </c>
      <c r="X76" s="2">
        <v>1.59</v>
      </c>
      <c r="Y76" s="6">
        <f t="shared" si="14"/>
        <v>4.2444141907583888E-2</v>
      </c>
      <c r="AA76">
        <v>52728</v>
      </c>
      <c r="AB76">
        <v>16791</v>
      </c>
      <c r="AD76" t="s">
        <v>4</v>
      </c>
      <c r="AE76">
        <v>1099</v>
      </c>
      <c r="AF76">
        <v>3</v>
      </c>
      <c r="AH76" t="s">
        <v>10258</v>
      </c>
      <c r="AI76" t="s">
        <v>10761</v>
      </c>
      <c r="AJ76" t="s">
        <v>10760</v>
      </c>
      <c r="AK76" t="s">
        <v>10759</v>
      </c>
      <c r="AL76">
        <v>69</v>
      </c>
      <c r="AM76" s="5">
        <f t="shared" si="10"/>
        <v>2.2999999999999998</v>
      </c>
      <c r="AN76" s="4">
        <f t="shared" si="15"/>
        <v>3.4835289663006433E-3</v>
      </c>
      <c r="AO76" s="3"/>
      <c r="AP76">
        <v>0</v>
      </c>
      <c r="AR76" t="s">
        <v>0</v>
      </c>
      <c r="AT76" s="2" t="s">
        <v>16</v>
      </c>
      <c r="AU76" s="1">
        <f t="shared" si="11"/>
        <v>3.0755958025198913</v>
      </c>
      <c r="AV76" s="1">
        <f t="shared" si="12"/>
        <v>2.2963835436942266</v>
      </c>
      <c r="AW76" s="1">
        <f t="shared" si="13"/>
        <v>1.5171712848685615</v>
      </c>
    </row>
    <row r="77" spans="1:49" x14ac:dyDescent="0.2">
      <c r="A77">
        <v>75</v>
      </c>
      <c r="B77" t="s">
        <v>10758</v>
      </c>
      <c r="C77" t="s">
        <v>10757</v>
      </c>
      <c r="D77" t="s">
        <v>10756</v>
      </c>
      <c r="F77" t="s">
        <v>10755</v>
      </c>
      <c r="G77" t="s">
        <v>12</v>
      </c>
      <c r="H77" t="s">
        <v>11</v>
      </c>
      <c r="I77" t="s">
        <v>9091</v>
      </c>
      <c r="J77" t="s">
        <v>10754</v>
      </c>
      <c r="K77" t="s">
        <v>10753</v>
      </c>
      <c r="L77" t="s">
        <v>10752</v>
      </c>
      <c r="M77" t="s">
        <v>10751</v>
      </c>
      <c r="N77">
        <v>13</v>
      </c>
      <c r="O77" t="s">
        <v>10750</v>
      </c>
      <c r="P77" t="s">
        <v>10749</v>
      </c>
      <c r="Q77" t="s">
        <v>10748</v>
      </c>
      <c r="R77" s="7">
        <v>33672</v>
      </c>
      <c r="S77" s="8">
        <f t="shared" si="8"/>
        <v>1992</v>
      </c>
      <c r="T77" s="8">
        <v>1992</v>
      </c>
      <c r="U77" s="8">
        <f t="shared" si="9"/>
        <v>30</v>
      </c>
      <c r="V77" s="7">
        <v>33672</v>
      </c>
      <c r="W77" t="s">
        <v>10747</v>
      </c>
      <c r="X77" s="2">
        <v>0.499</v>
      </c>
      <c r="Y77" s="6">
        <f t="shared" si="14"/>
        <v>1.332052000747444E-2</v>
      </c>
      <c r="AA77">
        <v>3759601</v>
      </c>
      <c r="AB77">
        <v>29464</v>
      </c>
      <c r="AD77" t="s">
        <v>4</v>
      </c>
      <c r="AE77">
        <v>163</v>
      </c>
      <c r="AF77" s="9">
        <v>44228</v>
      </c>
      <c r="AH77" t="s">
        <v>10746</v>
      </c>
      <c r="AI77" t="s">
        <v>10745</v>
      </c>
      <c r="AK77" t="s">
        <v>10744</v>
      </c>
      <c r="AL77">
        <v>15</v>
      </c>
      <c r="AM77" s="5">
        <f t="shared" si="10"/>
        <v>0.5</v>
      </c>
      <c r="AN77" s="4">
        <f t="shared" si="15"/>
        <v>7.572889057175312E-4</v>
      </c>
      <c r="AO77" s="3"/>
      <c r="AP77">
        <v>0</v>
      </c>
      <c r="AR77" t="s">
        <v>0</v>
      </c>
      <c r="AT77" s="2">
        <v>2.6539999999999999</v>
      </c>
      <c r="AU77" s="1">
        <f t="shared" si="11"/>
        <v>0.95515506769473668</v>
      </c>
      <c r="AV77" s="1">
        <f t="shared" si="12"/>
        <v>0.70389044565959857</v>
      </c>
      <c r="AW77" s="1">
        <f t="shared" si="13"/>
        <v>0.45262582362446035</v>
      </c>
    </row>
    <row r="78" spans="1:49" x14ac:dyDescent="0.2">
      <c r="A78">
        <v>76</v>
      </c>
      <c r="B78" t="s">
        <v>10743</v>
      </c>
      <c r="C78" t="s">
        <v>10742</v>
      </c>
      <c r="F78" t="s">
        <v>10741</v>
      </c>
      <c r="G78" t="s">
        <v>12</v>
      </c>
      <c r="H78" t="s">
        <v>11</v>
      </c>
      <c r="I78" t="s">
        <v>10740</v>
      </c>
      <c r="J78">
        <v>60016969</v>
      </c>
      <c r="K78" t="s">
        <v>10739</v>
      </c>
      <c r="L78" t="s">
        <v>10738</v>
      </c>
      <c r="M78" t="s">
        <v>3610</v>
      </c>
      <c r="N78">
        <v>4</v>
      </c>
      <c r="O78" t="s">
        <v>10737</v>
      </c>
      <c r="P78" t="s">
        <v>10736</v>
      </c>
      <c r="Q78" t="s">
        <v>10735</v>
      </c>
      <c r="R78" s="7">
        <v>33664</v>
      </c>
      <c r="S78" s="8">
        <f t="shared" si="8"/>
        <v>1992</v>
      </c>
      <c r="T78" s="8">
        <v>1992</v>
      </c>
      <c r="U78" s="8">
        <f t="shared" si="9"/>
        <v>30</v>
      </c>
      <c r="V78" s="7">
        <v>33664</v>
      </c>
      <c r="W78" t="s">
        <v>10572</v>
      </c>
      <c r="X78" s="2">
        <v>0.85499999999999998</v>
      </c>
      <c r="Y78" s="6">
        <f t="shared" si="14"/>
        <v>2.28237366861536E-2</v>
      </c>
      <c r="AA78">
        <v>980331</v>
      </c>
      <c r="AB78">
        <v>23342</v>
      </c>
      <c r="AC78">
        <v>15731561</v>
      </c>
      <c r="AD78" t="s">
        <v>4</v>
      </c>
      <c r="AE78">
        <v>18</v>
      </c>
      <c r="AF78">
        <v>3</v>
      </c>
      <c r="AH78" t="s">
        <v>10734</v>
      </c>
      <c r="AI78" t="s">
        <v>10733</v>
      </c>
      <c r="AJ78" t="s">
        <v>10732</v>
      </c>
      <c r="AK78" t="s">
        <v>10731</v>
      </c>
      <c r="AL78">
        <v>3</v>
      </c>
      <c r="AM78" s="5">
        <f t="shared" si="10"/>
        <v>0.1</v>
      </c>
      <c r="AN78" s="4">
        <f t="shared" si="15"/>
        <v>1.5145778114350627E-4</v>
      </c>
      <c r="AO78" s="3"/>
      <c r="AP78">
        <v>0</v>
      </c>
      <c r="AR78" t="s">
        <v>0</v>
      </c>
      <c r="AT78" s="2">
        <v>2.6259999999999999</v>
      </c>
      <c r="AU78" s="1">
        <f t="shared" si="11"/>
        <v>1.602205301465057</v>
      </c>
      <c r="AV78" s="1">
        <f t="shared" si="12"/>
        <v>1.1487597233648552</v>
      </c>
      <c r="AW78" s="1">
        <f t="shared" si="13"/>
        <v>0.6953141452646534</v>
      </c>
    </row>
    <row r="79" spans="1:49" x14ac:dyDescent="0.2">
      <c r="A79">
        <v>77</v>
      </c>
      <c r="B79" t="s">
        <v>10730</v>
      </c>
      <c r="C79" t="s">
        <v>10729</v>
      </c>
      <c r="F79" t="s">
        <v>10728</v>
      </c>
      <c r="G79" t="s">
        <v>12</v>
      </c>
      <c r="H79" t="s">
        <v>11</v>
      </c>
      <c r="I79" t="s">
        <v>10727</v>
      </c>
      <c r="J79" t="s">
        <v>10726</v>
      </c>
      <c r="K79" t="s">
        <v>10725</v>
      </c>
      <c r="L79" t="s">
        <v>10724</v>
      </c>
      <c r="M79" t="s">
        <v>5079</v>
      </c>
      <c r="N79">
        <v>4</v>
      </c>
      <c r="O79" t="s">
        <v>10723</v>
      </c>
      <c r="P79" t="s">
        <v>10722</v>
      </c>
      <c r="Q79" t="s">
        <v>10721</v>
      </c>
      <c r="R79" s="7">
        <v>33664</v>
      </c>
      <c r="S79" s="8">
        <f t="shared" si="8"/>
        <v>1992</v>
      </c>
      <c r="T79" s="8">
        <v>1992</v>
      </c>
      <c r="U79" s="8">
        <f t="shared" si="9"/>
        <v>30</v>
      </c>
      <c r="V79" s="7">
        <v>33664</v>
      </c>
      <c r="W79" t="s">
        <v>10720</v>
      </c>
      <c r="X79" s="2">
        <v>0.82199999999999995</v>
      </c>
      <c r="Y79" s="6">
        <f t="shared" si="14"/>
        <v>2.1942820533354689E-2</v>
      </c>
      <c r="AA79">
        <v>17701</v>
      </c>
      <c r="AB79">
        <v>27975</v>
      </c>
      <c r="AC79">
        <v>15729532</v>
      </c>
      <c r="AD79" t="s">
        <v>4</v>
      </c>
      <c r="AE79">
        <v>24</v>
      </c>
      <c r="AF79">
        <v>3</v>
      </c>
      <c r="AH79" t="s">
        <v>10719</v>
      </c>
      <c r="AI79" t="s">
        <v>10718</v>
      </c>
      <c r="AK79" t="s">
        <v>10717</v>
      </c>
      <c r="AL79">
        <v>0</v>
      </c>
      <c r="AM79" s="5">
        <f t="shared" si="10"/>
        <v>0</v>
      </c>
      <c r="AN79" s="4">
        <f t="shared" si="15"/>
        <v>0</v>
      </c>
      <c r="AO79" s="3"/>
      <c r="AP79">
        <v>0</v>
      </c>
      <c r="AR79" t="s">
        <v>0</v>
      </c>
      <c r="AT79" s="2">
        <v>2.5129999999999999</v>
      </c>
      <c r="AU79" s="1">
        <f t="shared" si="11"/>
        <v>1.5359974373348282</v>
      </c>
      <c r="AV79" s="1">
        <f t="shared" si="12"/>
        <v>1.0971410266677344</v>
      </c>
      <c r="AW79" s="1">
        <f t="shared" si="13"/>
        <v>0.65828461600064059</v>
      </c>
    </row>
    <row r="80" spans="1:49" x14ac:dyDescent="0.2">
      <c r="A80">
        <v>78</v>
      </c>
      <c r="B80" t="s">
        <v>10716</v>
      </c>
      <c r="C80" t="s">
        <v>10715</v>
      </c>
      <c r="F80" t="s">
        <v>10714</v>
      </c>
      <c r="G80" t="s">
        <v>12</v>
      </c>
      <c r="H80" t="s">
        <v>11</v>
      </c>
      <c r="I80" t="s">
        <v>10713</v>
      </c>
      <c r="J80" t="s">
        <v>10712</v>
      </c>
      <c r="K80" t="s">
        <v>10711</v>
      </c>
      <c r="L80" t="s">
        <v>10710</v>
      </c>
      <c r="M80" t="s">
        <v>10709</v>
      </c>
      <c r="N80">
        <v>4</v>
      </c>
      <c r="O80" t="s">
        <v>10708</v>
      </c>
      <c r="P80" t="s">
        <v>10707</v>
      </c>
      <c r="Q80" t="s">
        <v>10706</v>
      </c>
      <c r="R80" s="7">
        <v>33664</v>
      </c>
      <c r="S80" s="8">
        <f t="shared" si="8"/>
        <v>1992</v>
      </c>
      <c r="T80" s="8">
        <v>1992</v>
      </c>
      <c r="U80" s="8">
        <f t="shared" si="9"/>
        <v>30</v>
      </c>
      <c r="V80" s="7">
        <v>33664</v>
      </c>
      <c r="W80" t="s">
        <v>1775</v>
      </c>
      <c r="X80" s="2">
        <v>0.61499999999999999</v>
      </c>
      <c r="Y80" s="6">
        <f t="shared" si="14"/>
        <v>1.6417073756706976E-2</v>
      </c>
      <c r="AA80">
        <v>1959271</v>
      </c>
      <c r="AB80">
        <v>12141</v>
      </c>
      <c r="AC80">
        <v>15729559</v>
      </c>
      <c r="AD80" t="s">
        <v>4</v>
      </c>
      <c r="AE80">
        <v>13</v>
      </c>
      <c r="AF80">
        <v>3</v>
      </c>
      <c r="AH80" t="s">
        <v>10705</v>
      </c>
      <c r="AI80" t="s">
        <v>10704</v>
      </c>
      <c r="AK80" t="s">
        <v>10703</v>
      </c>
      <c r="AL80">
        <v>2</v>
      </c>
      <c r="AM80" s="5">
        <f t="shared" si="10"/>
        <v>6.6666666666666666E-2</v>
      </c>
      <c r="AN80" s="4">
        <f t="shared" si="15"/>
        <v>1.0097185409567084E-4</v>
      </c>
      <c r="AO80" s="3"/>
      <c r="AP80">
        <v>0</v>
      </c>
      <c r="AR80" t="s">
        <v>0</v>
      </c>
      <c r="AT80" s="2" t="s">
        <v>16</v>
      </c>
      <c r="AU80" s="1">
        <f t="shared" si="11"/>
        <v>1.1522243185923584</v>
      </c>
      <c r="AV80" s="1">
        <f t="shared" si="12"/>
        <v>0.82590228054013237</v>
      </c>
      <c r="AW80" s="1">
        <f t="shared" si="13"/>
        <v>0.49958024248790622</v>
      </c>
    </row>
    <row r="81" spans="1:49" x14ac:dyDescent="0.2">
      <c r="A81">
        <v>79</v>
      </c>
      <c r="B81" t="s">
        <v>10702</v>
      </c>
      <c r="C81" t="s">
        <v>10701</v>
      </c>
      <c r="F81" t="s">
        <v>10700</v>
      </c>
      <c r="G81" t="s">
        <v>12</v>
      </c>
      <c r="H81" t="s">
        <v>11</v>
      </c>
      <c r="I81" t="s">
        <v>10699</v>
      </c>
      <c r="J81" t="s">
        <v>10698</v>
      </c>
      <c r="K81" t="s">
        <v>10697</v>
      </c>
      <c r="L81" t="s">
        <v>10696</v>
      </c>
      <c r="M81" t="s">
        <v>9326</v>
      </c>
      <c r="N81">
        <v>4</v>
      </c>
      <c r="O81" t="s">
        <v>10695</v>
      </c>
      <c r="P81" t="s">
        <v>10694</v>
      </c>
      <c r="Q81" t="s">
        <v>10693</v>
      </c>
      <c r="R81" s="7">
        <v>33664</v>
      </c>
      <c r="S81" s="8">
        <f t="shared" si="8"/>
        <v>1992</v>
      </c>
      <c r="T81" s="8">
        <v>1992</v>
      </c>
      <c r="U81" s="8">
        <f t="shared" si="9"/>
        <v>30</v>
      </c>
      <c r="V81" s="7">
        <v>33664</v>
      </c>
      <c r="W81" t="s">
        <v>10692</v>
      </c>
      <c r="X81" s="2" t="s">
        <v>16</v>
      </c>
      <c r="Y81" s="6" t="e">
        <f t="shared" si="14"/>
        <v>#VALUE!</v>
      </c>
      <c r="AA81">
        <v>74632</v>
      </c>
      <c r="AB81">
        <v>76104</v>
      </c>
      <c r="AC81">
        <v>14321394</v>
      </c>
      <c r="AD81" t="s">
        <v>4</v>
      </c>
      <c r="AE81">
        <v>66</v>
      </c>
      <c r="AF81">
        <v>1</v>
      </c>
      <c r="AH81" t="s">
        <v>10691</v>
      </c>
      <c r="AI81" t="s">
        <v>10690</v>
      </c>
      <c r="AK81" t="s">
        <v>10689</v>
      </c>
      <c r="AL81">
        <v>5</v>
      </c>
      <c r="AM81" s="5">
        <f t="shared" si="10"/>
        <v>0.16666666666666666</v>
      </c>
      <c r="AN81" s="4">
        <f t="shared" si="15"/>
        <v>2.5242963523917705E-4</v>
      </c>
      <c r="AO81" s="3"/>
      <c r="AP81">
        <v>0</v>
      </c>
      <c r="AR81" t="s">
        <v>0</v>
      </c>
      <c r="AT81" s="2" t="s">
        <v>16</v>
      </c>
      <c r="AU81" s="1" t="e">
        <f t="shared" si="11"/>
        <v>#VALUE!</v>
      </c>
      <c r="AV81" s="1" t="e">
        <f t="shared" si="12"/>
        <v>#VALUE!</v>
      </c>
      <c r="AW81" s="1" t="e">
        <f t="shared" si="13"/>
        <v>#VALUE!</v>
      </c>
    </row>
    <row r="82" spans="1:49" x14ac:dyDescent="0.2">
      <c r="A82">
        <v>80</v>
      </c>
      <c r="B82" t="s">
        <v>10688</v>
      </c>
      <c r="C82" t="s">
        <v>10687</v>
      </c>
      <c r="F82" t="s">
        <v>10686</v>
      </c>
      <c r="G82" t="s">
        <v>12</v>
      </c>
      <c r="H82" t="s">
        <v>11</v>
      </c>
      <c r="I82" t="s">
        <v>10685</v>
      </c>
      <c r="N82">
        <v>4</v>
      </c>
      <c r="O82" t="s">
        <v>10684</v>
      </c>
      <c r="P82" t="s">
        <v>10683</v>
      </c>
      <c r="Q82" t="s">
        <v>1572</v>
      </c>
      <c r="R82" s="7">
        <v>33664</v>
      </c>
      <c r="S82" s="8">
        <f t="shared" ref="S82:S145" si="16">YEAR(R82)</f>
        <v>1992</v>
      </c>
      <c r="T82" s="8">
        <v>1992</v>
      </c>
      <c r="U82" s="8">
        <f t="shared" ref="U82:U145" si="17">2022-T82</f>
        <v>30</v>
      </c>
      <c r="V82" s="7">
        <v>33664</v>
      </c>
      <c r="W82" t="s">
        <v>10682</v>
      </c>
      <c r="X82" s="2" t="s">
        <v>16</v>
      </c>
      <c r="Y82" s="6" t="e">
        <f t="shared" si="14"/>
        <v>#VALUE!</v>
      </c>
      <c r="AA82">
        <v>2702010</v>
      </c>
      <c r="AB82">
        <v>33183</v>
      </c>
      <c r="AC82">
        <v>15738760</v>
      </c>
      <c r="AD82" t="s">
        <v>4</v>
      </c>
      <c r="AE82">
        <v>13</v>
      </c>
      <c r="AF82">
        <v>2</v>
      </c>
      <c r="AH82" t="s">
        <v>10681</v>
      </c>
      <c r="AI82" t="s">
        <v>10680</v>
      </c>
      <c r="AK82" t="s">
        <v>10679</v>
      </c>
      <c r="AL82">
        <v>3</v>
      </c>
      <c r="AM82" s="5">
        <f t="shared" ref="AM82:AM145" si="18">AL82/U82</f>
        <v>0.1</v>
      </c>
      <c r="AN82" s="4">
        <f t="shared" si="15"/>
        <v>1.5145778114350627E-4</v>
      </c>
      <c r="AO82" s="3"/>
      <c r="AP82">
        <v>0</v>
      </c>
      <c r="AR82" t="s">
        <v>0</v>
      </c>
      <c r="AT82" s="2" t="s">
        <v>16</v>
      </c>
      <c r="AU82" s="1" t="e">
        <f t="shared" ref="AU82:AU145" si="19">(Y82*0.7+AN82*0.3)*100</f>
        <v>#VALUE!</v>
      </c>
      <c r="AV82" s="1" t="e">
        <f t="shared" ref="AV82:AV145" si="20">(Y82*0.5+AN82*0.5)*100</f>
        <v>#VALUE!</v>
      </c>
      <c r="AW82" s="1" t="e">
        <f t="shared" ref="AW82:AW145" si="21">(Y82*0.3+AN82*0.7)*100</f>
        <v>#VALUE!</v>
      </c>
    </row>
    <row r="83" spans="1:49" x14ac:dyDescent="0.2">
      <c r="A83">
        <v>81</v>
      </c>
      <c r="B83" t="s">
        <v>10678</v>
      </c>
      <c r="C83" t="s">
        <v>10677</v>
      </c>
      <c r="F83" t="s">
        <v>10676</v>
      </c>
      <c r="G83" t="s">
        <v>12</v>
      </c>
      <c r="H83" t="s">
        <v>11</v>
      </c>
      <c r="I83" t="s">
        <v>10675</v>
      </c>
      <c r="J83">
        <v>60000745</v>
      </c>
      <c r="K83" t="s">
        <v>1235</v>
      </c>
      <c r="L83" t="s">
        <v>1234</v>
      </c>
      <c r="M83" t="s">
        <v>7</v>
      </c>
      <c r="N83">
        <v>1</v>
      </c>
      <c r="O83" t="s">
        <v>10674</v>
      </c>
      <c r="P83">
        <v>7004635237</v>
      </c>
      <c r="Q83">
        <v>60000745</v>
      </c>
      <c r="R83" s="7">
        <v>33664</v>
      </c>
      <c r="S83" s="8">
        <f t="shared" si="16"/>
        <v>1992</v>
      </c>
      <c r="T83" s="8">
        <v>1992</v>
      </c>
      <c r="U83" s="8">
        <f t="shared" si="17"/>
        <v>30</v>
      </c>
      <c r="V83" s="7">
        <v>33664</v>
      </c>
      <c r="W83" t="s">
        <v>10673</v>
      </c>
      <c r="X83" s="2">
        <v>0.69</v>
      </c>
      <c r="Y83" s="6">
        <f t="shared" si="14"/>
        <v>1.8419155922159043E-2</v>
      </c>
      <c r="AA83">
        <v>15970</v>
      </c>
      <c r="AB83">
        <v>19747</v>
      </c>
      <c r="AC83">
        <v>16196937</v>
      </c>
      <c r="AD83" t="s">
        <v>4</v>
      </c>
      <c r="AE83">
        <v>95</v>
      </c>
      <c r="AF83" s="9">
        <v>44287</v>
      </c>
      <c r="AH83" t="s">
        <v>10672</v>
      </c>
      <c r="AI83" t="s">
        <v>10671</v>
      </c>
      <c r="AK83" t="s">
        <v>10670</v>
      </c>
      <c r="AL83">
        <v>56</v>
      </c>
      <c r="AM83" s="5">
        <f t="shared" si="18"/>
        <v>1.8666666666666667</v>
      </c>
      <c r="AN83" s="4">
        <f t="shared" si="15"/>
        <v>2.8272119146787833E-3</v>
      </c>
      <c r="AO83" s="3"/>
      <c r="AP83">
        <v>0</v>
      </c>
      <c r="AR83" t="s">
        <v>0</v>
      </c>
      <c r="AT83" s="2">
        <v>2.698</v>
      </c>
      <c r="AU83" s="1">
        <f t="shared" si="19"/>
        <v>1.3741572719914965</v>
      </c>
      <c r="AV83" s="1">
        <f t="shared" si="20"/>
        <v>1.0623183918418913</v>
      </c>
      <c r="AW83" s="1">
        <f t="shared" si="21"/>
        <v>0.75047951169228611</v>
      </c>
    </row>
    <row r="84" spans="1:49" x14ac:dyDescent="0.2">
      <c r="A84">
        <v>82</v>
      </c>
      <c r="B84" t="s">
        <v>10669</v>
      </c>
      <c r="F84" t="s">
        <v>10668</v>
      </c>
      <c r="G84" t="s">
        <v>12</v>
      </c>
      <c r="H84" t="s">
        <v>11</v>
      </c>
      <c r="I84" t="s">
        <v>10667</v>
      </c>
      <c r="N84">
        <v>2</v>
      </c>
      <c r="O84" t="s">
        <v>10666</v>
      </c>
      <c r="P84" t="s">
        <v>10665</v>
      </c>
      <c r="Q84" t="s">
        <v>720</v>
      </c>
      <c r="R84" s="7">
        <v>33664</v>
      </c>
      <c r="S84" s="8">
        <f t="shared" si="16"/>
        <v>1992</v>
      </c>
      <c r="T84" s="8">
        <v>1992</v>
      </c>
      <c r="U84" s="8">
        <f t="shared" si="17"/>
        <v>30</v>
      </c>
      <c r="V84" s="7">
        <v>33664</v>
      </c>
      <c r="W84" t="s">
        <v>10650</v>
      </c>
      <c r="X84" s="2" t="s">
        <v>16</v>
      </c>
      <c r="Y84" s="6" t="e">
        <f t="shared" si="14"/>
        <v>#VALUE!</v>
      </c>
      <c r="AA84">
        <v>3865096</v>
      </c>
      <c r="AB84">
        <v>18584</v>
      </c>
      <c r="AD84" t="s">
        <v>4</v>
      </c>
      <c r="AE84">
        <v>58</v>
      </c>
      <c r="AH84" t="s">
        <v>10664</v>
      </c>
      <c r="AI84" t="s">
        <v>10663</v>
      </c>
      <c r="AK84" t="s">
        <v>10662</v>
      </c>
      <c r="AL84">
        <v>0</v>
      </c>
      <c r="AM84" s="5">
        <f t="shared" si="18"/>
        <v>0</v>
      </c>
      <c r="AN84" s="4">
        <f t="shared" si="15"/>
        <v>0</v>
      </c>
      <c r="AO84" s="3"/>
      <c r="AP84">
        <v>0</v>
      </c>
      <c r="AR84" t="s">
        <v>0</v>
      </c>
      <c r="AT84" s="2" t="s">
        <v>16</v>
      </c>
      <c r="AU84" s="1" t="e">
        <f t="shared" si="19"/>
        <v>#VALUE!</v>
      </c>
      <c r="AV84" s="1" t="e">
        <f t="shared" si="20"/>
        <v>#VALUE!</v>
      </c>
      <c r="AW84" s="1" t="e">
        <f t="shared" si="21"/>
        <v>#VALUE!</v>
      </c>
    </row>
    <row r="85" spans="1:49" x14ac:dyDescent="0.2">
      <c r="A85">
        <v>83</v>
      </c>
      <c r="B85" t="s">
        <v>10661</v>
      </c>
      <c r="F85" t="s">
        <v>10660</v>
      </c>
      <c r="G85" t="s">
        <v>12</v>
      </c>
      <c r="H85" t="s">
        <v>11</v>
      </c>
      <c r="I85" t="s">
        <v>10659</v>
      </c>
      <c r="N85">
        <v>1</v>
      </c>
      <c r="O85" t="s">
        <v>10658</v>
      </c>
      <c r="P85">
        <v>6603619686</v>
      </c>
      <c r="R85" s="7">
        <v>33664</v>
      </c>
      <c r="S85" s="8">
        <f t="shared" si="16"/>
        <v>1992</v>
      </c>
      <c r="T85" s="8">
        <v>1992</v>
      </c>
      <c r="U85" s="8">
        <f t="shared" si="17"/>
        <v>30</v>
      </c>
      <c r="V85" s="7">
        <v>33664</v>
      </c>
      <c r="W85" t="s">
        <v>10650</v>
      </c>
      <c r="X85" s="2" t="s">
        <v>16</v>
      </c>
      <c r="Y85" s="6" t="e">
        <f t="shared" si="14"/>
        <v>#VALUE!</v>
      </c>
      <c r="AA85">
        <v>3865096</v>
      </c>
      <c r="AB85">
        <v>18584</v>
      </c>
      <c r="AD85" t="s">
        <v>4</v>
      </c>
      <c r="AE85">
        <v>58</v>
      </c>
      <c r="AH85" s="9">
        <v>44540</v>
      </c>
      <c r="AI85" t="s">
        <v>10657</v>
      </c>
      <c r="AK85" t="s">
        <v>10656</v>
      </c>
      <c r="AL85">
        <v>0</v>
      </c>
      <c r="AM85" s="5">
        <f t="shared" si="18"/>
        <v>0</v>
      </c>
      <c r="AN85" s="4">
        <f t="shared" si="15"/>
        <v>0</v>
      </c>
      <c r="AO85" s="3"/>
      <c r="AP85">
        <v>0</v>
      </c>
      <c r="AR85" t="s">
        <v>0</v>
      </c>
      <c r="AT85" s="2" t="s">
        <v>16</v>
      </c>
      <c r="AU85" s="1" t="e">
        <f t="shared" si="19"/>
        <v>#VALUE!</v>
      </c>
      <c r="AV85" s="1" t="e">
        <f t="shared" si="20"/>
        <v>#VALUE!</v>
      </c>
      <c r="AW85" s="1" t="e">
        <f t="shared" si="21"/>
        <v>#VALUE!</v>
      </c>
    </row>
    <row r="86" spans="1:49" x14ac:dyDescent="0.2">
      <c r="A86">
        <v>84</v>
      </c>
      <c r="B86" t="s">
        <v>10655</v>
      </c>
      <c r="F86" t="s">
        <v>10654</v>
      </c>
      <c r="G86" t="s">
        <v>12</v>
      </c>
      <c r="H86" t="s">
        <v>11</v>
      </c>
      <c r="I86" t="s">
        <v>10653</v>
      </c>
      <c r="N86">
        <v>2</v>
      </c>
      <c r="O86" t="s">
        <v>10652</v>
      </c>
      <c r="P86" t="s">
        <v>10651</v>
      </c>
      <c r="Q86" t="s">
        <v>720</v>
      </c>
      <c r="R86" s="7">
        <v>33664</v>
      </c>
      <c r="S86" s="8">
        <f t="shared" si="16"/>
        <v>1992</v>
      </c>
      <c r="T86" s="8">
        <v>1992</v>
      </c>
      <c r="U86" s="8">
        <f t="shared" si="17"/>
        <v>30</v>
      </c>
      <c r="V86" s="7">
        <v>33664</v>
      </c>
      <c r="W86" t="s">
        <v>10650</v>
      </c>
      <c r="X86" s="2" t="s">
        <v>16</v>
      </c>
      <c r="Y86" s="6" t="e">
        <f t="shared" si="14"/>
        <v>#VALUE!</v>
      </c>
      <c r="AA86">
        <v>3865096</v>
      </c>
      <c r="AB86">
        <v>18584</v>
      </c>
      <c r="AD86" t="s">
        <v>4</v>
      </c>
      <c r="AE86">
        <v>58</v>
      </c>
      <c r="AH86" t="s">
        <v>10649</v>
      </c>
      <c r="AI86" t="s">
        <v>10648</v>
      </c>
      <c r="AK86" t="s">
        <v>10647</v>
      </c>
      <c r="AL86">
        <v>0</v>
      </c>
      <c r="AM86" s="5">
        <f t="shared" si="18"/>
        <v>0</v>
      </c>
      <c r="AN86" s="4">
        <f t="shared" si="15"/>
        <v>0</v>
      </c>
      <c r="AO86" s="3"/>
      <c r="AP86">
        <v>0</v>
      </c>
      <c r="AR86" t="s">
        <v>0</v>
      </c>
      <c r="AT86" s="2" t="s">
        <v>16</v>
      </c>
      <c r="AU86" s="1" t="e">
        <f t="shared" si="19"/>
        <v>#VALUE!</v>
      </c>
      <c r="AV86" s="1" t="e">
        <f t="shared" si="20"/>
        <v>#VALUE!</v>
      </c>
      <c r="AW86" s="1" t="e">
        <f t="shared" si="21"/>
        <v>#VALUE!</v>
      </c>
    </row>
    <row r="87" spans="1:49" x14ac:dyDescent="0.2">
      <c r="A87">
        <v>85</v>
      </c>
      <c r="B87" t="s">
        <v>10646</v>
      </c>
      <c r="F87" t="s">
        <v>10645</v>
      </c>
      <c r="G87" t="s">
        <v>12</v>
      </c>
      <c r="H87" t="s">
        <v>11</v>
      </c>
      <c r="I87" t="s">
        <v>10644</v>
      </c>
      <c r="N87">
        <v>1</v>
      </c>
      <c r="O87" t="s">
        <v>10643</v>
      </c>
      <c r="P87">
        <v>6507730981</v>
      </c>
      <c r="R87" s="7">
        <v>33664</v>
      </c>
      <c r="S87" s="8">
        <f t="shared" si="16"/>
        <v>1992</v>
      </c>
      <c r="T87" s="8">
        <v>1992</v>
      </c>
      <c r="U87" s="8">
        <f t="shared" si="17"/>
        <v>30</v>
      </c>
      <c r="V87" s="7">
        <v>33664</v>
      </c>
      <c r="W87" t="s">
        <v>590</v>
      </c>
      <c r="X87" s="2">
        <v>0.14099999999999999</v>
      </c>
      <c r="Y87" s="6">
        <f t="shared" si="14"/>
        <v>3.7639144710498915E-3</v>
      </c>
      <c r="AA87">
        <v>402508</v>
      </c>
      <c r="AB87">
        <v>20868</v>
      </c>
      <c r="AD87" t="s">
        <v>4</v>
      </c>
      <c r="AE87">
        <v>47</v>
      </c>
      <c r="AF87">
        <v>3</v>
      </c>
      <c r="AH87" t="s">
        <v>3125</v>
      </c>
      <c r="AI87" t="s">
        <v>10642</v>
      </c>
      <c r="AK87" t="s">
        <v>10641</v>
      </c>
      <c r="AL87">
        <v>0</v>
      </c>
      <c r="AM87" s="5">
        <f t="shared" si="18"/>
        <v>0</v>
      </c>
      <c r="AN87" s="4">
        <f t="shared" si="15"/>
        <v>0</v>
      </c>
      <c r="AO87" s="3"/>
      <c r="AP87">
        <v>0</v>
      </c>
      <c r="AR87" t="s">
        <v>0</v>
      </c>
      <c r="AT87" s="2" t="s">
        <v>16</v>
      </c>
      <c r="AU87" s="1">
        <f t="shared" si="19"/>
        <v>0.26347401297349238</v>
      </c>
      <c r="AV87" s="1">
        <f t="shared" si="20"/>
        <v>0.18819572355249459</v>
      </c>
      <c r="AW87" s="1">
        <f t="shared" si="21"/>
        <v>0.11291743413149673</v>
      </c>
    </row>
    <row r="88" spans="1:49" x14ac:dyDescent="0.2">
      <c r="A88">
        <v>86</v>
      </c>
      <c r="B88" t="s">
        <v>10640</v>
      </c>
      <c r="F88" t="s">
        <v>10639</v>
      </c>
      <c r="G88" t="s">
        <v>12</v>
      </c>
      <c r="H88" t="s">
        <v>11</v>
      </c>
      <c r="I88" t="s">
        <v>10638</v>
      </c>
      <c r="N88">
        <v>2</v>
      </c>
      <c r="O88" t="s">
        <v>10637</v>
      </c>
      <c r="P88" t="s">
        <v>10636</v>
      </c>
      <c r="Q88" t="s">
        <v>720</v>
      </c>
      <c r="R88" s="7">
        <v>33664</v>
      </c>
      <c r="S88" s="8">
        <f t="shared" si="16"/>
        <v>1992</v>
      </c>
      <c r="T88" s="8">
        <v>1992</v>
      </c>
      <c r="U88" s="8">
        <f t="shared" si="17"/>
        <v>30</v>
      </c>
      <c r="V88" s="7">
        <v>33664</v>
      </c>
      <c r="W88" t="s">
        <v>590</v>
      </c>
      <c r="X88" s="2">
        <v>0.14099999999999999</v>
      </c>
      <c r="Y88" s="6">
        <f t="shared" si="14"/>
        <v>3.7639144710498915E-3</v>
      </c>
      <c r="AA88">
        <v>402508</v>
      </c>
      <c r="AB88">
        <v>20868</v>
      </c>
      <c r="AD88" t="s">
        <v>4</v>
      </c>
      <c r="AE88">
        <v>47</v>
      </c>
      <c r="AF88">
        <v>3</v>
      </c>
      <c r="AH88" t="s">
        <v>10635</v>
      </c>
      <c r="AI88" t="s">
        <v>10634</v>
      </c>
      <c r="AK88" t="s">
        <v>10633</v>
      </c>
      <c r="AL88">
        <v>0</v>
      </c>
      <c r="AM88" s="5">
        <f t="shared" si="18"/>
        <v>0</v>
      </c>
      <c r="AN88" s="4">
        <f t="shared" si="15"/>
        <v>0</v>
      </c>
      <c r="AO88" s="3"/>
      <c r="AP88">
        <v>0</v>
      </c>
      <c r="AR88" t="s">
        <v>0</v>
      </c>
      <c r="AT88" s="2" t="s">
        <v>16</v>
      </c>
      <c r="AU88" s="1">
        <f t="shared" si="19"/>
        <v>0.26347401297349238</v>
      </c>
      <c r="AV88" s="1">
        <f t="shared" si="20"/>
        <v>0.18819572355249459</v>
      </c>
      <c r="AW88" s="1">
        <f t="shared" si="21"/>
        <v>0.11291743413149673</v>
      </c>
    </row>
    <row r="89" spans="1:49" x14ac:dyDescent="0.2">
      <c r="A89">
        <v>87</v>
      </c>
      <c r="B89" t="s">
        <v>10632</v>
      </c>
      <c r="F89" t="s">
        <v>10631</v>
      </c>
      <c r="G89" t="s">
        <v>12</v>
      </c>
      <c r="H89" t="s">
        <v>11</v>
      </c>
      <c r="I89" t="s">
        <v>10630</v>
      </c>
      <c r="N89">
        <v>1</v>
      </c>
      <c r="O89" t="s">
        <v>10629</v>
      </c>
      <c r="P89">
        <v>36962396500</v>
      </c>
      <c r="R89" s="7">
        <v>33664</v>
      </c>
      <c r="S89" s="8">
        <f t="shared" si="16"/>
        <v>1992</v>
      </c>
      <c r="T89" s="8">
        <v>1992</v>
      </c>
      <c r="U89" s="8">
        <f t="shared" si="17"/>
        <v>30</v>
      </c>
      <c r="V89" s="7">
        <v>33664</v>
      </c>
      <c r="W89" t="s">
        <v>590</v>
      </c>
      <c r="X89" s="2">
        <v>0.14099999999999999</v>
      </c>
      <c r="Y89" s="6">
        <f t="shared" si="14"/>
        <v>3.7639144710498915E-3</v>
      </c>
      <c r="AA89">
        <v>402508</v>
      </c>
      <c r="AB89">
        <v>20868</v>
      </c>
      <c r="AD89" t="s">
        <v>4</v>
      </c>
      <c r="AE89">
        <v>47</v>
      </c>
      <c r="AF89">
        <v>3</v>
      </c>
      <c r="AH89" t="s">
        <v>7897</v>
      </c>
      <c r="AI89" t="s">
        <v>10628</v>
      </c>
      <c r="AK89" t="s">
        <v>10627</v>
      </c>
      <c r="AL89">
        <v>0</v>
      </c>
      <c r="AM89" s="5">
        <f t="shared" si="18"/>
        <v>0</v>
      </c>
      <c r="AN89" s="4">
        <f t="shared" si="15"/>
        <v>0</v>
      </c>
      <c r="AO89" s="3"/>
      <c r="AP89">
        <v>0</v>
      </c>
      <c r="AR89" t="s">
        <v>0</v>
      </c>
      <c r="AT89" s="2" t="s">
        <v>16</v>
      </c>
      <c r="AU89" s="1">
        <f t="shared" si="19"/>
        <v>0.26347401297349238</v>
      </c>
      <c r="AV89" s="1">
        <f t="shared" si="20"/>
        <v>0.18819572355249459</v>
      </c>
      <c r="AW89" s="1">
        <f t="shared" si="21"/>
        <v>0.11291743413149673</v>
      </c>
    </row>
    <row r="90" spans="1:49" x14ac:dyDescent="0.2">
      <c r="A90">
        <v>88</v>
      </c>
      <c r="B90" t="s">
        <v>10626</v>
      </c>
      <c r="F90" t="s">
        <v>10625</v>
      </c>
      <c r="G90" t="s">
        <v>12</v>
      </c>
      <c r="H90" t="s">
        <v>11</v>
      </c>
      <c r="I90" t="s">
        <v>10624</v>
      </c>
      <c r="N90">
        <v>2</v>
      </c>
      <c r="O90" t="s">
        <v>10623</v>
      </c>
      <c r="P90" t="s">
        <v>10622</v>
      </c>
      <c r="Q90" t="s">
        <v>720</v>
      </c>
      <c r="R90" s="7">
        <v>33664</v>
      </c>
      <c r="S90" s="8">
        <f t="shared" si="16"/>
        <v>1992</v>
      </c>
      <c r="T90" s="8">
        <v>1992</v>
      </c>
      <c r="U90" s="8">
        <f t="shared" si="17"/>
        <v>30</v>
      </c>
      <c r="V90" s="7">
        <v>33664</v>
      </c>
      <c r="W90" t="s">
        <v>590</v>
      </c>
      <c r="X90" s="2">
        <v>0.14099999999999999</v>
      </c>
      <c r="Y90" s="6">
        <f t="shared" si="14"/>
        <v>3.7639144710498915E-3</v>
      </c>
      <c r="AA90">
        <v>402508</v>
      </c>
      <c r="AB90">
        <v>20868</v>
      </c>
      <c r="AD90" t="s">
        <v>4</v>
      </c>
      <c r="AE90">
        <v>47</v>
      </c>
      <c r="AF90">
        <v>3</v>
      </c>
      <c r="AH90" t="s">
        <v>10621</v>
      </c>
      <c r="AI90" t="s">
        <v>10620</v>
      </c>
      <c r="AK90" t="s">
        <v>10619</v>
      </c>
      <c r="AL90">
        <v>0</v>
      </c>
      <c r="AM90" s="5">
        <f t="shared" si="18"/>
        <v>0</v>
      </c>
      <c r="AN90" s="4">
        <f t="shared" si="15"/>
        <v>0</v>
      </c>
      <c r="AO90" s="3"/>
      <c r="AP90">
        <v>0</v>
      </c>
      <c r="AR90" t="s">
        <v>0</v>
      </c>
      <c r="AT90" s="2" t="s">
        <v>16</v>
      </c>
      <c r="AU90" s="1">
        <f t="shared" si="19"/>
        <v>0.26347401297349238</v>
      </c>
      <c r="AV90" s="1">
        <f t="shared" si="20"/>
        <v>0.18819572355249459</v>
      </c>
      <c r="AW90" s="1">
        <f t="shared" si="21"/>
        <v>0.11291743413149673</v>
      </c>
    </row>
    <row r="91" spans="1:49" x14ac:dyDescent="0.2">
      <c r="A91">
        <v>89</v>
      </c>
      <c r="B91" t="s">
        <v>10618</v>
      </c>
      <c r="F91" t="s">
        <v>10617</v>
      </c>
      <c r="G91" t="s">
        <v>12</v>
      </c>
      <c r="H91" t="s">
        <v>11</v>
      </c>
      <c r="I91" t="s">
        <v>10616</v>
      </c>
      <c r="N91">
        <v>2</v>
      </c>
      <c r="O91" t="s">
        <v>10615</v>
      </c>
      <c r="P91" t="s">
        <v>10614</v>
      </c>
      <c r="Q91" t="s">
        <v>720</v>
      </c>
      <c r="R91" s="7">
        <v>33664</v>
      </c>
      <c r="S91" s="8">
        <f t="shared" si="16"/>
        <v>1992</v>
      </c>
      <c r="T91" s="8">
        <v>1992</v>
      </c>
      <c r="U91" s="8">
        <f t="shared" si="17"/>
        <v>30</v>
      </c>
      <c r="V91" s="7">
        <v>33664</v>
      </c>
      <c r="W91" t="s">
        <v>590</v>
      </c>
      <c r="X91" s="2">
        <v>0.14099999999999999</v>
      </c>
      <c r="Y91" s="6">
        <f t="shared" si="14"/>
        <v>3.7639144710498915E-3</v>
      </c>
      <c r="AA91">
        <v>402508</v>
      </c>
      <c r="AB91">
        <v>20868</v>
      </c>
      <c r="AD91" t="s">
        <v>4</v>
      </c>
      <c r="AE91">
        <v>47</v>
      </c>
      <c r="AF91">
        <v>3</v>
      </c>
      <c r="AH91" t="s">
        <v>10613</v>
      </c>
      <c r="AI91" t="s">
        <v>10612</v>
      </c>
      <c r="AK91" t="s">
        <v>10611</v>
      </c>
      <c r="AL91">
        <v>0</v>
      </c>
      <c r="AM91" s="5">
        <f t="shared" si="18"/>
        <v>0</v>
      </c>
      <c r="AN91" s="4">
        <f t="shared" si="15"/>
        <v>0</v>
      </c>
      <c r="AO91" s="3"/>
      <c r="AP91">
        <v>0</v>
      </c>
      <c r="AR91" t="s">
        <v>0</v>
      </c>
      <c r="AT91" s="2" t="s">
        <v>16</v>
      </c>
      <c r="AU91" s="1">
        <f t="shared" si="19"/>
        <v>0.26347401297349238</v>
      </c>
      <c r="AV91" s="1">
        <f t="shared" si="20"/>
        <v>0.18819572355249459</v>
      </c>
      <c r="AW91" s="1">
        <f t="shared" si="21"/>
        <v>0.11291743413149673</v>
      </c>
    </row>
    <row r="92" spans="1:49" x14ac:dyDescent="0.2">
      <c r="A92">
        <v>90</v>
      </c>
      <c r="B92" t="s">
        <v>10610</v>
      </c>
      <c r="F92" t="s">
        <v>10609</v>
      </c>
      <c r="G92" t="s">
        <v>12</v>
      </c>
      <c r="H92" t="s">
        <v>11</v>
      </c>
      <c r="I92" t="s">
        <v>10608</v>
      </c>
      <c r="N92">
        <v>1</v>
      </c>
      <c r="O92" t="s">
        <v>10607</v>
      </c>
      <c r="P92">
        <v>6506310706</v>
      </c>
      <c r="R92" s="7">
        <v>33664</v>
      </c>
      <c r="S92" s="8">
        <f t="shared" si="16"/>
        <v>1992</v>
      </c>
      <c r="T92" s="8">
        <v>1992</v>
      </c>
      <c r="U92" s="8">
        <f t="shared" si="17"/>
        <v>30</v>
      </c>
      <c r="V92" s="7">
        <v>33664</v>
      </c>
      <c r="W92" t="s">
        <v>590</v>
      </c>
      <c r="X92" s="2">
        <v>0.14099999999999999</v>
      </c>
      <c r="Y92" s="6">
        <f t="shared" si="14"/>
        <v>3.7639144710498915E-3</v>
      </c>
      <c r="AA92">
        <v>402508</v>
      </c>
      <c r="AB92">
        <v>20868</v>
      </c>
      <c r="AD92" t="s">
        <v>4</v>
      </c>
      <c r="AE92">
        <v>47</v>
      </c>
      <c r="AF92">
        <v>3</v>
      </c>
      <c r="AH92" t="s">
        <v>10606</v>
      </c>
      <c r="AI92" t="s">
        <v>10605</v>
      </c>
      <c r="AK92" t="s">
        <v>10604</v>
      </c>
      <c r="AL92">
        <v>0</v>
      </c>
      <c r="AM92" s="5">
        <f t="shared" si="18"/>
        <v>0</v>
      </c>
      <c r="AN92" s="4">
        <f t="shared" si="15"/>
        <v>0</v>
      </c>
      <c r="AO92" s="3"/>
      <c r="AP92">
        <v>0</v>
      </c>
      <c r="AR92" t="s">
        <v>0</v>
      </c>
      <c r="AT92" s="2" t="s">
        <v>16</v>
      </c>
      <c r="AU92" s="1">
        <f t="shared" si="19"/>
        <v>0.26347401297349238</v>
      </c>
      <c r="AV92" s="1">
        <f t="shared" si="20"/>
        <v>0.18819572355249459</v>
      </c>
      <c r="AW92" s="1">
        <f t="shared" si="21"/>
        <v>0.11291743413149673</v>
      </c>
    </row>
    <row r="93" spans="1:49" x14ac:dyDescent="0.2">
      <c r="A93">
        <v>91</v>
      </c>
      <c r="B93" t="s">
        <v>10603</v>
      </c>
      <c r="C93" t="s">
        <v>10602</v>
      </c>
      <c r="F93" t="s">
        <v>10601</v>
      </c>
      <c r="G93" t="s">
        <v>12</v>
      </c>
      <c r="H93" t="s">
        <v>11</v>
      </c>
      <c r="I93" t="s">
        <v>4066</v>
      </c>
      <c r="J93">
        <v>60025063</v>
      </c>
      <c r="K93" t="s">
        <v>4065</v>
      </c>
      <c r="L93" t="s">
        <v>4064</v>
      </c>
      <c r="M93" t="s">
        <v>367</v>
      </c>
      <c r="N93">
        <v>2</v>
      </c>
      <c r="O93" t="s">
        <v>10600</v>
      </c>
      <c r="P93" t="s">
        <v>4062</v>
      </c>
      <c r="Q93" t="s">
        <v>4061</v>
      </c>
      <c r="R93" s="7">
        <v>33664</v>
      </c>
      <c r="S93" s="8">
        <f t="shared" si="16"/>
        <v>1992</v>
      </c>
      <c r="T93" s="8">
        <v>1992</v>
      </c>
      <c r="U93" s="8">
        <f t="shared" si="17"/>
        <v>30</v>
      </c>
      <c r="V93" s="7">
        <v>33664</v>
      </c>
      <c r="W93" t="s">
        <v>2019</v>
      </c>
      <c r="X93" s="2">
        <v>0.33800000000000002</v>
      </c>
      <c r="Y93" s="6">
        <f t="shared" si="14"/>
        <v>9.0227169589706634E-3</v>
      </c>
      <c r="AA93">
        <v>34347</v>
      </c>
      <c r="AB93">
        <v>17722</v>
      </c>
      <c r="AC93">
        <v>19589395</v>
      </c>
      <c r="AD93" t="s">
        <v>4</v>
      </c>
      <c r="AE93">
        <v>47</v>
      </c>
      <c r="AF93" s="9">
        <v>44289</v>
      </c>
      <c r="AH93" t="s">
        <v>10599</v>
      </c>
      <c r="AI93" t="s">
        <v>10598</v>
      </c>
      <c r="AJ93" t="s">
        <v>10597</v>
      </c>
      <c r="AK93" t="s">
        <v>10596</v>
      </c>
      <c r="AL93">
        <v>4</v>
      </c>
      <c r="AM93" s="5">
        <f t="shared" si="18"/>
        <v>0.13333333333333333</v>
      </c>
      <c r="AN93" s="4">
        <f t="shared" si="15"/>
        <v>2.0194370819134167E-4</v>
      </c>
      <c r="AO93" s="3"/>
      <c r="AP93">
        <v>0</v>
      </c>
      <c r="AR93" t="s">
        <v>0</v>
      </c>
      <c r="AT93" s="2" t="s">
        <v>16</v>
      </c>
      <c r="AU93" s="1">
        <f t="shared" si="19"/>
        <v>0.63764849837368665</v>
      </c>
      <c r="AV93" s="1">
        <f t="shared" si="20"/>
        <v>0.46123303335810029</v>
      </c>
      <c r="AW93" s="1">
        <f t="shared" si="21"/>
        <v>0.28481756834251382</v>
      </c>
    </row>
    <row r="94" spans="1:49" x14ac:dyDescent="0.2">
      <c r="A94">
        <v>92</v>
      </c>
      <c r="B94" t="s">
        <v>10595</v>
      </c>
      <c r="C94" t="s">
        <v>10594</v>
      </c>
      <c r="F94" t="s">
        <v>10593</v>
      </c>
      <c r="G94" t="s">
        <v>12</v>
      </c>
      <c r="H94" t="s">
        <v>11</v>
      </c>
      <c r="I94" t="s">
        <v>10592</v>
      </c>
      <c r="J94" t="s">
        <v>10591</v>
      </c>
      <c r="K94" t="s">
        <v>10590</v>
      </c>
      <c r="L94" t="s">
        <v>10589</v>
      </c>
      <c r="M94" t="s">
        <v>125</v>
      </c>
      <c r="N94">
        <v>3</v>
      </c>
      <c r="O94" t="s">
        <v>10588</v>
      </c>
      <c r="P94" t="s">
        <v>10587</v>
      </c>
      <c r="Q94" t="s">
        <v>10586</v>
      </c>
      <c r="R94" s="7">
        <v>33664</v>
      </c>
      <c r="S94" s="8">
        <f t="shared" si="16"/>
        <v>1992</v>
      </c>
      <c r="T94" s="8">
        <v>1992</v>
      </c>
      <c r="U94" s="8">
        <f t="shared" si="17"/>
        <v>30</v>
      </c>
      <c r="V94" s="7">
        <v>33664</v>
      </c>
      <c r="W94" t="s">
        <v>10572</v>
      </c>
      <c r="X94" s="2">
        <v>0.85499999999999998</v>
      </c>
      <c r="Y94" s="6">
        <f t="shared" si="14"/>
        <v>2.28237366861536E-2</v>
      </c>
      <c r="AA94">
        <v>980331</v>
      </c>
      <c r="AB94">
        <v>23342</v>
      </c>
      <c r="AC94">
        <v>15731561</v>
      </c>
      <c r="AD94" t="s">
        <v>4</v>
      </c>
      <c r="AE94">
        <v>18</v>
      </c>
      <c r="AF94">
        <v>3</v>
      </c>
      <c r="AH94" t="s">
        <v>10585</v>
      </c>
      <c r="AI94" t="s">
        <v>10584</v>
      </c>
      <c r="AJ94" t="s">
        <v>10583</v>
      </c>
      <c r="AK94" t="s">
        <v>10582</v>
      </c>
      <c r="AL94">
        <v>13</v>
      </c>
      <c r="AM94" s="5">
        <f t="shared" si="18"/>
        <v>0.43333333333333335</v>
      </c>
      <c r="AN94" s="4">
        <f t="shared" si="15"/>
        <v>6.5631705162186044E-4</v>
      </c>
      <c r="AO94" s="3"/>
      <c r="AP94">
        <v>0</v>
      </c>
      <c r="AR94" t="s">
        <v>0</v>
      </c>
      <c r="AT94" s="2">
        <v>2.6259999999999999</v>
      </c>
      <c r="AU94" s="1">
        <f t="shared" si="19"/>
        <v>1.6173510795794075</v>
      </c>
      <c r="AV94" s="1">
        <f t="shared" si="20"/>
        <v>1.174002686888773</v>
      </c>
      <c r="AW94" s="1">
        <f t="shared" si="21"/>
        <v>0.73065429419813821</v>
      </c>
    </row>
    <row r="95" spans="1:49" x14ac:dyDescent="0.2">
      <c r="A95">
        <v>93</v>
      </c>
      <c r="B95" t="s">
        <v>10581</v>
      </c>
      <c r="C95" t="s">
        <v>10580</v>
      </c>
      <c r="F95" t="s">
        <v>10579</v>
      </c>
      <c r="G95" t="s">
        <v>12</v>
      </c>
      <c r="H95" t="s">
        <v>11</v>
      </c>
      <c r="I95" t="s">
        <v>10578</v>
      </c>
      <c r="J95">
        <v>60000635</v>
      </c>
      <c r="K95" t="s">
        <v>10577</v>
      </c>
      <c r="L95" t="s">
        <v>10576</v>
      </c>
      <c r="M95" t="s">
        <v>7</v>
      </c>
      <c r="N95">
        <v>3</v>
      </c>
      <c r="O95" t="s">
        <v>10575</v>
      </c>
      <c r="P95" t="s">
        <v>10574</v>
      </c>
      <c r="Q95" t="s">
        <v>10573</v>
      </c>
      <c r="R95" s="7">
        <v>33664</v>
      </c>
      <c r="S95" s="8">
        <f t="shared" si="16"/>
        <v>1992</v>
      </c>
      <c r="T95" s="8">
        <v>1992</v>
      </c>
      <c r="U95" s="8">
        <f t="shared" si="17"/>
        <v>30</v>
      </c>
      <c r="V95" s="7">
        <v>33664</v>
      </c>
      <c r="W95" t="s">
        <v>10572</v>
      </c>
      <c r="X95" s="2">
        <v>0.85499999999999998</v>
      </c>
      <c r="Y95" s="6">
        <f t="shared" si="14"/>
        <v>2.28237366861536E-2</v>
      </c>
      <c r="AA95">
        <v>980331</v>
      </c>
      <c r="AB95">
        <v>23342</v>
      </c>
      <c r="AC95">
        <v>15731561</v>
      </c>
      <c r="AD95" t="s">
        <v>4</v>
      </c>
      <c r="AE95">
        <v>18</v>
      </c>
      <c r="AF95">
        <v>3</v>
      </c>
      <c r="AH95" t="s">
        <v>10571</v>
      </c>
      <c r="AI95" t="s">
        <v>10570</v>
      </c>
      <c r="AJ95" t="s">
        <v>10569</v>
      </c>
      <c r="AK95" t="s">
        <v>10568</v>
      </c>
      <c r="AL95">
        <v>14</v>
      </c>
      <c r="AM95" s="5">
        <f t="shared" si="18"/>
        <v>0.46666666666666667</v>
      </c>
      <c r="AN95" s="4">
        <f t="shared" si="15"/>
        <v>7.0680297866969582E-4</v>
      </c>
      <c r="AO95" s="3"/>
      <c r="AP95">
        <v>0</v>
      </c>
      <c r="AR95" t="s">
        <v>0</v>
      </c>
      <c r="AT95" s="2">
        <v>2.6259999999999999</v>
      </c>
      <c r="AU95" s="1">
        <f t="shared" si="19"/>
        <v>1.6188656573908426</v>
      </c>
      <c r="AV95" s="1">
        <f t="shared" si="20"/>
        <v>1.1765269832411649</v>
      </c>
      <c r="AW95" s="1">
        <f t="shared" si="21"/>
        <v>0.73418830909148669</v>
      </c>
    </row>
    <row r="96" spans="1:49" x14ac:dyDescent="0.2">
      <c r="A96">
        <v>94</v>
      </c>
      <c r="B96" t="s">
        <v>10567</v>
      </c>
      <c r="C96" t="s">
        <v>10566</v>
      </c>
      <c r="F96" t="s">
        <v>10565</v>
      </c>
      <c r="G96" t="s">
        <v>12</v>
      </c>
      <c r="H96" t="s">
        <v>11</v>
      </c>
      <c r="I96" t="s">
        <v>10564</v>
      </c>
      <c r="J96">
        <v>60024609</v>
      </c>
      <c r="K96" t="s">
        <v>2995</v>
      </c>
      <c r="L96" t="s">
        <v>2994</v>
      </c>
      <c r="M96" t="s">
        <v>7</v>
      </c>
      <c r="N96">
        <v>1</v>
      </c>
      <c r="O96" t="s">
        <v>2993</v>
      </c>
      <c r="P96">
        <v>35617633700</v>
      </c>
      <c r="Q96">
        <v>60024609</v>
      </c>
      <c r="R96" s="7">
        <v>33664</v>
      </c>
      <c r="S96" s="8">
        <f t="shared" si="16"/>
        <v>1992</v>
      </c>
      <c r="T96" s="8">
        <v>1992</v>
      </c>
      <c r="U96" s="8">
        <f t="shared" si="17"/>
        <v>30</v>
      </c>
      <c r="V96" s="7">
        <v>33664</v>
      </c>
      <c r="W96" t="s">
        <v>10335</v>
      </c>
      <c r="X96" s="2">
        <v>1.1579999999999999</v>
      </c>
      <c r="Y96" s="6">
        <f t="shared" si="14"/>
        <v>3.0912148634579962E-2</v>
      </c>
      <c r="AA96">
        <v>1668595</v>
      </c>
      <c r="AB96">
        <v>14223</v>
      </c>
      <c r="AC96">
        <v>15735079</v>
      </c>
      <c r="AD96" t="s">
        <v>4</v>
      </c>
      <c r="AE96">
        <v>31</v>
      </c>
      <c r="AF96">
        <v>3</v>
      </c>
      <c r="AH96" t="s">
        <v>10563</v>
      </c>
      <c r="AI96" t="s">
        <v>10562</v>
      </c>
      <c r="AJ96" t="s">
        <v>10561</v>
      </c>
      <c r="AK96" t="s">
        <v>10560</v>
      </c>
      <c r="AL96">
        <v>93</v>
      </c>
      <c r="AM96" s="5">
        <f t="shared" si="18"/>
        <v>3.1</v>
      </c>
      <c r="AN96" s="4">
        <f t="shared" si="15"/>
        <v>4.6951912154486941E-3</v>
      </c>
      <c r="AO96" s="3"/>
      <c r="AP96">
        <v>0</v>
      </c>
      <c r="AR96" t="s">
        <v>0</v>
      </c>
      <c r="AT96" s="2">
        <v>3.573</v>
      </c>
      <c r="AU96" s="1">
        <f t="shared" si="19"/>
        <v>2.3047061408840581</v>
      </c>
      <c r="AV96" s="1">
        <f t="shared" si="20"/>
        <v>1.7803669925014327</v>
      </c>
      <c r="AW96" s="1">
        <f t="shared" si="21"/>
        <v>1.2560278441188073</v>
      </c>
    </row>
    <row r="97" spans="1:49" x14ac:dyDescent="0.2">
      <c r="A97">
        <v>95</v>
      </c>
      <c r="B97" t="s">
        <v>10559</v>
      </c>
      <c r="C97" t="s">
        <v>10558</v>
      </c>
      <c r="D97" t="s">
        <v>10557</v>
      </c>
      <c r="F97" t="s">
        <v>10556</v>
      </c>
      <c r="G97" t="s">
        <v>12</v>
      </c>
      <c r="H97" t="s">
        <v>11</v>
      </c>
      <c r="I97" t="s">
        <v>10555</v>
      </c>
      <c r="J97">
        <v>60016849</v>
      </c>
      <c r="K97" t="s">
        <v>2513</v>
      </c>
      <c r="L97" t="s">
        <v>2512</v>
      </c>
      <c r="M97" t="s">
        <v>393</v>
      </c>
      <c r="N97">
        <v>3</v>
      </c>
      <c r="O97" t="s">
        <v>10554</v>
      </c>
      <c r="P97" t="s">
        <v>10553</v>
      </c>
      <c r="Q97" t="s">
        <v>10552</v>
      </c>
      <c r="R97" s="7">
        <v>33662</v>
      </c>
      <c r="S97" s="8">
        <f t="shared" si="16"/>
        <v>1992</v>
      </c>
      <c r="T97" s="8">
        <v>1992</v>
      </c>
      <c r="U97" s="8">
        <f t="shared" si="17"/>
        <v>30</v>
      </c>
      <c r="V97" s="7">
        <v>33662</v>
      </c>
      <c r="W97" t="s">
        <v>10551</v>
      </c>
      <c r="X97" s="2" t="s">
        <v>16</v>
      </c>
      <c r="Y97" s="6" t="e">
        <f t="shared" si="14"/>
        <v>#VALUE!</v>
      </c>
      <c r="AA97">
        <v>10106030</v>
      </c>
      <c r="AB97">
        <v>26966</v>
      </c>
      <c r="AD97" t="s">
        <v>4</v>
      </c>
      <c r="AE97">
        <v>63</v>
      </c>
      <c r="AF97">
        <v>3</v>
      </c>
      <c r="AH97" t="s">
        <v>10550</v>
      </c>
      <c r="AI97" t="s">
        <v>10549</v>
      </c>
      <c r="AK97" t="s">
        <v>10548</v>
      </c>
      <c r="AL97">
        <v>11</v>
      </c>
      <c r="AM97" s="5">
        <f t="shared" si="18"/>
        <v>0.36666666666666664</v>
      </c>
      <c r="AN97" s="4">
        <f t="shared" si="15"/>
        <v>5.5534519752618958E-4</v>
      </c>
      <c r="AO97" s="3"/>
      <c r="AP97">
        <v>0</v>
      </c>
      <c r="AQ97" t="s">
        <v>571</v>
      </c>
      <c r="AR97" t="s">
        <v>0</v>
      </c>
      <c r="AS97" t="s">
        <v>570</v>
      </c>
      <c r="AT97" s="2" t="s">
        <v>16</v>
      </c>
      <c r="AU97" s="1" t="e">
        <f t="shared" si="19"/>
        <v>#VALUE!</v>
      </c>
      <c r="AV97" s="1" t="e">
        <f t="shared" si="20"/>
        <v>#VALUE!</v>
      </c>
      <c r="AW97" s="1" t="e">
        <f t="shared" si="21"/>
        <v>#VALUE!</v>
      </c>
    </row>
    <row r="98" spans="1:49" x14ac:dyDescent="0.2">
      <c r="A98">
        <v>96</v>
      </c>
      <c r="B98" t="s">
        <v>10547</v>
      </c>
      <c r="C98" t="s">
        <v>10546</v>
      </c>
      <c r="D98">
        <v>3267092851848</v>
      </c>
      <c r="F98" t="s">
        <v>10545</v>
      </c>
      <c r="G98" t="s">
        <v>12</v>
      </c>
      <c r="H98" t="s">
        <v>11</v>
      </c>
      <c r="I98" t="s">
        <v>10544</v>
      </c>
      <c r="J98">
        <v>60004923</v>
      </c>
      <c r="K98" t="s">
        <v>10543</v>
      </c>
      <c r="L98" t="s">
        <v>10542</v>
      </c>
      <c r="M98" t="s">
        <v>7</v>
      </c>
      <c r="N98">
        <v>3</v>
      </c>
      <c r="O98" t="s">
        <v>10541</v>
      </c>
      <c r="P98" t="s">
        <v>10540</v>
      </c>
      <c r="Q98" t="s">
        <v>10539</v>
      </c>
      <c r="R98" s="7">
        <v>33659</v>
      </c>
      <c r="S98" s="8">
        <f t="shared" si="16"/>
        <v>1992</v>
      </c>
      <c r="T98" s="8">
        <v>1992</v>
      </c>
      <c r="U98" s="8">
        <f t="shared" si="17"/>
        <v>30</v>
      </c>
      <c r="V98" s="7">
        <v>33659</v>
      </c>
      <c r="W98" t="s">
        <v>10538</v>
      </c>
      <c r="X98" s="2">
        <v>1.403</v>
      </c>
      <c r="Y98" s="6">
        <f t="shared" si="14"/>
        <v>3.7452283708390058E-2</v>
      </c>
      <c r="AA98">
        <v>32670</v>
      </c>
      <c r="AB98">
        <v>23911</v>
      </c>
      <c r="AD98" t="s">
        <v>4</v>
      </c>
      <c r="AE98">
        <v>257</v>
      </c>
      <c r="AF98">
        <v>2</v>
      </c>
      <c r="AH98" t="s">
        <v>10537</v>
      </c>
      <c r="AI98" t="s">
        <v>10536</v>
      </c>
      <c r="AJ98" t="s">
        <v>10535</v>
      </c>
      <c r="AK98" t="s">
        <v>10534</v>
      </c>
      <c r="AL98">
        <v>5</v>
      </c>
      <c r="AM98" s="5">
        <f t="shared" si="18"/>
        <v>0.16666666666666666</v>
      </c>
      <c r="AN98" s="4">
        <f t="shared" si="15"/>
        <v>2.5242963523917705E-4</v>
      </c>
      <c r="AO98" s="3"/>
      <c r="AP98">
        <v>0</v>
      </c>
      <c r="AR98" t="s">
        <v>0</v>
      </c>
      <c r="AT98" s="2">
        <v>6.5579999999999998</v>
      </c>
      <c r="AU98" s="1">
        <f t="shared" si="19"/>
        <v>2.6292327486444793</v>
      </c>
      <c r="AV98" s="1">
        <f t="shared" si="20"/>
        <v>1.8852356671814618</v>
      </c>
      <c r="AW98" s="1">
        <f t="shared" si="21"/>
        <v>1.1412385857184439</v>
      </c>
    </row>
    <row r="99" spans="1:49" x14ac:dyDescent="0.2">
      <c r="A99">
        <v>97</v>
      </c>
      <c r="B99" t="s">
        <v>10533</v>
      </c>
      <c r="C99" t="s">
        <v>10532</v>
      </c>
      <c r="D99" t="s">
        <v>10531</v>
      </c>
      <c r="F99" t="s">
        <v>10530</v>
      </c>
      <c r="G99" t="s">
        <v>12</v>
      </c>
      <c r="H99" t="s">
        <v>11</v>
      </c>
      <c r="I99" t="s">
        <v>10529</v>
      </c>
      <c r="J99">
        <v>60030318</v>
      </c>
      <c r="K99" t="s">
        <v>8918</v>
      </c>
      <c r="L99" t="s">
        <v>3485</v>
      </c>
      <c r="M99" t="s">
        <v>338</v>
      </c>
      <c r="N99">
        <v>3</v>
      </c>
      <c r="O99" t="s">
        <v>10528</v>
      </c>
      <c r="P99" t="s">
        <v>10527</v>
      </c>
      <c r="Q99" t="s">
        <v>10526</v>
      </c>
      <c r="R99" s="7">
        <v>33655</v>
      </c>
      <c r="S99" s="8">
        <f t="shared" si="16"/>
        <v>1992</v>
      </c>
      <c r="T99" s="8">
        <v>1992</v>
      </c>
      <c r="U99" s="8">
        <f t="shared" si="17"/>
        <v>30</v>
      </c>
      <c r="V99" s="7">
        <v>33655</v>
      </c>
      <c r="W99" t="s">
        <v>10244</v>
      </c>
      <c r="X99" s="2">
        <v>1.59</v>
      </c>
      <c r="Y99" s="6">
        <f t="shared" si="14"/>
        <v>4.2444141907583888E-2</v>
      </c>
      <c r="AA99">
        <v>52728</v>
      </c>
      <c r="AB99">
        <v>16791</v>
      </c>
      <c r="AD99" t="s">
        <v>4</v>
      </c>
      <c r="AE99">
        <v>1099</v>
      </c>
      <c r="AF99">
        <v>2</v>
      </c>
      <c r="AH99" t="s">
        <v>10525</v>
      </c>
      <c r="AI99" t="s">
        <v>10524</v>
      </c>
      <c r="AJ99" t="s">
        <v>10523</v>
      </c>
      <c r="AK99" t="s">
        <v>10522</v>
      </c>
      <c r="AL99">
        <v>34</v>
      </c>
      <c r="AM99" s="5">
        <f t="shared" si="18"/>
        <v>1.1333333333333333</v>
      </c>
      <c r="AN99" s="4">
        <f t="shared" si="15"/>
        <v>1.7165215196264041E-3</v>
      </c>
      <c r="AO99" s="3"/>
      <c r="AP99">
        <v>0</v>
      </c>
      <c r="AR99" t="s">
        <v>0</v>
      </c>
      <c r="AT99" s="2" t="s">
        <v>16</v>
      </c>
      <c r="AU99" s="1">
        <f t="shared" si="19"/>
        <v>3.0225855791196641</v>
      </c>
      <c r="AV99" s="1">
        <f t="shared" si="20"/>
        <v>2.2080331713605146</v>
      </c>
      <c r="AW99" s="1">
        <f t="shared" si="21"/>
        <v>1.3934807636013649</v>
      </c>
    </row>
    <row r="100" spans="1:49" x14ac:dyDescent="0.2">
      <c r="A100">
        <v>98</v>
      </c>
      <c r="B100" t="s">
        <v>10521</v>
      </c>
      <c r="C100" t="s">
        <v>10520</v>
      </c>
      <c r="D100" t="s">
        <v>10519</v>
      </c>
      <c r="F100" t="s">
        <v>10518</v>
      </c>
      <c r="G100" t="s">
        <v>12</v>
      </c>
      <c r="H100" t="s">
        <v>11</v>
      </c>
      <c r="I100" t="s">
        <v>10517</v>
      </c>
      <c r="J100">
        <v>60003878</v>
      </c>
      <c r="K100" t="s">
        <v>10325</v>
      </c>
      <c r="L100" t="s">
        <v>5767</v>
      </c>
      <c r="M100" t="s">
        <v>273</v>
      </c>
      <c r="N100">
        <v>5</v>
      </c>
      <c r="O100" t="s">
        <v>10516</v>
      </c>
      <c r="P100" t="s">
        <v>10515</v>
      </c>
      <c r="Q100" t="s">
        <v>10514</v>
      </c>
      <c r="R100" s="7">
        <v>33655</v>
      </c>
      <c r="S100" s="8">
        <f t="shared" si="16"/>
        <v>1992</v>
      </c>
      <c r="T100" s="8">
        <v>1992</v>
      </c>
      <c r="U100" s="8">
        <f t="shared" si="17"/>
        <v>30</v>
      </c>
      <c r="V100" s="7">
        <v>33655</v>
      </c>
      <c r="W100" t="s">
        <v>10244</v>
      </c>
      <c r="X100" s="2">
        <v>1.59</v>
      </c>
      <c r="Y100" s="6">
        <f t="shared" si="14"/>
        <v>4.2444141907583888E-2</v>
      </c>
      <c r="AA100">
        <v>52728</v>
      </c>
      <c r="AB100">
        <v>16791</v>
      </c>
      <c r="AD100" t="s">
        <v>4</v>
      </c>
      <c r="AE100">
        <v>1099</v>
      </c>
      <c r="AF100">
        <v>2</v>
      </c>
      <c r="AH100" t="s">
        <v>10513</v>
      </c>
      <c r="AI100" t="s">
        <v>10512</v>
      </c>
      <c r="AJ100" t="s">
        <v>10511</v>
      </c>
      <c r="AK100" t="s">
        <v>10510</v>
      </c>
      <c r="AL100">
        <v>41</v>
      </c>
      <c r="AM100" s="5">
        <f t="shared" si="18"/>
        <v>1.3666666666666667</v>
      </c>
      <c r="AN100" s="4">
        <f t="shared" si="15"/>
        <v>2.0699230089612523E-3</v>
      </c>
      <c r="AO100" s="3"/>
      <c r="AP100">
        <v>0</v>
      </c>
      <c r="AQ100" t="s">
        <v>10509</v>
      </c>
      <c r="AR100" t="s">
        <v>0</v>
      </c>
      <c r="AS100" t="s">
        <v>10508</v>
      </c>
      <c r="AT100" s="2" t="s">
        <v>16</v>
      </c>
      <c r="AU100" s="1">
        <f t="shared" si="19"/>
        <v>3.0331876237997095</v>
      </c>
      <c r="AV100" s="1">
        <f t="shared" si="20"/>
        <v>2.225703245827257</v>
      </c>
      <c r="AW100" s="1">
        <f t="shared" si="21"/>
        <v>1.4182188678548042</v>
      </c>
    </row>
    <row r="101" spans="1:49" x14ac:dyDescent="0.2">
      <c r="A101">
        <v>99</v>
      </c>
      <c r="B101" t="s">
        <v>10507</v>
      </c>
      <c r="C101" t="s">
        <v>10506</v>
      </c>
      <c r="D101" t="s">
        <v>10505</v>
      </c>
      <c r="F101" t="s">
        <v>10504</v>
      </c>
      <c r="G101" t="s">
        <v>12</v>
      </c>
      <c r="H101" t="s">
        <v>11</v>
      </c>
      <c r="I101" t="s">
        <v>10503</v>
      </c>
      <c r="J101" t="s">
        <v>10502</v>
      </c>
      <c r="K101" t="s">
        <v>10501</v>
      </c>
      <c r="L101" t="s">
        <v>10500</v>
      </c>
      <c r="M101" t="s">
        <v>10499</v>
      </c>
      <c r="N101">
        <v>5</v>
      </c>
      <c r="O101" t="s">
        <v>10498</v>
      </c>
      <c r="P101" t="s">
        <v>10497</v>
      </c>
      <c r="Q101" t="s">
        <v>10496</v>
      </c>
      <c r="R101" s="7">
        <v>33655</v>
      </c>
      <c r="S101" s="8">
        <f t="shared" si="16"/>
        <v>1992</v>
      </c>
      <c r="T101" s="8">
        <v>1992</v>
      </c>
      <c r="U101" s="8">
        <f t="shared" si="17"/>
        <v>30</v>
      </c>
      <c r="V101" s="7">
        <v>33655</v>
      </c>
      <c r="W101" t="s">
        <v>10244</v>
      </c>
      <c r="X101" s="2">
        <v>1.59</v>
      </c>
      <c r="Y101" s="6">
        <f t="shared" si="14"/>
        <v>4.2444141907583888E-2</v>
      </c>
      <c r="AA101">
        <v>52728</v>
      </c>
      <c r="AB101">
        <v>16791</v>
      </c>
      <c r="AD101" t="s">
        <v>4</v>
      </c>
      <c r="AE101">
        <v>1099</v>
      </c>
      <c r="AF101">
        <v>2</v>
      </c>
      <c r="AH101" t="s">
        <v>10495</v>
      </c>
      <c r="AI101" t="s">
        <v>10494</v>
      </c>
      <c r="AJ101" t="s">
        <v>10493</v>
      </c>
      <c r="AK101" t="s">
        <v>10492</v>
      </c>
      <c r="AL101">
        <v>23</v>
      </c>
      <c r="AM101" s="5">
        <f t="shared" si="18"/>
        <v>0.76666666666666672</v>
      </c>
      <c r="AN101" s="4">
        <f t="shared" si="15"/>
        <v>1.1611763221002146E-3</v>
      </c>
      <c r="AO101" s="3"/>
      <c r="AP101">
        <v>0</v>
      </c>
      <c r="AQ101" t="s">
        <v>1083</v>
      </c>
      <c r="AR101" t="s">
        <v>0</v>
      </c>
      <c r="AS101" t="s">
        <v>1082</v>
      </c>
      <c r="AT101" s="2" t="s">
        <v>16</v>
      </c>
      <c r="AU101" s="1">
        <f t="shared" si="19"/>
        <v>3.0059252231938784</v>
      </c>
      <c r="AV101" s="1">
        <f t="shared" si="20"/>
        <v>2.1802659114842049</v>
      </c>
      <c r="AW101" s="1">
        <f t="shared" si="21"/>
        <v>1.3546065997745316</v>
      </c>
    </row>
    <row r="102" spans="1:49" x14ac:dyDescent="0.2">
      <c r="A102">
        <v>100</v>
      </c>
      <c r="B102" t="s">
        <v>10491</v>
      </c>
      <c r="C102" t="s">
        <v>10490</v>
      </c>
      <c r="D102" t="s">
        <v>10489</v>
      </c>
      <c r="F102" t="s">
        <v>10488</v>
      </c>
      <c r="G102" t="s">
        <v>12</v>
      </c>
      <c r="H102" t="s">
        <v>11</v>
      </c>
      <c r="I102" t="s">
        <v>10487</v>
      </c>
      <c r="J102" t="s">
        <v>10486</v>
      </c>
      <c r="K102" t="s">
        <v>10485</v>
      </c>
      <c r="L102" t="s">
        <v>10484</v>
      </c>
      <c r="M102" t="s">
        <v>10483</v>
      </c>
      <c r="N102">
        <v>12</v>
      </c>
      <c r="O102" t="s">
        <v>10482</v>
      </c>
      <c r="P102" t="s">
        <v>10481</v>
      </c>
      <c r="Q102" t="s">
        <v>10480</v>
      </c>
      <c r="R102" s="7">
        <v>33649</v>
      </c>
      <c r="S102" s="8">
        <f t="shared" si="16"/>
        <v>1992</v>
      </c>
      <c r="T102" s="8">
        <v>1992</v>
      </c>
      <c r="U102" s="8">
        <f t="shared" si="17"/>
        <v>30</v>
      </c>
      <c r="V102" s="7">
        <v>33649</v>
      </c>
      <c r="W102" t="s">
        <v>10479</v>
      </c>
      <c r="X102" s="2">
        <v>1.7010000000000001</v>
      </c>
      <c r="Y102" s="6">
        <f t="shared" si="14"/>
        <v>4.5407223512452952E-2</v>
      </c>
      <c r="AA102">
        <v>401951</v>
      </c>
      <c r="AB102">
        <v>28990</v>
      </c>
      <c r="AD102" t="s">
        <v>4</v>
      </c>
      <c r="AE102">
        <v>202</v>
      </c>
      <c r="AF102">
        <v>1</v>
      </c>
      <c r="AH102" t="s">
        <v>10478</v>
      </c>
      <c r="AI102" t="s">
        <v>10477</v>
      </c>
      <c r="AK102" t="s">
        <v>10476</v>
      </c>
      <c r="AL102">
        <v>21</v>
      </c>
      <c r="AM102" s="5">
        <f t="shared" si="18"/>
        <v>0.7</v>
      </c>
      <c r="AN102" s="4">
        <f t="shared" si="15"/>
        <v>1.0602044680045437E-3</v>
      </c>
      <c r="AO102" s="3"/>
      <c r="AP102">
        <v>0</v>
      </c>
      <c r="AR102" t="s">
        <v>0</v>
      </c>
      <c r="AS102" t="s">
        <v>10475</v>
      </c>
      <c r="AT102" s="2">
        <v>3.9329999999999998</v>
      </c>
      <c r="AU102" s="1">
        <f t="shared" si="19"/>
        <v>3.2103117799118426</v>
      </c>
      <c r="AV102" s="1">
        <f t="shared" si="20"/>
        <v>2.323371399022875</v>
      </c>
      <c r="AW102" s="1">
        <f t="shared" si="21"/>
        <v>1.4364310181339066</v>
      </c>
    </row>
    <row r="103" spans="1:49" x14ac:dyDescent="0.2">
      <c r="A103">
        <v>101</v>
      </c>
      <c r="B103" t="s">
        <v>10474</v>
      </c>
      <c r="C103" t="s">
        <v>10473</v>
      </c>
      <c r="F103" t="s">
        <v>10472</v>
      </c>
      <c r="G103" t="s">
        <v>12</v>
      </c>
      <c r="H103" t="s">
        <v>11</v>
      </c>
      <c r="I103" t="s">
        <v>10471</v>
      </c>
      <c r="N103">
        <v>3</v>
      </c>
      <c r="O103" t="s">
        <v>10470</v>
      </c>
      <c r="P103" t="s">
        <v>10469</v>
      </c>
      <c r="Q103" t="s">
        <v>1191</v>
      </c>
      <c r="R103" s="7">
        <v>33635</v>
      </c>
      <c r="S103" s="8">
        <f t="shared" si="16"/>
        <v>1992</v>
      </c>
      <c r="T103" s="8">
        <v>1992</v>
      </c>
      <c r="U103" s="8">
        <f t="shared" si="17"/>
        <v>30</v>
      </c>
      <c r="V103" s="7">
        <v>33635</v>
      </c>
      <c r="W103" t="s">
        <v>10468</v>
      </c>
      <c r="X103" s="2">
        <v>0.318</v>
      </c>
      <c r="Y103" s="6">
        <f t="shared" si="14"/>
        <v>8.4888283815167786E-3</v>
      </c>
      <c r="AA103">
        <v>338443</v>
      </c>
      <c r="AB103">
        <v>27160</v>
      </c>
      <c r="AC103">
        <v>15739120</v>
      </c>
      <c r="AD103" t="s">
        <v>4</v>
      </c>
      <c r="AE103">
        <v>35</v>
      </c>
      <c r="AF103">
        <v>2</v>
      </c>
      <c r="AH103">
        <v>113</v>
      </c>
      <c r="AL103">
        <v>0</v>
      </c>
      <c r="AM103" s="5">
        <f t="shared" si="18"/>
        <v>0</v>
      </c>
      <c r="AN103" s="4">
        <f t="shared" si="15"/>
        <v>0</v>
      </c>
      <c r="AO103" s="3"/>
      <c r="AP103">
        <v>0</v>
      </c>
      <c r="AR103" t="s">
        <v>0</v>
      </c>
      <c r="AT103" s="2">
        <v>0.77</v>
      </c>
      <c r="AU103" s="1">
        <f t="shared" si="19"/>
        <v>0.59421798670617454</v>
      </c>
      <c r="AV103" s="1">
        <f t="shared" si="20"/>
        <v>0.42444141907583893</v>
      </c>
      <c r="AW103" s="1">
        <f t="shared" si="21"/>
        <v>0.25466485144550338</v>
      </c>
    </row>
    <row r="104" spans="1:49" x14ac:dyDescent="0.2">
      <c r="A104">
        <v>102</v>
      </c>
      <c r="B104" t="s">
        <v>10467</v>
      </c>
      <c r="C104" t="s">
        <v>10466</v>
      </c>
      <c r="F104" t="s">
        <v>10465</v>
      </c>
      <c r="G104" t="s">
        <v>12</v>
      </c>
      <c r="H104" t="s">
        <v>11</v>
      </c>
      <c r="I104" t="s">
        <v>10464</v>
      </c>
      <c r="J104" t="s">
        <v>10463</v>
      </c>
      <c r="K104" t="s">
        <v>10462</v>
      </c>
      <c r="L104" t="s">
        <v>10461</v>
      </c>
      <c r="M104" t="s">
        <v>10460</v>
      </c>
      <c r="N104">
        <v>4</v>
      </c>
      <c r="O104" t="s">
        <v>10459</v>
      </c>
      <c r="P104" t="s">
        <v>10458</v>
      </c>
      <c r="Q104" t="s">
        <v>10457</v>
      </c>
      <c r="R104" s="7">
        <v>33635</v>
      </c>
      <c r="S104" s="8">
        <f t="shared" si="16"/>
        <v>1992</v>
      </c>
      <c r="T104" s="8">
        <v>1992</v>
      </c>
      <c r="U104" s="8">
        <f t="shared" si="17"/>
        <v>30</v>
      </c>
      <c r="V104" s="7">
        <v>33635</v>
      </c>
      <c r="W104" t="s">
        <v>10456</v>
      </c>
      <c r="X104" s="2">
        <v>0.39800000000000002</v>
      </c>
      <c r="Y104" s="6">
        <f t="shared" si="14"/>
        <v>1.0624382691332319E-2</v>
      </c>
      <c r="AA104" t="s">
        <v>10455</v>
      </c>
      <c r="AB104">
        <v>26771</v>
      </c>
      <c r="AC104" t="s">
        <v>10454</v>
      </c>
      <c r="AD104" t="s">
        <v>4</v>
      </c>
      <c r="AE104">
        <v>188</v>
      </c>
      <c r="AF104">
        <v>2</v>
      </c>
      <c r="AH104" t="s">
        <v>10453</v>
      </c>
      <c r="AI104" t="s">
        <v>10452</v>
      </c>
      <c r="AK104" t="s">
        <v>10451</v>
      </c>
      <c r="AL104">
        <v>5</v>
      </c>
      <c r="AM104" s="5">
        <f t="shared" si="18"/>
        <v>0.16666666666666666</v>
      </c>
      <c r="AN104" s="4">
        <f t="shared" si="15"/>
        <v>2.5242963523917705E-4</v>
      </c>
      <c r="AO104" s="3"/>
      <c r="AP104">
        <v>0</v>
      </c>
      <c r="AR104" t="s">
        <v>0</v>
      </c>
      <c r="AT104" s="2">
        <v>1.83</v>
      </c>
      <c r="AU104" s="1">
        <f t="shared" si="19"/>
        <v>0.75127967745043756</v>
      </c>
      <c r="AV104" s="1">
        <f t="shared" si="20"/>
        <v>0.54384061632857483</v>
      </c>
      <c r="AW104" s="1">
        <f t="shared" si="21"/>
        <v>0.33640155520671194</v>
      </c>
    </row>
    <row r="105" spans="1:49" x14ac:dyDescent="0.2">
      <c r="A105">
        <v>103</v>
      </c>
      <c r="B105" t="s">
        <v>10450</v>
      </c>
      <c r="F105" t="s">
        <v>10449</v>
      </c>
      <c r="G105" t="s">
        <v>12</v>
      </c>
      <c r="H105" t="s">
        <v>11</v>
      </c>
      <c r="I105" t="s">
        <v>10448</v>
      </c>
      <c r="J105">
        <v>101216162</v>
      </c>
      <c r="K105" t="s">
        <v>10447</v>
      </c>
      <c r="M105" t="s">
        <v>7</v>
      </c>
      <c r="N105">
        <v>1</v>
      </c>
      <c r="O105" t="s">
        <v>10446</v>
      </c>
      <c r="P105">
        <v>7202643361</v>
      </c>
      <c r="Q105">
        <v>101216162</v>
      </c>
      <c r="R105" s="7">
        <v>33635</v>
      </c>
      <c r="S105" s="8">
        <f t="shared" si="16"/>
        <v>1992</v>
      </c>
      <c r="T105" s="8">
        <v>1992</v>
      </c>
      <c r="U105" s="8">
        <f t="shared" si="17"/>
        <v>30</v>
      </c>
      <c r="V105" s="7">
        <v>33635</v>
      </c>
      <c r="W105" t="s">
        <v>793</v>
      </c>
      <c r="X105" s="2" t="s">
        <v>16</v>
      </c>
      <c r="Y105" s="6" t="e">
        <f t="shared" si="14"/>
        <v>#VALUE!</v>
      </c>
      <c r="AA105">
        <v>9248625</v>
      </c>
      <c r="AB105">
        <v>12897</v>
      </c>
      <c r="AD105" t="s">
        <v>4</v>
      </c>
      <c r="AE105">
        <v>9</v>
      </c>
      <c r="AF105" s="9">
        <v>44257</v>
      </c>
      <c r="AH105" t="s">
        <v>10445</v>
      </c>
      <c r="AI105" t="s">
        <v>10444</v>
      </c>
      <c r="AK105" t="s">
        <v>10443</v>
      </c>
      <c r="AL105">
        <v>0</v>
      </c>
      <c r="AM105" s="5">
        <f t="shared" si="18"/>
        <v>0</v>
      </c>
      <c r="AN105" s="4">
        <f t="shared" si="15"/>
        <v>0</v>
      </c>
      <c r="AO105" s="3"/>
      <c r="AP105">
        <v>0</v>
      </c>
      <c r="AR105" t="s">
        <v>0</v>
      </c>
      <c r="AT105" s="2" t="s">
        <v>16</v>
      </c>
      <c r="AU105" s="1" t="e">
        <f t="shared" si="19"/>
        <v>#VALUE!</v>
      </c>
      <c r="AV105" s="1" t="e">
        <f t="shared" si="20"/>
        <v>#VALUE!</v>
      </c>
      <c r="AW105" s="1" t="e">
        <f t="shared" si="21"/>
        <v>#VALUE!</v>
      </c>
    </row>
    <row r="106" spans="1:49" x14ac:dyDescent="0.2">
      <c r="A106">
        <v>104</v>
      </c>
      <c r="B106" t="s">
        <v>10442</v>
      </c>
      <c r="F106" t="s">
        <v>10441</v>
      </c>
      <c r="G106" t="s">
        <v>12</v>
      </c>
      <c r="H106" t="s">
        <v>11</v>
      </c>
      <c r="I106" t="s">
        <v>10440</v>
      </c>
      <c r="J106">
        <v>60068815</v>
      </c>
      <c r="K106" t="s">
        <v>10439</v>
      </c>
      <c r="L106" t="s">
        <v>10438</v>
      </c>
      <c r="M106" t="s">
        <v>10437</v>
      </c>
      <c r="N106">
        <v>2</v>
      </c>
      <c r="O106" t="s">
        <v>10436</v>
      </c>
      <c r="P106" t="s">
        <v>10435</v>
      </c>
      <c r="Q106" t="s">
        <v>10434</v>
      </c>
      <c r="R106" s="7">
        <v>33635</v>
      </c>
      <c r="S106" s="8">
        <f t="shared" si="16"/>
        <v>1992</v>
      </c>
      <c r="T106" s="8">
        <v>1992</v>
      </c>
      <c r="U106" s="8">
        <f t="shared" si="17"/>
        <v>30</v>
      </c>
      <c r="V106" s="7">
        <v>33635</v>
      </c>
      <c r="W106" s="11" t="s">
        <v>2692</v>
      </c>
      <c r="X106" s="2">
        <v>2.383</v>
      </c>
      <c r="Y106" s="6">
        <f t="shared" si="14"/>
        <v>6.3612824003630442E-2</v>
      </c>
      <c r="AA106" t="s">
        <v>2691</v>
      </c>
      <c r="AB106">
        <v>101151</v>
      </c>
      <c r="AD106" t="s">
        <v>4</v>
      </c>
      <c r="AE106">
        <v>139</v>
      </c>
      <c r="AF106">
        <v>1</v>
      </c>
      <c r="AH106" t="s">
        <v>10433</v>
      </c>
      <c r="AI106" t="s">
        <v>10432</v>
      </c>
      <c r="AK106" t="s">
        <v>10431</v>
      </c>
      <c r="AL106">
        <v>15</v>
      </c>
      <c r="AM106" s="5">
        <f t="shared" si="18"/>
        <v>0.5</v>
      </c>
      <c r="AN106" s="4">
        <f t="shared" si="15"/>
        <v>7.572889057175312E-4</v>
      </c>
      <c r="AO106" s="3"/>
      <c r="AP106">
        <v>0</v>
      </c>
      <c r="AR106" t="s">
        <v>0</v>
      </c>
      <c r="AT106" s="2" t="s">
        <v>16</v>
      </c>
      <c r="AU106" s="1">
        <f t="shared" si="19"/>
        <v>4.4756163474256567</v>
      </c>
      <c r="AV106" s="1">
        <f t="shared" si="20"/>
        <v>3.218505645467399</v>
      </c>
      <c r="AW106" s="1">
        <f t="shared" si="21"/>
        <v>1.9613949435091407</v>
      </c>
    </row>
    <row r="107" spans="1:49" x14ac:dyDescent="0.2">
      <c r="A107">
        <v>105</v>
      </c>
      <c r="B107" t="s">
        <v>10430</v>
      </c>
      <c r="C107" t="s">
        <v>10429</v>
      </c>
      <c r="F107" t="s">
        <v>10428</v>
      </c>
      <c r="G107" t="s">
        <v>12</v>
      </c>
      <c r="H107" t="s">
        <v>11</v>
      </c>
      <c r="I107" t="s">
        <v>10427</v>
      </c>
      <c r="N107">
        <v>2</v>
      </c>
      <c r="O107" t="s">
        <v>10426</v>
      </c>
      <c r="P107" t="s">
        <v>10425</v>
      </c>
      <c r="Q107" t="s">
        <v>720</v>
      </c>
      <c r="R107" s="7">
        <v>33635</v>
      </c>
      <c r="S107" s="8">
        <f t="shared" si="16"/>
        <v>1992</v>
      </c>
      <c r="T107" s="8">
        <v>1992</v>
      </c>
      <c r="U107" s="8">
        <f t="shared" si="17"/>
        <v>30</v>
      </c>
      <c r="V107" s="7">
        <v>33635</v>
      </c>
      <c r="W107" t="s">
        <v>529</v>
      </c>
      <c r="X107" s="2">
        <v>0.65500000000000003</v>
      </c>
      <c r="Y107" s="6">
        <f t="shared" si="14"/>
        <v>1.7484850911614749E-2</v>
      </c>
      <c r="AA107">
        <v>189375</v>
      </c>
      <c r="AB107">
        <v>26051</v>
      </c>
      <c r="AD107" t="s">
        <v>4</v>
      </c>
      <c r="AE107">
        <v>34</v>
      </c>
      <c r="AF107">
        <v>1</v>
      </c>
      <c r="AH107" t="s">
        <v>10424</v>
      </c>
      <c r="AI107" t="s">
        <v>10423</v>
      </c>
      <c r="AK107" t="s">
        <v>10422</v>
      </c>
      <c r="AL107">
        <v>23</v>
      </c>
      <c r="AM107" s="5">
        <f t="shared" si="18"/>
        <v>0.76666666666666672</v>
      </c>
      <c r="AN107" s="4">
        <f t="shared" si="15"/>
        <v>1.1611763221002146E-3</v>
      </c>
      <c r="AO107" s="3"/>
      <c r="AP107">
        <v>0</v>
      </c>
      <c r="AR107" t="s">
        <v>0</v>
      </c>
      <c r="AT107" s="2" t="s">
        <v>16</v>
      </c>
      <c r="AU107" s="1">
        <f t="shared" si="19"/>
        <v>1.2587748534760388</v>
      </c>
      <c r="AV107" s="1">
        <f t="shared" si="20"/>
        <v>0.93230136168574818</v>
      </c>
      <c r="AW107" s="1">
        <f t="shared" si="21"/>
        <v>0.60582786989545756</v>
      </c>
    </row>
    <row r="108" spans="1:49" x14ac:dyDescent="0.2">
      <c r="A108">
        <v>106</v>
      </c>
      <c r="B108" t="s">
        <v>10421</v>
      </c>
      <c r="C108" t="s">
        <v>10420</v>
      </c>
      <c r="F108" t="s">
        <v>10419</v>
      </c>
      <c r="G108" t="s">
        <v>12</v>
      </c>
      <c r="H108" t="s">
        <v>11</v>
      </c>
      <c r="I108" t="s">
        <v>10418</v>
      </c>
      <c r="J108">
        <v>60010818</v>
      </c>
      <c r="K108" t="s">
        <v>3191</v>
      </c>
      <c r="L108" t="s">
        <v>3190</v>
      </c>
      <c r="M108" t="s">
        <v>856</v>
      </c>
      <c r="N108">
        <v>1</v>
      </c>
      <c r="O108" t="s">
        <v>10417</v>
      </c>
      <c r="P108">
        <v>6603599138</v>
      </c>
      <c r="Q108">
        <v>60010818</v>
      </c>
      <c r="R108" s="7">
        <v>33635</v>
      </c>
      <c r="S108" s="8">
        <f t="shared" si="16"/>
        <v>1992</v>
      </c>
      <c r="T108" s="8">
        <v>1992</v>
      </c>
      <c r="U108" s="8">
        <f t="shared" si="17"/>
        <v>30</v>
      </c>
      <c r="V108" s="7">
        <v>33635</v>
      </c>
      <c r="W108" t="s">
        <v>529</v>
      </c>
      <c r="X108" s="2">
        <v>0.65500000000000003</v>
      </c>
      <c r="Y108" s="6">
        <f t="shared" si="14"/>
        <v>1.7484850911614749E-2</v>
      </c>
      <c r="AA108">
        <v>189375</v>
      </c>
      <c r="AB108">
        <v>26051</v>
      </c>
      <c r="AD108" t="s">
        <v>4</v>
      </c>
      <c r="AE108">
        <v>34</v>
      </c>
      <c r="AF108">
        <v>1</v>
      </c>
      <c r="AH108" t="s">
        <v>10416</v>
      </c>
      <c r="AI108" t="s">
        <v>10415</v>
      </c>
      <c r="AK108" t="s">
        <v>10414</v>
      </c>
      <c r="AL108">
        <v>3</v>
      </c>
      <c r="AM108" s="5">
        <f t="shared" si="18"/>
        <v>0.1</v>
      </c>
      <c r="AN108" s="4">
        <f t="shared" si="15"/>
        <v>1.5145778114350627E-4</v>
      </c>
      <c r="AO108" s="3"/>
      <c r="AP108">
        <v>0</v>
      </c>
      <c r="AR108" t="s">
        <v>0</v>
      </c>
      <c r="AT108" s="2" t="s">
        <v>16</v>
      </c>
      <c r="AU108" s="1">
        <f t="shared" si="19"/>
        <v>1.2284832972473376</v>
      </c>
      <c r="AV108" s="1">
        <f t="shared" si="20"/>
        <v>0.88181543463791268</v>
      </c>
      <c r="AW108" s="1">
        <f t="shared" si="21"/>
        <v>0.53514757202848795</v>
      </c>
    </row>
    <row r="109" spans="1:49" x14ac:dyDescent="0.2">
      <c r="A109">
        <v>107</v>
      </c>
      <c r="B109" t="s">
        <v>10413</v>
      </c>
      <c r="C109" t="s">
        <v>10412</v>
      </c>
      <c r="F109" t="s">
        <v>10411</v>
      </c>
      <c r="G109" t="s">
        <v>12</v>
      </c>
      <c r="H109" t="s">
        <v>11</v>
      </c>
      <c r="I109" t="s">
        <v>2355</v>
      </c>
      <c r="N109">
        <v>2</v>
      </c>
      <c r="O109" t="s">
        <v>10410</v>
      </c>
      <c r="P109" t="s">
        <v>10409</v>
      </c>
      <c r="Q109" t="s">
        <v>720</v>
      </c>
      <c r="R109" s="7">
        <v>33635</v>
      </c>
      <c r="S109" s="8">
        <f t="shared" si="16"/>
        <v>1992</v>
      </c>
      <c r="T109" s="8">
        <v>1992</v>
      </c>
      <c r="U109" s="8">
        <f t="shared" si="17"/>
        <v>30</v>
      </c>
      <c r="V109" s="7">
        <v>33635</v>
      </c>
      <c r="W109" t="s">
        <v>529</v>
      </c>
      <c r="X109" s="2">
        <v>0.65500000000000003</v>
      </c>
      <c r="Y109" s="6">
        <f t="shared" si="14"/>
        <v>1.7484850911614749E-2</v>
      </c>
      <c r="AA109">
        <v>189375</v>
      </c>
      <c r="AB109">
        <v>26051</v>
      </c>
      <c r="AD109" t="s">
        <v>4</v>
      </c>
      <c r="AE109">
        <v>34</v>
      </c>
      <c r="AF109">
        <v>1</v>
      </c>
      <c r="AH109" s="9">
        <v>44256</v>
      </c>
      <c r="AI109" t="s">
        <v>10408</v>
      </c>
      <c r="AK109" t="s">
        <v>10407</v>
      </c>
      <c r="AL109">
        <v>27</v>
      </c>
      <c r="AM109" s="5">
        <f t="shared" si="18"/>
        <v>0.9</v>
      </c>
      <c r="AN109" s="4">
        <f t="shared" si="15"/>
        <v>1.3631200302915562E-3</v>
      </c>
      <c r="AO109" s="3"/>
      <c r="AP109">
        <v>0</v>
      </c>
      <c r="AR109" t="s">
        <v>0</v>
      </c>
      <c r="AT109" s="2" t="s">
        <v>16</v>
      </c>
      <c r="AU109" s="1">
        <f t="shared" si="19"/>
        <v>1.264833164721779</v>
      </c>
      <c r="AV109" s="1">
        <f t="shared" si="20"/>
        <v>0.94239854709531523</v>
      </c>
      <c r="AW109" s="1">
        <f t="shared" si="21"/>
        <v>0.61996392946885137</v>
      </c>
    </row>
    <row r="110" spans="1:49" x14ac:dyDescent="0.2">
      <c r="A110">
        <v>108</v>
      </c>
      <c r="B110" t="s">
        <v>10406</v>
      </c>
      <c r="F110" t="s">
        <v>10405</v>
      </c>
      <c r="G110" t="s">
        <v>12</v>
      </c>
      <c r="H110" t="s">
        <v>11</v>
      </c>
      <c r="I110" t="s">
        <v>10404</v>
      </c>
      <c r="N110">
        <v>2</v>
      </c>
      <c r="O110" t="s">
        <v>10403</v>
      </c>
      <c r="P110" t="s">
        <v>10402</v>
      </c>
      <c r="Q110" t="s">
        <v>720</v>
      </c>
      <c r="R110" s="7">
        <v>33635</v>
      </c>
      <c r="S110" s="8">
        <f t="shared" si="16"/>
        <v>1992</v>
      </c>
      <c r="T110" s="8">
        <v>1992</v>
      </c>
      <c r="U110" s="8">
        <f t="shared" si="17"/>
        <v>30</v>
      </c>
      <c r="V110" s="7">
        <v>33635</v>
      </c>
      <c r="W110" t="s">
        <v>590</v>
      </c>
      <c r="X110" s="2">
        <v>0.14099999999999999</v>
      </c>
      <c r="Y110" s="6">
        <f t="shared" si="14"/>
        <v>3.7639144710498915E-3</v>
      </c>
      <c r="AA110">
        <v>402508</v>
      </c>
      <c r="AB110">
        <v>20868</v>
      </c>
      <c r="AD110" t="s">
        <v>4</v>
      </c>
      <c r="AE110">
        <v>47</v>
      </c>
      <c r="AF110">
        <v>2</v>
      </c>
      <c r="AH110" t="s">
        <v>10401</v>
      </c>
      <c r="AI110" t="s">
        <v>10400</v>
      </c>
      <c r="AK110" t="s">
        <v>10399</v>
      </c>
      <c r="AL110">
        <v>0</v>
      </c>
      <c r="AM110" s="5">
        <f t="shared" si="18"/>
        <v>0</v>
      </c>
      <c r="AN110" s="4">
        <f t="shared" si="15"/>
        <v>0</v>
      </c>
      <c r="AO110" s="3"/>
      <c r="AP110">
        <v>0</v>
      </c>
      <c r="AR110" t="s">
        <v>0</v>
      </c>
      <c r="AT110" s="2" t="s">
        <v>16</v>
      </c>
      <c r="AU110" s="1">
        <f t="shared" si="19"/>
        <v>0.26347401297349238</v>
      </c>
      <c r="AV110" s="1">
        <f t="shared" si="20"/>
        <v>0.18819572355249459</v>
      </c>
      <c r="AW110" s="1">
        <f t="shared" si="21"/>
        <v>0.11291743413149673</v>
      </c>
    </row>
    <row r="111" spans="1:49" x14ac:dyDescent="0.2">
      <c r="A111">
        <v>109</v>
      </c>
      <c r="B111" t="s">
        <v>10398</v>
      </c>
      <c r="F111" t="s">
        <v>10397</v>
      </c>
      <c r="G111" t="s">
        <v>12</v>
      </c>
      <c r="H111" t="s">
        <v>11</v>
      </c>
      <c r="I111" t="s">
        <v>10396</v>
      </c>
      <c r="N111">
        <v>3</v>
      </c>
      <c r="O111" t="s">
        <v>10395</v>
      </c>
      <c r="P111" t="s">
        <v>10394</v>
      </c>
      <c r="Q111" t="s">
        <v>1191</v>
      </c>
      <c r="R111" s="7">
        <v>33635</v>
      </c>
      <c r="S111" s="8">
        <f t="shared" si="16"/>
        <v>1992</v>
      </c>
      <c r="T111" s="8">
        <v>1992</v>
      </c>
      <c r="U111" s="8">
        <f t="shared" si="17"/>
        <v>30</v>
      </c>
      <c r="V111" s="7">
        <v>33635</v>
      </c>
      <c r="W111" t="s">
        <v>590</v>
      </c>
      <c r="X111" s="2">
        <v>0.14099999999999999</v>
      </c>
      <c r="Y111" s="6">
        <f t="shared" si="14"/>
        <v>3.7639144710498915E-3</v>
      </c>
      <c r="AA111">
        <v>402508</v>
      </c>
      <c r="AB111">
        <v>20868</v>
      </c>
      <c r="AD111" t="s">
        <v>4</v>
      </c>
      <c r="AE111">
        <v>47</v>
      </c>
      <c r="AF111">
        <v>2</v>
      </c>
      <c r="AH111" t="s">
        <v>699</v>
      </c>
      <c r="AI111" t="s">
        <v>10393</v>
      </c>
      <c r="AK111" t="s">
        <v>10392</v>
      </c>
      <c r="AL111">
        <v>0</v>
      </c>
      <c r="AM111" s="5">
        <f t="shared" si="18"/>
        <v>0</v>
      </c>
      <c r="AN111" s="4">
        <f t="shared" si="15"/>
        <v>0</v>
      </c>
      <c r="AO111" s="3"/>
      <c r="AP111">
        <v>0</v>
      </c>
      <c r="AR111" t="s">
        <v>0</v>
      </c>
      <c r="AT111" s="2" t="s">
        <v>16</v>
      </c>
      <c r="AU111" s="1">
        <f t="shared" si="19"/>
        <v>0.26347401297349238</v>
      </c>
      <c r="AV111" s="1">
        <f t="shared" si="20"/>
        <v>0.18819572355249459</v>
      </c>
      <c r="AW111" s="1">
        <f t="shared" si="21"/>
        <v>0.11291743413149673</v>
      </c>
    </row>
    <row r="112" spans="1:49" x14ac:dyDescent="0.2">
      <c r="A112">
        <v>110</v>
      </c>
      <c r="B112" t="s">
        <v>10391</v>
      </c>
      <c r="F112" t="s">
        <v>10390</v>
      </c>
      <c r="G112" t="s">
        <v>12</v>
      </c>
      <c r="H112" t="s">
        <v>11</v>
      </c>
      <c r="I112" t="s">
        <v>10389</v>
      </c>
      <c r="N112">
        <v>4</v>
      </c>
      <c r="O112" t="s">
        <v>10388</v>
      </c>
      <c r="P112" t="s">
        <v>10387</v>
      </c>
      <c r="Q112" t="s">
        <v>1572</v>
      </c>
      <c r="R112" s="7">
        <v>33635</v>
      </c>
      <c r="S112" s="8">
        <f t="shared" si="16"/>
        <v>1992</v>
      </c>
      <c r="T112" s="8">
        <v>1992</v>
      </c>
      <c r="U112" s="8">
        <f t="shared" si="17"/>
        <v>30</v>
      </c>
      <c r="V112" s="7">
        <v>33635</v>
      </c>
      <c r="W112" t="s">
        <v>590</v>
      </c>
      <c r="X112" s="2">
        <v>0.14099999999999999</v>
      </c>
      <c r="Y112" s="6">
        <f t="shared" si="14"/>
        <v>3.7639144710498915E-3</v>
      </c>
      <c r="AA112">
        <v>402508</v>
      </c>
      <c r="AB112">
        <v>20868</v>
      </c>
      <c r="AD112" t="s">
        <v>4</v>
      </c>
      <c r="AE112">
        <v>47</v>
      </c>
      <c r="AF112">
        <v>2</v>
      </c>
      <c r="AH112" t="s">
        <v>10386</v>
      </c>
      <c r="AI112" t="s">
        <v>10385</v>
      </c>
      <c r="AK112" t="s">
        <v>10384</v>
      </c>
      <c r="AL112">
        <v>0</v>
      </c>
      <c r="AM112" s="5">
        <f t="shared" si="18"/>
        <v>0</v>
      </c>
      <c r="AN112" s="4">
        <f t="shared" si="15"/>
        <v>0</v>
      </c>
      <c r="AO112" s="3"/>
      <c r="AP112">
        <v>0</v>
      </c>
      <c r="AR112" t="s">
        <v>0</v>
      </c>
      <c r="AT112" s="2" t="s">
        <v>16</v>
      </c>
      <c r="AU112" s="1">
        <f t="shared" si="19"/>
        <v>0.26347401297349238</v>
      </c>
      <c r="AV112" s="1">
        <f t="shared" si="20"/>
        <v>0.18819572355249459</v>
      </c>
      <c r="AW112" s="1">
        <f t="shared" si="21"/>
        <v>0.11291743413149673</v>
      </c>
    </row>
    <row r="113" spans="1:49" x14ac:dyDescent="0.2">
      <c r="A113">
        <v>111</v>
      </c>
      <c r="B113" t="s">
        <v>10383</v>
      </c>
      <c r="C113" t="s">
        <v>10382</v>
      </c>
      <c r="E113">
        <v>1327128</v>
      </c>
      <c r="F113" t="s">
        <v>10381</v>
      </c>
      <c r="G113" t="s">
        <v>12</v>
      </c>
      <c r="H113" t="s">
        <v>11</v>
      </c>
      <c r="I113" t="s">
        <v>10380</v>
      </c>
      <c r="J113">
        <v>60029445</v>
      </c>
      <c r="K113" t="s">
        <v>3752</v>
      </c>
      <c r="L113" t="s">
        <v>3751</v>
      </c>
      <c r="M113" t="s">
        <v>7</v>
      </c>
      <c r="N113">
        <v>2</v>
      </c>
      <c r="O113" t="s">
        <v>10379</v>
      </c>
      <c r="P113" t="s">
        <v>10378</v>
      </c>
      <c r="Q113" t="s">
        <v>3748</v>
      </c>
      <c r="R113" s="7">
        <v>33635</v>
      </c>
      <c r="S113" s="8">
        <f t="shared" si="16"/>
        <v>1992</v>
      </c>
      <c r="T113" s="8">
        <v>1992</v>
      </c>
      <c r="U113" s="8">
        <f t="shared" si="17"/>
        <v>30</v>
      </c>
      <c r="V113" s="7">
        <v>33635</v>
      </c>
      <c r="W113" t="s">
        <v>1808</v>
      </c>
      <c r="X113" s="2">
        <v>1.43</v>
      </c>
      <c r="Y113" s="6">
        <f t="shared" si="14"/>
        <v>3.8173033287952803E-2</v>
      </c>
      <c r="AA113">
        <v>62960</v>
      </c>
      <c r="AB113">
        <v>16867</v>
      </c>
      <c r="AC113">
        <v>15204995</v>
      </c>
      <c r="AD113" t="s">
        <v>4</v>
      </c>
      <c r="AE113">
        <v>31</v>
      </c>
      <c r="AF113">
        <v>40</v>
      </c>
      <c r="AH113" t="s">
        <v>10377</v>
      </c>
      <c r="AI113" t="s">
        <v>10376</v>
      </c>
      <c r="AK113" t="s">
        <v>10375</v>
      </c>
      <c r="AL113">
        <v>71</v>
      </c>
      <c r="AM113" s="5">
        <f t="shared" si="18"/>
        <v>2.3666666666666667</v>
      </c>
      <c r="AN113" s="4">
        <f t="shared" si="15"/>
        <v>3.5845008203963147E-3</v>
      </c>
      <c r="AO113" s="3"/>
      <c r="AP113">
        <v>0</v>
      </c>
      <c r="AQ113" t="s">
        <v>1113</v>
      </c>
      <c r="AR113" t="s">
        <v>10374</v>
      </c>
      <c r="AS113" t="s">
        <v>1111</v>
      </c>
      <c r="AT113" s="2">
        <v>3.1619999999999999</v>
      </c>
      <c r="AU113" s="1">
        <f t="shared" si="19"/>
        <v>2.7796473547685858</v>
      </c>
      <c r="AV113" s="1">
        <f t="shared" si="20"/>
        <v>2.0878767054174561</v>
      </c>
      <c r="AW113" s="1">
        <f t="shared" si="21"/>
        <v>1.3961060560663261</v>
      </c>
    </row>
    <row r="114" spans="1:49" x14ac:dyDescent="0.2">
      <c r="A114">
        <v>112</v>
      </c>
      <c r="B114" t="s">
        <v>10373</v>
      </c>
      <c r="C114" t="s">
        <v>10372</v>
      </c>
      <c r="E114">
        <v>1510928</v>
      </c>
      <c r="F114" t="s">
        <v>10371</v>
      </c>
      <c r="G114" t="s">
        <v>12</v>
      </c>
      <c r="H114" t="s">
        <v>11</v>
      </c>
      <c r="I114" t="s">
        <v>10364</v>
      </c>
      <c r="J114">
        <v>60009731</v>
      </c>
      <c r="K114" t="s">
        <v>10363</v>
      </c>
      <c r="L114" t="s">
        <v>10362</v>
      </c>
      <c r="M114" t="s">
        <v>817</v>
      </c>
      <c r="N114">
        <v>2</v>
      </c>
      <c r="O114" t="s">
        <v>10361</v>
      </c>
      <c r="P114" t="s">
        <v>10360</v>
      </c>
      <c r="Q114" t="s">
        <v>10359</v>
      </c>
      <c r="R114" s="7">
        <v>33635</v>
      </c>
      <c r="S114" s="8">
        <f t="shared" si="16"/>
        <v>1992</v>
      </c>
      <c r="T114" s="8">
        <v>1992</v>
      </c>
      <c r="U114" s="8">
        <f t="shared" si="17"/>
        <v>30</v>
      </c>
      <c r="V114" s="7">
        <v>33635</v>
      </c>
      <c r="W114" t="s">
        <v>1808</v>
      </c>
      <c r="X114" s="2">
        <v>1.43</v>
      </c>
      <c r="Y114" s="6">
        <f t="shared" si="14"/>
        <v>3.8173033287952803E-2</v>
      </c>
      <c r="AA114">
        <v>62960</v>
      </c>
      <c r="AB114">
        <v>16867</v>
      </c>
      <c r="AC114">
        <v>15204995</v>
      </c>
      <c r="AD114" t="s">
        <v>4</v>
      </c>
      <c r="AE114">
        <v>31</v>
      </c>
      <c r="AF114">
        <v>32</v>
      </c>
      <c r="AH114" t="s">
        <v>10370</v>
      </c>
      <c r="AI114" t="s">
        <v>10369</v>
      </c>
      <c r="AK114" t="s">
        <v>10368</v>
      </c>
      <c r="AL114">
        <v>22</v>
      </c>
      <c r="AM114" s="5">
        <f t="shared" si="18"/>
        <v>0.73333333333333328</v>
      </c>
      <c r="AN114" s="4">
        <f t="shared" si="15"/>
        <v>1.1106903950523792E-3</v>
      </c>
      <c r="AO114" s="3"/>
      <c r="AP114">
        <v>0</v>
      </c>
      <c r="AR114" t="s">
        <v>0</v>
      </c>
      <c r="AT114" s="2">
        <v>3.1619999999999999</v>
      </c>
      <c r="AU114" s="1">
        <f t="shared" si="19"/>
        <v>2.7054330420082673</v>
      </c>
      <c r="AV114" s="1">
        <f t="shared" si="20"/>
        <v>1.964186184150259</v>
      </c>
      <c r="AW114" s="1">
        <f t="shared" si="21"/>
        <v>1.2229393262922506</v>
      </c>
    </row>
    <row r="115" spans="1:49" x14ac:dyDescent="0.2">
      <c r="A115">
        <v>113</v>
      </c>
      <c r="B115" t="s">
        <v>10367</v>
      </c>
      <c r="C115" t="s">
        <v>10366</v>
      </c>
      <c r="E115">
        <v>1510929</v>
      </c>
      <c r="F115" t="s">
        <v>10365</v>
      </c>
      <c r="G115" t="s">
        <v>12</v>
      </c>
      <c r="H115" t="s">
        <v>11</v>
      </c>
      <c r="I115" t="s">
        <v>10364</v>
      </c>
      <c r="J115">
        <v>60009731</v>
      </c>
      <c r="K115" t="s">
        <v>10363</v>
      </c>
      <c r="L115" t="s">
        <v>10362</v>
      </c>
      <c r="M115" t="s">
        <v>817</v>
      </c>
      <c r="N115">
        <v>2</v>
      </c>
      <c r="O115" t="s">
        <v>10361</v>
      </c>
      <c r="P115" t="s">
        <v>10360</v>
      </c>
      <c r="Q115" t="s">
        <v>10359</v>
      </c>
      <c r="R115" s="7">
        <v>33635</v>
      </c>
      <c r="S115" s="8">
        <f t="shared" si="16"/>
        <v>1992</v>
      </c>
      <c r="T115" s="8">
        <v>1992</v>
      </c>
      <c r="U115" s="8">
        <f t="shared" si="17"/>
        <v>30</v>
      </c>
      <c r="V115" s="7">
        <v>33635</v>
      </c>
      <c r="W115" t="s">
        <v>1808</v>
      </c>
      <c r="X115" s="2">
        <v>1.43</v>
      </c>
      <c r="Y115" s="6">
        <f t="shared" si="14"/>
        <v>3.8173033287952803E-2</v>
      </c>
      <c r="AA115">
        <v>62960</v>
      </c>
      <c r="AB115">
        <v>16867</v>
      </c>
      <c r="AC115">
        <v>15204995</v>
      </c>
      <c r="AD115" t="s">
        <v>4</v>
      </c>
      <c r="AE115">
        <v>31</v>
      </c>
      <c r="AF115">
        <v>32</v>
      </c>
      <c r="AH115" t="s">
        <v>10358</v>
      </c>
      <c r="AI115" t="s">
        <v>10357</v>
      </c>
      <c r="AK115" t="s">
        <v>10356</v>
      </c>
      <c r="AL115">
        <v>24</v>
      </c>
      <c r="AM115" s="5">
        <f t="shared" si="18"/>
        <v>0.8</v>
      </c>
      <c r="AN115" s="4">
        <f t="shared" si="15"/>
        <v>1.2116622491480501E-3</v>
      </c>
      <c r="AO115" s="3"/>
      <c r="AP115">
        <v>0</v>
      </c>
      <c r="AR115" t="s">
        <v>0</v>
      </c>
      <c r="AT115" s="2">
        <v>3.1619999999999999</v>
      </c>
      <c r="AU115" s="1">
        <f t="shared" si="19"/>
        <v>2.7084621976311376</v>
      </c>
      <c r="AV115" s="1">
        <f t="shared" si="20"/>
        <v>1.9692347768550427</v>
      </c>
      <c r="AW115" s="1">
        <f t="shared" si="21"/>
        <v>1.2300073560789475</v>
      </c>
    </row>
    <row r="116" spans="1:49" x14ac:dyDescent="0.2">
      <c r="A116">
        <v>114</v>
      </c>
      <c r="B116" t="s">
        <v>10355</v>
      </c>
      <c r="C116" t="s">
        <v>10354</v>
      </c>
      <c r="E116">
        <v>1420198</v>
      </c>
      <c r="F116" t="s">
        <v>10353</v>
      </c>
      <c r="G116" t="s">
        <v>12</v>
      </c>
      <c r="H116" t="s">
        <v>11</v>
      </c>
      <c r="I116" t="s">
        <v>10352</v>
      </c>
      <c r="J116" t="s">
        <v>10351</v>
      </c>
      <c r="K116" t="s">
        <v>10350</v>
      </c>
      <c r="L116" t="s">
        <v>10349</v>
      </c>
      <c r="M116" t="s">
        <v>125</v>
      </c>
      <c r="N116">
        <v>5</v>
      </c>
      <c r="O116" t="s">
        <v>10348</v>
      </c>
      <c r="P116" t="s">
        <v>10347</v>
      </c>
      <c r="Q116" t="s">
        <v>10346</v>
      </c>
      <c r="R116" s="7">
        <v>33635</v>
      </c>
      <c r="S116" s="8">
        <f t="shared" si="16"/>
        <v>1992</v>
      </c>
      <c r="T116" s="8">
        <v>1992</v>
      </c>
      <c r="U116" s="8">
        <f t="shared" si="17"/>
        <v>30</v>
      </c>
      <c r="V116" s="7">
        <v>33635</v>
      </c>
      <c r="W116" t="s">
        <v>1808</v>
      </c>
      <c r="X116" s="2">
        <v>1.43</v>
      </c>
      <c r="Y116" s="6">
        <f t="shared" si="14"/>
        <v>3.8173033287952803E-2</v>
      </c>
      <c r="AA116">
        <v>62960</v>
      </c>
      <c r="AB116">
        <v>16867</v>
      </c>
      <c r="AC116">
        <v>15204995</v>
      </c>
      <c r="AD116" t="s">
        <v>4</v>
      </c>
      <c r="AE116">
        <v>31</v>
      </c>
      <c r="AF116">
        <v>44</v>
      </c>
      <c r="AH116" t="s">
        <v>10345</v>
      </c>
      <c r="AI116" t="s">
        <v>10344</v>
      </c>
      <c r="AK116" t="s">
        <v>10343</v>
      </c>
      <c r="AL116">
        <v>29</v>
      </c>
      <c r="AM116" s="5">
        <f t="shared" si="18"/>
        <v>0.96666666666666667</v>
      </c>
      <c r="AN116" s="4">
        <f t="shared" si="15"/>
        <v>1.4640918843872271E-3</v>
      </c>
      <c r="AO116" s="3"/>
      <c r="AP116">
        <v>0</v>
      </c>
      <c r="AQ116" t="s">
        <v>1113</v>
      </c>
      <c r="AR116" t="s">
        <v>10342</v>
      </c>
      <c r="AS116" t="s">
        <v>1111</v>
      </c>
      <c r="AT116" s="2">
        <v>3.1619999999999999</v>
      </c>
      <c r="AU116" s="1">
        <f t="shared" si="19"/>
        <v>2.7160350866883132</v>
      </c>
      <c r="AV116" s="1">
        <f t="shared" si="20"/>
        <v>1.9818562586170012</v>
      </c>
      <c r="AW116" s="1">
        <f t="shared" si="21"/>
        <v>1.2476774305456899</v>
      </c>
    </row>
    <row r="117" spans="1:49" x14ac:dyDescent="0.2">
      <c r="A117">
        <v>115</v>
      </c>
      <c r="B117" t="s">
        <v>10341</v>
      </c>
      <c r="C117" t="s">
        <v>10340</v>
      </c>
      <c r="F117" t="s">
        <v>10339</v>
      </c>
      <c r="G117" t="s">
        <v>12</v>
      </c>
      <c r="H117" t="s">
        <v>11</v>
      </c>
      <c r="I117" t="s">
        <v>10338</v>
      </c>
      <c r="J117">
        <v>60003892</v>
      </c>
      <c r="K117" t="s">
        <v>1858</v>
      </c>
      <c r="L117" t="s">
        <v>1857</v>
      </c>
      <c r="M117" t="s">
        <v>7</v>
      </c>
      <c r="N117">
        <v>3</v>
      </c>
      <c r="O117" t="s">
        <v>10337</v>
      </c>
      <c r="P117" t="s">
        <v>10336</v>
      </c>
      <c r="Q117" t="s">
        <v>3136</v>
      </c>
      <c r="R117" s="7">
        <v>33635</v>
      </c>
      <c r="S117" s="8">
        <f t="shared" si="16"/>
        <v>1992</v>
      </c>
      <c r="T117" s="8">
        <v>1992</v>
      </c>
      <c r="U117" s="8">
        <f t="shared" si="17"/>
        <v>30</v>
      </c>
      <c r="V117" s="7">
        <v>33635</v>
      </c>
      <c r="W117" t="s">
        <v>10335</v>
      </c>
      <c r="X117" s="2">
        <v>1.1579999999999999</v>
      </c>
      <c r="Y117" s="6">
        <f t="shared" si="14"/>
        <v>3.0912148634579962E-2</v>
      </c>
      <c r="AA117">
        <v>1668595</v>
      </c>
      <c r="AB117">
        <v>14223</v>
      </c>
      <c r="AC117">
        <v>15735079</v>
      </c>
      <c r="AD117" t="s">
        <v>4</v>
      </c>
      <c r="AE117">
        <v>31</v>
      </c>
      <c r="AF117">
        <v>2</v>
      </c>
      <c r="AH117" t="s">
        <v>10334</v>
      </c>
      <c r="AI117" t="s">
        <v>10333</v>
      </c>
      <c r="AJ117" t="s">
        <v>10332</v>
      </c>
      <c r="AK117" t="s">
        <v>10331</v>
      </c>
      <c r="AL117">
        <v>35</v>
      </c>
      <c r="AM117" s="5">
        <f t="shared" si="18"/>
        <v>1.1666666666666667</v>
      </c>
      <c r="AN117" s="4">
        <f t="shared" si="15"/>
        <v>1.7670074466742396E-3</v>
      </c>
      <c r="AO117" s="3"/>
      <c r="AP117">
        <v>0</v>
      </c>
      <c r="AR117" t="s">
        <v>0</v>
      </c>
      <c r="AT117" s="2">
        <v>3.573</v>
      </c>
      <c r="AU117" s="1">
        <f t="shared" si="19"/>
        <v>2.2168606278208247</v>
      </c>
      <c r="AV117" s="1">
        <f t="shared" si="20"/>
        <v>1.6339578040627099</v>
      </c>
      <c r="AW117" s="1">
        <f t="shared" si="21"/>
        <v>1.0510549803045957</v>
      </c>
    </row>
    <row r="118" spans="1:49" x14ac:dyDescent="0.2">
      <c r="A118">
        <v>116</v>
      </c>
      <c r="B118" t="s">
        <v>10330</v>
      </c>
      <c r="C118" t="s">
        <v>10329</v>
      </c>
      <c r="D118" t="s">
        <v>10328</v>
      </c>
      <c r="E118">
        <v>1739729</v>
      </c>
      <c r="F118" t="s">
        <v>10327</v>
      </c>
      <c r="G118" t="s">
        <v>12</v>
      </c>
      <c r="H118" t="s">
        <v>11</v>
      </c>
      <c r="I118" t="s">
        <v>10326</v>
      </c>
      <c r="J118">
        <v>60003878</v>
      </c>
      <c r="K118" t="s">
        <v>10325</v>
      </c>
      <c r="L118" t="s">
        <v>5767</v>
      </c>
      <c r="M118" t="s">
        <v>273</v>
      </c>
      <c r="N118">
        <v>4</v>
      </c>
      <c r="O118" t="s">
        <v>10324</v>
      </c>
      <c r="P118" t="s">
        <v>10323</v>
      </c>
      <c r="Q118" t="s">
        <v>10322</v>
      </c>
      <c r="R118" s="7">
        <v>33633</v>
      </c>
      <c r="S118" s="8">
        <f t="shared" si="16"/>
        <v>1992</v>
      </c>
      <c r="T118" s="8">
        <v>1992</v>
      </c>
      <c r="U118" s="8">
        <f t="shared" si="17"/>
        <v>30</v>
      </c>
      <c r="V118" s="7">
        <v>33633</v>
      </c>
      <c r="W118" t="s">
        <v>10244</v>
      </c>
      <c r="X118" s="2">
        <v>1.59</v>
      </c>
      <c r="Y118" s="6">
        <f t="shared" si="14"/>
        <v>4.2444141907583888E-2</v>
      </c>
      <c r="AA118">
        <v>52728</v>
      </c>
      <c r="AB118">
        <v>16791</v>
      </c>
      <c r="AD118" t="s">
        <v>4</v>
      </c>
      <c r="AE118">
        <v>1099</v>
      </c>
      <c r="AF118">
        <v>1</v>
      </c>
      <c r="AH118" t="s">
        <v>10321</v>
      </c>
      <c r="AI118" t="s">
        <v>10320</v>
      </c>
      <c r="AJ118" t="s">
        <v>10319</v>
      </c>
      <c r="AK118" t="s">
        <v>10318</v>
      </c>
      <c r="AL118">
        <v>9</v>
      </c>
      <c r="AM118" s="5">
        <f t="shared" si="18"/>
        <v>0.3</v>
      </c>
      <c r="AN118" s="4">
        <f t="shared" si="15"/>
        <v>4.5437334343051872E-4</v>
      </c>
      <c r="AO118" s="3"/>
      <c r="AP118">
        <v>0</v>
      </c>
      <c r="AR118" t="s">
        <v>0</v>
      </c>
      <c r="AT118" s="2" t="s">
        <v>16</v>
      </c>
      <c r="AU118" s="1">
        <f t="shared" si="19"/>
        <v>2.9847211338337876</v>
      </c>
      <c r="AV118" s="1">
        <f t="shared" si="20"/>
        <v>2.1449257625507205</v>
      </c>
      <c r="AW118" s="1">
        <f t="shared" si="21"/>
        <v>1.3051303912676528</v>
      </c>
    </row>
    <row r="119" spans="1:49" x14ac:dyDescent="0.2">
      <c r="A119">
        <v>117</v>
      </c>
      <c r="B119" t="s">
        <v>10317</v>
      </c>
      <c r="C119" t="s">
        <v>10316</v>
      </c>
      <c r="D119" t="s">
        <v>10315</v>
      </c>
      <c r="F119" t="s">
        <v>10314</v>
      </c>
      <c r="G119" t="s">
        <v>12</v>
      </c>
      <c r="H119" t="s">
        <v>11</v>
      </c>
      <c r="I119" t="s">
        <v>10313</v>
      </c>
      <c r="J119">
        <v>60014171</v>
      </c>
      <c r="K119" t="s">
        <v>8617</v>
      </c>
      <c r="L119" t="s">
        <v>8616</v>
      </c>
      <c r="M119" t="s">
        <v>393</v>
      </c>
      <c r="N119">
        <v>2</v>
      </c>
      <c r="O119" t="s">
        <v>10312</v>
      </c>
      <c r="P119" t="s">
        <v>10311</v>
      </c>
      <c r="Q119" t="s">
        <v>8613</v>
      </c>
      <c r="R119" s="7">
        <v>33625</v>
      </c>
      <c r="S119" s="8">
        <f t="shared" si="16"/>
        <v>1992</v>
      </c>
      <c r="T119" s="8">
        <v>1992</v>
      </c>
      <c r="U119" s="8">
        <f t="shared" si="17"/>
        <v>30</v>
      </c>
      <c r="V119" s="7">
        <v>33625</v>
      </c>
      <c r="W119" t="s">
        <v>10310</v>
      </c>
      <c r="X119" s="2">
        <v>1.3149999999999999</v>
      </c>
      <c r="Y119" s="6">
        <f t="shared" si="14"/>
        <v>3.5103173967592965E-2</v>
      </c>
      <c r="AA119" t="s">
        <v>10309</v>
      </c>
      <c r="AB119">
        <v>13030</v>
      </c>
      <c r="AC119">
        <v>10958568</v>
      </c>
      <c r="AD119" t="s">
        <v>4</v>
      </c>
      <c r="AE119">
        <v>152</v>
      </c>
      <c r="AF119">
        <v>2</v>
      </c>
      <c r="AH119" t="s">
        <v>10308</v>
      </c>
      <c r="AI119" t="s">
        <v>10307</v>
      </c>
      <c r="AK119" t="s">
        <v>10306</v>
      </c>
      <c r="AL119">
        <v>8</v>
      </c>
      <c r="AM119" s="5">
        <f t="shared" si="18"/>
        <v>0.26666666666666666</v>
      </c>
      <c r="AN119" s="4">
        <f t="shared" si="15"/>
        <v>4.0388741638268334E-4</v>
      </c>
      <c r="AO119" s="3"/>
      <c r="AP119">
        <v>0</v>
      </c>
      <c r="AR119" t="s">
        <v>0</v>
      </c>
      <c r="AT119" s="2">
        <v>3.6549999999999998</v>
      </c>
      <c r="AU119" s="1">
        <f t="shared" si="19"/>
        <v>2.4693388002229879</v>
      </c>
      <c r="AV119" s="1">
        <f t="shared" si="20"/>
        <v>1.7753530691987824</v>
      </c>
      <c r="AW119" s="1">
        <f t="shared" si="21"/>
        <v>1.0813673381745765</v>
      </c>
    </row>
    <row r="120" spans="1:49" x14ac:dyDescent="0.2">
      <c r="A120">
        <v>118</v>
      </c>
      <c r="B120" t="s">
        <v>10305</v>
      </c>
      <c r="C120" t="s">
        <v>10304</v>
      </c>
      <c r="F120" t="s">
        <v>10303</v>
      </c>
      <c r="G120" t="s">
        <v>12</v>
      </c>
      <c r="H120" t="s">
        <v>11</v>
      </c>
      <c r="I120" t="s">
        <v>10302</v>
      </c>
      <c r="J120">
        <v>60007843</v>
      </c>
      <c r="K120" t="s">
        <v>5417</v>
      </c>
      <c r="L120" t="s">
        <v>182</v>
      </c>
      <c r="M120" t="s">
        <v>7</v>
      </c>
      <c r="N120">
        <v>3</v>
      </c>
      <c r="O120" t="s">
        <v>10301</v>
      </c>
      <c r="P120" t="s">
        <v>10300</v>
      </c>
      <c r="Q120" t="s">
        <v>10299</v>
      </c>
      <c r="R120" s="7">
        <v>33619</v>
      </c>
      <c r="S120" s="8">
        <f t="shared" si="16"/>
        <v>1992</v>
      </c>
      <c r="T120" s="8">
        <v>1992</v>
      </c>
      <c r="U120" s="8">
        <f t="shared" si="17"/>
        <v>30</v>
      </c>
      <c r="V120" s="7">
        <v>33619</v>
      </c>
      <c r="W120" t="s">
        <v>599</v>
      </c>
      <c r="X120" s="2">
        <v>0.375</v>
      </c>
      <c r="Y120" s="6">
        <f t="shared" si="14"/>
        <v>1.0010410827260351E-2</v>
      </c>
      <c r="AA120">
        <v>135194</v>
      </c>
      <c r="AB120">
        <v>24918</v>
      </c>
      <c r="AD120" t="s">
        <v>4</v>
      </c>
      <c r="AE120">
        <v>28</v>
      </c>
      <c r="AF120">
        <v>2</v>
      </c>
      <c r="AH120" t="s">
        <v>699</v>
      </c>
      <c r="AI120" t="s">
        <v>10298</v>
      </c>
      <c r="AJ120" t="s">
        <v>10297</v>
      </c>
      <c r="AK120" t="s">
        <v>10296</v>
      </c>
      <c r="AL120">
        <v>3</v>
      </c>
      <c r="AM120" s="5">
        <f t="shared" si="18"/>
        <v>0.1</v>
      </c>
      <c r="AN120" s="4">
        <f t="shared" si="15"/>
        <v>1.5145778114350627E-4</v>
      </c>
      <c r="AO120" s="3"/>
      <c r="AP120">
        <v>0</v>
      </c>
      <c r="AR120" t="s">
        <v>0</v>
      </c>
      <c r="AT120" s="2">
        <v>1.3140000000000001</v>
      </c>
      <c r="AU120" s="1">
        <f t="shared" si="19"/>
        <v>0.70527249134252978</v>
      </c>
      <c r="AV120" s="1">
        <f t="shared" si="20"/>
        <v>0.50809343042019284</v>
      </c>
      <c r="AW120" s="1">
        <f t="shared" si="21"/>
        <v>0.31091436949785595</v>
      </c>
    </row>
    <row r="121" spans="1:49" x14ac:dyDescent="0.2">
      <c r="A121">
        <v>119</v>
      </c>
      <c r="B121" t="s">
        <v>10295</v>
      </c>
      <c r="C121" t="s">
        <v>10294</v>
      </c>
      <c r="F121" t="s">
        <v>10293</v>
      </c>
      <c r="G121" t="s">
        <v>12</v>
      </c>
      <c r="H121" t="s">
        <v>11</v>
      </c>
      <c r="I121" t="s">
        <v>10292</v>
      </c>
      <c r="J121">
        <v>60031828</v>
      </c>
      <c r="K121" t="s">
        <v>2814</v>
      </c>
      <c r="L121" t="s">
        <v>2813</v>
      </c>
      <c r="M121" t="s">
        <v>393</v>
      </c>
      <c r="N121">
        <v>2</v>
      </c>
      <c r="O121" t="s">
        <v>10291</v>
      </c>
      <c r="P121" t="s">
        <v>10290</v>
      </c>
      <c r="Q121" t="s">
        <v>10289</v>
      </c>
      <c r="R121" s="7">
        <v>33619</v>
      </c>
      <c r="S121" s="8">
        <f t="shared" si="16"/>
        <v>1992</v>
      </c>
      <c r="T121" s="8">
        <v>1992</v>
      </c>
      <c r="U121" s="8">
        <f t="shared" si="17"/>
        <v>30</v>
      </c>
      <c r="V121" s="7">
        <v>33619</v>
      </c>
      <c r="W121" t="s">
        <v>599</v>
      </c>
      <c r="X121" s="2">
        <v>0.375</v>
      </c>
      <c r="Y121" s="6">
        <f t="shared" si="14"/>
        <v>1.0010410827260351E-2</v>
      </c>
      <c r="AA121">
        <v>135194</v>
      </c>
      <c r="AB121">
        <v>24918</v>
      </c>
      <c r="AD121" t="s">
        <v>4</v>
      </c>
      <c r="AE121">
        <v>28</v>
      </c>
      <c r="AF121">
        <v>2</v>
      </c>
      <c r="AH121" t="s">
        <v>10288</v>
      </c>
      <c r="AI121" t="s">
        <v>10287</v>
      </c>
      <c r="AJ121" t="s">
        <v>6559</v>
      </c>
      <c r="AK121" t="s">
        <v>10286</v>
      </c>
      <c r="AL121">
        <v>12</v>
      </c>
      <c r="AM121" s="5">
        <f t="shared" si="18"/>
        <v>0.4</v>
      </c>
      <c r="AN121" s="4">
        <f t="shared" si="15"/>
        <v>6.0583112457402507E-4</v>
      </c>
      <c r="AO121" s="3"/>
      <c r="AP121">
        <v>0</v>
      </c>
      <c r="AR121" t="s">
        <v>0</v>
      </c>
      <c r="AT121" s="2">
        <v>1.3140000000000001</v>
      </c>
      <c r="AU121" s="1">
        <f t="shared" si="19"/>
        <v>0.71890369164544532</v>
      </c>
      <c r="AV121" s="1">
        <f t="shared" si="20"/>
        <v>0.53081209759171888</v>
      </c>
      <c r="AW121" s="1">
        <f t="shared" si="21"/>
        <v>0.34272050353799227</v>
      </c>
    </row>
    <row r="122" spans="1:49" x14ac:dyDescent="0.2">
      <c r="A122">
        <v>120</v>
      </c>
      <c r="B122" t="s">
        <v>10285</v>
      </c>
      <c r="C122" t="s">
        <v>10284</v>
      </c>
      <c r="F122" t="s">
        <v>10283</v>
      </c>
      <c r="G122" t="s">
        <v>12</v>
      </c>
      <c r="H122" t="s">
        <v>11</v>
      </c>
      <c r="I122" t="s">
        <v>10282</v>
      </c>
      <c r="J122" t="s">
        <v>10281</v>
      </c>
      <c r="K122" t="s">
        <v>10280</v>
      </c>
      <c r="L122" t="s">
        <v>10279</v>
      </c>
      <c r="M122" t="s">
        <v>10278</v>
      </c>
      <c r="N122">
        <v>4</v>
      </c>
      <c r="O122" t="s">
        <v>10277</v>
      </c>
      <c r="P122" t="s">
        <v>10276</v>
      </c>
      <c r="Q122" t="s">
        <v>10275</v>
      </c>
      <c r="R122" s="7">
        <v>33619</v>
      </c>
      <c r="S122" s="8">
        <f t="shared" si="16"/>
        <v>1992</v>
      </c>
      <c r="T122" s="8">
        <v>1992</v>
      </c>
      <c r="U122" s="8">
        <f t="shared" si="17"/>
        <v>30</v>
      </c>
      <c r="V122" s="7">
        <v>33619</v>
      </c>
      <c r="W122" t="s">
        <v>599</v>
      </c>
      <c r="X122" s="2">
        <v>0.375</v>
      </c>
      <c r="Y122" s="6">
        <f t="shared" si="14"/>
        <v>1.0010410827260351E-2</v>
      </c>
      <c r="AA122">
        <v>135194</v>
      </c>
      <c r="AB122">
        <v>24918</v>
      </c>
      <c r="AD122" t="s">
        <v>4</v>
      </c>
      <c r="AE122">
        <v>28</v>
      </c>
      <c r="AF122">
        <v>2</v>
      </c>
      <c r="AH122" t="s">
        <v>10274</v>
      </c>
      <c r="AI122" t="s">
        <v>10273</v>
      </c>
      <c r="AJ122" t="s">
        <v>10272</v>
      </c>
      <c r="AK122" t="s">
        <v>10271</v>
      </c>
      <c r="AL122">
        <v>5</v>
      </c>
      <c r="AM122" s="5">
        <f t="shared" si="18"/>
        <v>0.16666666666666666</v>
      </c>
      <c r="AN122" s="4">
        <f t="shared" si="15"/>
        <v>2.5242963523917705E-4</v>
      </c>
      <c r="AO122" s="3"/>
      <c r="AP122">
        <v>0</v>
      </c>
      <c r="AR122" t="s">
        <v>0</v>
      </c>
      <c r="AT122" s="2">
        <v>1.3140000000000001</v>
      </c>
      <c r="AU122" s="1">
        <f t="shared" si="19"/>
        <v>0.70830164696539988</v>
      </c>
      <c r="AV122" s="1">
        <f t="shared" si="20"/>
        <v>0.51314202312497648</v>
      </c>
      <c r="AW122" s="1">
        <f t="shared" si="21"/>
        <v>0.31798239928455291</v>
      </c>
    </row>
    <row r="123" spans="1:49" x14ac:dyDescent="0.2">
      <c r="A123">
        <v>121</v>
      </c>
      <c r="B123" t="s">
        <v>10270</v>
      </c>
      <c r="C123" t="s">
        <v>10269</v>
      </c>
      <c r="D123" t="s">
        <v>10268</v>
      </c>
      <c r="F123" t="s">
        <v>10267</v>
      </c>
      <c r="G123" t="s">
        <v>12</v>
      </c>
      <c r="H123" t="s">
        <v>11</v>
      </c>
      <c r="I123" t="s">
        <v>10266</v>
      </c>
      <c r="J123" t="s">
        <v>10265</v>
      </c>
      <c r="K123" t="s">
        <v>10264</v>
      </c>
      <c r="L123" t="s">
        <v>10263</v>
      </c>
      <c r="M123" t="s">
        <v>10262</v>
      </c>
      <c r="N123">
        <v>6</v>
      </c>
      <c r="O123" t="s">
        <v>10261</v>
      </c>
      <c r="P123" t="s">
        <v>10260</v>
      </c>
      <c r="Q123" t="s">
        <v>10259</v>
      </c>
      <c r="R123" s="7">
        <v>33619</v>
      </c>
      <c r="S123" s="8">
        <f t="shared" si="16"/>
        <v>1992</v>
      </c>
      <c r="T123" s="8">
        <v>1992</v>
      </c>
      <c r="U123" s="8">
        <f t="shared" si="17"/>
        <v>30</v>
      </c>
      <c r="V123" s="7">
        <v>33619</v>
      </c>
      <c r="W123" t="s">
        <v>10244</v>
      </c>
      <c r="X123" s="2">
        <v>1.59</v>
      </c>
      <c r="Y123" s="6">
        <f t="shared" si="14"/>
        <v>4.2444141907583888E-2</v>
      </c>
      <c r="AA123">
        <v>52728</v>
      </c>
      <c r="AB123">
        <v>16791</v>
      </c>
      <c r="AD123" t="s">
        <v>4</v>
      </c>
      <c r="AE123">
        <v>1098</v>
      </c>
      <c r="AF123">
        <v>2</v>
      </c>
      <c r="AH123" t="s">
        <v>10258</v>
      </c>
      <c r="AI123" t="s">
        <v>10257</v>
      </c>
      <c r="AJ123" t="s">
        <v>10256</v>
      </c>
      <c r="AK123" t="s">
        <v>10255</v>
      </c>
      <c r="AL123">
        <v>69</v>
      </c>
      <c r="AM123" s="5">
        <f t="shared" si="18"/>
        <v>2.2999999999999998</v>
      </c>
      <c r="AN123" s="4">
        <f t="shared" si="15"/>
        <v>3.4835289663006433E-3</v>
      </c>
      <c r="AO123" s="3"/>
      <c r="AP123">
        <v>0</v>
      </c>
      <c r="AR123" t="s">
        <v>0</v>
      </c>
      <c r="AT123" s="2" t="s">
        <v>16</v>
      </c>
      <c r="AU123" s="1">
        <f t="shared" si="19"/>
        <v>3.0755958025198913</v>
      </c>
      <c r="AV123" s="1">
        <f t="shared" si="20"/>
        <v>2.2963835436942266</v>
      </c>
      <c r="AW123" s="1">
        <f t="shared" si="21"/>
        <v>1.5171712848685615</v>
      </c>
    </row>
    <row r="124" spans="1:49" x14ac:dyDescent="0.2">
      <c r="A124">
        <v>122</v>
      </c>
      <c r="B124" t="s">
        <v>10254</v>
      </c>
      <c r="C124" t="s">
        <v>10253</v>
      </c>
      <c r="D124" t="s">
        <v>10252</v>
      </c>
      <c r="F124" t="s">
        <v>10251</v>
      </c>
      <c r="G124" t="s">
        <v>12</v>
      </c>
      <c r="H124" t="s">
        <v>11</v>
      </c>
      <c r="I124" t="s">
        <v>10250</v>
      </c>
      <c r="J124">
        <v>60008734</v>
      </c>
      <c r="K124" t="s">
        <v>10249</v>
      </c>
      <c r="L124" t="s">
        <v>10248</v>
      </c>
      <c r="M124" t="s">
        <v>273</v>
      </c>
      <c r="N124">
        <v>4</v>
      </c>
      <c r="O124" t="s">
        <v>10247</v>
      </c>
      <c r="P124" t="s">
        <v>10246</v>
      </c>
      <c r="Q124" t="s">
        <v>10245</v>
      </c>
      <c r="R124" s="7">
        <v>33619</v>
      </c>
      <c r="S124" s="8">
        <f t="shared" si="16"/>
        <v>1992</v>
      </c>
      <c r="T124" s="8">
        <v>1992</v>
      </c>
      <c r="U124" s="8">
        <f t="shared" si="17"/>
        <v>30</v>
      </c>
      <c r="V124" s="7">
        <v>33619</v>
      </c>
      <c r="W124" t="s">
        <v>10244</v>
      </c>
      <c r="X124" s="2">
        <v>1.59</v>
      </c>
      <c r="Y124" s="6">
        <f t="shared" si="14"/>
        <v>4.2444141907583888E-2</v>
      </c>
      <c r="AA124">
        <v>52728</v>
      </c>
      <c r="AB124">
        <v>16791</v>
      </c>
      <c r="AD124" t="s">
        <v>4</v>
      </c>
      <c r="AE124">
        <v>1098</v>
      </c>
      <c r="AF124">
        <v>2</v>
      </c>
      <c r="AH124" t="s">
        <v>10243</v>
      </c>
      <c r="AI124" t="s">
        <v>10242</v>
      </c>
      <c r="AJ124" t="s">
        <v>10241</v>
      </c>
      <c r="AK124" t="s">
        <v>10240</v>
      </c>
      <c r="AL124">
        <v>148</v>
      </c>
      <c r="AM124" s="5">
        <f t="shared" si="18"/>
        <v>4.9333333333333336</v>
      </c>
      <c r="AN124" s="4">
        <f t="shared" si="15"/>
        <v>7.4719172030796423E-3</v>
      </c>
      <c r="AO124" s="3"/>
      <c r="AP124">
        <v>0</v>
      </c>
      <c r="AQ124" t="s">
        <v>10239</v>
      </c>
      <c r="AR124" t="s">
        <v>0</v>
      </c>
      <c r="AS124" t="s">
        <v>10238</v>
      </c>
      <c r="AT124" s="2" t="s">
        <v>16</v>
      </c>
      <c r="AU124" s="1">
        <f t="shared" si="19"/>
        <v>3.195247449623261</v>
      </c>
      <c r="AV124" s="1">
        <f t="shared" si="20"/>
        <v>2.4958029555331764</v>
      </c>
      <c r="AW124" s="1">
        <f t="shared" si="21"/>
        <v>1.7963584614430914</v>
      </c>
    </row>
    <row r="125" spans="1:49" x14ac:dyDescent="0.2">
      <c r="A125">
        <v>123</v>
      </c>
      <c r="B125" t="s">
        <v>10237</v>
      </c>
      <c r="C125" t="s">
        <v>10236</v>
      </c>
      <c r="D125" t="s">
        <v>10235</v>
      </c>
      <c r="F125" t="s">
        <v>10234</v>
      </c>
      <c r="G125" t="s">
        <v>12</v>
      </c>
      <c r="H125" t="s">
        <v>11</v>
      </c>
      <c r="I125" t="s">
        <v>10233</v>
      </c>
      <c r="J125" t="s">
        <v>10232</v>
      </c>
      <c r="K125" t="s">
        <v>10231</v>
      </c>
      <c r="L125" t="s">
        <v>10230</v>
      </c>
      <c r="M125" t="s">
        <v>125</v>
      </c>
      <c r="N125">
        <v>3</v>
      </c>
      <c r="O125" t="s">
        <v>10229</v>
      </c>
      <c r="P125" t="s">
        <v>10228</v>
      </c>
      <c r="Q125" t="s">
        <v>10227</v>
      </c>
      <c r="R125" s="7">
        <v>33618</v>
      </c>
      <c r="S125" s="8">
        <f t="shared" si="16"/>
        <v>1992</v>
      </c>
      <c r="T125" s="8">
        <v>1992</v>
      </c>
      <c r="U125" s="8">
        <f t="shared" si="17"/>
        <v>30</v>
      </c>
      <c r="V125" s="7">
        <v>33618</v>
      </c>
      <c r="W125" t="s">
        <v>10226</v>
      </c>
      <c r="X125" s="2" t="s">
        <v>16</v>
      </c>
      <c r="Y125" s="6" t="e">
        <f t="shared" si="14"/>
        <v>#VALUE!</v>
      </c>
      <c r="AA125">
        <v>1689002</v>
      </c>
      <c r="AB125">
        <v>29067</v>
      </c>
      <c r="AD125" t="s">
        <v>4</v>
      </c>
      <c r="AE125">
        <v>311</v>
      </c>
      <c r="AF125">
        <v>3</v>
      </c>
      <c r="AH125" t="s">
        <v>10225</v>
      </c>
      <c r="AI125" t="s">
        <v>10224</v>
      </c>
      <c r="AK125" t="s">
        <v>10223</v>
      </c>
      <c r="AL125">
        <v>15</v>
      </c>
      <c r="AM125" s="5">
        <f t="shared" si="18"/>
        <v>0.5</v>
      </c>
      <c r="AN125" s="4">
        <f t="shared" si="15"/>
        <v>7.572889057175312E-4</v>
      </c>
      <c r="AO125" s="3"/>
      <c r="AP125">
        <v>0</v>
      </c>
      <c r="AQ125" t="s">
        <v>2118</v>
      </c>
      <c r="AR125" t="s">
        <v>10222</v>
      </c>
      <c r="AS125" t="s">
        <v>2117</v>
      </c>
      <c r="AT125" s="2" t="s">
        <v>16</v>
      </c>
      <c r="AU125" s="1" t="e">
        <f t="shared" si="19"/>
        <v>#VALUE!</v>
      </c>
      <c r="AV125" s="1" t="e">
        <f t="shared" si="20"/>
        <v>#VALUE!</v>
      </c>
      <c r="AW125" s="1" t="e">
        <f t="shared" si="21"/>
        <v>#VALUE!</v>
      </c>
    </row>
    <row r="126" spans="1:49" x14ac:dyDescent="0.2">
      <c r="A126">
        <v>124</v>
      </c>
      <c r="B126" t="s">
        <v>10221</v>
      </c>
      <c r="C126" t="s">
        <v>10220</v>
      </c>
      <c r="F126" t="s">
        <v>10219</v>
      </c>
      <c r="G126" t="s">
        <v>12</v>
      </c>
      <c r="H126" t="s">
        <v>11</v>
      </c>
      <c r="I126" t="s">
        <v>10218</v>
      </c>
      <c r="J126" t="s">
        <v>10217</v>
      </c>
      <c r="K126" t="s">
        <v>10216</v>
      </c>
      <c r="L126" t="s">
        <v>10215</v>
      </c>
      <c r="M126" t="s">
        <v>125</v>
      </c>
      <c r="N126">
        <v>3</v>
      </c>
      <c r="O126" t="s">
        <v>10214</v>
      </c>
      <c r="P126" t="s">
        <v>10213</v>
      </c>
      <c r="Q126" t="s">
        <v>10212</v>
      </c>
      <c r="R126" s="7">
        <v>33617</v>
      </c>
      <c r="S126" s="8">
        <f t="shared" si="16"/>
        <v>1992</v>
      </c>
      <c r="T126" s="8">
        <v>1992</v>
      </c>
      <c r="U126" s="8">
        <f t="shared" si="17"/>
        <v>30</v>
      </c>
      <c r="V126" s="7">
        <v>33617</v>
      </c>
      <c r="W126" t="s">
        <v>10211</v>
      </c>
      <c r="X126" s="2">
        <v>0.85699999999999998</v>
      </c>
      <c r="Y126" s="6">
        <f t="shared" si="14"/>
        <v>2.287712554389899E-2</v>
      </c>
      <c r="AA126">
        <v>223727</v>
      </c>
      <c r="AB126">
        <v>28570</v>
      </c>
      <c r="AC126">
        <v>13616463</v>
      </c>
      <c r="AD126" t="s">
        <v>4</v>
      </c>
      <c r="AE126">
        <v>25</v>
      </c>
      <c r="AF126">
        <v>1</v>
      </c>
      <c r="AH126" t="s">
        <v>10210</v>
      </c>
      <c r="AI126" t="s">
        <v>10209</v>
      </c>
      <c r="AK126" t="s">
        <v>10208</v>
      </c>
      <c r="AL126">
        <v>6</v>
      </c>
      <c r="AM126" s="5">
        <f t="shared" si="18"/>
        <v>0.2</v>
      </c>
      <c r="AN126" s="4">
        <f t="shared" si="15"/>
        <v>3.0291556228701253E-4</v>
      </c>
      <c r="AO126" s="3"/>
      <c r="AP126">
        <v>0</v>
      </c>
      <c r="AR126" t="s">
        <v>0</v>
      </c>
      <c r="AT126" s="2" t="s">
        <v>16</v>
      </c>
      <c r="AU126" s="1">
        <f t="shared" si="19"/>
        <v>1.6104862549415395</v>
      </c>
      <c r="AV126" s="1">
        <f t="shared" si="20"/>
        <v>1.1590020553093001</v>
      </c>
      <c r="AW126" s="1">
        <f t="shared" si="21"/>
        <v>0.7075178556770606</v>
      </c>
    </row>
    <row r="127" spans="1:49" x14ac:dyDescent="0.2">
      <c r="A127">
        <v>125</v>
      </c>
      <c r="B127" t="s">
        <v>10207</v>
      </c>
      <c r="C127" t="s">
        <v>10206</v>
      </c>
      <c r="F127" t="s">
        <v>10205</v>
      </c>
      <c r="G127" t="s">
        <v>12</v>
      </c>
      <c r="H127" t="s">
        <v>11</v>
      </c>
      <c r="I127" t="s">
        <v>10204</v>
      </c>
      <c r="J127">
        <v>60031475</v>
      </c>
      <c r="K127" t="s">
        <v>10203</v>
      </c>
      <c r="L127" t="s">
        <v>10202</v>
      </c>
      <c r="M127" t="s">
        <v>3937</v>
      </c>
      <c r="N127">
        <v>2</v>
      </c>
      <c r="O127" t="s">
        <v>10201</v>
      </c>
      <c r="P127" t="s">
        <v>10200</v>
      </c>
      <c r="Q127" t="s">
        <v>10199</v>
      </c>
      <c r="R127" s="7">
        <v>33605</v>
      </c>
      <c r="S127" s="8">
        <f t="shared" si="16"/>
        <v>1992</v>
      </c>
      <c r="T127" s="8">
        <v>1992</v>
      </c>
      <c r="U127" s="8">
        <f t="shared" si="17"/>
        <v>30</v>
      </c>
      <c r="V127" s="7">
        <v>33605</v>
      </c>
      <c r="W127" t="s">
        <v>599</v>
      </c>
      <c r="X127" s="2">
        <v>0.375</v>
      </c>
      <c r="Y127" s="6">
        <f t="shared" si="14"/>
        <v>1.0010410827260351E-2</v>
      </c>
      <c r="AA127">
        <v>135194</v>
      </c>
      <c r="AB127">
        <v>24918</v>
      </c>
      <c r="AD127" t="s">
        <v>4</v>
      </c>
      <c r="AE127">
        <v>28</v>
      </c>
      <c r="AF127">
        <v>1</v>
      </c>
      <c r="AH127" t="s">
        <v>10198</v>
      </c>
      <c r="AI127" t="s">
        <v>10197</v>
      </c>
      <c r="AJ127" t="s">
        <v>10196</v>
      </c>
      <c r="AK127" t="s">
        <v>10195</v>
      </c>
      <c r="AL127">
        <v>15</v>
      </c>
      <c r="AM127" s="5">
        <f t="shared" si="18"/>
        <v>0.5</v>
      </c>
      <c r="AN127" s="4">
        <f t="shared" si="15"/>
        <v>7.572889057175312E-4</v>
      </c>
      <c r="AO127" s="3"/>
      <c r="AP127">
        <v>0</v>
      </c>
      <c r="AR127" t="s">
        <v>0</v>
      </c>
      <c r="AT127" s="2">
        <v>1.3140000000000001</v>
      </c>
      <c r="AU127" s="1">
        <f t="shared" si="19"/>
        <v>0.72344742507975057</v>
      </c>
      <c r="AV127" s="1">
        <f t="shared" si="20"/>
        <v>0.53838498664889411</v>
      </c>
      <c r="AW127" s="1">
        <f t="shared" si="21"/>
        <v>0.35332254821803771</v>
      </c>
    </row>
    <row r="128" spans="1:49" x14ac:dyDescent="0.2">
      <c r="A128">
        <v>126</v>
      </c>
      <c r="B128" t="s">
        <v>10194</v>
      </c>
      <c r="C128" t="s">
        <v>10193</v>
      </c>
      <c r="F128" t="s">
        <v>10192</v>
      </c>
      <c r="G128" t="s">
        <v>12</v>
      </c>
      <c r="H128" t="s">
        <v>11</v>
      </c>
      <c r="I128" t="s">
        <v>10191</v>
      </c>
      <c r="J128">
        <v>60029738</v>
      </c>
      <c r="K128" t="s">
        <v>10190</v>
      </c>
      <c r="L128" t="s">
        <v>10189</v>
      </c>
      <c r="M128" t="s">
        <v>856</v>
      </c>
      <c r="N128">
        <v>1</v>
      </c>
      <c r="O128" t="s">
        <v>10188</v>
      </c>
      <c r="P128">
        <v>7102894931</v>
      </c>
      <c r="Q128">
        <v>60029738</v>
      </c>
      <c r="R128" s="7">
        <v>33605</v>
      </c>
      <c r="S128" s="8">
        <f t="shared" si="16"/>
        <v>1992</v>
      </c>
      <c r="T128" s="8">
        <v>1992</v>
      </c>
      <c r="U128" s="8">
        <f t="shared" si="17"/>
        <v>30</v>
      </c>
      <c r="V128" s="7">
        <v>33605</v>
      </c>
      <c r="W128" t="s">
        <v>599</v>
      </c>
      <c r="X128" s="2">
        <v>0.375</v>
      </c>
      <c r="Y128" s="6">
        <f t="shared" si="14"/>
        <v>1.0010410827260351E-2</v>
      </c>
      <c r="AA128">
        <v>135194</v>
      </c>
      <c r="AB128">
        <v>24918</v>
      </c>
      <c r="AD128" t="s">
        <v>4</v>
      </c>
      <c r="AE128">
        <v>28</v>
      </c>
      <c r="AF128">
        <v>1</v>
      </c>
      <c r="AH128" t="s">
        <v>10187</v>
      </c>
      <c r="AI128" t="s">
        <v>10186</v>
      </c>
      <c r="AJ128" t="s">
        <v>10185</v>
      </c>
      <c r="AK128" t="s">
        <v>10184</v>
      </c>
      <c r="AL128">
        <v>21</v>
      </c>
      <c r="AM128" s="5">
        <f t="shared" si="18"/>
        <v>0.7</v>
      </c>
      <c r="AN128" s="4">
        <f t="shared" si="15"/>
        <v>1.0602044680045437E-3</v>
      </c>
      <c r="AO128" s="3"/>
      <c r="AP128">
        <v>0</v>
      </c>
      <c r="AR128" t="s">
        <v>0</v>
      </c>
      <c r="AT128" s="2">
        <v>1.3140000000000001</v>
      </c>
      <c r="AU128" s="1">
        <f t="shared" si="19"/>
        <v>0.73253489194836086</v>
      </c>
      <c r="AV128" s="1">
        <f t="shared" si="20"/>
        <v>0.5535307647632447</v>
      </c>
      <c r="AW128" s="1">
        <f t="shared" si="21"/>
        <v>0.37452663757812854</v>
      </c>
    </row>
    <row r="129" spans="1:49" x14ac:dyDescent="0.2">
      <c r="A129">
        <v>127</v>
      </c>
      <c r="B129" t="s">
        <v>10183</v>
      </c>
      <c r="C129" t="s">
        <v>10182</v>
      </c>
      <c r="F129" t="s">
        <v>10181</v>
      </c>
      <c r="G129" t="s">
        <v>12</v>
      </c>
      <c r="H129" t="s">
        <v>11</v>
      </c>
      <c r="I129" t="s">
        <v>10180</v>
      </c>
      <c r="J129">
        <v>60021902</v>
      </c>
      <c r="K129" t="s">
        <v>4873</v>
      </c>
      <c r="L129" t="s">
        <v>4872</v>
      </c>
      <c r="M129" t="s">
        <v>2540</v>
      </c>
      <c r="N129">
        <v>3</v>
      </c>
      <c r="O129" t="s">
        <v>10179</v>
      </c>
      <c r="P129" t="s">
        <v>10178</v>
      </c>
      <c r="Q129" t="s">
        <v>10177</v>
      </c>
      <c r="R129" s="7">
        <v>33605</v>
      </c>
      <c r="S129" s="8">
        <f t="shared" si="16"/>
        <v>1992</v>
      </c>
      <c r="T129" s="8">
        <v>1992</v>
      </c>
      <c r="U129" s="8">
        <f t="shared" si="17"/>
        <v>30</v>
      </c>
      <c r="V129" s="7">
        <v>33605</v>
      </c>
      <c r="W129" t="s">
        <v>599</v>
      </c>
      <c r="X129" s="2">
        <v>0.375</v>
      </c>
      <c r="Y129" s="6">
        <f t="shared" si="14"/>
        <v>1.0010410827260351E-2</v>
      </c>
      <c r="AA129">
        <v>135194</v>
      </c>
      <c r="AB129">
        <v>24918</v>
      </c>
      <c r="AD129" t="s">
        <v>4</v>
      </c>
      <c r="AE129">
        <v>28</v>
      </c>
      <c r="AF129">
        <v>1</v>
      </c>
      <c r="AH129" t="s">
        <v>10176</v>
      </c>
      <c r="AI129" t="s">
        <v>10175</v>
      </c>
      <c r="AJ129" t="s">
        <v>10174</v>
      </c>
      <c r="AK129" t="s">
        <v>10173</v>
      </c>
      <c r="AL129">
        <v>3</v>
      </c>
      <c r="AM129" s="5">
        <f t="shared" si="18"/>
        <v>0.1</v>
      </c>
      <c r="AN129" s="4">
        <f t="shared" si="15"/>
        <v>1.5145778114350627E-4</v>
      </c>
      <c r="AO129" s="3"/>
      <c r="AP129">
        <v>0</v>
      </c>
      <c r="AR129" t="s">
        <v>0</v>
      </c>
      <c r="AT129" s="2">
        <v>1.3140000000000001</v>
      </c>
      <c r="AU129" s="1">
        <f t="shared" si="19"/>
        <v>0.70527249134252978</v>
      </c>
      <c r="AV129" s="1">
        <f t="shared" si="20"/>
        <v>0.50809343042019284</v>
      </c>
      <c r="AW129" s="1">
        <f t="shared" si="21"/>
        <v>0.31091436949785595</v>
      </c>
    </row>
    <row r="130" spans="1:49" x14ac:dyDescent="0.2">
      <c r="A130">
        <v>128</v>
      </c>
      <c r="B130" t="s">
        <v>10172</v>
      </c>
      <c r="C130" t="s">
        <v>10171</v>
      </c>
      <c r="F130" t="s">
        <v>10170</v>
      </c>
      <c r="G130" t="s">
        <v>12</v>
      </c>
      <c r="H130" t="s">
        <v>11</v>
      </c>
      <c r="I130" t="s">
        <v>10169</v>
      </c>
      <c r="J130">
        <v>60026717</v>
      </c>
      <c r="K130" t="s">
        <v>2909</v>
      </c>
      <c r="L130" t="s">
        <v>2908</v>
      </c>
      <c r="M130" t="s">
        <v>7</v>
      </c>
      <c r="N130">
        <v>2</v>
      </c>
      <c r="O130" t="s">
        <v>10168</v>
      </c>
      <c r="P130" t="s">
        <v>10167</v>
      </c>
      <c r="Q130" t="s">
        <v>4051</v>
      </c>
      <c r="R130" s="7">
        <v>33605</v>
      </c>
      <c r="S130" s="8">
        <f t="shared" si="16"/>
        <v>1992</v>
      </c>
      <c r="T130" s="8">
        <v>1992</v>
      </c>
      <c r="U130" s="8">
        <f t="shared" si="17"/>
        <v>30</v>
      </c>
      <c r="V130" s="7">
        <v>33605</v>
      </c>
      <c r="W130" t="s">
        <v>599</v>
      </c>
      <c r="X130" s="2">
        <v>0.375</v>
      </c>
      <c r="Y130" s="6">
        <f t="shared" ref="Y130:Y193" si="22">(X130-$Z$4)/($Z$3-$Z$4)</f>
        <v>1.0010410827260351E-2</v>
      </c>
      <c r="AA130">
        <v>135194</v>
      </c>
      <c r="AB130">
        <v>24918</v>
      </c>
      <c r="AD130" t="s">
        <v>4</v>
      </c>
      <c r="AE130">
        <v>28</v>
      </c>
      <c r="AF130">
        <v>1</v>
      </c>
      <c r="AH130" t="s">
        <v>10166</v>
      </c>
      <c r="AI130" t="s">
        <v>10165</v>
      </c>
      <c r="AJ130" t="s">
        <v>10164</v>
      </c>
      <c r="AK130" t="s">
        <v>10163</v>
      </c>
      <c r="AL130">
        <v>12</v>
      </c>
      <c r="AM130" s="5">
        <f t="shared" si="18"/>
        <v>0.4</v>
      </c>
      <c r="AN130" s="4">
        <f t="shared" ref="AN130:AN193" si="23">(AM130-$AO$4)/($AO$3-$AO$4)</f>
        <v>6.0583112457402507E-4</v>
      </c>
      <c r="AO130" s="3"/>
      <c r="AP130">
        <v>0</v>
      </c>
      <c r="AR130" t="s">
        <v>0</v>
      </c>
      <c r="AT130" s="2">
        <v>1.3140000000000001</v>
      </c>
      <c r="AU130" s="1">
        <f t="shared" si="19"/>
        <v>0.71890369164544532</v>
      </c>
      <c r="AV130" s="1">
        <f t="shared" si="20"/>
        <v>0.53081209759171888</v>
      </c>
      <c r="AW130" s="1">
        <f t="shared" si="21"/>
        <v>0.34272050353799227</v>
      </c>
    </row>
    <row r="131" spans="1:49" x14ac:dyDescent="0.2">
      <c r="A131">
        <v>129</v>
      </c>
      <c r="B131" t="s">
        <v>10162</v>
      </c>
      <c r="C131" t="s">
        <v>10161</v>
      </c>
      <c r="F131" t="s">
        <v>10160</v>
      </c>
      <c r="G131" t="s">
        <v>12</v>
      </c>
      <c r="H131" t="s">
        <v>11</v>
      </c>
      <c r="I131" t="s">
        <v>3192</v>
      </c>
      <c r="J131">
        <v>60010818</v>
      </c>
      <c r="K131" t="s">
        <v>3191</v>
      </c>
      <c r="L131" t="s">
        <v>3190</v>
      </c>
      <c r="M131" t="s">
        <v>856</v>
      </c>
      <c r="N131">
        <v>2</v>
      </c>
      <c r="O131" t="s">
        <v>3189</v>
      </c>
      <c r="P131" t="s">
        <v>3188</v>
      </c>
      <c r="Q131" t="s">
        <v>3187</v>
      </c>
      <c r="R131" s="7">
        <v>33605</v>
      </c>
      <c r="S131" s="8">
        <f t="shared" si="16"/>
        <v>1992</v>
      </c>
      <c r="T131" s="8">
        <v>1992</v>
      </c>
      <c r="U131" s="8">
        <f t="shared" si="17"/>
        <v>30</v>
      </c>
      <c r="V131" s="7">
        <v>33605</v>
      </c>
      <c r="W131" t="s">
        <v>599</v>
      </c>
      <c r="X131" s="2">
        <v>0.375</v>
      </c>
      <c r="Y131" s="6">
        <f t="shared" si="22"/>
        <v>1.0010410827260351E-2</v>
      </c>
      <c r="AA131">
        <v>135194</v>
      </c>
      <c r="AB131">
        <v>24918</v>
      </c>
      <c r="AD131" t="s">
        <v>4</v>
      </c>
      <c r="AE131">
        <v>28</v>
      </c>
      <c r="AF131">
        <v>1</v>
      </c>
      <c r="AH131" t="s">
        <v>10159</v>
      </c>
      <c r="AI131" t="s">
        <v>10158</v>
      </c>
      <c r="AJ131" t="s">
        <v>10157</v>
      </c>
      <c r="AK131" t="s">
        <v>10156</v>
      </c>
      <c r="AL131">
        <v>2</v>
      </c>
      <c r="AM131" s="5">
        <f t="shared" si="18"/>
        <v>6.6666666666666666E-2</v>
      </c>
      <c r="AN131" s="4">
        <f t="shared" si="23"/>
        <v>1.0097185409567084E-4</v>
      </c>
      <c r="AO131" s="3"/>
      <c r="AP131">
        <v>0</v>
      </c>
      <c r="AR131" t="s">
        <v>0</v>
      </c>
      <c r="AT131" s="2">
        <v>1.3140000000000001</v>
      </c>
      <c r="AU131" s="1">
        <f t="shared" si="19"/>
        <v>0.70375791353109474</v>
      </c>
      <c r="AV131" s="1">
        <f t="shared" si="20"/>
        <v>0.50556913406780113</v>
      </c>
      <c r="AW131" s="1">
        <f t="shared" si="21"/>
        <v>0.30738035460450747</v>
      </c>
    </row>
    <row r="132" spans="1:49" x14ac:dyDescent="0.2">
      <c r="A132">
        <v>130</v>
      </c>
      <c r="B132" t="s">
        <v>10155</v>
      </c>
      <c r="F132" t="s">
        <v>10154</v>
      </c>
      <c r="G132" t="s">
        <v>12</v>
      </c>
      <c r="H132" t="s">
        <v>11</v>
      </c>
      <c r="I132" t="s">
        <v>10153</v>
      </c>
      <c r="J132">
        <v>60079715</v>
      </c>
      <c r="K132" t="s">
        <v>7409</v>
      </c>
      <c r="L132" t="s">
        <v>6096</v>
      </c>
      <c r="M132" t="s">
        <v>3610</v>
      </c>
      <c r="N132">
        <v>1</v>
      </c>
      <c r="O132" t="s">
        <v>10152</v>
      </c>
      <c r="P132">
        <v>57203122304</v>
      </c>
      <c r="Q132">
        <v>60079715</v>
      </c>
      <c r="R132" s="7">
        <v>33604</v>
      </c>
      <c r="S132" s="8">
        <f t="shared" si="16"/>
        <v>1992</v>
      </c>
      <c r="T132" s="8">
        <v>1992</v>
      </c>
      <c r="U132" s="8">
        <f t="shared" si="17"/>
        <v>30</v>
      </c>
      <c r="V132" s="7">
        <v>1992</v>
      </c>
      <c r="W132" t="s">
        <v>10151</v>
      </c>
      <c r="X132" s="2" t="s">
        <v>16</v>
      </c>
      <c r="Y132" s="6" t="e">
        <f t="shared" si="22"/>
        <v>#VALUE!</v>
      </c>
      <c r="AA132">
        <v>66710</v>
      </c>
      <c r="AB132">
        <v>22024</v>
      </c>
      <c r="AD132" t="s">
        <v>4</v>
      </c>
      <c r="AE132">
        <v>61</v>
      </c>
      <c r="AF132">
        <v>2</v>
      </c>
      <c r="AH132" t="s">
        <v>10150</v>
      </c>
      <c r="AI132" t="s">
        <v>10149</v>
      </c>
      <c r="AJ132" t="s">
        <v>10148</v>
      </c>
      <c r="AK132" t="s">
        <v>10147</v>
      </c>
      <c r="AL132">
        <v>0</v>
      </c>
      <c r="AM132" s="5">
        <f t="shared" si="18"/>
        <v>0</v>
      </c>
      <c r="AN132" s="4">
        <f t="shared" si="23"/>
        <v>0</v>
      </c>
      <c r="AO132" s="3"/>
      <c r="AP132">
        <v>0</v>
      </c>
      <c r="AR132" t="s">
        <v>0</v>
      </c>
      <c r="AT132" s="2" t="s">
        <v>16</v>
      </c>
      <c r="AU132" s="1" t="e">
        <f t="shared" si="19"/>
        <v>#VALUE!</v>
      </c>
      <c r="AV132" s="1" t="e">
        <f t="shared" si="20"/>
        <v>#VALUE!</v>
      </c>
      <c r="AW132" s="1" t="e">
        <f t="shared" si="21"/>
        <v>#VALUE!</v>
      </c>
    </row>
    <row r="133" spans="1:49" x14ac:dyDescent="0.2">
      <c r="A133">
        <v>131</v>
      </c>
      <c r="B133" t="s">
        <v>10146</v>
      </c>
      <c r="C133" t="s">
        <v>10145</v>
      </c>
      <c r="D133" t="s">
        <v>10144</v>
      </c>
      <c r="F133" t="s">
        <v>10143</v>
      </c>
      <c r="G133" t="s">
        <v>12</v>
      </c>
      <c r="H133" t="s">
        <v>11</v>
      </c>
      <c r="I133" t="s">
        <v>10142</v>
      </c>
      <c r="J133" t="s">
        <v>10141</v>
      </c>
      <c r="K133" t="s">
        <v>10140</v>
      </c>
      <c r="L133" t="s">
        <v>10139</v>
      </c>
      <c r="M133" t="s">
        <v>10138</v>
      </c>
      <c r="N133">
        <v>7</v>
      </c>
      <c r="O133" t="s">
        <v>10137</v>
      </c>
      <c r="P133" t="s">
        <v>10136</v>
      </c>
      <c r="Q133" t="s">
        <v>10135</v>
      </c>
      <c r="R133" s="7">
        <v>33604</v>
      </c>
      <c r="S133" s="8">
        <f t="shared" si="16"/>
        <v>1992</v>
      </c>
      <c r="T133" s="8">
        <v>1992</v>
      </c>
      <c r="U133" s="8">
        <f t="shared" si="17"/>
        <v>30</v>
      </c>
      <c r="V133" s="7">
        <v>1992</v>
      </c>
      <c r="W133" t="s">
        <v>10134</v>
      </c>
      <c r="X133" s="2">
        <v>1.59</v>
      </c>
      <c r="Y133" s="6">
        <f t="shared" si="22"/>
        <v>4.2444141907583888E-2</v>
      </c>
      <c r="AA133">
        <v>52728</v>
      </c>
      <c r="AB133">
        <v>16791</v>
      </c>
      <c r="AD133" t="s">
        <v>4</v>
      </c>
      <c r="AE133">
        <v>1101</v>
      </c>
      <c r="AF133">
        <v>2</v>
      </c>
      <c r="AH133" t="s">
        <v>10133</v>
      </c>
      <c r="AI133" t="s">
        <v>10132</v>
      </c>
      <c r="AJ133" t="s">
        <v>10131</v>
      </c>
      <c r="AK133" t="s">
        <v>10130</v>
      </c>
      <c r="AL133">
        <v>0</v>
      </c>
      <c r="AM133" s="5">
        <f t="shared" si="18"/>
        <v>0</v>
      </c>
      <c r="AN133" s="4">
        <f t="shared" si="23"/>
        <v>0</v>
      </c>
      <c r="AO133" s="3"/>
      <c r="AP133">
        <v>0</v>
      </c>
      <c r="AR133" t="s">
        <v>0</v>
      </c>
      <c r="AT133" s="2" t="s">
        <v>16</v>
      </c>
      <c r="AU133" s="1">
        <f t="shared" si="19"/>
        <v>2.9710899335308723</v>
      </c>
      <c r="AV133" s="1">
        <f t="shared" si="20"/>
        <v>2.1222070953791943</v>
      </c>
      <c r="AW133" s="1">
        <f t="shared" si="21"/>
        <v>1.2733242572275165</v>
      </c>
    </row>
    <row r="134" spans="1:49" x14ac:dyDescent="0.2">
      <c r="A134">
        <v>132</v>
      </c>
      <c r="B134" t="s">
        <v>10129</v>
      </c>
      <c r="C134" t="s">
        <v>10128</v>
      </c>
      <c r="D134" t="s">
        <v>10127</v>
      </c>
      <c r="F134" t="s">
        <v>10126</v>
      </c>
      <c r="G134" t="s">
        <v>12</v>
      </c>
      <c r="H134" t="s">
        <v>11</v>
      </c>
      <c r="I134" t="s">
        <v>10125</v>
      </c>
      <c r="J134" t="s">
        <v>10124</v>
      </c>
      <c r="K134" t="s">
        <v>10123</v>
      </c>
      <c r="L134" t="s">
        <v>10122</v>
      </c>
      <c r="M134" t="s">
        <v>10121</v>
      </c>
      <c r="N134">
        <v>3</v>
      </c>
      <c r="O134" t="s">
        <v>10120</v>
      </c>
      <c r="P134" t="s">
        <v>10119</v>
      </c>
      <c r="Q134" t="s">
        <v>10118</v>
      </c>
      <c r="R134" s="7">
        <v>33604</v>
      </c>
      <c r="S134" s="8">
        <f t="shared" si="16"/>
        <v>1992</v>
      </c>
      <c r="T134" s="8">
        <v>1992</v>
      </c>
      <c r="U134" s="8">
        <f t="shared" si="17"/>
        <v>30</v>
      </c>
      <c r="V134" s="7">
        <v>1992</v>
      </c>
      <c r="W134" t="s">
        <v>10117</v>
      </c>
      <c r="X134" s="2">
        <v>1.032</v>
      </c>
      <c r="Y134" s="6">
        <f t="shared" si="22"/>
        <v>2.7548650596620487E-2</v>
      </c>
      <c r="AA134">
        <v>1761617</v>
      </c>
      <c r="AB134">
        <v>19257</v>
      </c>
      <c r="AD134" t="s">
        <v>4</v>
      </c>
      <c r="AE134">
        <v>140</v>
      </c>
      <c r="AF134">
        <v>4</v>
      </c>
      <c r="AH134" t="s">
        <v>10116</v>
      </c>
      <c r="AI134" t="s">
        <v>10115</v>
      </c>
      <c r="AJ134" t="s">
        <v>10114</v>
      </c>
      <c r="AK134" t="s">
        <v>10113</v>
      </c>
      <c r="AL134">
        <v>0</v>
      </c>
      <c r="AM134" s="5">
        <f t="shared" si="18"/>
        <v>0</v>
      </c>
      <c r="AN134" s="4">
        <f t="shared" si="23"/>
        <v>0</v>
      </c>
      <c r="AO134" s="3"/>
      <c r="AP134">
        <v>0</v>
      </c>
      <c r="AR134" t="s">
        <v>0</v>
      </c>
      <c r="AT134" s="2">
        <v>3.5489999999999999</v>
      </c>
      <c r="AU134" s="1">
        <f t="shared" si="19"/>
        <v>1.9284055417634338</v>
      </c>
      <c r="AV134" s="1">
        <f t="shared" si="20"/>
        <v>1.3774325298310244</v>
      </c>
      <c r="AW134" s="1">
        <f t="shared" si="21"/>
        <v>0.82645951789861449</v>
      </c>
    </row>
    <row r="135" spans="1:49" x14ac:dyDescent="0.2">
      <c r="A135">
        <v>133</v>
      </c>
      <c r="B135" t="s">
        <v>10112</v>
      </c>
      <c r="C135" t="s">
        <v>10111</v>
      </c>
      <c r="F135" t="s">
        <v>10110</v>
      </c>
      <c r="G135" t="s">
        <v>12</v>
      </c>
      <c r="H135" t="s">
        <v>11</v>
      </c>
      <c r="I135" t="s">
        <v>10109</v>
      </c>
      <c r="J135">
        <v>60029378</v>
      </c>
      <c r="K135" t="s">
        <v>7305</v>
      </c>
      <c r="L135" t="s">
        <v>7304</v>
      </c>
      <c r="M135" t="s">
        <v>7</v>
      </c>
      <c r="N135">
        <v>2</v>
      </c>
      <c r="O135" t="s">
        <v>10108</v>
      </c>
      <c r="P135" t="s">
        <v>10107</v>
      </c>
      <c r="Q135" t="s">
        <v>10106</v>
      </c>
      <c r="R135" s="7">
        <v>33604</v>
      </c>
      <c r="S135" s="8">
        <f t="shared" si="16"/>
        <v>1992</v>
      </c>
      <c r="T135" s="8">
        <v>1992</v>
      </c>
      <c r="U135" s="8">
        <f t="shared" si="17"/>
        <v>30</v>
      </c>
      <c r="V135" s="7">
        <v>33756</v>
      </c>
      <c r="W135" t="s">
        <v>10105</v>
      </c>
      <c r="X135" s="2">
        <v>0.52300000000000002</v>
      </c>
      <c r="Y135" s="6">
        <f t="shared" si="22"/>
        <v>1.3961186300419103E-2</v>
      </c>
      <c r="AA135">
        <v>10437398</v>
      </c>
      <c r="AB135">
        <v>26621</v>
      </c>
      <c r="AC135">
        <v>15289044</v>
      </c>
      <c r="AD135" t="s">
        <v>4</v>
      </c>
      <c r="AE135">
        <v>114</v>
      </c>
      <c r="AF135">
        <v>3</v>
      </c>
      <c r="AH135" t="s">
        <v>2536</v>
      </c>
      <c r="AI135" t="s">
        <v>10104</v>
      </c>
      <c r="AK135" t="s">
        <v>10103</v>
      </c>
      <c r="AL135">
        <v>0</v>
      </c>
      <c r="AM135" s="5">
        <f t="shared" si="18"/>
        <v>0</v>
      </c>
      <c r="AN135" s="4">
        <f t="shared" si="23"/>
        <v>0</v>
      </c>
      <c r="AO135" s="3"/>
      <c r="AP135">
        <v>0</v>
      </c>
      <c r="AR135" t="s">
        <v>0</v>
      </c>
      <c r="AT135" s="2" t="s">
        <v>16</v>
      </c>
      <c r="AU135" s="1">
        <f t="shared" si="19"/>
        <v>0.97728304102933716</v>
      </c>
      <c r="AV135" s="1">
        <f t="shared" si="20"/>
        <v>0.6980593150209552</v>
      </c>
      <c r="AW135" s="1">
        <f t="shared" si="21"/>
        <v>0.41883558901257306</v>
      </c>
    </row>
    <row r="136" spans="1:49" x14ac:dyDescent="0.2">
      <c r="A136">
        <v>134</v>
      </c>
      <c r="B136" t="s">
        <v>10102</v>
      </c>
      <c r="C136" t="s">
        <v>10101</v>
      </c>
      <c r="F136" t="s">
        <v>10100</v>
      </c>
      <c r="G136" t="s">
        <v>12</v>
      </c>
      <c r="H136" t="s">
        <v>11</v>
      </c>
      <c r="I136" t="s">
        <v>10099</v>
      </c>
      <c r="J136" t="s">
        <v>10098</v>
      </c>
      <c r="K136" t="s">
        <v>10097</v>
      </c>
      <c r="L136" t="s">
        <v>10096</v>
      </c>
      <c r="M136" t="s">
        <v>10095</v>
      </c>
      <c r="N136">
        <v>3</v>
      </c>
      <c r="O136" t="s">
        <v>10094</v>
      </c>
      <c r="P136" t="s">
        <v>10093</v>
      </c>
      <c r="Q136" t="s">
        <v>10092</v>
      </c>
      <c r="R136" s="7">
        <v>33604</v>
      </c>
      <c r="S136" s="8">
        <f t="shared" si="16"/>
        <v>1992</v>
      </c>
      <c r="T136" s="8">
        <v>1992</v>
      </c>
      <c r="U136" s="8">
        <f t="shared" si="17"/>
        <v>30</v>
      </c>
      <c r="V136" s="7">
        <v>1992</v>
      </c>
      <c r="W136" t="s">
        <v>10057</v>
      </c>
      <c r="X136" s="2">
        <v>0.40899999999999997</v>
      </c>
      <c r="Y136" s="6">
        <f t="shared" si="22"/>
        <v>1.0918021408931956E-2</v>
      </c>
      <c r="AA136">
        <v>8123985</v>
      </c>
      <c r="AB136">
        <v>100582</v>
      </c>
      <c r="AC136">
        <v>18347533</v>
      </c>
      <c r="AD136" t="s">
        <v>4</v>
      </c>
      <c r="AE136">
        <v>23</v>
      </c>
      <c r="AF136">
        <v>2</v>
      </c>
      <c r="AH136" t="s">
        <v>10091</v>
      </c>
      <c r="AI136" t="s">
        <v>10090</v>
      </c>
      <c r="AK136" t="s">
        <v>10089</v>
      </c>
      <c r="AL136">
        <v>17</v>
      </c>
      <c r="AM136" s="5">
        <f t="shared" si="18"/>
        <v>0.56666666666666665</v>
      </c>
      <c r="AN136" s="4">
        <f t="shared" si="23"/>
        <v>8.5826075981320206E-4</v>
      </c>
      <c r="AO136" s="3"/>
      <c r="AP136">
        <v>0</v>
      </c>
      <c r="AR136" t="s">
        <v>0</v>
      </c>
      <c r="AT136" s="2">
        <v>0.94199999999999995</v>
      </c>
      <c r="AU136" s="1">
        <f t="shared" si="19"/>
        <v>0.79000932141963298</v>
      </c>
      <c r="AV136" s="1">
        <f t="shared" si="20"/>
        <v>0.5888141084372579</v>
      </c>
      <c r="AW136" s="1">
        <f t="shared" si="21"/>
        <v>0.38761889545488282</v>
      </c>
    </row>
    <row r="137" spans="1:49" x14ac:dyDescent="0.2">
      <c r="A137">
        <v>135</v>
      </c>
      <c r="B137" t="s">
        <v>10088</v>
      </c>
      <c r="C137" t="s">
        <v>10087</v>
      </c>
      <c r="F137" t="s">
        <v>10086</v>
      </c>
      <c r="G137" t="s">
        <v>12</v>
      </c>
      <c r="H137" t="s">
        <v>11</v>
      </c>
      <c r="I137" t="s">
        <v>10085</v>
      </c>
      <c r="J137">
        <v>60019170</v>
      </c>
      <c r="K137" t="s">
        <v>10084</v>
      </c>
      <c r="L137" t="s">
        <v>10083</v>
      </c>
      <c r="M137" t="s">
        <v>2620</v>
      </c>
      <c r="N137">
        <v>1</v>
      </c>
      <c r="O137" t="s">
        <v>10082</v>
      </c>
      <c r="P137">
        <v>8724181000</v>
      </c>
      <c r="Q137">
        <v>60019170</v>
      </c>
      <c r="R137" s="7">
        <v>33604</v>
      </c>
      <c r="S137" s="8">
        <f t="shared" si="16"/>
        <v>1992</v>
      </c>
      <c r="T137" s="8">
        <v>1992</v>
      </c>
      <c r="U137" s="8">
        <f t="shared" si="17"/>
        <v>30</v>
      </c>
      <c r="V137" s="7">
        <v>1992</v>
      </c>
      <c r="W137" t="s">
        <v>10057</v>
      </c>
      <c r="X137" s="2">
        <v>0.40899999999999997</v>
      </c>
      <c r="Y137" s="6">
        <f t="shared" si="22"/>
        <v>1.0918021408931956E-2</v>
      </c>
      <c r="AA137">
        <v>8123985</v>
      </c>
      <c r="AB137">
        <v>100582</v>
      </c>
      <c r="AC137">
        <v>18347533</v>
      </c>
      <c r="AD137" t="s">
        <v>4</v>
      </c>
      <c r="AE137">
        <v>23</v>
      </c>
      <c r="AF137">
        <v>2</v>
      </c>
      <c r="AH137" t="s">
        <v>10081</v>
      </c>
      <c r="AI137" t="s">
        <v>10080</v>
      </c>
      <c r="AK137" t="s">
        <v>10079</v>
      </c>
      <c r="AL137">
        <v>4</v>
      </c>
      <c r="AM137" s="5">
        <f t="shared" si="18"/>
        <v>0.13333333333333333</v>
      </c>
      <c r="AN137" s="4">
        <f t="shared" si="23"/>
        <v>2.0194370819134167E-4</v>
      </c>
      <c r="AO137" s="3"/>
      <c r="AP137">
        <v>0</v>
      </c>
      <c r="AR137" t="s">
        <v>0</v>
      </c>
      <c r="AT137" s="2">
        <v>0.94199999999999995</v>
      </c>
      <c r="AU137" s="1">
        <f t="shared" si="19"/>
        <v>0.77031980987097715</v>
      </c>
      <c r="AV137" s="1">
        <f t="shared" si="20"/>
        <v>0.55599825585616491</v>
      </c>
      <c r="AW137" s="1">
        <f t="shared" si="21"/>
        <v>0.34167670184135263</v>
      </c>
    </row>
    <row r="138" spans="1:49" x14ac:dyDescent="0.2">
      <c r="A138">
        <v>136</v>
      </c>
      <c r="B138" t="s">
        <v>10078</v>
      </c>
      <c r="C138" t="s">
        <v>10077</v>
      </c>
      <c r="F138" t="s">
        <v>10076</v>
      </c>
      <c r="G138" t="s">
        <v>12</v>
      </c>
      <c r="H138" t="s">
        <v>11</v>
      </c>
      <c r="I138" t="s">
        <v>10075</v>
      </c>
      <c r="J138" t="s">
        <v>10074</v>
      </c>
      <c r="K138" t="s">
        <v>10073</v>
      </c>
      <c r="L138" t="s">
        <v>10072</v>
      </c>
      <c r="M138" t="s">
        <v>10071</v>
      </c>
      <c r="N138">
        <v>8</v>
      </c>
      <c r="O138" t="s">
        <v>10070</v>
      </c>
      <c r="P138" t="s">
        <v>10069</v>
      </c>
      <c r="Q138" t="s">
        <v>10068</v>
      </c>
      <c r="R138" s="7">
        <v>33604</v>
      </c>
      <c r="S138" s="8">
        <f t="shared" si="16"/>
        <v>1992</v>
      </c>
      <c r="T138" s="8">
        <v>1992</v>
      </c>
      <c r="U138" s="8">
        <f t="shared" si="17"/>
        <v>30</v>
      </c>
      <c r="V138" s="7">
        <v>1992</v>
      </c>
      <c r="W138" t="s">
        <v>10057</v>
      </c>
      <c r="X138" s="2">
        <v>0.40899999999999997</v>
      </c>
      <c r="Y138" s="6">
        <f t="shared" si="22"/>
        <v>1.0918021408931956E-2</v>
      </c>
      <c r="AA138">
        <v>8123985</v>
      </c>
      <c r="AB138">
        <v>100582</v>
      </c>
      <c r="AC138">
        <v>18347533</v>
      </c>
      <c r="AD138" t="s">
        <v>4</v>
      </c>
      <c r="AE138">
        <v>23</v>
      </c>
      <c r="AF138">
        <v>2</v>
      </c>
      <c r="AH138" t="s">
        <v>10067</v>
      </c>
      <c r="AI138" t="s">
        <v>10066</v>
      </c>
      <c r="AK138" t="s">
        <v>10065</v>
      </c>
      <c r="AL138">
        <v>23</v>
      </c>
      <c r="AM138" s="5">
        <f t="shared" si="18"/>
        <v>0.76666666666666672</v>
      </c>
      <c r="AN138" s="4">
        <f t="shared" si="23"/>
        <v>1.1611763221002146E-3</v>
      </c>
      <c r="AO138" s="3"/>
      <c r="AP138">
        <v>0</v>
      </c>
      <c r="AR138" t="s">
        <v>0</v>
      </c>
      <c r="AT138" s="2">
        <v>0.94199999999999995</v>
      </c>
      <c r="AU138" s="1">
        <f t="shared" si="19"/>
        <v>0.79909678828824338</v>
      </c>
      <c r="AV138" s="1">
        <f t="shared" si="20"/>
        <v>0.60395988655160848</v>
      </c>
      <c r="AW138" s="1">
        <f t="shared" si="21"/>
        <v>0.4088229848149737</v>
      </c>
    </row>
    <row r="139" spans="1:49" x14ac:dyDescent="0.2">
      <c r="A139">
        <v>137</v>
      </c>
      <c r="B139" t="s">
        <v>10064</v>
      </c>
      <c r="C139" t="s">
        <v>10063</v>
      </c>
      <c r="F139" t="s">
        <v>10062</v>
      </c>
      <c r="G139" t="s">
        <v>12</v>
      </c>
      <c r="H139" t="s">
        <v>11</v>
      </c>
      <c r="I139" t="s">
        <v>10061</v>
      </c>
      <c r="J139">
        <v>60010365</v>
      </c>
      <c r="K139" t="s">
        <v>8940</v>
      </c>
      <c r="L139" t="s">
        <v>8939</v>
      </c>
      <c r="M139" t="s">
        <v>393</v>
      </c>
      <c r="N139">
        <v>4</v>
      </c>
      <c r="O139" t="s">
        <v>10060</v>
      </c>
      <c r="P139" t="s">
        <v>10059</v>
      </c>
      <c r="Q139" t="s">
        <v>10058</v>
      </c>
      <c r="R139" s="7">
        <v>33604</v>
      </c>
      <c r="S139" s="8">
        <f t="shared" si="16"/>
        <v>1992</v>
      </c>
      <c r="T139" s="8">
        <v>1992</v>
      </c>
      <c r="U139" s="8">
        <f t="shared" si="17"/>
        <v>30</v>
      </c>
      <c r="V139" s="7">
        <v>1992</v>
      </c>
      <c r="W139" t="s">
        <v>10057</v>
      </c>
      <c r="X139" s="2">
        <v>0.40899999999999997</v>
      </c>
      <c r="Y139" s="6">
        <f t="shared" si="22"/>
        <v>1.0918021408931956E-2</v>
      </c>
      <c r="AA139">
        <v>8123985</v>
      </c>
      <c r="AB139">
        <v>100582</v>
      </c>
      <c r="AC139">
        <v>18347533</v>
      </c>
      <c r="AD139" t="s">
        <v>4</v>
      </c>
      <c r="AE139">
        <v>23</v>
      </c>
      <c r="AF139">
        <v>2</v>
      </c>
      <c r="AH139" t="s">
        <v>10056</v>
      </c>
      <c r="AI139" t="s">
        <v>10055</v>
      </c>
      <c r="AJ139" t="s">
        <v>10054</v>
      </c>
      <c r="AK139" t="s">
        <v>10053</v>
      </c>
      <c r="AL139">
        <v>8</v>
      </c>
      <c r="AM139" s="5">
        <f t="shared" si="18"/>
        <v>0.26666666666666666</v>
      </c>
      <c r="AN139" s="4">
        <f t="shared" si="23"/>
        <v>4.0388741638268334E-4</v>
      </c>
      <c r="AO139" s="3"/>
      <c r="AP139">
        <v>0</v>
      </c>
      <c r="AR139" t="s">
        <v>0</v>
      </c>
      <c r="AT139" s="2">
        <v>0.94199999999999995</v>
      </c>
      <c r="AU139" s="1">
        <f t="shared" si="19"/>
        <v>0.77637812111671745</v>
      </c>
      <c r="AV139" s="1">
        <f t="shared" si="20"/>
        <v>0.56609544126573197</v>
      </c>
      <c r="AW139" s="1">
        <f t="shared" si="21"/>
        <v>0.35581276141474649</v>
      </c>
    </row>
    <row r="140" spans="1:49" x14ac:dyDescent="0.2">
      <c r="A140">
        <v>138</v>
      </c>
      <c r="B140" t="s">
        <v>10052</v>
      </c>
      <c r="C140" t="s">
        <v>10051</v>
      </c>
      <c r="F140" t="s">
        <v>10050</v>
      </c>
      <c r="G140" t="s">
        <v>12</v>
      </c>
      <c r="H140" t="s">
        <v>11</v>
      </c>
      <c r="I140" t="s">
        <v>10049</v>
      </c>
      <c r="J140" t="s">
        <v>10048</v>
      </c>
      <c r="K140" t="s">
        <v>10047</v>
      </c>
      <c r="L140" t="s">
        <v>9994</v>
      </c>
      <c r="M140" t="s">
        <v>931</v>
      </c>
      <c r="N140">
        <v>4</v>
      </c>
      <c r="O140" t="s">
        <v>10046</v>
      </c>
      <c r="P140" t="s">
        <v>10045</v>
      </c>
      <c r="Q140" t="s">
        <v>10044</v>
      </c>
      <c r="R140" s="7">
        <v>33604</v>
      </c>
      <c r="S140" s="8">
        <f t="shared" si="16"/>
        <v>1992</v>
      </c>
      <c r="T140" s="8">
        <v>1992</v>
      </c>
      <c r="U140" s="8">
        <f t="shared" si="17"/>
        <v>30</v>
      </c>
      <c r="V140" s="7">
        <v>1992</v>
      </c>
      <c r="W140" t="s">
        <v>9979</v>
      </c>
      <c r="X140" s="2">
        <v>0.46300000000000002</v>
      </c>
      <c r="Y140" s="6">
        <f t="shared" si="22"/>
        <v>1.2359520568057447E-2</v>
      </c>
      <c r="AA140">
        <v>36862</v>
      </c>
      <c r="AB140">
        <v>19141</v>
      </c>
      <c r="AC140" t="s">
        <v>9978</v>
      </c>
      <c r="AD140" t="s">
        <v>4</v>
      </c>
      <c r="AE140">
        <v>27</v>
      </c>
      <c r="AF140">
        <v>2</v>
      </c>
      <c r="AH140" t="s">
        <v>10043</v>
      </c>
      <c r="AI140" t="s">
        <v>10042</v>
      </c>
      <c r="AJ140" t="s">
        <v>10041</v>
      </c>
      <c r="AK140" t="s">
        <v>10040</v>
      </c>
      <c r="AL140">
        <v>32</v>
      </c>
      <c r="AM140" s="5">
        <f t="shared" si="18"/>
        <v>1.0666666666666667</v>
      </c>
      <c r="AN140" s="4">
        <f t="shared" si="23"/>
        <v>1.6155496655307334E-3</v>
      </c>
      <c r="AO140" s="3"/>
      <c r="AP140">
        <v>1</v>
      </c>
      <c r="AR140" t="s">
        <v>0</v>
      </c>
      <c r="AT140" s="2">
        <v>1.403</v>
      </c>
      <c r="AU140" s="1">
        <f t="shared" si="19"/>
        <v>0.91363292972994314</v>
      </c>
      <c r="AV140" s="1">
        <f t="shared" si="20"/>
        <v>0.69875351167940902</v>
      </c>
      <c r="AW140" s="1">
        <f t="shared" si="21"/>
        <v>0.48387409362887474</v>
      </c>
    </row>
    <row r="141" spans="1:49" x14ac:dyDescent="0.2">
      <c r="A141">
        <v>139</v>
      </c>
      <c r="B141" t="s">
        <v>10039</v>
      </c>
      <c r="C141" t="s">
        <v>10038</v>
      </c>
      <c r="F141" t="s">
        <v>10037</v>
      </c>
      <c r="G141" t="s">
        <v>12</v>
      </c>
      <c r="H141" t="s">
        <v>11</v>
      </c>
      <c r="I141" t="s">
        <v>10036</v>
      </c>
      <c r="J141" t="s">
        <v>10035</v>
      </c>
      <c r="K141" t="s">
        <v>10034</v>
      </c>
      <c r="L141" t="s">
        <v>10033</v>
      </c>
      <c r="M141" t="s">
        <v>931</v>
      </c>
      <c r="N141">
        <v>4</v>
      </c>
      <c r="O141" t="s">
        <v>10032</v>
      </c>
      <c r="P141" t="s">
        <v>10031</v>
      </c>
      <c r="Q141" t="s">
        <v>10030</v>
      </c>
      <c r="R141" s="7">
        <v>33604</v>
      </c>
      <c r="S141" s="8">
        <f t="shared" si="16"/>
        <v>1992</v>
      </c>
      <c r="T141" s="8">
        <v>1992</v>
      </c>
      <c r="U141" s="8">
        <f t="shared" si="17"/>
        <v>30</v>
      </c>
      <c r="V141" s="7">
        <v>1992</v>
      </c>
      <c r="W141" t="s">
        <v>9979</v>
      </c>
      <c r="X141" s="2">
        <v>0.46300000000000002</v>
      </c>
      <c r="Y141" s="6">
        <f t="shared" si="22"/>
        <v>1.2359520568057447E-2</v>
      </c>
      <c r="AA141">
        <v>36862</v>
      </c>
      <c r="AB141">
        <v>19141</v>
      </c>
      <c r="AC141" t="s">
        <v>9978</v>
      </c>
      <c r="AD141" t="s">
        <v>4</v>
      </c>
      <c r="AE141">
        <v>27</v>
      </c>
      <c r="AF141">
        <v>4</v>
      </c>
      <c r="AH141" t="s">
        <v>3368</v>
      </c>
      <c r="AI141" t="s">
        <v>10029</v>
      </c>
      <c r="AJ141" t="s">
        <v>10028</v>
      </c>
      <c r="AK141" t="s">
        <v>10027</v>
      </c>
      <c r="AL141">
        <v>0</v>
      </c>
      <c r="AM141" s="5">
        <f t="shared" si="18"/>
        <v>0</v>
      </c>
      <c r="AN141" s="4">
        <f t="shared" si="23"/>
        <v>0</v>
      </c>
      <c r="AO141" s="3"/>
      <c r="AP141">
        <v>1</v>
      </c>
      <c r="AR141" t="s">
        <v>0</v>
      </c>
      <c r="AT141" s="2">
        <v>1.403</v>
      </c>
      <c r="AU141" s="1">
        <f t="shared" si="19"/>
        <v>0.86516643976402119</v>
      </c>
      <c r="AV141" s="1">
        <f t="shared" si="20"/>
        <v>0.61797602840287236</v>
      </c>
      <c r="AW141" s="1">
        <f t="shared" si="21"/>
        <v>0.37078561704172341</v>
      </c>
    </row>
    <row r="142" spans="1:49" x14ac:dyDescent="0.2">
      <c r="A142">
        <v>140</v>
      </c>
      <c r="B142" t="s">
        <v>10026</v>
      </c>
      <c r="C142" t="s">
        <v>10025</v>
      </c>
      <c r="F142" t="s">
        <v>10024</v>
      </c>
      <c r="G142" t="s">
        <v>12</v>
      </c>
      <c r="H142" t="s">
        <v>11</v>
      </c>
      <c r="I142" t="s">
        <v>10023</v>
      </c>
      <c r="J142">
        <v>60030319</v>
      </c>
      <c r="K142" t="s">
        <v>10022</v>
      </c>
      <c r="L142" t="s">
        <v>2512</v>
      </c>
      <c r="M142" t="s">
        <v>393</v>
      </c>
      <c r="N142">
        <v>1</v>
      </c>
      <c r="O142" t="s">
        <v>10021</v>
      </c>
      <c r="P142">
        <v>7005997960</v>
      </c>
      <c r="Q142">
        <v>60030319</v>
      </c>
      <c r="R142" s="7">
        <v>33604</v>
      </c>
      <c r="S142" s="8">
        <f t="shared" si="16"/>
        <v>1992</v>
      </c>
      <c r="T142" s="8">
        <v>1992</v>
      </c>
      <c r="U142" s="8">
        <f t="shared" si="17"/>
        <v>30</v>
      </c>
      <c r="V142" s="7">
        <v>1992</v>
      </c>
      <c r="W142" t="s">
        <v>10020</v>
      </c>
      <c r="X142" s="2">
        <v>0.22800000000000001</v>
      </c>
      <c r="Y142" s="6">
        <f t="shared" si="22"/>
        <v>6.0863297829742936E-3</v>
      </c>
      <c r="AA142">
        <v>9157352</v>
      </c>
      <c r="AB142">
        <v>26528</v>
      </c>
      <c r="AD142" t="s">
        <v>4</v>
      </c>
      <c r="AE142">
        <v>4</v>
      </c>
      <c r="AF142">
        <v>17</v>
      </c>
      <c r="AH142" t="s">
        <v>10019</v>
      </c>
      <c r="AI142" t="s">
        <v>10018</v>
      </c>
      <c r="AJ142" t="s">
        <v>10017</v>
      </c>
      <c r="AK142" t="s">
        <v>10016</v>
      </c>
      <c r="AL142">
        <v>10</v>
      </c>
      <c r="AM142" s="5">
        <f t="shared" si="18"/>
        <v>0.33333333333333331</v>
      </c>
      <c r="AN142" s="4">
        <f t="shared" si="23"/>
        <v>5.048592704783541E-4</v>
      </c>
      <c r="AO142" s="3"/>
      <c r="AP142">
        <v>1</v>
      </c>
      <c r="AR142" t="s">
        <v>0</v>
      </c>
      <c r="AT142" s="2" t="s">
        <v>16</v>
      </c>
      <c r="AU142" s="1">
        <f t="shared" si="19"/>
        <v>0.44118886292255122</v>
      </c>
      <c r="AV142" s="1">
        <f t="shared" si="20"/>
        <v>0.32955945267263237</v>
      </c>
      <c r="AW142" s="1">
        <f t="shared" si="21"/>
        <v>0.2179300424227136</v>
      </c>
    </row>
    <row r="143" spans="1:49" x14ac:dyDescent="0.2">
      <c r="A143">
        <v>141</v>
      </c>
      <c r="B143" t="s">
        <v>10015</v>
      </c>
      <c r="C143" t="s">
        <v>10014</v>
      </c>
      <c r="F143" t="s">
        <v>10013</v>
      </c>
      <c r="G143" t="s">
        <v>12</v>
      </c>
      <c r="H143" t="s">
        <v>11</v>
      </c>
      <c r="I143" t="s">
        <v>10012</v>
      </c>
      <c r="J143" t="s">
        <v>10011</v>
      </c>
      <c r="K143" t="s">
        <v>10010</v>
      </c>
      <c r="L143" t="s">
        <v>10009</v>
      </c>
      <c r="M143" t="s">
        <v>10008</v>
      </c>
      <c r="N143">
        <v>7</v>
      </c>
      <c r="O143" t="s">
        <v>10007</v>
      </c>
      <c r="P143" t="s">
        <v>10006</v>
      </c>
      <c r="Q143" t="s">
        <v>10005</v>
      </c>
      <c r="R143" s="7">
        <v>33604</v>
      </c>
      <c r="S143" s="8">
        <f t="shared" si="16"/>
        <v>1992</v>
      </c>
      <c r="T143" s="8">
        <v>1992</v>
      </c>
      <c r="U143" s="8">
        <f t="shared" si="17"/>
        <v>30</v>
      </c>
      <c r="V143" s="7">
        <v>1992</v>
      </c>
      <c r="W143" t="s">
        <v>9979</v>
      </c>
      <c r="X143" s="2">
        <v>0.46300000000000002</v>
      </c>
      <c r="Y143" s="6">
        <f t="shared" si="22"/>
        <v>1.2359520568057447E-2</v>
      </c>
      <c r="AA143">
        <v>36862</v>
      </c>
      <c r="AB143">
        <v>19141</v>
      </c>
      <c r="AC143" t="s">
        <v>9978</v>
      </c>
      <c r="AD143" t="s">
        <v>4</v>
      </c>
      <c r="AE143">
        <v>27</v>
      </c>
      <c r="AF143">
        <v>1</v>
      </c>
      <c r="AH143" t="s">
        <v>10004</v>
      </c>
      <c r="AI143" t="s">
        <v>10003</v>
      </c>
      <c r="AJ143" t="s">
        <v>10002</v>
      </c>
      <c r="AK143" t="s">
        <v>10001</v>
      </c>
      <c r="AL143">
        <v>18</v>
      </c>
      <c r="AM143" s="5">
        <f t="shared" si="18"/>
        <v>0.6</v>
      </c>
      <c r="AN143" s="4">
        <f t="shared" si="23"/>
        <v>9.0874668686103744E-4</v>
      </c>
      <c r="AO143" s="3"/>
      <c r="AP143">
        <v>1</v>
      </c>
      <c r="AR143" t="s">
        <v>0</v>
      </c>
      <c r="AT143" s="2">
        <v>1.403</v>
      </c>
      <c r="AU143" s="1">
        <f t="shared" si="19"/>
        <v>0.89242884036985237</v>
      </c>
      <c r="AV143" s="1">
        <f t="shared" si="20"/>
        <v>0.66341336274592422</v>
      </c>
      <c r="AW143" s="1">
        <f t="shared" si="21"/>
        <v>0.43439788512199601</v>
      </c>
    </row>
    <row r="144" spans="1:49" x14ac:dyDescent="0.2">
      <c r="A144">
        <v>142</v>
      </c>
      <c r="B144" t="s">
        <v>10000</v>
      </c>
      <c r="C144" t="s">
        <v>9999</v>
      </c>
      <c r="F144" t="s">
        <v>9998</v>
      </c>
      <c r="G144" t="s">
        <v>12</v>
      </c>
      <c r="H144" t="s">
        <v>11</v>
      </c>
      <c r="I144" t="s">
        <v>9997</v>
      </c>
      <c r="J144" t="s">
        <v>9996</v>
      </c>
      <c r="K144" t="s">
        <v>9995</v>
      </c>
      <c r="L144" t="s">
        <v>9994</v>
      </c>
      <c r="M144" t="s">
        <v>931</v>
      </c>
      <c r="N144">
        <v>3</v>
      </c>
      <c r="O144" t="s">
        <v>9993</v>
      </c>
      <c r="P144" t="s">
        <v>9992</v>
      </c>
      <c r="Q144" t="s">
        <v>9991</v>
      </c>
      <c r="R144" s="7">
        <v>33604</v>
      </c>
      <c r="S144" s="8">
        <f t="shared" si="16"/>
        <v>1992</v>
      </c>
      <c r="T144" s="8">
        <v>1992</v>
      </c>
      <c r="U144" s="8">
        <f t="shared" si="17"/>
        <v>30</v>
      </c>
      <c r="V144" s="7">
        <v>1992</v>
      </c>
      <c r="W144" t="s">
        <v>9979</v>
      </c>
      <c r="X144" s="2">
        <v>0.46300000000000002</v>
      </c>
      <c r="Y144" s="6">
        <f t="shared" si="22"/>
        <v>1.2359520568057447E-2</v>
      </c>
      <c r="AA144">
        <v>36862</v>
      </c>
      <c r="AB144">
        <v>19141</v>
      </c>
      <c r="AC144" t="s">
        <v>9978</v>
      </c>
      <c r="AD144" t="s">
        <v>4</v>
      </c>
      <c r="AE144">
        <v>27</v>
      </c>
      <c r="AF144">
        <v>4</v>
      </c>
      <c r="AH144" t="s">
        <v>9990</v>
      </c>
      <c r="AI144" t="s">
        <v>9989</v>
      </c>
      <c r="AJ144" t="s">
        <v>9988</v>
      </c>
      <c r="AK144" t="s">
        <v>9987</v>
      </c>
      <c r="AL144">
        <v>18</v>
      </c>
      <c r="AM144" s="5">
        <f t="shared" si="18"/>
        <v>0.6</v>
      </c>
      <c r="AN144" s="4">
        <f t="shared" si="23"/>
        <v>9.0874668686103744E-4</v>
      </c>
      <c r="AO144" s="3"/>
      <c r="AP144">
        <v>1</v>
      </c>
      <c r="AR144" t="s">
        <v>0</v>
      </c>
      <c r="AT144" s="2">
        <v>1.403</v>
      </c>
      <c r="AU144" s="1">
        <f t="shared" si="19"/>
        <v>0.89242884036985237</v>
      </c>
      <c r="AV144" s="1">
        <f t="shared" si="20"/>
        <v>0.66341336274592422</v>
      </c>
      <c r="AW144" s="1">
        <f t="shared" si="21"/>
        <v>0.43439788512199601</v>
      </c>
    </row>
    <row r="145" spans="1:49" x14ac:dyDescent="0.2">
      <c r="A145">
        <v>143</v>
      </c>
      <c r="B145" t="s">
        <v>9986</v>
      </c>
      <c r="C145" t="s">
        <v>9985</v>
      </c>
      <c r="F145" t="s">
        <v>9984</v>
      </c>
      <c r="G145" t="s">
        <v>12</v>
      </c>
      <c r="H145" t="s">
        <v>11</v>
      </c>
      <c r="I145" t="s">
        <v>8979</v>
      </c>
      <c r="J145">
        <v>60009784</v>
      </c>
      <c r="K145" t="s">
        <v>9983</v>
      </c>
      <c r="L145" t="s">
        <v>667</v>
      </c>
      <c r="M145" t="s">
        <v>151</v>
      </c>
      <c r="N145">
        <v>4</v>
      </c>
      <c r="O145" t="s">
        <v>9982</v>
      </c>
      <c r="P145" t="s">
        <v>9981</v>
      </c>
      <c r="Q145" t="s">
        <v>9980</v>
      </c>
      <c r="R145" s="7">
        <v>33604</v>
      </c>
      <c r="S145" s="8">
        <f t="shared" si="16"/>
        <v>1992</v>
      </c>
      <c r="T145" s="8">
        <v>1992</v>
      </c>
      <c r="U145" s="8">
        <f t="shared" si="17"/>
        <v>30</v>
      </c>
      <c r="V145" s="7">
        <v>1992</v>
      </c>
      <c r="W145" t="s">
        <v>9979</v>
      </c>
      <c r="X145" s="2">
        <v>0.46300000000000002</v>
      </c>
      <c r="Y145" s="6">
        <f t="shared" si="22"/>
        <v>1.2359520568057447E-2</v>
      </c>
      <c r="AA145">
        <v>36862</v>
      </c>
      <c r="AB145">
        <v>19141</v>
      </c>
      <c r="AC145" t="s">
        <v>9978</v>
      </c>
      <c r="AD145" t="s">
        <v>4</v>
      </c>
      <c r="AE145">
        <v>27</v>
      </c>
      <c r="AF145">
        <v>2</v>
      </c>
      <c r="AH145" t="s">
        <v>9977</v>
      </c>
      <c r="AI145" t="s">
        <v>9976</v>
      </c>
      <c r="AJ145" t="s">
        <v>9975</v>
      </c>
      <c r="AK145" t="s">
        <v>9974</v>
      </c>
      <c r="AL145">
        <v>26</v>
      </c>
      <c r="AM145" s="5">
        <f t="shared" si="18"/>
        <v>0.8666666666666667</v>
      </c>
      <c r="AN145" s="4">
        <f t="shared" si="23"/>
        <v>1.3126341032437209E-3</v>
      </c>
      <c r="AO145" s="3"/>
      <c r="AP145">
        <v>1</v>
      </c>
      <c r="AR145" t="s">
        <v>0</v>
      </c>
      <c r="AT145" s="2">
        <v>1.403</v>
      </c>
      <c r="AU145" s="1">
        <f t="shared" si="19"/>
        <v>0.90454546286133297</v>
      </c>
      <c r="AV145" s="1">
        <f t="shared" si="20"/>
        <v>0.68360773356505844</v>
      </c>
      <c r="AW145" s="1">
        <f t="shared" si="21"/>
        <v>0.46267000426878385</v>
      </c>
    </row>
    <row r="146" spans="1:49" x14ac:dyDescent="0.2">
      <c r="A146">
        <v>144</v>
      </c>
      <c r="B146" t="s">
        <v>9973</v>
      </c>
      <c r="C146" t="s">
        <v>9972</v>
      </c>
      <c r="F146" t="s">
        <v>9971</v>
      </c>
      <c r="G146" t="s">
        <v>12</v>
      </c>
      <c r="H146" t="s">
        <v>11</v>
      </c>
      <c r="I146" t="s">
        <v>9970</v>
      </c>
      <c r="J146">
        <v>60024324</v>
      </c>
      <c r="K146" t="s">
        <v>9969</v>
      </c>
      <c r="L146" t="s">
        <v>9968</v>
      </c>
      <c r="M146" t="s">
        <v>7</v>
      </c>
      <c r="N146">
        <v>3</v>
      </c>
      <c r="O146" t="s">
        <v>9967</v>
      </c>
      <c r="P146" t="s">
        <v>9966</v>
      </c>
      <c r="Q146" t="s">
        <v>9965</v>
      </c>
      <c r="R146" s="7">
        <v>33604</v>
      </c>
      <c r="S146" s="8">
        <f t="shared" ref="S146:S209" si="24">YEAR(R146)</f>
        <v>1992</v>
      </c>
      <c r="T146" s="8">
        <v>1992</v>
      </c>
      <c r="U146" s="8">
        <f t="shared" ref="U146:U209" si="25">2022-T146</f>
        <v>30</v>
      </c>
      <c r="V146" s="7" t="s">
        <v>5392</v>
      </c>
      <c r="W146" t="s">
        <v>1330</v>
      </c>
      <c r="X146" s="2">
        <v>0.75800000000000001</v>
      </c>
      <c r="Y146" s="6">
        <f t="shared" si="22"/>
        <v>2.0234377085502256E-2</v>
      </c>
      <c r="AA146">
        <v>224650</v>
      </c>
      <c r="AB146">
        <v>29589</v>
      </c>
      <c r="AD146" t="s">
        <v>4</v>
      </c>
      <c r="AE146">
        <v>29</v>
      </c>
      <c r="AF146">
        <v>4</v>
      </c>
      <c r="AH146" t="s">
        <v>9964</v>
      </c>
      <c r="AI146" t="s">
        <v>9963</v>
      </c>
      <c r="AK146" t="s">
        <v>9962</v>
      </c>
      <c r="AL146">
        <v>101</v>
      </c>
      <c r="AM146" s="5">
        <f t="shared" ref="AM146:AM209" si="26">AL146/U146</f>
        <v>3.3666666666666667</v>
      </c>
      <c r="AN146" s="4">
        <f t="shared" si="23"/>
        <v>5.0990786318313771E-3</v>
      </c>
      <c r="AO146" s="3"/>
      <c r="AP146">
        <v>0</v>
      </c>
      <c r="AR146" t="s">
        <v>0</v>
      </c>
      <c r="AT146" s="2">
        <v>1.282</v>
      </c>
      <c r="AU146" s="1">
        <f t="shared" ref="AU146:AU209" si="27">(Y146*0.7+AN146*0.3)*100</f>
        <v>1.569378754940099</v>
      </c>
      <c r="AV146" s="1">
        <f t="shared" ref="AV146:AV209" si="28">(Y146*0.5+AN146*0.5)*100</f>
        <v>1.2666727858666817</v>
      </c>
      <c r="AW146" s="1">
        <f t="shared" ref="AW146:AW209" si="29">(Y146*0.3+AN146*0.7)*100</f>
        <v>0.96396681679326401</v>
      </c>
    </row>
    <row r="147" spans="1:49" x14ac:dyDescent="0.2">
      <c r="A147">
        <v>145</v>
      </c>
      <c r="B147" t="s">
        <v>9961</v>
      </c>
      <c r="C147" t="s">
        <v>9960</v>
      </c>
      <c r="F147" t="s">
        <v>9959</v>
      </c>
      <c r="G147" t="s">
        <v>12</v>
      </c>
      <c r="H147" t="s">
        <v>11</v>
      </c>
      <c r="I147" t="s">
        <v>9958</v>
      </c>
      <c r="J147">
        <v>60012771</v>
      </c>
      <c r="K147" t="s">
        <v>9957</v>
      </c>
      <c r="L147" t="s">
        <v>1223</v>
      </c>
      <c r="M147" t="s">
        <v>7</v>
      </c>
      <c r="N147">
        <v>2</v>
      </c>
      <c r="O147" t="s">
        <v>9956</v>
      </c>
      <c r="P147" t="s">
        <v>9955</v>
      </c>
      <c r="Q147" t="s">
        <v>9954</v>
      </c>
      <c r="R147" s="7">
        <v>33604</v>
      </c>
      <c r="S147" s="8">
        <f t="shared" si="24"/>
        <v>1992</v>
      </c>
      <c r="T147" s="8">
        <v>1992</v>
      </c>
      <c r="U147" s="8">
        <f t="shared" si="25"/>
        <v>30</v>
      </c>
      <c r="V147" s="7" t="s">
        <v>5392</v>
      </c>
      <c r="W147" t="s">
        <v>1665</v>
      </c>
      <c r="X147" s="2">
        <v>1.573</v>
      </c>
      <c r="Y147" s="6">
        <f t="shared" si="22"/>
        <v>4.1990336616748086E-2</v>
      </c>
      <c r="AA147">
        <v>7315090</v>
      </c>
      <c r="AB147">
        <v>29586</v>
      </c>
      <c r="AD147" t="s">
        <v>4</v>
      </c>
      <c r="AE147">
        <v>15</v>
      </c>
      <c r="AF147">
        <v>4</v>
      </c>
      <c r="AH147" t="s">
        <v>9953</v>
      </c>
      <c r="AL147">
        <v>0</v>
      </c>
      <c r="AM147" s="5">
        <f t="shared" si="26"/>
        <v>0</v>
      </c>
      <c r="AN147" s="4">
        <f t="shared" si="23"/>
        <v>0</v>
      </c>
      <c r="AO147" s="3"/>
      <c r="AP147">
        <v>0</v>
      </c>
      <c r="AR147" t="s">
        <v>0</v>
      </c>
      <c r="AT147" s="2" t="s">
        <v>16</v>
      </c>
      <c r="AU147" s="1">
        <f t="shared" si="27"/>
        <v>2.939323563172366</v>
      </c>
      <c r="AV147" s="1">
        <f t="shared" si="28"/>
        <v>2.0995168308374041</v>
      </c>
      <c r="AW147" s="1">
        <f t="shared" si="29"/>
        <v>1.2597100985024425</v>
      </c>
    </row>
    <row r="148" spans="1:49" x14ac:dyDescent="0.2">
      <c r="A148">
        <v>146</v>
      </c>
      <c r="B148" t="s">
        <v>9952</v>
      </c>
      <c r="C148" t="s">
        <v>9951</v>
      </c>
      <c r="F148" t="s">
        <v>9950</v>
      </c>
      <c r="G148" t="s">
        <v>12</v>
      </c>
      <c r="H148" t="s">
        <v>11</v>
      </c>
      <c r="I148" t="s">
        <v>9949</v>
      </c>
      <c r="N148">
        <v>2</v>
      </c>
      <c r="O148" t="s">
        <v>9948</v>
      </c>
      <c r="P148" t="s">
        <v>9947</v>
      </c>
      <c r="Q148" t="s">
        <v>720</v>
      </c>
      <c r="R148" s="7">
        <v>33604</v>
      </c>
      <c r="S148" s="8">
        <f t="shared" si="24"/>
        <v>1992</v>
      </c>
      <c r="T148" s="8">
        <v>1992</v>
      </c>
      <c r="U148" s="8">
        <f t="shared" si="25"/>
        <v>30</v>
      </c>
      <c r="V148" s="7">
        <v>1992</v>
      </c>
      <c r="W148" t="s">
        <v>9946</v>
      </c>
      <c r="X148" s="2" t="s">
        <v>16</v>
      </c>
      <c r="Y148" s="6" t="e">
        <f t="shared" si="22"/>
        <v>#VALUE!</v>
      </c>
      <c r="AA148">
        <v>3875024</v>
      </c>
      <c r="AB148">
        <v>110132</v>
      </c>
      <c r="AD148" t="s">
        <v>4</v>
      </c>
      <c r="AE148">
        <v>58</v>
      </c>
      <c r="AF148">
        <v>550</v>
      </c>
      <c r="AH148" t="s">
        <v>9945</v>
      </c>
      <c r="AI148" t="s">
        <v>9944</v>
      </c>
      <c r="AJ148" t="s">
        <v>9943</v>
      </c>
      <c r="AK148" t="s">
        <v>9942</v>
      </c>
      <c r="AL148">
        <v>2</v>
      </c>
      <c r="AM148" s="5">
        <f t="shared" si="26"/>
        <v>6.6666666666666666E-2</v>
      </c>
      <c r="AN148" s="4">
        <f t="shared" si="23"/>
        <v>1.0097185409567084E-4</v>
      </c>
      <c r="AO148" s="3"/>
      <c r="AP148">
        <v>1</v>
      </c>
      <c r="AR148" t="s">
        <v>0</v>
      </c>
      <c r="AT148" s="2" t="s">
        <v>16</v>
      </c>
      <c r="AU148" s="1" t="e">
        <f t="shared" si="27"/>
        <v>#VALUE!</v>
      </c>
      <c r="AV148" s="1" t="e">
        <f t="shared" si="28"/>
        <v>#VALUE!</v>
      </c>
      <c r="AW148" s="1" t="e">
        <f t="shared" si="29"/>
        <v>#VALUE!</v>
      </c>
    </row>
    <row r="149" spans="1:49" x14ac:dyDescent="0.2">
      <c r="A149">
        <v>147</v>
      </c>
      <c r="B149" t="s">
        <v>9941</v>
      </c>
      <c r="C149" t="s">
        <v>9940</v>
      </c>
      <c r="F149" t="s">
        <v>9939</v>
      </c>
      <c r="G149" t="s">
        <v>12</v>
      </c>
      <c r="H149" t="s">
        <v>11</v>
      </c>
      <c r="I149" t="s">
        <v>9938</v>
      </c>
      <c r="J149">
        <v>60031216</v>
      </c>
      <c r="K149" t="s">
        <v>9937</v>
      </c>
      <c r="L149" t="s">
        <v>9936</v>
      </c>
      <c r="M149" t="s">
        <v>817</v>
      </c>
      <c r="N149">
        <v>2</v>
      </c>
      <c r="O149" t="s">
        <v>9935</v>
      </c>
      <c r="P149" t="s">
        <v>9934</v>
      </c>
      <c r="Q149" t="s">
        <v>9933</v>
      </c>
      <c r="R149" s="7">
        <v>33604</v>
      </c>
      <c r="S149" s="8">
        <f t="shared" si="24"/>
        <v>1992</v>
      </c>
      <c r="T149" s="8">
        <v>1992</v>
      </c>
      <c r="U149" s="8">
        <f t="shared" si="25"/>
        <v>30</v>
      </c>
      <c r="V149" s="7">
        <v>33878</v>
      </c>
      <c r="W149" t="s">
        <v>9932</v>
      </c>
      <c r="X149" s="2" t="s">
        <v>16</v>
      </c>
      <c r="Y149" s="6" t="e">
        <f t="shared" si="22"/>
        <v>#VALUE!</v>
      </c>
      <c r="AA149">
        <v>9328629</v>
      </c>
      <c r="AB149">
        <v>39561</v>
      </c>
      <c r="AC149">
        <v>14388677</v>
      </c>
      <c r="AD149" t="s">
        <v>4</v>
      </c>
      <c r="AE149">
        <v>105</v>
      </c>
      <c r="AF149">
        <v>5</v>
      </c>
      <c r="AH149" t="s">
        <v>9931</v>
      </c>
      <c r="AI149" t="s">
        <v>9930</v>
      </c>
      <c r="AJ149" t="s">
        <v>9929</v>
      </c>
      <c r="AK149" t="s">
        <v>9928</v>
      </c>
      <c r="AL149">
        <v>7</v>
      </c>
      <c r="AM149" s="5">
        <f t="shared" si="26"/>
        <v>0.23333333333333334</v>
      </c>
      <c r="AN149" s="4">
        <f t="shared" si="23"/>
        <v>3.5340148933484791E-4</v>
      </c>
      <c r="AO149" s="3"/>
      <c r="AP149">
        <v>0</v>
      </c>
      <c r="AR149" t="s">
        <v>0</v>
      </c>
      <c r="AT149" s="2" t="s">
        <v>16</v>
      </c>
      <c r="AU149" s="1" t="e">
        <f t="shared" si="27"/>
        <v>#VALUE!</v>
      </c>
      <c r="AV149" s="1" t="e">
        <f t="shared" si="28"/>
        <v>#VALUE!</v>
      </c>
      <c r="AW149" s="1" t="e">
        <f t="shared" si="29"/>
        <v>#VALUE!</v>
      </c>
    </row>
    <row r="150" spans="1:49" x14ac:dyDescent="0.2">
      <c r="A150">
        <v>148</v>
      </c>
      <c r="B150" t="s">
        <v>9927</v>
      </c>
      <c r="C150" t="s">
        <v>9926</v>
      </c>
      <c r="F150" t="s">
        <v>9925</v>
      </c>
      <c r="G150" t="s">
        <v>12</v>
      </c>
      <c r="H150" t="s">
        <v>11</v>
      </c>
      <c r="I150" t="s">
        <v>9924</v>
      </c>
      <c r="J150" t="s">
        <v>9923</v>
      </c>
      <c r="K150" t="s">
        <v>9922</v>
      </c>
      <c r="L150" t="s">
        <v>9921</v>
      </c>
      <c r="M150" t="s">
        <v>9920</v>
      </c>
      <c r="N150">
        <v>2</v>
      </c>
      <c r="O150" t="s">
        <v>9919</v>
      </c>
      <c r="P150" t="s">
        <v>9918</v>
      </c>
      <c r="Q150" t="s">
        <v>9917</v>
      </c>
      <c r="R150" s="7">
        <v>33604</v>
      </c>
      <c r="S150" s="8">
        <f t="shared" si="24"/>
        <v>1992</v>
      </c>
      <c r="T150" s="8">
        <v>1992</v>
      </c>
      <c r="U150" s="8">
        <f t="shared" si="25"/>
        <v>30</v>
      </c>
      <c r="V150" s="7">
        <v>33939</v>
      </c>
      <c r="W150" t="s">
        <v>5250</v>
      </c>
      <c r="X150" s="2">
        <v>0.65200000000000002</v>
      </c>
      <c r="Y150" s="6">
        <f t="shared" si="22"/>
        <v>1.7404767624996664E-2</v>
      </c>
      <c r="AA150">
        <v>3622525</v>
      </c>
      <c r="AB150">
        <v>29629</v>
      </c>
      <c r="AC150">
        <v>10974687</v>
      </c>
      <c r="AD150" t="s">
        <v>4</v>
      </c>
      <c r="AE150">
        <v>214</v>
      </c>
      <c r="AF150">
        <v>3</v>
      </c>
      <c r="AH150" t="s">
        <v>9916</v>
      </c>
      <c r="AI150" t="s">
        <v>9915</v>
      </c>
      <c r="AK150" t="s">
        <v>9914</v>
      </c>
      <c r="AL150">
        <v>12</v>
      </c>
      <c r="AM150" s="5">
        <f t="shared" si="26"/>
        <v>0.4</v>
      </c>
      <c r="AN150" s="4">
        <f t="shared" si="23"/>
        <v>6.0583112457402507E-4</v>
      </c>
      <c r="AO150" s="3"/>
      <c r="AP150">
        <v>0</v>
      </c>
      <c r="AR150" t="s">
        <v>0</v>
      </c>
      <c r="AT150" s="2">
        <v>1.804</v>
      </c>
      <c r="AU150" s="1">
        <f t="shared" si="27"/>
        <v>1.2365086674869872</v>
      </c>
      <c r="AV150" s="1">
        <f t="shared" si="28"/>
        <v>0.90052993747853449</v>
      </c>
      <c r="AW150" s="1">
        <f t="shared" si="29"/>
        <v>0.56455120747008158</v>
      </c>
    </row>
    <row r="151" spans="1:49" x14ac:dyDescent="0.2">
      <c r="A151">
        <v>149</v>
      </c>
      <c r="B151" t="s">
        <v>9913</v>
      </c>
      <c r="C151" t="s">
        <v>9912</v>
      </c>
      <c r="F151" t="s">
        <v>9911</v>
      </c>
      <c r="G151" t="s">
        <v>12</v>
      </c>
      <c r="H151" t="s">
        <v>11</v>
      </c>
      <c r="I151" t="s">
        <v>9910</v>
      </c>
      <c r="J151" t="s">
        <v>9909</v>
      </c>
      <c r="K151" t="s">
        <v>9908</v>
      </c>
      <c r="L151" t="s">
        <v>9907</v>
      </c>
      <c r="M151" t="s">
        <v>3497</v>
      </c>
      <c r="N151">
        <v>5</v>
      </c>
      <c r="O151" t="s">
        <v>9906</v>
      </c>
      <c r="P151" t="s">
        <v>9905</v>
      </c>
      <c r="Q151" t="s">
        <v>9904</v>
      </c>
      <c r="R151" s="7">
        <v>33604</v>
      </c>
      <c r="S151" s="8">
        <f t="shared" si="24"/>
        <v>1992</v>
      </c>
      <c r="T151" s="8">
        <v>1992</v>
      </c>
      <c r="U151" s="8">
        <f t="shared" si="25"/>
        <v>30</v>
      </c>
      <c r="V151" s="7">
        <v>33604</v>
      </c>
      <c r="W151" t="s">
        <v>9903</v>
      </c>
      <c r="X151" s="2">
        <v>1.351</v>
      </c>
      <c r="Y151" s="6">
        <f t="shared" si="22"/>
        <v>3.6064173407009958E-2</v>
      </c>
      <c r="AA151">
        <v>319317</v>
      </c>
      <c r="AB151">
        <v>16530</v>
      </c>
      <c r="AC151">
        <v>13993054</v>
      </c>
      <c r="AD151" t="s">
        <v>4</v>
      </c>
      <c r="AE151">
        <v>84</v>
      </c>
      <c r="AF151">
        <v>1</v>
      </c>
      <c r="AH151" s="9">
        <v>44536</v>
      </c>
      <c r="AI151" t="s">
        <v>9902</v>
      </c>
      <c r="AJ151" t="s">
        <v>9901</v>
      </c>
      <c r="AK151" t="s">
        <v>9900</v>
      </c>
      <c r="AL151">
        <v>0</v>
      </c>
      <c r="AM151" s="5">
        <f t="shared" si="26"/>
        <v>0</v>
      </c>
      <c r="AN151" s="4">
        <f t="shared" si="23"/>
        <v>0</v>
      </c>
      <c r="AO151" s="3"/>
      <c r="AP151">
        <v>0</v>
      </c>
      <c r="AR151" t="s">
        <v>0</v>
      </c>
      <c r="AT151" s="2">
        <v>4.5</v>
      </c>
      <c r="AU151" s="1">
        <f t="shared" si="27"/>
        <v>2.5244921384906971</v>
      </c>
      <c r="AV151" s="1">
        <f t="shared" si="28"/>
        <v>1.8032086703504979</v>
      </c>
      <c r="AW151" s="1">
        <f t="shared" si="29"/>
        <v>1.0819252022102988</v>
      </c>
    </row>
    <row r="152" spans="1:49" x14ac:dyDescent="0.2">
      <c r="A152">
        <v>150</v>
      </c>
      <c r="B152" t="s">
        <v>9899</v>
      </c>
      <c r="C152" t="s">
        <v>9898</v>
      </c>
      <c r="F152" t="s">
        <v>9897</v>
      </c>
      <c r="G152" t="s">
        <v>12</v>
      </c>
      <c r="H152" t="s">
        <v>11</v>
      </c>
      <c r="I152" t="s">
        <v>9896</v>
      </c>
      <c r="J152">
        <v>60028586</v>
      </c>
      <c r="K152" t="s">
        <v>9895</v>
      </c>
      <c r="L152" t="s">
        <v>9894</v>
      </c>
      <c r="M152" t="s">
        <v>151</v>
      </c>
      <c r="N152">
        <v>2</v>
      </c>
      <c r="O152" t="s">
        <v>9893</v>
      </c>
      <c r="P152" t="s">
        <v>9892</v>
      </c>
      <c r="Q152" t="s">
        <v>9891</v>
      </c>
      <c r="R152" s="7">
        <v>33604</v>
      </c>
      <c r="S152" s="8">
        <f t="shared" si="24"/>
        <v>1992</v>
      </c>
      <c r="T152" s="8">
        <v>1992</v>
      </c>
      <c r="U152" s="8">
        <f t="shared" si="25"/>
        <v>30</v>
      </c>
      <c r="V152" s="7">
        <v>33939</v>
      </c>
      <c r="W152" t="s">
        <v>9878</v>
      </c>
      <c r="X152" s="2">
        <v>0.85</v>
      </c>
      <c r="Y152" s="6">
        <f t="shared" si="22"/>
        <v>2.2690264541790128E-2</v>
      </c>
      <c r="AA152">
        <v>223646</v>
      </c>
      <c r="AB152">
        <v>19225</v>
      </c>
      <c r="AC152">
        <v>15298817</v>
      </c>
      <c r="AD152" t="s">
        <v>4</v>
      </c>
      <c r="AE152">
        <v>28</v>
      </c>
      <c r="AF152">
        <v>6</v>
      </c>
      <c r="AH152" t="s">
        <v>9890</v>
      </c>
      <c r="AI152" t="s">
        <v>9889</v>
      </c>
      <c r="AJ152" t="s">
        <v>9888</v>
      </c>
      <c r="AK152" t="s">
        <v>9887</v>
      </c>
      <c r="AL152">
        <v>17</v>
      </c>
      <c r="AM152" s="5">
        <f t="shared" si="26"/>
        <v>0.56666666666666665</v>
      </c>
      <c r="AN152" s="4">
        <f t="shared" si="23"/>
        <v>8.5826075981320206E-4</v>
      </c>
      <c r="AO152" s="3"/>
      <c r="AP152">
        <v>0</v>
      </c>
      <c r="AR152" t="s">
        <v>0</v>
      </c>
      <c r="AT152" s="2">
        <v>2.923</v>
      </c>
      <c r="AU152" s="1">
        <f t="shared" si="27"/>
        <v>1.6140663407197049</v>
      </c>
      <c r="AV152" s="1">
        <f t="shared" si="28"/>
        <v>1.1774262650801666</v>
      </c>
      <c r="AW152" s="1">
        <f t="shared" si="29"/>
        <v>0.74078618944062802</v>
      </c>
    </row>
    <row r="153" spans="1:49" x14ac:dyDescent="0.2">
      <c r="A153">
        <v>151</v>
      </c>
      <c r="B153" t="s">
        <v>9886</v>
      </c>
      <c r="C153" t="s">
        <v>9885</v>
      </c>
      <c r="F153" t="s">
        <v>9884</v>
      </c>
      <c r="G153" t="s">
        <v>12</v>
      </c>
      <c r="H153" t="s">
        <v>11</v>
      </c>
      <c r="I153" t="s">
        <v>9883</v>
      </c>
      <c r="J153">
        <v>60000179</v>
      </c>
      <c r="K153" t="s">
        <v>9882</v>
      </c>
      <c r="L153" t="s">
        <v>618</v>
      </c>
      <c r="M153" t="s">
        <v>617</v>
      </c>
      <c r="N153">
        <v>3</v>
      </c>
      <c r="O153" t="s">
        <v>9881</v>
      </c>
      <c r="P153" t="s">
        <v>9880</v>
      </c>
      <c r="Q153" t="s">
        <v>9879</v>
      </c>
      <c r="R153" s="7">
        <v>33604</v>
      </c>
      <c r="S153" s="8">
        <f t="shared" si="24"/>
        <v>1992</v>
      </c>
      <c r="T153" s="8">
        <v>1992</v>
      </c>
      <c r="U153" s="8">
        <f t="shared" si="25"/>
        <v>30</v>
      </c>
      <c r="V153" s="7">
        <v>33635</v>
      </c>
      <c r="W153" t="s">
        <v>9878</v>
      </c>
      <c r="X153" s="2">
        <v>0.85</v>
      </c>
      <c r="Y153" s="6">
        <f t="shared" si="22"/>
        <v>2.2690264541790128E-2</v>
      </c>
      <c r="AA153">
        <v>223646</v>
      </c>
      <c r="AB153">
        <v>19225</v>
      </c>
      <c r="AC153">
        <v>15298817</v>
      </c>
      <c r="AD153" t="s">
        <v>4</v>
      </c>
      <c r="AE153">
        <v>28</v>
      </c>
      <c r="AF153">
        <v>1</v>
      </c>
      <c r="AH153" t="s">
        <v>9877</v>
      </c>
      <c r="AI153" t="s">
        <v>9876</v>
      </c>
      <c r="AJ153" t="s">
        <v>9875</v>
      </c>
      <c r="AK153" t="s">
        <v>9874</v>
      </c>
      <c r="AL153">
        <v>15</v>
      </c>
      <c r="AM153" s="5">
        <f t="shared" si="26"/>
        <v>0.5</v>
      </c>
      <c r="AN153" s="4">
        <f t="shared" si="23"/>
        <v>7.572889057175312E-4</v>
      </c>
      <c r="AO153" s="3"/>
      <c r="AP153">
        <v>0</v>
      </c>
      <c r="AR153" t="s">
        <v>0</v>
      </c>
      <c r="AT153" s="2">
        <v>2.923</v>
      </c>
      <c r="AU153" s="1">
        <f t="shared" si="27"/>
        <v>1.611037185096835</v>
      </c>
      <c r="AV153" s="1">
        <f t="shared" si="28"/>
        <v>1.1723776723753829</v>
      </c>
      <c r="AW153" s="1">
        <f t="shared" si="29"/>
        <v>0.73371815965393106</v>
      </c>
    </row>
    <row r="154" spans="1:49" x14ac:dyDescent="0.2">
      <c r="A154">
        <v>152</v>
      </c>
      <c r="B154" t="s">
        <v>9873</v>
      </c>
      <c r="C154" t="s">
        <v>9872</v>
      </c>
      <c r="F154" t="s">
        <v>2253</v>
      </c>
      <c r="G154" t="s">
        <v>12</v>
      </c>
      <c r="H154" t="s">
        <v>11</v>
      </c>
      <c r="I154" t="s">
        <v>2252</v>
      </c>
      <c r="J154">
        <v>60010742</v>
      </c>
      <c r="K154" t="s">
        <v>2251</v>
      </c>
      <c r="L154" t="s">
        <v>2250</v>
      </c>
      <c r="M154" t="s">
        <v>151</v>
      </c>
      <c r="N154">
        <v>4</v>
      </c>
      <c r="O154" t="s">
        <v>2249</v>
      </c>
      <c r="P154" t="s">
        <v>2248</v>
      </c>
      <c r="Q154" t="s">
        <v>2247</v>
      </c>
      <c r="R154" s="7">
        <v>33604</v>
      </c>
      <c r="S154" s="8">
        <f t="shared" si="24"/>
        <v>1992</v>
      </c>
      <c r="T154" s="8">
        <v>1992</v>
      </c>
      <c r="U154" s="8">
        <f t="shared" si="25"/>
        <v>30</v>
      </c>
      <c r="V154" s="7">
        <v>1992</v>
      </c>
      <c r="W154" t="s">
        <v>9871</v>
      </c>
      <c r="X154" s="2" t="s">
        <v>16</v>
      </c>
      <c r="Y154" s="6" t="e">
        <f t="shared" si="22"/>
        <v>#VALUE!</v>
      </c>
      <c r="AA154">
        <v>4247760</v>
      </c>
      <c r="AB154">
        <v>16066</v>
      </c>
      <c r="AC154">
        <v>15206416</v>
      </c>
      <c r="AD154" t="s">
        <v>4</v>
      </c>
      <c r="AE154">
        <v>112</v>
      </c>
      <c r="AF154">
        <v>3</v>
      </c>
      <c r="AH154" t="s">
        <v>9870</v>
      </c>
      <c r="AI154" t="s">
        <v>9869</v>
      </c>
      <c r="AK154" t="s">
        <v>9868</v>
      </c>
      <c r="AL154">
        <v>0</v>
      </c>
      <c r="AM154" s="5">
        <f t="shared" si="26"/>
        <v>0</v>
      </c>
      <c r="AN154" s="4">
        <f t="shared" si="23"/>
        <v>0</v>
      </c>
      <c r="AO154" s="3"/>
      <c r="AP154">
        <v>0</v>
      </c>
      <c r="AR154" t="s">
        <v>0</v>
      </c>
      <c r="AT154" s="2">
        <v>0.22500000000000001</v>
      </c>
      <c r="AU154" s="1" t="e">
        <f t="shared" si="27"/>
        <v>#VALUE!</v>
      </c>
      <c r="AV154" s="1" t="e">
        <f t="shared" si="28"/>
        <v>#VALUE!</v>
      </c>
      <c r="AW154" s="1" t="e">
        <f t="shared" si="29"/>
        <v>#VALUE!</v>
      </c>
    </row>
    <row r="155" spans="1:49" x14ac:dyDescent="0.2">
      <c r="A155">
        <v>153</v>
      </c>
      <c r="B155" t="s">
        <v>9867</v>
      </c>
      <c r="C155" t="s">
        <v>9866</v>
      </c>
      <c r="F155" t="s">
        <v>9865</v>
      </c>
      <c r="G155" t="s">
        <v>12</v>
      </c>
      <c r="H155" t="s">
        <v>11</v>
      </c>
      <c r="I155" t="s">
        <v>9864</v>
      </c>
      <c r="J155">
        <v>60010491</v>
      </c>
      <c r="K155" t="s">
        <v>6819</v>
      </c>
      <c r="L155" t="s">
        <v>6818</v>
      </c>
      <c r="M155" t="s">
        <v>7</v>
      </c>
      <c r="N155">
        <v>2</v>
      </c>
      <c r="O155" t="s">
        <v>9863</v>
      </c>
      <c r="P155" t="s">
        <v>9862</v>
      </c>
      <c r="Q155" t="s">
        <v>8840</v>
      </c>
      <c r="R155" s="7">
        <v>33604</v>
      </c>
      <c r="S155" s="8">
        <f t="shared" si="24"/>
        <v>1992</v>
      </c>
      <c r="T155" s="8">
        <v>1992</v>
      </c>
      <c r="U155" s="8">
        <f t="shared" si="25"/>
        <v>30</v>
      </c>
      <c r="V155" s="7">
        <v>1992</v>
      </c>
      <c r="W155" t="s">
        <v>9853</v>
      </c>
      <c r="X155" s="2">
        <v>0.47799999999999998</v>
      </c>
      <c r="Y155" s="6">
        <f t="shared" si="22"/>
        <v>1.275993700114786E-2</v>
      </c>
      <c r="AA155">
        <v>10613773</v>
      </c>
      <c r="AB155">
        <v>18156</v>
      </c>
      <c r="AC155">
        <v>10990542</v>
      </c>
      <c r="AD155" t="s">
        <v>4</v>
      </c>
      <c r="AE155">
        <v>1</v>
      </c>
      <c r="AF155">
        <v>1</v>
      </c>
      <c r="AH155" t="s">
        <v>9861</v>
      </c>
      <c r="AI155" t="s">
        <v>9860</v>
      </c>
      <c r="AK155" t="s">
        <v>9859</v>
      </c>
      <c r="AL155">
        <v>1</v>
      </c>
      <c r="AM155" s="5">
        <f t="shared" si="26"/>
        <v>3.3333333333333333E-2</v>
      </c>
      <c r="AN155" s="4">
        <f t="shared" si="23"/>
        <v>5.0485927047835418E-5</v>
      </c>
      <c r="AO155" s="3"/>
      <c r="AP155">
        <v>0</v>
      </c>
      <c r="AR155" t="s">
        <v>0</v>
      </c>
      <c r="AT155" s="2" t="s">
        <v>16</v>
      </c>
      <c r="AU155" s="1">
        <f t="shared" si="27"/>
        <v>0.89471016789178515</v>
      </c>
      <c r="AV155" s="1">
        <f t="shared" si="28"/>
        <v>0.64052114640978475</v>
      </c>
      <c r="AW155" s="1">
        <f t="shared" si="29"/>
        <v>0.38633212492778429</v>
      </c>
    </row>
    <row r="156" spans="1:49" x14ac:dyDescent="0.2">
      <c r="A156">
        <v>154</v>
      </c>
      <c r="B156" t="s">
        <v>9858</v>
      </c>
      <c r="C156" t="s">
        <v>9857</v>
      </c>
      <c r="F156" t="s">
        <v>9856</v>
      </c>
      <c r="G156" t="s">
        <v>12</v>
      </c>
      <c r="H156" t="s">
        <v>11</v>
      </c>
      <c r="I156" t="s">
        <v>9855</v>
      </c>
      <c r="J156">
        <v>60025488</v>
      </c>
      <c r="K156" t="s">
        <v>1678</v>
      </c>
      <c r="L156" t="s">
        <v>1677</v>
      </c>
      <c r="M156" t="s">
        <v>7</v>
      </c>
      <c r="N156">
        <v>1</v>
      </c>
      <c r="O156" t="s">
        <v>9854</v>
      </c>
      <c r="P156">
        <v>34769915200</v>
      </c>
      <c r="Q156">
        <v>60025488</v>
      </c>
      <c r="R156" s="7">
        <v>33604</v>
      </c>
      <c r="S156" s="8">
        <f t="shared" si="24"/>
        <v>1992</v>
      </c>
      <c r="T156" s="8">
        <v>1992</v>
      </c>
      <c r="U156" s="8">
        <f t="shared" si="25"/>
        <v>30</v>
      </c>
      <c r="V156" s="7">
        <v>1992</v>
      </c>
      <c r="W156" t="s">
        <v>9853</v>
      </c>
      <c r="X156" s="2">
        <v>0.47799999999999998</v>
      </c>
      <c r="Y156" s="6">
        <f t="shared" si="22"/>
        <v>1.275993700114786E-2</v>
      </c>
      <c r="AA156">
        <v>10613773</v>
      </c>
      <c r="AB156">
        <v>18156</v>
      </c>
      <c r="AC156">
        <v>10990542</v>
      </c>
      <c r="AD156" t="s">
        <v>4</v>
      </c>
      <c r="AE156">
        <v>1</v>
      </c>
      <c r="AF156">
        <v>1</v>
      </c>
      <c r="AH156" t="s">
        <v>9852</v>
      </c>
      <c r="AI156" t="s">
        <v>9851</v>
      </c>
      <c r="AK156" t="s">
        <v>9850</v>
      </c>
      <c r="AL156">
        <v>11</v>
      </c>
      <c r="AM156" s="5">
        <f t="shared" si="26"/>
        <v>0.36666666666666664</v>
      </c>
      <c r="AN156" s="4">
        <f t="shared" si="23"/>
        <v>5.5534519752618958E-4</v>
      </c>
      <c r="AO156" s="3"/>
      <c r="AP156">
        <v>0</v>
      </c>
      <c r="AR156" t="s">
        <v>0</v>
      </c>
      <c r="AT156" s="2" t="s">
        <v>16</v>
      </c>
      <c r="AU156" s="1">
        <f t="shared" si="27"/>
        <v>0.90985594600613584</v>
      </c>
      <c r="AV156" s="1">
        <f t="shared" si="28"/>
        <v>0.6657641099337025</v>
      </c>
      <c r="AW156" s="1">
        <f t="shared" si="29"/>
        <v>0.4216722738612691</v>
      </c>
    </row>
    <row r="157" spans="1:49" x14ac:dyDescent="0.2">
      <c r="A157">
        <v>155</v>
      </c>
      <c r="B157" t="s">
        <v>9849</v>
      </c>
      <c r="C157" t="s">
        <v>9848</v>
      </c>
      <c r="F157" t="s">
        <v>9847</v>
      </c>
      <c r="G157" t="s">
        <v>12</v>
      </c>
      <c r="H157" t="s">
        <v>11</v>
      </c>
      <c r="I157" t="s">
        <v>9846</v>
      </c>
      <c r="J157" t="s">
        <v>9840</v>
      </c>
      <c r="K157" t="s">
        <v>9845</v>
      </c>
      <c r="L157" t="s">
        <v>9844</v>
      </c>
      <c r="M157" t="s">
        <v>9843</v>
      </c>
      <c r="N157">
        <v>2</v>
      </c>
      <c r="O157" t="s">
        <v>9842</v>
      </c>
      <c r="P157" t="s">
        <v>9841</v>
      </c>
      <c r="Q157" t="s">
        <v>9840</v>
      </c>
      <c r="R157" s="7">
        <v>33604</v>
      </c>
      <c r="S157" s="8">
        <f t="shared" si="24"/>
        <v>1992</v>
      </c>
      <c r="T157" s="8">
        <v>1992</v>
      </c>
      <c r="U157" s="8">
        <f t="shared" si="25"/>
        <v>30</v>
      </c>
      <c r="V157" s="7">
        <v>33939</v>
      </c>
      <c r="W157" t="s">
        <v>9839</v>
      </c>
      <c r="X157" s="2">
        <v>0.71899999999999997</v>
      </c>
      <c r="Y157" s="6">
        <f t="shared" si="22"/>
        <v>1.9193294359467178E-2</v>
      </c>
      <c r="AA157">
        <v>1704214</v>
      </c>
      <c r="AB157">
        <v>24594</v>
      </c>
      <c r="AC157">
        <v>10991476</v>
      </c>
      <c r="AD157" t="s">
        <v>4</v>
      </c>
      <c r="AE157">
        <v>15</v>
      </c>
      <c r="AF157">
        <v>9</v>
      </c>
      <c r="AH157" t="s">
        <v>9838</v>
      </c>
      <c r="AI157" t="s">
        <v>9837</v>
      </c>
      <c r="AK157" t="s">
        <v>9836</v>
      </c>
      <c r="AL157">
        <v>8</v>
      </c>
      <c r="AM157" s="5">
        <f t="shared" si="26"/>
        <v>0.26666666666666666</v>
      </c>
      <c r="AN157" s="4">
        <f t="shared" si="23"/>
        <v>4.0388741638268334E-4</v>
      </c>
      <c r="AO157" s="3"/>
      <c r="AP157">
        <v>0</v>
      </c>
      <c r="AR157" t="s">
        <v>0</v>
      </c>
      <c r="AT157" s="2" t="s">
        <v>16</v>
      </c>
      <c r="AU157" s="1">
        <f t="shared" si="27"/>
        <v>1.3556472276541827</v>
      </c>
      <c r="AV157" s="1">
        <f t="shared" si="28"/>
        <v>0.97985908879249306</v>
      </c>
      <c r="AW157" s="1">
        <f t="shared" si="29"/>
        <v>0.60407094993080312</v>
      </c>
    </row>
    <row r="158" spans="1:49" x14ac:dyDescent="0.2">
      <c r="A158">
        <v>156</v>
      </c>
      <c r="B158" t="s">
        <v>9835</v>
      </c>
      <c r="C158" t="s">
        <v>9834</v>
      </c>
      <c r="F158" t="s">
        <v>9833</v>
      </c>
      <c r="G158" t="s">
        <v>12</v>
      </c>
      <c r="H158" t="s">
        <v>11</v>
      </c>
      <c r="I158" t="s">
        <v>9832</v>
      </c>
      <c r="J158">
        <v>60097365</v>
      </c>
      <c r="K158" t="s">
        <v>9831</v>
      </c>
      <c r="L158" t="s">
        <v>461</v>
      </c>
      <c r="M158" t="s">
        <v>460</v>
      </c>
      <c r="N158">
        <v>1</v>
      </c>
      <c r="O158" t="s">
        <v>9830</v>
      </c>
      <c r="P158">
        <v>16527072600</v>
      </c>
      <c r="Q158">
        <v>60097365</v>
      </c>
      <c r="R158" s="7">
        <v>33604</v>
      </c>
      <c r="S158" s="8">
        <f t="shared" si="24"/>
        <v>1992</v>
      </c>
      <c r="T158" s="8">
        <v>1992</v>
      </c>
      <c r="U158" s="8">
        <f t="shared" si="25"/>
        <v>30</v>
      </c>
      <c r="V158" s="7">
        <v>33635</v>
      </c>
      <c r="W158" t="s">
        <v>9829</v>
      </c>
      <c r="X158" s="2">
        <v>1.1479999999999999</v>
      </c>
      <c r="Y158" s="6">
        <f t="shared" si="22"/>
        <v>3.0645204345853019E-2</v>
      </c>
      <c r="AA158">
        <v>244082</v>
      </c>
      <c r="AB158">
        <v>22631</v>
      </c>
      <c r="AC158">
        <v>10963642</v>
      </c>
      <c r="AD158" t="s">
        <v>4</v>
      </c>
      <c r="AE158">
        <v>104</v>
      </c>
      <c r="AF158">
        <v>2</v>
      </c>
      <c r="AH158" t="s">
        <v>9828</v>
      </c>
      <c r="AI158" t="s">
        <v>9827</v>
      </c>
      <c r="AJ158" t="s">
        <v>9826</v>
      </c>
      <c r="AK158" t="s">
        <v>9825</v>
      </c>
      <c r="AL158">
        <v>48</v>
      </c>
      <c r="AM158" s="5">
        <f t="shared" si="26"/>
        <v>1.6</v>
      </c>
      <c r="AN158" s="4">
        <f t="shared" si="23"/>
        <v>2.4233244982961003E-3</v>
      </c>
      <c r="AO158" s="3"/>
      <c r="AP158">
        <v>0</v>
      </c>
      <c r="AR158" t="s">
        <v>0</v>
      </c>
      <c r="AT158" s="2" t="s">
        <v>16</v>
      </c>
      <c r="AU158" s="1">
        <f t="shared" si="27"/>
        <v>2.2178640391585942</v>
      </c>
      <c r="AV158" s="1">
        <f t="shared" si="28"/>
        <v>1.6534264422074558</v>
      </c>
      <c r="AW158" s="1">
        <f t="shared" si="29"/>
        <v>1.0889888452563175</v>
      </c>
    </row>
    <row r="159" spans="1:49" x14ac:dyDescent="0.2">
      <c r="A159">
        <v>157</v>
      </c>
      <c r="B159" t="s">
        <v>9824</v>
      </c>
      <c r="C159" t="s">
        <v>9823</v>
      </c>
      <c r="F159" t="s">
        <v>9822</v>
      </c>
      <c r="G159" t="s">
        <v>12</v>
      </c>
      <c r="H159" t="s">
        <v>11</v>
      </c>
      <c r="I159" t="s">
        <v>9821</v>
      </c>
      <c r="J159">
        <v>60025200</v>
      </c>
      <c r="K159" t="s">
        <v>9820</v>
      </c>
      <c r="L159" t="s">
        <v>9819</v>
      </c>
      <c r="M159" t="s">
        <v>856</v>
      </c>
      <c r="N159">
        <v>4</v>
      </c>
      <c r="O159" t="s">
        <v>9818</v>
      </c>
      <c r="P159" t="s">
        <v>9817</v>
      </c>
      <c r="Q159" t="s">
        <v>9816</v>
      </c>
      <c r="R159" s="7">
        <v>33604</v>
      </c>
      <c r="S159" s="8">
        <f t="shared" si="24"/>
        <v>1992</v>
      </c>
      <c r="T159" s="8">
        <v>1992</v>
      </c>
      <c r="U159" s="8">
        <f t="shared" si="25"/>
        <v>30</v>
      </c>
      <c r="V159" s="7">
        <v>33909</v>
      </c>
      <c r="W159" t="s">
        <v>9815</v>
      </c>
      <c r="X159" s="2">
        <v>0.81899999999999995</v>
      </c>
      <c r="Y159" s="6">
        <f t="shared" si="22"/>
        <v>2.1862737246736607E-2</v>
      </c>
      <c r="AA159">
        <v>1407775</v>
      </c>
      <c r="AB159">
        <v>13527</v>
      </c>
      <c r="AC159">
        <v>13652761</v>
      </c>
      <c r="AD159" t="s">
        <v>4</v>
      </c>
      <c r="AE159">
        <v>15</v>
      </c>
      <c r="AF159">
        <v>6</v>
      </c>
      <c r="AH159" t="s">
        <v>9814</v>
      </c>
      <c r="AI159" t="s">
        <v>9813</v>
      </c>
      <c r="AK159" t="s">
        <v>9812</v>
      </c>
      <c r="AL159">
        <v>76</v>
      </c>
      <c r="AM159" s="5">
        <f t="shared" si="26"/>
        <v>2.5333333333333332</v>
      </c>
      <c r="AN159" s="4">
        <f t="shared" si="23"/>
        <v>3.8369304556354913E-3</v>
      </c>
      <c r="AO159" s="3"/>
      <c r="AP159">
        <v>0</v>
      </c>
      <c r="AR159" t="s">
        <v>0</v>
      </c>
      <c r="AT159" s="2">
        <v>2.7669999999999999</v>
      </c>
      <c r="AU159" s="1">
        <f t="shared" si="27"/>
        <v>1.6454995209406271</v>
      </c>
      <c r="AV159" s="1">
        <f t="shared" si="28"/>
        <v>1.2849833851186048</v>
      </c>
      <c r="AW159" s="1">
        <f t="shared" si="29"/>
        <v>0.92446724929658253</v>
      </c>
    </row>
    <row r="160" spans="1:49" x14ac:dyDescent="0.2">
      <c r="A160">
        <v>158</v>
      </c>
      <c r="B160" t="s">
        <v>9811</v>
      </c>
      <c r="C160" t="s">
        <v>9810</v>
      </c>
      <c r="F160" t="s">
        <v>9809</v>
      </c>
      <c r="G160" t="s">
        <v>12</v>
      </c>
      <c r="H160" t="s">
        <v>11</v>
      </c>
      <c r="I160" t="s">
        <v>9808</v>
      </c>
      <c r="J160" t="s">
        <v>9807</v>
      </c>
      <c r="K160" t="s">
        <v>9806</v>
      </c>
      <c r="L160" t="s">
        <v>9805</v>
      </c>
      <c r="M160" t="s">
        <v>9804</v>
      </c>
      <c r="N160">
        <v>4</v>
      </c>
      <c r="O160" t="s">
        <v>9803</v>
      </c>
      <c r="P160" t="s">
        <v>9802</v>
      </c>
      <c r="Q160" t="s">
        <v>9801</v>
      </c>
      <c r="R160" s="7">
        <v>33604</v>
      </c>
      <c r="S160" s="8">
        <f t="shared" si="24"/>
        <v>1992</v>
      </c>
      <c r="T160" s="8">
        <v>1992</v>
      </c>
      <c r="U160" s="8">
        <f t="shared" si="25"/>
        <v>30</v>
      </c>
      <c r="V160" s="7">
        <v>33817</v>
      </c>
      <c r="W160" t="s">
        <v>1458</v>
      </c>
      <c r="X160" s="2">
        <v>0.30399999999999999</v>
      </c>
      <c r="Y160" s="6">
        <f t="shared" si="22"/>
        <v>8.115106377299057E-3</v>
      </c>
      <c r="AA160">
        <v>8952477</v>
      </c>
      <c r="AB160">
        <v>12250</v>
      </c>
      <c r="AC160">
        <v>10982760</v>
      </c>
      <c r="AD160" t="s">
        <v>4</v>
      </c>
      <c r="AE160">
        <v>5</v>
      </c>
      <c r="AF160">
        <v>9</v>
      </c>
      <c r="AH160" t="s">
        <v>9800</v>
      </c>
      <c r="AI160" t="s">
        <v>9799</v>
      </c>
      <c r="AJ160" t="s">
        <v>9798</v>
      </c>
      <c r="AK160" t="s">
        <v>9797</v>
      </c>
      <c r="AL160">
        <v>2</v>
      </c>
      <c r="AM160" s="5">
        <f t="shared" si="26"/>
        <v>6.6666666666666666E-2</v>
      </c>
      <c r="AN160" s="4">
        <f t="shared" si="23"/>
        <v>1.0097185409567084E-4</v>
      </c>
      <c r="AO160" s="3"/>
      <c r="AP160">
        <v>0</v>
      </c>
      <c r="AR160" t="s">
        <v>0</v>
      </c>
      <c r="AT160" s="2" t="s">
        <v>16</v>
      </c>
      <c r="AU160" s="1">
        <f t="shared" si="27"/>
        <v>0.57108660203380401</v>
      </c>
      <c r="AV160" s="1">
        <f t="shared" si="28"/>
        <v>0.41080391156973639</v>
      </c>
      <c r="AW160" s="1">
        <f t="shared" si="29"/>
        <v>0.25052122110566866</v>
      </c>
    </row>
    <row r="161" spans="1:49" x14ac:dyDescent="0.2">
      <c r="A161">
        <v>159</v>
      </c>
      <c r="B161" t="s">
        <v>9796</v>
      </c>
      <c r="C161" t="s">
        <v>9795</v>
      </c>
      <c r="F161" t="s">
        <v>9794</v>
      </c>
      <c r="G161" t="s">
        <v>12</v>
      </c>
      <c r="H161" t="s">
        <v>11</v>
      </c>
      <c r="I161" t="s">
        <v>2910</v>
      </c>
      <c r="J161">
        <v>60026717</v>
      </c>
      <c r="K161" t="s">
        <v>2909</v>
      </c>
      <c r="L161" t="s">
        <v>2908</v>
      </c>
      <c r="M161" t="s">
        <v>7</v>
      </c>
      <c r="N161">
        <v>3</v>
      </c>
      <c r="O161" t="s">
        <v>9793</v>
      </c>
      <c r="P161" t="s">
        <v>9792</v>
      </c>
      <c r="Q161" t="s">
        <v>2905</v>
      </c>
      <c r="R161" s="7">
        <v>33604</v>
      </c>
      <c r="S161" s="8">
        <f t="shared" si="24"/>
        <v>1992</v>
      </c>
      <c r="T161" s="8">
        <v>1992</v>
      </c>
      <c r="U161" s="8">
        <f t="shared" si="25"/>
        <v>30</v>
      </c>
      <c r="V161" s="7">
        <v>33817</v>
      </c>
      <c r="W161" t="s">
        <v>1458</v>
      </c>
      <c r="X161" s="2">
        <v>0.30399999999999999</v>
      </c>
      <c r="Y161" s="6">
        <f t="shared" si="22"/>
        <v>8.115106377299057E-3</v>
      </c>
      <c r="AA161">
        <v>8952477</v>
      </c>
      <c r="AB161">
        <v>12250</v>
      </c>
      <c r="AC161">
        <v>10982760</v>
      </c>
      <c r="AD161" t="s">
        <v>4</v>
      </c>
      <c r="AE161">
        <v>5</v>
      </c>
      <c r="AF161">
        <v>9</v>
      </c>
      <c r="AH161" t="s">
        <v>9791</v>
      </c>
      <c r="AI161" t="s">
        <v>9790</v>
      </c>
      <c r="AJ161" t="s">
        <v>9789</v>
      </c>
      <c r="AK161" t="s">
        <v>9788</v>
      </c>
      <c r="AL161">
        <v>0</v>
      </c>
      <c r="AM161" s="5">
        <f t="shared" si="26"/>
        <v>0</v>
      </c>
      <c r="AN161" s="4">
        <f t="shared" si="23"/>
        <v>0</v>
      </c>
      <c r="AO161" s="3"/>
      <c r="AP161">
        <v>0</v>
      </c>
      <c r="AR161" t="s">
        <v>0</v>
      </c>
      <c r="AT161" s="2" t="s">
        <v>16</v>
      </c>
      <c r="AU161" s="1">
        <f t="shared" si="27"/>
        <v>0.56805744641093392</v>
      </c>
      <c r="AV161" s="1">
        <f t="shared" si="28"/>
        <v>0.40575531886495286</v>
      </c>
      <c r="AW161" s="1">
        <f t="shared" si="29"/>
        <v>0.24345319131897172</v>
      </c>
    </row>
    <row r="162" spans="1:49" x14ac:dyDescent="0.2">
      <c r="A162">
        <v>160</v>
      </c>
      <c r="B162" t="s">
        <v>9787</v>
      </c>
      <c r="C162" t="s">
        <v>9786</v>
      </c>
      <c r="F162" t="s">
        <v>9785</v>
      </c>
      <c r="G162" t="s">
        <v>12</v>
      </c>
      <c r="H162" t="s">
        <v>11</v>
      </c>
      <c r="I162" t="s">
        <v>3516</v>
      </c>
      <c r="J162">
        <v>60031004</v>
      </c>
      <c r="K162" t="s">
        <v>3272</v>
      </c>
      <c r="L162" t="s">
        <v>3271</v>
      </c>
      <c r="M162" t="s">
        <v>2620</v>
      </c>
      <c r="N162">
        <v>2</v>
      </c>
      <c r="O162" t="s">
        <v>9784</v>
      </c>
      <c r="P162" t="s">
        <v>9783</v>
      </c>
      <c r="Q162" t="s">
        <v>3268</v>
      </c>
      <c r="R162" s="7">
        <v>33604</v>
      </c>
      <c r="S162" s="8">
        <f t="shared" si="24"/>
        <v>1992</v>
      </c>
      <c r="T162" s="8">
        <v>1992</v>
      </c>
      <c r="U162" s="8">
        <f t="shared" si="25"/>
        <v>30</v>
      </c>
      <c r="V162" s="7">
        <v>33817</v>
      </c>
      <c r="W162" t="s">
        <v>1458</v>
      </c>
      <c r="X162" s="2">
        <v>0.30399999999999999</v>
      </c>
      <c r="Y162" s="6">
        <f t="shared" si="22"/>
        <v>8.115106377299057E-3</v>
      </c>
      <c r="AA162">
        <v>8952477</v>
      </c>
      <c r="AB162">
        <v>12250</v>
      </c>
      <c r="AC162">
        <v>10982760</v>
      </c>
      <c r="AD162" t="s">
        <v>4</v>
      </c>
      <c r="AE162">
        <v>5</v>
      </c>
      <c r="AF162">
        <v>9</v>
      </c>
      <c r="AH162" t="s">
        <v>9782</v>
      </c>
      <c r="AI162" t="s">
        <v>9781</v>
      </c>
      <c r="AJ162" t="s">
        <v>9780</v>
      </c>
      <c r="AK162" t="s">
        <v>9779</v>
      </c>
      <c r="AL162">
        <v>3</v>
      </c>
      <c r="AM162" s="5">
        <f t="shared" si="26"/>
        <v>0.1</v>
      </c>
      <c r="AN162" s="4">
        <f t="shared" si="23"/>
        <v>1.5145778114350627E-4</v>
      </c>
      <c r="AO162" s="3"/>
      <c r="AP162">
        <v>0</v>
      </c>
      <c r="AR162" t="s">
        <v>0</v>
      </c>
      <c r="AT162" s="2" t="s">
        <v>16</v>
      </c>
      <c r="AU162" s="1">
        <f t="shared" si="27"/>
        <v>0.57260117984523917</v>
      </c>
      <c r="AV162" s="1">
        <f t="shared" si="28"/>
        <v>0.41332820792212815</v>
      </c>
      <c r="AW162" s="1">
        <f t="shared" si="29"/>
        <v>0.25405523599901714</v>
      </c>
    </row>
    <row r="163" spans="1:49" x14ac:dyDescent="0.2">
      <c r="A163">
        <v>161</v>
      </c>
      <c r="B163" t="s">
        <v>9778</v>
      </c>
      <c r="C163" t="s">
        <v>9777</v>
      </c>
      <c r="F163" t="s">
        <v>9776</v>
      </c>
      <c r="G163" t="s">
        <v>12</v>
      </c>
      <c r="H163" t="s">
        <v>11</v>
      </c>
      <c r="I163" t="s">
        <v>4700</v>
      </c>
      <c r="J163">
        <v>60030821</v>
      </c>
      <c r="K163" t="s">
        <v>1310</v>
      </c>
      <c r="L163" t="s">
        <v>1181</v>
      </c>
      <c r="M163" t="s">
        <v>7</v>
      </c>
      <c r="N163">
        <v>1</v>
      </c>
      <c r="O163" t="s">
        <v>9775</v>
      </c>
      <c r="P163">
        <v>7402673635</v>
      </c>
      <c r="Q163">
        <v>60030821</v>
      </c>
      <c r="R163" s="7">
        <v>33604</v>
      </c>
      <c r="S163" s="8">
        <f t="shared" si="24"/>
        <v>1992</v>
      </c>
      <c r="T163" s="8">
        <v>1992</v>
      </c>
      <c r="U163" s="8">
        <f t="shared" si="25"/>
        <v>30</v>
      </c>
      <c r="V163" s="7">
        <v>33817</v>
      </c>
      <c r="W163" t="s">
        <v>1458</v>
      </c>
      <c r="X163" s="2">
        <v>0.30399999999999999</v>
      </c>
      <c r="Y163" s="6">
        <f t="shared" si="22"/>
        <v>8.115106377299057E-3</v>
      </c>
      <c r="AA163">
        <v>8952477</v>
      </c>
      <c r="AB163">
        <v>12250</v>
      </c>
      <c r="AC163">
        <v>10982760</v>
      </c>
      <c r="AD163" t="s">
        <v>4</v>
      </c>
      <c r="AE163">
        <v>5</v>
      </c>
      <c r="AF163">
        <v>9</v>
      </c>
      <c r="AH163" t="s">
        <v>9774</v>
      </c>
      <c r="AI163" t="s">
        <v>9773</v>
      </c>
      <c r="AJ163" t="s">
        <v>9772</v>
      </c>
      <c r="AK163" t="s">
        <v>9771</v>
      </c>
      <c r="AL163">
        <v>0</v>
      </c>
      <c r="AM163" s="5">
        <f t="shared" si="26"/>
        <v>0</v>
      </c>
      <c r="AN163" s="4">
        <f t="shared" si="23"/>
        <v>0</v>
      </c>
      <c r="AO163" s="3"/>
      <c r="AP163">
        <v>0</v>
      </c>
      <c r="AR163" t="s">
        <v>0</v>
      </c>
      <c r="AT163" s="2" t="s">
        <v>16</v>
      </c>
      <c r="AU163" s="1">
        <f t="shared" si="27"/>
        <v>0.56805744641093392</v>
      </c>
      <c r="AV163" s="1">
        <f t="shared" si="28"/>
        <v>0.40575531886495286</v>
      </c>
      <c r="AW163" s="1">
        <f t="shared" si="29"/>
        <v>0.24345319131897172</v>
      </c>
    </row>
    <row r="164" spans="1:49" x14ac:dyDescent="0.2">
      <c r="A164">
        <v>162</v>
      </c>
      <c r="B164" t="s">
        <v>9770</v>
      </c>
      <c r="C164" t="s">
        <v>9769</v>
      </c>
      <c r="F164" t="s">
        <v>9768</v>
      </c>
      <c r="G164" t="s">
        <v>12</v>
      </c>
      <c r="H164" t="s">
        <v>11</v>
      </c>
      <c r="I164" t="s">
        <v>8364</v>
      </c>
      <c r="J164">
        <v>60103653</v>
      </c>
      <c r="K164" t="s">
        <v>2662</v>
      </c>
      <c r="L164" t="s">
        <v>657</v>
      </c>
      <c r="M164" t="s">
        <v>656</v>
      </c>
      <c r="N164">
        <v>2</v>
      </c>
      <c r="O164" t="s">
        <v>8363</v>
      </c>
      <c r="P164" t="s">
        <v>8362</v>
      </c>
      <c r="Q164" t="s">
        <v>5537</v>
      </c>
      <c r="R164" s="7">
        <v>33604</v>
      </c>
      <c r="S164" s="8">
        <f t="shared" si="24"/>
        <v>1992</v>
      </c>
      <c r="T164" s="8">
        <v>1992</v>
      </c>
      <c r="U164" s="8">
        <f t="shared" si="25"/>
        <v>30</v>
      </c>
      <c r="V164" s="7">
        <v>1992</v>
      </c>
      <c r="W164" t="s">
        <v>9767</v>
      </c>
      <c r="X164" s="2">
        <v>0.53100000000000003</v>
      </c>
      <c r="Y164" s="6">
        <f t="shared" si="22"/>
        <v>1.4174741731400658E-2</v>
      </c>
      <c r="AA164">
        <v>8631042</v>
      </c>
      <c r="AB164">
        <v>27458</v>
      </c>
      <c r="AC164">
        <v>15213986</v>
      </c>
      <c r="AD164" t="s">
        <v>4</v>
      </c>
      <c r="AE164">
        <v>32</v>
      </c>
      <c r="AF164" s="9">
        <v>44289</v>
      </c>
      <c r="AH164" t="s">
        <v>9766</v>
      </c>
      <c r="AI164" t="s">
        <v>9765</v>
      </c>
      <c r="AK164" t="s">
        <v>9764</v>
      </c>
      <c r="AL164">
        <v>0</v>
      </c>
      <c r="AM164" s="5">
        <f t="shared" si="26"/>
        <v>0</v>
      </c>
      <c r="AN164" s="4">
        <f t="shared" si="23"/>
        <v>0</v>
      </c>
      <c r="AO164" s="3"/>
      <c r="AP164">
        <v>0</v>
      </c>
      <c r="AR164" t="s">
        <v>0</v>
      </c>
      <c r="AT164" s="2">
        <v>1.5629999999999999</v>
      </c>
      <c r="AU164" s="1">
        <f t="shared" si="27"/>
        <v>0.99223192119804593</v>
      </c>
      <c r="AV164" s="1">
        <f t="shared" si="28"/>
        <v>0.70873708657003287</v>
      </c>
      <c r="AW164" s="1">
        <f t="shared" si="29"/>
        <v>0.42524225194201976</v>
      </c>
    </row>
    <row r="165" spans="1:49" x14ac:dyDescent="0.2">
      <c r="A165">
        <v>163</v>
      </c>
      <c r="B165" t="s">
        <v>9763</v>
      </c>
      <c r="C165" t="s">
        <v>9762</v>
      </c>
      <c r="F165" t="s">
        <v>9761</v>
      </c>
      <c r="G165" t="s">
        <v>12</v>
      </c>
      <c r="H165" t="s">
        <v>11</v>
      </c>
      <c r="I165" t="s">
        <v>9760</v>
      </c>
      <c r="J165">
        <v>60067221</v>
      </c>
      <c r="K165" t="s">
        <v>9759</v>
      </c>
      <c r="L165" t="s">
        <v>4548</v>
      </c>
      <c r="M165" t="s">
        <v>219</v>
      </c>
      <c r="N165">
        <v>1</v>
      </c>
      <c r="O165" t="s">
        <v>9758</v>
      </c>
      <c r="P165">
        <v>56624883100</v>
      </c>
      <c r="Q165">
        <v>60067221</v>
      </c>
      <c r="R165" s="7">
        <v>33604</v>
      </c>
      <c r="S165" s="8">
        <f t="shared" si="24"/>
        <v>1992</v>
      </c>
      <c r="T165" s="8">
        <v>1992</v>
      </c>
      <c r="U165" s="8">
        <f t="shared" si="25"/>
        <v>30</v>
      </c>
      <c r="V165" s="7">
        <v>33695</v>
      </c>
      <c r="W165" t="s">
        <v>9757</v>
      </c>
      <c r="X165" s="2" t="s">
        <v>16</v>
      </c>
      <c r="Y165" s="6" t="e">
        <f t="shared" si="22"/>
        <v>#VALUE!</v>
      </c>
      <c r="AA165">
        <v>336807</v>
      </c>
      <c r="AB165">
        <v>22486</v>
      </c>
      <c r="AC165">
        <v>14679310</v>
      </c>
      <c r="AD165" t="s">
        <v>4</v>
      </c>
      <c r="AE165">
        <v>22</v>
      </c>
      <c r="AF165">
        <v>2</v>
      </c>
      <c r="AH165" t="s">
        <v>9756</v>
      </c>
      <c r="AI165" t="s">
        <v>9755</v>
      </c>
      <c r="AK165" t="s">
        <v>9754</v>
      </c>
      <c r="AL165">
        <v>52</v>
      </c>
      <c r="AM165" s="5">
        <f t="shared" si="26"/>
        <v>1.7333333333333334</v>
      </c>
      <c r="AN165" s="4">
        <f t="shared" si="23"/>
        <v>2.6252682064874418E-3</v>
      </c>
      <c r="AO165" s="3"/>
      <c r="AP165">
        <v>0</v>
      </c>
      <c r="AR165" t="s">
        <v>0</v>
      </c>
      <c r="AT165" s="2" t="s">
        <v>16</v>
      </c>
      <c r="AU165" s="1" t="e">
        <f t="shared" si="27"/>
        <v>#VALUE!</v>
      </c>
      <c r="AV165" s="1" t="e">
        <f t="shared" si="28"/>
        <v>#VALUE!</v>
      </c>
      <c r="AW165" s="1" t="e">
        <f t="shared" si="29"/>
        <v>#VALUE!</v>
      </c>
    </row>
    <row r="166" spans="1:49" x14ac:dyDescent="0.2">
      <c r="A166">
        <v>164</v>
      </c>
      <c r="B166" t="s">
        <v>9753</v>
      </c>
      <c r="C166" t="s">
        <v>9752</v>
      </c>
      <c r="F166" t="s">
        <v>9751</v>
      </c>
      <c r="G166" t="s">
        <v>12</v>
      </c>
      <c r="H166" t="s">
        <v>11</v>
      </c>
      <c r="I166" t="s">
        <v>9750</v>
      </c>
      <c r="J166">
        <v>117138671</v>
      </c>
      <c r="K166" t="s">
        <v>9749</v>
      </c>
      <c r="L166" t="s">
        <v>9748</v>
      </c>
      <c r="M166" t="s">
        <v>273</v>
      </c>
      <c r="N166">
        <v>1</v>
      </c>
      <c r="O166" t="s">
        <v>9747</v>
      </c>
      <c r="P166">
        <v>6505512534</v>
      </c>
      <c r="Q166">
        <v>117138671</v>
      </c>
      <c r="R166" s="7">
        <v>33604</v>
      </c>
      <c r="S166" s="8">
        <f t="shared" si="24"/>
        <v>1992</v>
      </c>
      <c r="T166" s="8">
        <v>1992</v>
      </c>
      <c r="U166" s="8">
        <f t="shared" si="25"/>
        <v>30</v>
      </c>
      <c r="V166" s="7">
        <v>33604</v>
      </c>
      <c r="W166" t="s">
        <v>9746</v>
      </c>
      <c r="X166" s="2">
        <v>1.552</v>
      </c>
      <c r="Y166" s="6">
        <f t="shared" si="22"/>
        <v>4.1429753610421505E-2</v>
      </c>
      <c r="AA166">
        <v>3076970</v>
      </c>
      <c r="AB166">
        <v>21594</v>
      </c>
      <c r="AC166">
        <v>13653113</v>
      </c>
      <c r="AD166" t="s">
        <v>4</v>
      </c>
      <c r="AE166">
        <v>17</v>
      </c>
      <c r="AF166">
        <v>1</v>
      </c>
      <c r="AH166" t="s">
        <v>9745</v>
      </c>
      <c r="AI166" t="s">
        <v>9744</v>
      </c>
      <c r="AK166" t="s">
        <v>9743</v>
      </c>
      <c r="AL166">
        <v>8</v>
      </c>
      <c r="AM166" s="5">
        <f t="shared" si="26"/>
        <v>0.26666666666666666</v>
      </c>
      <c r="AN166" s="4">
        <f t="shared" si="23"/>
        <v>4.0388741638268334E-4</v>
      </c>
      <c r="AO166" s="3"/>
      <c r="AP166">
        <v>0</v>
      </c>
      <c r="AR166" t="s">
        <v>0</v>
      </c>
      <c r="AT166" s="2">
        <v>3.8439999999999999</v>
      </c>
      <c r="AU166" s="1">
        <f t="shared" si="27"/>
        <v>2.9121993752209856</v>
      </c>
      <c r="AV166" s="1">
        <f t="shared" si="28"/>
        <v>2.0916820513402095</v>
      </c>
      <c r="AW166" s="1">
        <f t="shared" si="29"/>
        <v>1.2711647274594329</v>
      </c>
    </row>
    <row r="167" spans="1:49" x14ac:dyDescent="0.2">
      <c r="A167">
        <v>165</v>
      </c>
      <c r="B167" t="s">
        <v>9742</v>
      </c>
      <c r="C167" t="s">
        <v>9741</v>
      </c>
      <c r="F167" t="s">
        <v>9740</v>
      </c>
      <c r="G167" t="s">
        <v>12</v>
      </c>
      <c r="H167" t="s">
        <v>11</v>
      </c>
      <c r="I167" t="s">
        <v>1347</v>
      </c>
      <c r="J167">
        <v>60020304</v>
      </c>
      <c r="K167" t="s">
        <v>9</v>
      </c>
      <c r="L167" t="s">
        <v>8</v>
      </c>
      <c r="M167" t="s">
        <v>7</v>
      </c>
      <c r="N167">
        <v>3</v>
      </c>
      <c r="O167" t="s">
        <v>9739</v>
      </c>
      <c r="P167" t="s">
        <v>9738</v>
      </c>
      <c r="Q167" t="s">
        <v>9737</v>
      </c>
      <c r="R167" s="7">
        <v>33604</v>
      </c>
      <c r="S167" s="8">
        <f t="shared" si="24"/>
        <v>1992</v>
      </c>
      <c r="T167" s="8">
        <v>1992</v>
      </c>
      <c r="U167" s="8">
        <f t="shared" si="25"/>
        <v>30</v>
      </c>
      <c r="V167" s="7">
        <v>33695</v>
      </c>
      <c r="W167" t="s">
        <v>9736</v>
      </c>
      <c r="X167" s="2">
        <v>0.66800000000000004</v>
      </c>
      <c r="Y167" s="6">
        <f t="shared" si="22"/>
        <v>1.7831878486959774E-2</v>
      </c>
      <c r="AA167" t="s">
        <v>9735</v>
      </c>
      <c r="AB167">
        <v>29593</v>
      </c>
      <c r="AC167">
        <v>21553165</v>
      </c>
      <c r="AD167" t="s">
        <v>4</v>
      </c>
      <c r="AE167">
        <v>31</v>
      </c>
      <c r="AF167">
        <v>10</v>
      </c>
      <c r="AH167" t="s">
        <v>9734</v>
      </c>
      <c r="AI167" t="s">
        <v>9733</v>
      </c>
      <c r="AJ167" t="s">
        <v>9732</v>
      </c>
      <c r="AK167" t="s">
        <v>9731</v>
      </c>
      <c r="AL167">
        <v>7</v>
      </c>
      <c r="AM167" s="5">
        <f t="shared" si="26"/>
        <v>0.23333333333333334</v>
      </c>
      <c r="AN167" s="4">
        <f t="shared" si="23"/>
        <v>3.5340148933484791E-4</v>
      </c>
      <c r="AO167" s="3"/>
      <c r="AP167">
        <v>0</v>
      </c>
      <c r="AR167" t="s">
        <v>0</v>
      </c>
      <c r="AT167" s="2">
        <v>1.98</v>
      </c>
      <c r="AU167" s="1">
        <f t="shared" si="27"/>
        <v>1.2588335387672294</v>
      </c>
      <c r="AV167" s="1">
        <f t="shared" si="28"/>
        <v>0.90926399881473097</v>
      </c>
      <c r="AW167" s="1">
        <f t="shared" si="29"/>
        <v>0.55969445886223246</v>
      </c>
    </row>
    <row r="168" spans="1:49" x14ac:dyDescent="0.2">
      <c r="A168">
        <v>166</v>
      </c>
      <c r="B168" t="s">
        <v>9730</v>
      </c>
      <c r="C168" t="s">
        <v>9729</v>
      </c>
      <c r="F168" t="s">
        <v>9728</v>
      </c>
      <c r="G168" t="s">
        <v>12</v>
      </c>
      <c r="H168" t="s">
        <v>11</v>
      </c>
      <c r="I168" t="s">
        <v>8605</v>
      </c>
      <c r="J168">
        <v>60005322</v>
      </c>
      <c r="K168" t="s">
        <v>8604</v>
      </c>
      <c r="L168" t="s">
        <v>8603</v>
      </c>
      <c r="M168" t="s">
        <v>817</v>
      </c>
      <c r="N168">
        <v>2</v>
      </c>
      <c r="O168" t="s">
        <v>9727</v>
      </c>
      <c r="P168" t="s">
        <v>8601</v>
      </c>
      <c r="Q168" t="s">
        <v>8600</v>
      </c>
      <c r="R168" s="7">
        <v>33604</v>
      </c>
      <c r="S168" s="8">
        <f t="shared" si="24"/>
        <v>1992</v>
      </c>
      <c r="T168" s="8">
        <v>1992</v>
      </c>
      <c r="U168" s="8">
        <f t="shared" si="25"/>
        <v>30</v>
      </c>
      <c r="V168" s="7">
        <v>33939</v>
      </c>
      <c r="W168" t="s">
        <v>9726</v>
      </c>
      <c r="X168" s="2">
        <v>0.77200000000000002</v>
      </c>
      <c r="Y168" s="6">
        <f t="shared" si="22"/>
        <v>2.0608099089719976E-2</v>
      </c>
      <c r="AA168">
        <v>223778</v>
      </c>
      <c r="AB168">
        <v>28572</v>
      </c>
      <c r="AC168">
        <v>14697807</v>
      </c>
      <c r="AD168" t="s">
        <v>4</v>
      </c>
      <c r="AE168">
        <v>48</v>
      </c>
      <c r="AF168">
        <v>3</v>
      </c>
      <c r="AH168" t="s">
        <v>9725</v>
      </c>
      <c r="AI168" t="s">
        <v>9724</v>
      </c>
      <c r="AK168" t="s">
        <v>9723</v>
      </c>
      <c r="AL168">
        <v>1</v>
      </c>
      <c r="AM168" s="5">
        <f t="shared" si="26"/>
        <v>3.3333333333333333E-2</v>
      </c>
      <c r="AN168" s="4">
        <f t="shared" si="23"/>
        <v>5.0485927047835418E-5</v>
      </c>
      <c r="AO168" s="3"/>
      <c r="AP168">
        <v>0</v>
      </c>
      <c r="AR168" t="s">
        <v>0</v>
      </c>
      <c r="AT168" s="2">
        <v>2.0139999999999998</v>
      </c>
      <c r="AU168" s="1">
        <f t="shared" si="27"/>
        <v>1.4440815140918333</v>
      </c>
      <c r="AV168" s="1">
        <f t="shared" si="28"/>
        <v>1.0329292508383905</v>
      </c>
      <c r="AW168" s="1">
        <f t="shared" si="29"/>
        <v>0.6217769875849477</v>
      </c>
    </row>
    <row r="169" spans="1:49" x14ac:dyDescent="0.2">
      <c r="A169">
        <v>167</v>
      </c>
      <c r="B169" t="s">
        <v>9722</v>
      </c>
      <c r="C169" t="s">
        <v>9721</v>
      </c>
      <c r="F169" t="s">
        <v>9720</v>
      </c>
      <c r="G169" t="s">
        <v>12</v>
      </c>
      <c r="H169" t="s">
        <v>11</v>
      </c>
      <c r="I169" t="s">
        <v>9719</v>
      </c>
      <c r="J169" t="s">
        <v>9718</v>
      </c>
      <c r="K169" t="s">
        <v>9717</v>
      </c>
      <c r="L169" t="s">
        <v>9716</v>
      </c>
      <c r="M169" t="s">
        <v>125</v>
      </c>
      <c r="N169">
        <v>3</v>
      </c>
      <c r="O169" t="s">
        <v>9715</v>
      </c>
      <c r="P169" t="s">
        <v>9714</v>
      </c>
      <c r="Q169" t="s">
        <v>9713</v>
      </c>
      <c r="R169" s="7">
        <v>33604</v>
      </c>
      <c r="S169" s="8">
        <f t="shared" si="24"/>
        <v>1992</v>
      </c>
      <c r="T169" s="8">
        <v>1992</v>
      </c>
      <c r="U169" s="8">
        <f t="shared" si="25"/>
        <v>30</v>
      </c>
      <c r="V169" s="7">
        <v>33756</v>
      </c>
      <c r="W169" t="s">
        <v>217</v>
      </c>
      <c r="X169" s="2">
        <v>0.69299999999999995</v>
      </c>
      <c r="Y169" s="6">
        <f t="shared" si="22"/>
        <v>1.8499239208777128E-2</v>
      </c>
      <c r="AA169">
        <v>3076962</v>
      </c>
      <c r="AB169">
        <v>21084</v>
      </c>
      <c r="AC169">
        <v>13653032</v>
      </c>
      <c r="AD169" t="s">
        <v>4</v>
      </c>
      <c r="AE169">
        <v>17</v>
      </c>
      <c r="AF169">
        <v>2</v>
      </c>
      <c r="AH169" t="s">
        <v>9712</v>
      </c>
      <c r="AI169" t="s">
        <v>9711</v>
      </c>
      <c r="AJ169" t="s">
        <v>9710</v>
      </c>
      <c r="AK169" t="s">
        <v>9709</v>
      </c>
      <c r="AL169">
        <v>34</v>
      </c>
      <c r="AM169" s="5">
        <f t="shared" si="26"/>
        <v>1.1333333333333333</v>
      </c>
      <c r="AN169" s="4">
        <f t="shared" si="23"/>
        <v>1.7165215196264041E-3</v>
      </c>
      <c r="AO169" s="3"/>
      <c r="AP169">
        <v>0</v>
      </c>
      <c r="AR169" t="s">
        <v>0</v>
      </c>
      <c r="AT169" s="2">
        <v>1.833</v>
      </c>
      <c r="AU169" s="1">
        <f t="shared" si="27"/>
        <v>1.346442390203191</v>
      </c>
      <c r="AV169" s="1">
        <f t="shared" si="28"/>
        <v>1.0107880364201765</v>
      </c>
      <c r="AW169" s="1">
        <f t="shared" si="29"/>
        <v>0.67513368263716211</v>
      </c>
    </row>
    <row r="170" spans="1:49" x14ac:dyDescent="0.2">
      <c r="A170">
        <v>168</v>
      </c>
      <c r="B170" t="s">
        <v>9708</v>
      </c>
      <c r="C170" t="s">
        <v>9707</v>
      </c>
      <c r="F170" t="s">
        <v>9706</v>
      </c>
      <c r="G170" t="s">
        <v>12</v>
      </c>
      <c r="H170" t="s">
        <v>11</v>
      </c>
      <c r="I170" t="s">
        <v>9705</v>
      </c>
      <c r="J170" t="s">
        <v>9704</v>
      </c>
      <c r="K170" t="s">
        <v>9703</v>
      </c>
      <c r="L170" t="s">
        <v>9702</v>
      </c>
      <c r="M170" t="s">
        <v>8518</v>
      </c>
      <c r="N170">
        <v>12</v>
      </c>
      <c r="O170" t="s">
        <v>9701</v>
      </c>
      <c r="P170" t="s">
        <v>9700</v>
      </c>
      <c r="Q170" t="s">
        <v>9699</v>
      </c>
      <c r="R170" s="7">
        <v>33604</v>
      </c>
      <c r="S170" s="8">
        <f t="shared" si="24"/>
        <v>1992</v>
      </c>
      <c r="T170" s="8">
        <v>1992</v>
      </c>
      <c r="U170" s="8">
        <f t="shared" si="25"/>
        <v>30</v>
      </c>
      <c r="V170" s="7">
        <v>33604</v>
      </c>
      <c r="W170" t="s">
        <v>9698</v>
      </c>
      <c r="X170" s="2" t="s">
        <v>16</v>
      </c>
      <c r="Y170" s="6" t="e">
        <f t="shared" si="22"/>
        <v>#VALUE!</v>
      </c>
      <c r="AA170">
        <v>10519998</v>
      </c>
      <c r="AB170">
        <v>29250</v>
      </c>
      <c r="AC170">
        <v>10294929</v>
      </c>
      <c r="AD170" t="s">
        <v>4</v>
      </c>
      <c r="AE170">
        <v>1</v>
      </c>
      <c r="AF170" s="9">
        <v>44289</v>
      </c>
      <c r="AH170" t="s">
        <v>9697</v>
      </c>
      <c r="AI170" t="s">
        <v>9696</v>
      </c>
      <c r="AJ170" t="s">
        <v>9695</v>
      </c>
      <c r="AK170" t="s">
        <v>9694</v>
      </c>
      <c r="AL170">
        <v>1</v>
      </c>
      <c r="AM170" s="5">
        <f t="shared" si="26"/>
        <v>3.3333333333333333E-2</v>
      </c>
      <c r="AN170" s="4">
        <f t="shared" si="23"/>
        <v>5.0485927047835418E-5</v>
      </c>
      <c r="AO170" s="3"/>
      <c r="AP170">
        <v>0</v>
      </c>
      <c r="AR170" t="s">
        <v>0</v>
      </c>
      <c r="AT170" s="2" t="s">
        <v>16</v>
      </c>
      <c r="AU170" s="1" t="e">
        <f t="shared" si="27"/>
        <v>#VALUE!</v>
      </c>
      <c r="AV170" s="1" t="e">
        <f t="shared" si="28"/>
        <v>#VALUE!</v>
      </c>
      <c r="AW170" s="1" t="e">
        <f t="shared" si="29"/>
        <v>#VALUE!</v>
      </c>
    </row>
    <row r="171" spans="1:49" x14ac:dyDescent="0.2">
      <c r="A171">
        <v>169</v>
      </c>
      <c r="B171" t="s">
        <v>9693</v>
      </c>
      <c r="C171" t="s">
        <v>9692</v>
      </c>
      <c r="F171" t="s">
        <v>9691</v>
      </c>
      <c r="G171" t="s">
        <v>12</v>
      </c>
      <c r="H171" t="s">
        <v>11</v>
      </c>
      <c r="I171" t="s">
        <v>8711</v>
      </c>
      <c r="J171">
        <v>60010065</v>
      </c>
      <c r="K171" t="s">
        <v>2090</v>
      </c>
      <c r="L171" t="s">
        <v>1656</v>
      </c>
      <c r="M171" t="s">
        <v>7</v>
      </c>
      <c r="N171">
        <v>2</v>
      </c>
      <c r="O171" t="s">
        <v>8710</v>
      </c>
      <c r="P171" t="s">
        <v>8709</v>
      </c>
      <c r="Q171" t="s">
        <v>8708</v>
      </c>
      <c r="R171" s="7">
        <v>33604</v>
      </c>
      <c r="S171" s="8">
        <f t="shared" si="24"/>
        <v>1992</v>
      </c>
      <c r="T171" s="8">
        <v>1992</v>
      </c>
      <c r="U171" s="8">
        <f t="shared" si="25"/>
        <v>30</v>
      </c>
      <c r="V171" s="7">
        <v>1992</v>
      </c>
      <c r="W171" t="s">
        <v>321</v>
      </c>
      <c r="X171" s="2">
        <v>0.28599999999999998</v>
      </c>
      <c r="Y171" s="6">
        <f t="shared" si="22"/>
        <v>7.6346066575905605E-3</v>
      </c>
      <c r="AA171">
        <v>9205071</v>
      </c>
      <c r="AB171">
        <v>28139</v>
      </c>
      <c r="AC171">
        <v>15693937</v>
      </c>
      <c r="AD171" t="s">
        <v>4</v>
      </c>
      <c r="AE171">
        <v>6</v>
      </c>
      <c r="AF171">
        <v>7</v>
      </c>
      <c r="AH171" t="s">
        <v>8707</v>
      </c>
      <c r="AI171" t="s">
        <v>8706</v>
      </c>
      <c r="AK171" t="s">
        <v>8705</v>
      </c>
      <c r="AL171">
        <v>1</v>
      </c>
      <c r="AM171" s="5">
        <f t="shared" si="26"/>
        <v>3.3333333333333333E-2</v>
      </c>
      <c r="AN171" s="4">
        <f t="shared" si="23"/>
        <v>5.0485927047835418E-5</v>
      </c>
      <c r="AO171" s="3"/>
      <c r="AP171">
        <v>0</v>
      </c>
      <c r="AR171" t="s">
        <v>0</v>
      </c>
      <c r="AT171" s="2" t="s">
        <v>16</v>
      </c>
      <c r="AU171" s="1">
        <f t="shared" si="27"/>
        <v>0.5359370438427743</v>
      </c>
      <c r="AV171" s="1">
        <f t="shared" si="28"/>
        <v>0.38425462923191978</v>
      </c>
      <c r="AW171" s="1">
        <f t="shared" si="29"/>
        <v>0.23257221462106531</v>
      </c>
    </row>
    <row r="172" spans="1:49" x14ac:dyDescent="0.2">
      <c r="A172">
        <v>170</v>
      </c>
      <c r="B172" t="s">
        <v>9690</v>
      </c>
      <c r="C172" t="s">
        <v>9689</v>
      </c>
      <c r="F172" t="s">
        <v>9688</v>
      </c>
      <c r="G172" t="s">
        <v>12</v>
      </c>
      <c r="H172" t="s">
        <v>11</v>
      </c>
      <c r="I172" t="s">
        <v>9687</v>
      </c>
      <c r="J172">
        <v>60030162</v>
      </c>
      <c r="K172" t="s">
        <v>6949</v>
      </c>
      <c r="L172" t="s">
        <v>6948</v>
      </c>
      <c r="M172" t="s">
        <v>7</v>
      </c>
      <c r="N172">
        <v>2</v>
      </c>
      <c r="O172" t="s">
        <v>8474</v>
      </c>
      <c r="P172" t="s">
        <v>8473</v>
      </c>
      <c r="Q172" t="s">
        <v>9686</v>
      </c>
      <c r="R172" s="7">
        <v>33604</v>
      </c>
      <c r="S172" s="8">
        <f t="shared" si="24"/>
        <v>1992</v>
      </c>
      <c r="T172" s="8">
        <v>1992</v>
      </c>
      <c r="U172" s="8">
        <f t="shared" si="25"/>
        <v>30</v>
      </c>
      <c r="V172" s="7">
        <v>1992</v>
      </c>
      <c r="W172" t="s">
        <v>321</v>
      </c>
      <c r="X172" s="2">
        <v>0.28599999999999998</v>
      </c>
      <c r="Y172" s="6">
        <f t="shared" si="22"/>
        <v>7.6346066575905605E-3</v>
      </c>
      <c r="AA172">
        <v>9205071</v>
      </c>
      <c r="AB172">
        <v>28139</v>
      </c>
      <c r="AC172">
        <v>15693937</v>
      </c>
      <c r="AD172" t="s">
        <v>4</v>
      </c>
      <c r="AE172">
        <v>6</v>
      </c>
      <c r="AF172" s="9">
        <v>44348</v>
      </c>
      <c r="AH172" t="s">
        <v>8471</v>
      </c>
      <c r="AI172" t="s">
        <v>9685</v>
      </c>
      <c r="AK172" t="s">
        <v>9684</v>
      </c>
      <c r="AL172">
        <v>0</v>
      </c>
      <c r="AM172" s="5">
        <f t="shared" si="26"/>
        <v>0</v>
      </c>
      <c r="AN172" s="4">
        <f t="shared" si="23"/>
        <v>0</v>
      </c>
      <c r="AO172" s="3"/>
      <c r="AP172">
        <v>0</v>
      </c>
      <c r="AQ172" t="s">
        <v>1971</v>
      </c>
      <c r="AR172" t="s">
        <v>0</v>
      </c>
      <c r="AS172" t="s">
        <v>1970</v>
      </c>
      <c r="AT172" s="2" t="s">
        <v>16</v>
      </c>
      <c r="AU172" s="1">
        <f t="shared" si="27"/>
        <v>0.53442246603133925</v>
      </c>
      <c r="AV172" s="1">
        <f t="shared" si="28"/>
        <v>0.38173033287952801</v>
      </c>
      <c r="AW172" s="1">
        <f t="shared" si="29"/>
        <v>0.22903819972771683</v>
      </c>
    </row>
    <row r="173" spans="1:49" x14ac:dyDescent="0.2">
      <c r="A173">
        <v>171</v>
      </c>
      <c r="B173" t="s">
        <v>9683</v>
      </c>
      <c r="C173" t="s">
        <v>9682</v>
      </c>
      <c r="F173" t="s">
        <v>9681</v>
      </c>
      <c r="G173" t="s">
        <v>12</v>
      </c>
      <c r="H173" t="s">
        <v>11</v>
      </c>
      <c r="I173" t="s">
        <v>4498</v>
      </c>
      <c r="J173">
        <v>60008435</v>
      </c>
      <c r="K173" t="s">
        <v>3916</v>
      </c>
      <c r="L173" t="s">
        <v>3915</v>
      </c>
      <c r="M173" t="s">
        <v>151</v>
      </c>
      <c r="N173">
        <v>2</v>
      </c>
      <c r="O173" t="s">
        <v>9680</v>
      </c>
      <c r="P173" t="s">
        <v>9679</v>
      </c>
      <c r="Q173" t="s">
        <v>3912</v>
      </c>
      <c r="R173" s="7">
        <v>33604</v>
      </c>
      <c r="S173" s="8">
        <f t="shared" si="24"/>
        <v>1992</v>
      </c>
      <c r="T173" s="8">
        <v>1992</v>
      </c>
      <c r="U173" s="8">
        <f t="shared" si="25"/>
        <v>30</v>
      </c>
      <c r="V173" s="7">
        <v>1992</v>
      </c>
      <c r="W173" t="s">
        <v>321</v>
      </c>
      <c r="X173" s="2">
        <v>0.28599999999999998</v>
      </c>
      <c r="Y173" s="6">
        <f t="shared" si="22"/>
        <v>7.6346066575905605E-3</v>
      </c>
      <c r="AA173">
        <v>9205071</v>
      </c>
      <c r="AB173">
        <v>28139</v>
      </c>
      <c r="AC173">
        <v>15693937</v>
      </c>
      <c r="AD173" t="s">
        <v>4</v>
      </c>
      <c r="AE173">
        <v>6</v>
      </c>
      <c r="AF173">
        <v>7</v>
      </c>
      <c r="AH173" t="s">
        <v>9678</v>
      </c>
      <c r="AI173" t="s">
        <v>9677</v>
      </c>
      <c r="AK173" t="s">
        <v>9676</v>
      </c>
      <c r="AL173">
        <v>0</v>
      </c>
      <c r="AM173" s="5">
        <f t="shared" si="26"/>
        <v>0</v>
      </c>
      <c r="AN173" s="4">
        <f t="shared" si="23"/>
        <v>0</v>
      </c>
      <c r="AO173" s="3"/>
      <c r="AP173">
        <v>0</v>
      </c>
      <c r="AR173" t="s">
        <v>0</v>
      </c>
      <c r="AT173" s="2" t="s">
        <v>16</v>
      </c>
      <c r="AU173" s="1">
        <f t="shared" si="27"/>
        <v>0.53442246603133925</v>
      </c>
      <c r="AV173" s="1">
        <f t="shared" si="28"/>
        <v>0.38173033287952801</v>
      </c>
      <c r="AW173" s="1">
        <f t="shared" si="29"/>
        <v>0.22903819972771683</v>
      </c>
    </row>
    <row r="174" spans="1:49" x14ac:dyDescent="0.2">
      <c r="A174">
        <v>172</v>
      </c>
      <c r="B174" t="s">
        <v>9675</v>
      </c>
      <c r="C174" t="s">
        <v>9674</v>
      </c>
      <c r="F174" t="s">
        <v>9673</v>
      </c>
      <c r="G174" t="s">
        <v>12</v>
      </c>
      <c r="H174" t="s">
        <v>11</v>
      </c>
      <c r="I174" t="s">
        <v>9672</v>
      </c>
      <c r="J174">
        <v>60021331</v>
      </c>
      <c r="K174" t="s">
        <v>462</v>
      </c>
      <c r="L174" t="s">
        <v>461</v>
      </c>
      <c r="M174" t="s">
        <v>460</v>
      </c>
      <c r="N174">
        <v>2</v>
      </c>
      <c r="O174" t="s">
        <v>459</v>
      </c>
      <c r="P174" t="s">
        <v>458</v>
      </c>
      <c r="Q174" t="s">
        <v>457</v>
      </c>
      <c r="R174" s="7">
        <v>33604</v>
      </c>
      <c r="S174" s="8">
        <f t="shared" si="24"/>
        <v>1992</v>
      </c>
      <c r="T174" s="8">
        <v>1992</v>
      </c>
      <c r="U174" s="8">
        <f t="shared" si="25"/>
        <v>30</v>
      </c>
      <c r="V174" s="7">
        <v>1992</v>
      </c>
      <c r="W174" t="s">
        <v>321</v>
      </c>
      <c r="X174" s="2">
        <v>0.28599999999999998</v>
      </c>
      <c r="Y174" s="6">
        <f t="shared" si="22"/>
        <v>7.6346066575905605E-3</v>
      </c>
      <c r="AA174">
        <v>9205071</v>
      </c>
      <c r="AB174">
        <v>28139</v>
      </c>
      <c r="AC174">
        <v>15693937</v>
      </c>
      <c r="AD174" t="s">
        <v>4</v>
      </c>
      <c r="AE174">
        <v>6</v>
      </c>
      <c r="AF174" s="9">
        <v>44287</v>
      </c>
      <c r="AH174" t="s">
        <v>456</v>
      </c>
      <c r="AI174" t="s">
        <v>9671</v>
      </c>
      <c r="AK174" t="s">
        <v>9670</v>
      </c>
      <c r="AL174">
        <v>6</v>
      </c>
      <c r="AM174" s="5">
        <f t="shared" si="26"/>
        <v>0.2</v>
      </c>
      <c r="AN174" s="4">
        <f t="shared" si="23"/>
        <v>3.0291556228701253E-4</v>
      </c>
      <c r="AO174" s="3"/>
      <c r="AP174">
        <v>0</v>
      </c>
      <c r="AR174" t="s">
        <v>0</v>
      </c>
      <c r="AT174" s="2" t="s">
        <v>16</v>
      </c>
      <c r="AU174" s="1">
        <f t="shared" si="27"/>
        <v>0.54350993289994953</v>
      </c>
      <c r="AV174" s="1">
        <f t="shared" si="28"/>
        <v>0.39687611099387865</v>
      </c>
      <c r="AW174" s="1">
        <f t="shared" si="29"/>
        <v>0.25024228908780766</v>
      </c>
    </row>
    <row r="175" spans="1:49" x14ac:dyDescent="0.2">
      <c r="A175">
        <v>173</v>
      </c>
      <c r="B175" t="s">
        <v>9669</v>
      </c>
      <c r="C175" t="s">
        <v>9668</v>
      </c>
      <c r="F175" t="s">
        <v>9667</v>
      </c>
      <c r="G175" t="s">
        <v>12</v>
      </c>
      <c r="H175" t="s">
        <v>11</v>
      </c>
      <c r="I175" t="s">
        <v>9666</v>
      </c>
      <c r="J175">
        <v>60032006</v>
      </c>
      <c r="K175" t="s">
        <v>9665</v>
      </c>
      <c r="L175" t="s">
        <v>9664</v>
      </c>
      <c r="M175" t="s">
        <v>617</v>
      </c>
      <c r="N175">
        <v>2</v>
      </c>
      <c r="O175" t="s">
        <v>9663</v>
      </c>
      <c r="P175" t="s">
        <v>9662</v>
      </c>
      <c r="Q175" t="s">
        <v>9661</v>
      </c>
      <c r="R175" s="7">
        <v>33604</v>
      </c>
      <c r="S175" s="8">
        <f t="shared" si="24"/>
        <v>1992</v>
      </c>
      <c r="T175" s="8">
        <v>1992</v>
      </c>
      <c r="U175" s="8">
        <f t="shared" si="25"/>
        <v>30</v>
      </c>
      <c r="V175" s="7">
        <v>1992</v>
      </c>
      <c r="W175" t="s">
        <v>321</v>
      </c>
      <c r="X175" s="2">
        <v>0.28599999999999998</v>
      </c>
      <c r="Y175" s="6">
        <f t="shared" si="22"/>
        <v>7.6346066575905605E-3</v>
      </c>
      <c r="AA175">
        <v>9205071</v>
      </c>
      <c r="AB175">
        <v>28139</v>
      </c>
      <c r="AC175">
        <v>15693937</v>
      </c>
      <c r="AD175" t="s">
        <v>4</v>
      </c>
      <c r="AE175">
        <v>6</v>
      </c>
      <c r="AF175">
        <v>7</v>
      </c>
      <c r="AH175" t="s">
        <v>9660</v>
      </c>
      <c r="AI175" t="s">
        <v>9659</v>
      </c>
      <c r="AK175" t="s">
        <v>9658</v>
      </c>
      <c r="AL175">
        <v>0</v>
      </c>
      <c r="AM175" s="5">
        <f t="shared" si="26"/>
        <v>0</v>
      </c>
      <c r="AN175" s="4">
        <f t="shared" si="23"/>
        <v>0</v>
      </c>
      <c r="AO175" s="3"/>
      <c r="AP175">
        <v>0</v>
      </c>
      <c r="AR175" t="s">
        <v>0</v>
      </c>
      <c r="AT175" s="2" t="s">
        <v>16</v>
      </c>
      <c r="AU175" s="1">
        <f t="shared" si="27"/>
        <v>0.53442246603133925</v>
      </c>
      <c r="AV175" s="1">
        <f t="shared" si="28"/>
        <v>0.38173033287952801</v>
      </c>
      <c r="AW175" s="1">
        <f t="shared" si="29"/>
        <v>0.22903819972771683</v>
      </c>
    </row>
    <row r="176" spans="1:49" x14ac:dyDescent="0.2">
      <c r="A176">
        <v>174</v>
      </c>
      <c r="B176" t="s">
        <v>9657</v>
      </c>
      <c r="C176" t="s">
        <v>9656</v>
      </c>
      <c r="F176" t="s">
        <v>9440</v>
      </c>
      <c r="G176" t="s">
        <v>12</v>
      </c>
      <c r="H176" t="s">
        <v>11</v>
      </c>
      <c r="I176" t="s">
        <v>9439</v>
      </c>
      <c r="J176">
        <v>101855842</v>
      </c>
      <c r="K176" t="s">
        <v>9655</v>
      </c>
      <c r="M176" t="s">
        <v>1548</v>
      </c>
      <c r="N176">
        <v>1</v>
      </c>
      <c r="O176" t="s">
        <v>9437</v>
      </c>
      <c r="P176">
        <v>7004402050</v>
      </c>
      <c r="Q176">
        <v>101855842</v>
      </c>
      <c r="R176" s="7">
        <v>33604</v>
      </c>
      <c r="S176" s="8">
        <f t="shared" si="24"/>
        <v>1992</v>
      </c>
      <c r="T176" s="8">
        <v>1992</v>
      </c>
      <c r="U176" s="8">
        <f t="shared" si="25"/>
        <v>30</v>
      </c>
      <c r="V176" s="7">
        <v>33604</v>
      </c>
      <c r="W176" t="s">
        <v>321</v>
      </c>
      <c r="X176" s="2">
        <v>0.28599999999999998</v>
      </c>
      <c r="Y176" s="6">
        <f t="shared" si="22"/>
        <v>7.6346066575905605E-3</v>
      </c>
      <c r="AA176">
        <v>9205071</v>
      </c>
      <c r="AB176">
        <v>28139</v>
      </c>
      <c r="AC176">
        <v>15693937</v>
      </c>
      <c r="AD176" t="s">
        <v>4</v>
      </c>
      <c r="AE176">
        <v>6</v>
      </c>
      <c r="AF176">
        <v>8</v>
      </c>
      <c r="AH176" t="s">
        <v>9436</v>
      </c>
      <c r="AI176" t="s">
        <v>9654</v>
      </c>
      <c r="AK176" t="s">
        <v>9653</v>
      </c>
      <c r="AL176">
        <v>0</v>
      </c>
      <c r="AM176" s="5">
        <f t="shared" si="26"/>
        <v>0</v>
      </c>
      <c r="AN176" s="4">
        <f t="shared" si="23"/>
        <v>0</v>
      </c>
      <c r="AO176" s="3"/>
      <c r="AP176">
        <v>0</v>
      </c>
      <c r="AR176" t="s">
        <v>0</v>
      </c>
      <c r="AT176" s="2" t="s">
        <v>16</v>
      </c>
      <c r="AU176" s="1">
        <f t="shared" si="27"/>
        <v>0.53442246603133925</v>
      </c>
      <c r="AV176" s="1">
        <f t="shared" si="28"/>
        <v>0.38173033287952801</v>
      </c>
      <c r="AW176" s="1">
        <f t="shared" si="29"/>
        <v>0.22903819972771683</v>
      </c>
    </row>
    <row r="177" spans="1:49" x14ac:dyDescent="0.2">
      <c r="A177">
        <v>175</v>
      </c>
      <c r="B177" t="s">
        <v>9652</v>
      </c>
      <c r="C177" t="s">
        <v>9651</v>
      </c>
      <c r="F177" t="s">
        <v>9650</v>
      </c>
      <c r="G177" t="s">
        <v>12</v>
      </c>
      <c r="H177" t="s">
        <v>11</v>
      </c>
      <c r="I177" t="s">
        <v>3010</v>
      </c>
      <c r="J177" t="s">
        <v>9645</v>
      </c>
      <c r="K177" t="s">
        <v>9649</v>
      </c>
      <c r="L177" t="s">
        <v>9648</v>
      </c>
      <c r="M177" t="s">
        <v>125</v>
      </c>
      <c r="N177">
        <v>2</v>
      </c>
      <c r="O177" t="s">
        <v>9647</v>
      </c>
      <c r="P177" t="s">
        <v>9646</v>
      </c>
      <c r="Q177" t="s">
        <v>9645</v>
      </c>
      <c r="R177" s="7">
        <v>33604</v>
      </c>
      <c r="S177" s="8">
        <f t="shared" si="24"/>
        <v>1992</v>
      </c>
      <c r="T177" s="8">
        <v>1992</v>
      </c>
      <c r="U177" s="8">
        <f t="shared" si="25"/>
        <v>30</v>
      </c>
      <c r="V177" s="7">
        <v>1992</v>
      </c>
      <c r="W177" t="s">
        <v>321</v>
      </c>
      <c r="X177" s="2">
        <v>0.28599999999999998</v>
      </c>
      <c r="Y177" s="6">
        <f t="shared" si="22"/>
        <v>7.6346066575905605E-3</v>
      </c>
      <c r="AA177">
        <v>9205071</v>
      </c>
      <c r="AB177">
        <v>28139</v>
      </c>
      <c r="AC177">
        <v>15693937</v>
      </c>
      <c r="AD177" t="s">
        <v>4</v>
      </c>
      <c r="AE177">
        <v>6</v>
      </c>
      <c r="AF177" s="9">
        <v>44348</v>
      </c>
      <c r="AH177" t="s">
        <v>9644</v>
      </c>
      <c r="AI177" t="s">
        <v>9643</v>
      </c>
      <c r="AK177" t="s">
        <v>9642</v>
      </c>
      <c r="AL177">
        <v>0</v>
      </c>
      <c r="AM177" s="5">
        <f t="shared" si="26"/>
        <v>0</v>
      </c>
      <c r="AN177" s="4">
        <f t="shared" si="23"/>
        <v>0</v>
      </c>
      <c r="AO177" s="3"/>
      <c r="AP177">
        <v>0</v>
      </c>
      <c r="AQ177" t="s">
        <v>1376</v>
      </c>
      <c r="AR177" t="s">
        <v>0</v>
      </c>
      <c r="AS177" t="s">
        <v>1374</v>
      </c>
      <c r="AT177" s="2" t="s">
        <v>16</v>
      </c>
      <c r="AU177" s="1">
        <f t="shared" si="27"/>
        <v>0.53442246603133925</v>
      </c>
      <c r="AV177" s="1">
        <f t="shared" si="28"/>
        <v>0.38173033287952801</v>
      </c>
      <c r="AW177" s="1">
        <f t="shared" si="29"/>
        <v>0.22903819972771683</v>
      </c>
    </row>
    <row r="178" spans="1:49" x14ac:dyDescent="0.2">
      <c r="A178">
        <v>176</v>
      </c>
      <c r="B178" t="s">
        <v>9641</v>
      </c>
      <c r="C178" t="s">
        <v>9640</v>
      </c>
      <c r="F178" t="s">
        <v>9639</v>
      </c>
      <c r="G178" t="s">
        <v>12</v>
      </c>
      <c r="H178" t="s">
        <v>11</v>
      </c>
      <c r="I178" t="s">
        <v>9638</v>
      </c>
      <c r="J178">
        <v>60027392</v>
      </c>
      <c r="K178" t="s">
        <v>9637</v>
      </c>
      <c r="L178" t="s">
        <v>9636</v>
      </c>
      <c r="M178" t="s">
        <v>7</v>
      </c>
      <c r="N178">
        <v>2</v>
      </c>
      <c r="O178" t="s">
        <v>9635</v>
      </c>
      <c r="P178" t="s">
        <v>9634</v>
      </c>
      <c r="Q178" t="s">
        <v>9633</v>
      </c>
      <c r="R178" s="7">
        <v>33604</v>
      </c>
      <c r="S178" s="8">
        <f t="shared" si="24"/>
        <v>1992</v>
      </c>
      <c r="T178" s="8">
        <v>1992</v>
      </c>
      <c r="U178" s="8">
        <f t="shared" si="25"/>
        <v>30</v>
      </c>
      <c r="V178" s="7">
        <v>1992</v>
      </c>
      <c r="W178" t="s">
        <v>321</v>
      </c>
      <c r="X178" s="2">
        <v>0.28599999999999998</v>
      </c>
      <c r="Y178" s="6">
        <f t="shared" si="22"/>
        <v>7.6346066575905605E-3</v>
      </c>
      <c r="AA178">
        <v>9205071</v>
      </c>
      <c r="AB178">
        <v>28139</v>
      </c>
      <c r="AC178">
        <v>15693937</v>
      </c>
      <c r="AD178" t="s">
        <v>4</v>
      </c>
      <c r="AE178">
        <v>6</v>
      </c>
      <c r="AF178" s="9">
        <v>44348</v>
      </c>
      <c r="AH178" t="s">
        <v>9632</v>
      </c>
      <c r="AI178" t="s">
        <v>9631</v>
      </c>
      <c r="AK178" t="s">
        <v>9630</v>
      </c>
      <c r="AL178">
        <v>0</v>
      </c>
      <c r="AM178" s="5">
        <f t="shared" si="26"/>
        <v>0</v>
      </c>
      <c r="AN178" s="4">
        <f t="shared" si="23"/>
        <v>0</v>
      </c>
      <c r="AO178" s="3"/>
      <c r="AP178">
        <v>0</v>
      </c>
      <c r="AR178" t="s">
        <v>0</v>
      </c>
      <c r="AT178" s="2" t="s">
        <v>16</v>
      </c>
      <c r="AU178" s="1">
        <f t="shared" si="27"/>
        <v>0.53442246603133925</v>
      </c>
      <c r="AV178" s="1">
        <f t="shared" si="28"/>
        <v>0.38173033287952801</v>
      </c>
      <c r="AW178" s="1">
        <f t="shared" si="29"/>
        <v>0.22903819972771683</v>
      </c>
    </row>
    <row r="179" spans="1:49" x14ac:dyDescent="0.2">
      <c r="A179">
        <v>177</v>
      </c>
      <c r="B179" t="s">
        <v>9629</v>
      </c>
      <c r="C179" t="s">
        <v>9628</v>
      </c>
      <c r="F179" t="s">
        <v>9627</v>
      </c>
      <c r="G179" t="s">
        <v>12</v>
      </c>
      <c r="H179" t="s">
        <v>11</v>
      </c>
      <c r="I179" t="s">
        <v>9626</v>
      </c>
      <c r="J179" t="s">
        <v>9620</v>
      </c>
      <c r="K179" t="s">
        <v>9625</v>
      </c>
      <c r="L179" t="s">
        <v>9624</v>
      </c>
      <c r="M179" t="s">
        <v>9623</v>
      </c>
      <c r="N179">
        <v>2</v>
      </c>
      <c r="O179" t="s">
        <v>9622</v>
      </c>
      <c r="P179" t="s">
        <v>9621</v>
      </c>
      <c r="Q179" t="s">
        <v>9620</v>
      </c>
      <c r="R179" s="7">
        <v>33604</v>
      </c>
      <c r="S179" s="8">
        <f t="shared" si="24"/>
        <v>1992</v>
      </c>
      <c r="T179" s="8">
        <v>1992</v>
      </c>
      <c r="U179" s="8">
        <f t="shared" si="25"/>
        <v>30</v>
      </c>
      <c r="V179" s="7">
        <v>1992</v>
      </c>
      <c r="W179" t="s">
        <v>9619</v>
      </c>
      <c r="X179" s="2">
        <v>0.64900000000000002</v>
      </c>
      <c r="Y179" s="6">
        <f t="shared" si="22"/>
        <v>1.7324684338378582E-2</v>
      </c>
      <c r="AA179">
        <v>2721732</v>
      </c>
      <c r="AB179">
        <v>15463</v>
      </c>
      <c r="AD179" t="s">
        <v>4</v>
      </c>
      <c r="AE179">
        <v>12</v>
      </c>
      <c r="AF179">
        <v>4</v>
      </c>
      <c r="AH179" t="s">
        <v>9618</v>
      </c>
      <c r="AI179" t="s">
        <v>9617</v>
      </c>
      <c r="AJ179" t="s">
        <v>9616</v>
      </c>
      <c r="AK179" t="s">
        <v>9615</v>
      </c>
      <c r="AL179">
        <v>1</v>
      </c>
      <c r="AM179" s="5">
        <f t="shared" si="26"/>
        <v>3.3333333333333333E-2</v>
      </c>
      <c r="AN179" s="4">
        <f t="shared" si="23"/>
        <v>5.0485927047835418E-5</v>
      </c>
      <c r="AO179" s="3"/>
      <c r="AP179">
        <v>0</v>
      </c>
      <c r="AR179" t="s">
        <v>0</v>
      </c>
      <c r="AT179" s="2">
        <v>4.1749999999999998</v>
      </c>
      <c r="AU179" s="1">
        <f t="shared" si="27"/>
        <v>1.2142424814979358</v>
      </c>
      <c r="AV179" s="1">
        <f t="shared" si="28"/>
        <v>0.86875851327132081</v>
      </c>
      <c r="AW179" s="1">
        <f t="shared" si="29"/>
        <v>0.52327454504470583</v>
      </c>
    </row>
    <row r="180" spans="1:49" x14ac:dyDescent="0.2">
      <c r="A180">
        <v>178</v>
      </c>
      <c r="B180" t="s">
        <v>9614</v>
      </c>
      <c r="C180" t="s">
        <v>9613</v>
      </c>
      <c r="F180" t="s">
        <v>9612</v>
      </c>
      <c r="G180" t="s">
        <v>12</v>
      </c>
      <c r="H180" t="s">
        <v>11</v>
      </c>
      <c r="I180" t="s">
        <v>9611</v>
      </c>
      <c r="J180">
        <v>60000461</v>
      </c>
      <c r="K180" t="s">
        <v>9610</v>
      </c>
      <c r="L180" t="s">
        <v>9609</v>
      </c>
      <c r="M180" t="s">
        <v>7</v>
      </c>
      <c r="N180">
        <v>3</v>
      </c>
      <c r="O180" t="s">
        <v>9608</v>
      </c>
      <c r="P180" t="s">
        <v>9607</v>
      </c>
      <c r="Q180" t="s">
        <v>9606</v>
      </c>
      <c r="R180" s="7">
        <v>33604</v>
      </c>
      <c r="S180" s="8">
        <f t="shared" si="24"/>
        <v>1992</v>
      </c>
      <c r="T180" s="8">
        <v>1992</v>
      </c>
      <c r="U180" s="8">
        <f t="shared" si="25"/>
        <v>30</v>
      </c>
      <c r="V180" s="7">
        <v>33939</v>
      </c>
      <c r="W180" t="s">
        <v>3220</v>
      </c>
      <c r="X180" s="2">
        <v>0.78200000000000003</v>
      </c>
      <c r="Y180" s="6">
        <f t="shared" si="22"/>
        <v>2.0875043378446919E-2</v>
      </c>
      <c r="AA180">
        <v>189316</v>
      </c>
      <c r="AB180">
        <v>19901</v>
      </c>
      <c r="AC180">
        <v>15579611</v>
      </c>
      <c r="AD180" t="s">
        <v>4</v>
      </c>
      <c r="AE180">
        <v>38</v>
      </c>
      <c r="AF180">
        <v>4</v>
      </c>
      <c r="AH180" t="s">
        <v>9605</v>
      </c>
      <c r="AI180" t="s">
        <v>9604</v>
      </c>
      <c r="AK180" t="s">
        <v>9603</v>
      </c>
      <c r="AL180">
        <v>2</v>
      </c>
      <c r="AM180" s="5">
        <f t="shared" si="26"/>
        <v>6.6666666666666666E-2</v>
      </c>
      <c r="AN180" s="4">
        <f t="shared" si="23"/>
        <v>1.0097185409567084E-4</v>
      </c>
      <c r="AO180" s="3"/>
      <c r="AP180">
        <v>0</v>
      </c>
      <c r="AR180" t="s">
        <v>0</v>
      </c>
      <c r="AT180" s="2">
        <v>3.863</v>
      </c>
      <c r="AU180" s="1">
        <f t="shared" si="27"/>
        <v>1.4642821921141544</v>
      </c>
      <c r="AV180" s="1">
        <f t="shared" si="28"/>
        <v>1.0488007616271295</v>
      </c>
      <c r="AW180" s="1">
        <f t="shared" si="29"/>
        <v>0.63331933114010452</v>
      </c>
    </row>
    <row r="181" spans="1:49" x14ac:dyDescent="0.2">
      <c r="A181">
        <v>179</v>
      </c>
      <c r="B181" t="s">
        <v>9602</v>
      </c>
      <c r="C181" t="s">
        <v>9601</v>
      </c>
      <c r="F181" t="s">
        <v>9600</v>
      </c>
      <c r="G181" t="s">
        <v>12</v>
      </c>
      <c r="H181" t="s">
        <v>11</v>
      </c>
      <c r="I181" t="s">
        <v>9599</v>
      </c>
      <c r="J181">
        <v>60006448</v>
      </c>
      <c r="K181" t="s">
        <v>9598</v>
      </c>
      <c r="L181" t="s">
        <v>9597</v>
      </c>
      <c r="M181" t="s">
        <v>9596</v>
      </c>
      <c r="N181">
        <v>2</v>
      </c>
      <c r="O181" t="s">
        <v>9595</v>
      </c>
      <c r="P181" t="s">
        <v>9594</v>
      </c>
      <c r="Q181" t="s">
        <v>9593</v>
      </c>
      <c r="R181" s="7">
        <v>33604</v>
      </c>
      <c r="S181" s="8">
        <f t="shared" si="24"/>
        <v>1992</v>
      </c>
      <c r="T181" s="8">
        <v>1992</v>
      </c>
      <c r="U181" s="8">
        <f t="shared" si="25"/>
        <v>30</v>
      </c>
      <c r="V181" s="7">
        <v>33878</v>
      </c>
      <c r="W181" t="s">
        <v>3960</v>
      </c>
      <c r="X181" s="2">
        <v>0.251</v>
      </c>
      <c r="Y181" s="6">
        <f t="shared" si="22"/>
        <v>6.7003016470462617E-3</v>
      </c>
      <c r="AA181">
        <v>207217</v>
      </c>
      <c r="AB181">
        <v>26145</v>
      </c>
      <c r="AC181">
        <v>13623060</v>
      </c>
      <c r="AD181" t="s">
        <v>4</v>
      </c>
      <c r="AE181">
        <v>73</v>
      </c>
      <c r="AF181">
        <v>4</v>
      </c>
      <c r="AH181" t="s">
        <v>9592</v>
      </c>
      <c r="AI181" t="s">
        <v>9591</v>
      </c>
      <c r="AK181" t="s">
        <v>9590</v>
      </c>
      <c r="AL181">
        <v>1</v>
      </c>
      <c r="AM181" s="5">
        <f t="shared" si="26"/>
        <v>3.3333333333333333E-2</v>
      </c>
      <c r="AN181" s="4">
        <f t="shared" si="23"/>
        <v>5.0485927047835418E-5</v>
      </c>
      <c r="AO181" s="3"/>
      <c r="AP181">
        <v>0</v>
      </c>
      <c r="AR181" t="s">
        <v>0</v>
      </c>
      <c r="AT181" s="2">
        <v>1.3360000000000001</v>
      </c>
      <c r="AU181" s="1">
        <f t="shared" si="27"/>
        <v>0.47053569310467336</v>
      </c>
      <c r="AV181" s="1">
        <f t="shared" si="28"/>
        <v>0.33753937870470485</v>
      </c>
      <c r="AW181" s="1">
        <f t="shared" si="29"/>
        <v>0.20454306430473632</v>
      </c>
    </row>
    <row r="182" spans="1:49" x14ac:dyDescent="0.2">
      <c r="A182">
        <v>180</v>
      </c>
      <c r="B182" t="s">
        <v>9589</v>
      </c>
      <c r="C182" t="s">
        <v>9588</v>
      </c>
      <c r="F182" t="s">
        <v>9587</v>
      </c>
      <c r="G182" t="s">
        <v>12</v>
      </c>
      <c r="H182" t="s">
        <v>11</v>
      </c>
      <c r="I182" t="s">
        <v>9586</v>
      </c>
      <c r="J182">
        <v>60009037</v>
      </c>
      <c r="K182" t="s">
        <v>2673</v>
      </c>
      <c r="L182" t="s">
        <v>2672</v>
      </c>
      <c r="M182" t="s">
        <v>7</v>
      </c>
      <c r="N182">
        <v>1</v>
      </c>
      <c r="O182" t="s">
        <v>9585</v>
      </c>
      <c r="P182">
        <v>7404060634</v>
      </c>
      <c r="Q182">
        <v>60009037</v>
      </c>
      <c r="R182" s="7">
        <v>33604</v>
      </c>
      <c r="S182" s="8">
        <f t="shared" si="24"/>
        <v>1992</v>
      </c>
      <c r="T182" s="8">
        <v>1992</v>
      </c>
      <c r="U182" s="8">
        <f t="shared" si="25"/>
        <v>30</v>
      </c>
      <c r="V182" s="7">
        <v>33756</v>
      </c>
      <c r="W182" t="s">
        <v>2799</v>
      </c>
      <c r="X182" s="2">
        <v>0.88100000000000001</v>
      </c>
      <c r="Y182" s="6">
        <f t="shared" si="22"/>
        <v>2.3517791836843653E-2</v>
      </c>
      <c r="AA182">
        <v>10459243</v>
      </c>
      <c r="AB182">
        <v>17248</v>
      </c>
      <c r="AD182" t="s">
        <v>4</v>
      </c>
      <c r="AE182">
        <v>34</v>
      </c>
      <c r="AF182">
        <v>3</v>
      </c>
      <c r="AH182" t="s">
        <v>9584</v>
      </c>
      <c r="AI182" t="s">
        <v>9583</v>
      </c>
      <c r="AK182" t="s">
        <v>9582</v>
      </c>
      <c r="AL182">
        <v>0</v>
      </c>
      <c r="AM182" s="5">
        <f t="shared" si="26"/>
        <v>0</v>
      </c>
      <c r="AN182" s="4">
        <f t="shared" si="23"/>
        <v>0</v>
      </c>
      <c r="AO182" s="3"/>
      <c r="AP182">
        <v>0</v>
      </c>
      <c r="AR182" t="s">
        <v>0</v>
      </c>
      <c r="AT182" s="2" t="s">
        <v>16</v>
      </c>
      <c r="AU182" s="1">
        <f t="shared" si="27"/>
        <v>1.6462454285790555</v>
      </c>
      <c r="AV182" s="1">
        <f t="shared" si="28"/>
        <v>1.1758895918421826</v>
      </c>
      <c r="AW182" s="1">
        <f t="shared" si="29"/>
        <v>0.70553375510530958</v>
      </c>
    </row>
    <row r="183" spans="1:49" x14ac:dyDescent="0.2">
      <c r="A183">
        <v>181</v>
      </c>
      <c r="B183" t="s">
        <v>9581</v>
      </c>
      <c r="C183" t="s">
        <v>9580</v>
      </c>
      <c r="F183" t="s">
        <v>9579</v>
      </c>
      <c r="G183" t="s">
        <v>12</v>
      </c>
      <c r="H183" t="s">
        <v>11</v>
      </c>
      <c r="I183" t="s">
        <v>9578</v>
      </c>
      <c r="N183">
        <v>1</v>
      </c>
      <c r="O183" t="s">
        <v>9577</v>
      </c>
      <c r="P183">
        <v>7004205007</v>
      </c>
      <c r="R183" s="7">
        <v>33604</v>
      </c>
      <c r="S183" s="8">
        <f t="shared" si="24"/>
        <v>1992</v>
      </c>
      <c r="T183" s="8">
        <v>1992</v>
      </c>
      <c r="U183" s="8">
        <f t="shared" si="25"/>
        <v>30</v>
      </c>
      <c r="V183" s="7">
        <v>33939</v>
      </c>
      <c r="W183" t="s">
        <v>2799</v>
      </c>
      <c r="X183" s="2">
        <v>0.88100000000000001</v>
      </c>
      <c r="Y183" s="6">
        <f t="shared" si="22"/>
        <v>2.3517791836843653E-2</v>
      </c>
      <c r="AA183">
        <v>10459243</v>
      </c>
      <c r="AB183">
        <v>17248</v>
      </c>
      <c r="AD183" t="s">
        <v>4</v>
      </c>
      <c r="AE183">
        <v>34</v>
      </c>
      <c r="AF183">
        <v>6</v>
      </c>
      <c r="AH183" t="s">
        <v>9576</v>
      </c>
      <c r="AL183">
        <v>188</v>
      </c>
      <c r="AM183" s="5">
        <f t="shared" si="26"/>
        <v>6.2666666666666666</v>
      </c>
      <c r="AN183" s="4">
        <f t="shared" si="23"/>
        <v>9.4913542849930574E-3</v>
      </c>
      <c r="AO183" s="3"/>
      <c r="AP183">
        <v>0</v>
      </c>
      <c r="AR183" t="s">
        <v>0</v>
      </c>
      <c r="AT183" s="2" t="s">
        <v>16</v>
      </c>
      <c r="AU183" s="1">
        <f t="shared" si="27"/>
        <v>1.9309860571288473</v>
      </c>
      <c r="AV183" s="1">
        <f t="shared" si="28"/>
        <v>1.6504573060918355</v>
      </c>
      <c r="AW183" s="1">
        <f t="shared" si="29"/>
        <v>1.3699285550548235</v>
      </c>
    </row>
    <row r="184" spans="1:49" x14ac:dyDescent="0.2">
      <c r="A184">
        <v>182</v>
      </c>
      <c r="B184" t="s">
        <v>9575</v>
      </c>
      <c r="C184" t="s">
        <v>9574</v>
      </c>
      <c r="F184" t="s">
        <v>9573</v>
      </c>
      <c r="G184" t="s">
        <v>12</v>
      </c>
      <c r="H184" t="s">
        <v>11</v>
      </c>
      <c r="I184" t="s">
        <v>9572</v>
      </c>
      <c r="J184" t="s">
        <v>9571</v>
      </c>
      <c r="K184" t="s">
        <v>9570</v>
      </c>
      <c r="L184" t="s">
        <v>9569</v>
      </c>
      <c r="M184" t="s">
        <v>125</v>
      </c>
      <c r="N184">
        <v>3</v>
      </c>
      <c r="O184" t="s">
        <v>9568</v>
      </c>
      <c r="P184" t="s">
        <v>9567</v>
      </c>
      <c r="Q184" t="s">
        <v>9566</v>
      </c>
      <c r="R184" s="7">
        <v>33604</v>
      </c>
      <c r="S184" s="8">
        <f t="shared" si="24"/>
        <v>1992</v>
      </c>
      <c r="T184" s="8">
        <v>1992</v>
      </c>
      <c r="U184" s="8">
        <f t="shared" si="25"/>
        <v>30</v>
      </c>
      <c r="V184" s="7">
        <v>1992</v>
      </c>
      <c r="W184" t="s">
        <v>321</v>
      </c>
      <c r="X184" s="2">
        <v>0.28599999999999998</v>
      </c>
      <c r="Y184" s="6">
        <f t="shared" si="22"/>
        <v>7.6346066575905605E-3</v>
      </c>
      <c r="AA184">
        <v>9205071</v>
      </c>
      <c r="AB184">
        <v>28139</v>
      </c>
      <c r="AC184">
        <v>15693937</v>
      </c>
      <c r="AD184" t="s">
        <v>4</v>
      </c>
      <c r="AE184">
        <v>6</v>
      </c>
      <c r="AF184" s="9">
        <v>44348</v>
      </c>
      <c r="AH184" t="s">
        <v>9565</v>
      </c>
      <c r="AI184" t="s">
        <v>9564</v>
      </c>
      <c r="AK184" t="s">
        <v>9563</v>
      </c>
      <c r="AL184">
        <v>2</v>
      </c>
      <c r="AM184" s="5">
        <f t="shared" si="26"/>
        <v>6.6666666666666666E-2</v>
      </c>
      <c r="AN184" s="4">
        <f t="shared" si="23"/>
        <v>1.0097185409567084E-4</v>
      </c>
      <c r="AO184" s="3"/>
      <c r="AP184">
        <v>0</v>
      </c>
      <c r="AR184" t="s">
        <v>0</v>
      </c>
      <c r="AT184" s="2" t="s">
        <v>16</v>
      </c>
      <c r="AU184" s="1">
        <f t="shared" si="27"/>
        <v>0.53745162165420934</v>
      </c>
      <c r="AV184" s="1">
        <f t="shared" si="28"/>
        <v>0.38677892558431159</v>
      </c>
      <c r="AW184" s="1">
        <f t="shared" si="29"/>
        <v>0.23610622951441376</v>
      </c>
    </row>
    <row r="185" spans="1:49" x14ac:dyDescent="0.2">
      <c r="A185">
        <v>183</v>
      </c>
      <c r="B185" t="s">
        <v>9562</v>
      </c>
      <c r="C185" t="s">
        <v>9561</v>
      </c>
      <c r="F185" t="s">
        <v>9560</v>
      </c>
      <c r="G185" t="s">
        <v>12</v>
      </c>
      <c r="H185" t="s">
        <v>11</v>
      </c>
      <c r="I185" t="s">
        <v>9559</v>
      </c>
      <c r="J185">
        <v>100461713</v>
      </c>
      <c r="K185" t="s">
        <v>9558</v>
      </c>
      <c r="L185" t="s">
        <v>9557</v>
      </c>
      <c r="M185" t="s">
        <v>7</v>
      </c>
      <c r="N185">
        <v>1</v>
      </c>
      <c r="O185" t="s">
        <v>9556</v>
      </c>
      <c r="P185">
        <v>7201661115</v>
      </c>
      <c r="Q185">
        <v>100461713</v>
      </c>
      <c r="R185" s="7">
        <v>33604</v>
      </c>
      <c r="S185" s="8">
        <f t="shared" si="24"/>
        <v>1992</v>
      </c>
      <c r="T185" s="8">
        <v>1992</v>
      </c>
      <c r="U185" s="8">
        <f t="shared" si="25"/>
        <v>30</v>
      </c>
      <c r="V185" s="7">
        <v>33939</v>
      </c>
      <c r="W185" t="s">
        <v>3220</v>
      </c>
      <c r="X185" s="2">
        <v>0.78200000000000003</v>
      </c>
      <c r="Y185" s="6">
        <f t="shared" si="22"/>
        <v>2.0875043378446919E-2</v>
      </c>
      <c r="AA185">
        <v>189316</v>
      </c>
      <c r="AB185">
        <v>19901</v>
      </c>
      <c r="AC185">
        <v>15579611</v>
      </c>
      <c r="AD185" t="s">
        <v>4</v>
      </c>
      <c r="AE185">
        <v>38</v>
      </c>
      <c r="AF185">
        <v>4</v>
      </c>
      <c r="AH185" t="s">
        <v>9555</v>
      </c>
      <c r="AI185" t="s">
        <v>9554</v>
      </c>
      <c r="AK185" t="s">
        <v>9553</v>
      </c>
      <c r="AL185">
        <v>5</v>
      </c>
      <c r="AM185" s="5">
        <f t="shared" si="26"/>
        <v>0.16666666666666666</v>
      </c>
      <c r="AN185" s="4">
        <f t="shared" si="23"/>
        <v>2.5242963523917705E-4</v>
      </c>
      <c r="AO185" s="3"/>
      <c r="AP185">
        <v>0</v>
      </c>
      <c r="AR185" t="s">
        <v>0</v>
      </c>
      <c r="AT185" s="2">
        <v>3.863</v>
      </c>
      <c r="AU185" s="1">
        <f t="shared" si="27"/>
        <v>1.4688259255484595</v>
      </c>
      <c r="AV185" s="1">
        <f t="shared" si="28"/>
        <v>1.0563736506843047</v>
      </c>
      <c r="AW185" s="1">
        <f t="shared" si="29"/>
        <v>0.64392137582014997</v>
      </c>
    </row>
    <row r="186" spans="1:49" x14ac:dyDescent="0.2">
      <c r="A186">
        <v>184</v>
      </c>
      <c r="B186" t="s">
        <v>9552</v>
      </c>
      <c r="C186" t="s">
        <v>9551</v>
      </c>
      <c r="F186" t="s">
        <v>9550</v>
      </c>
      <c r="G186" t="s">
        <v>12</v>
      </c>
      <c r="H186" t="s">
        <v>11</v>
      </c>
      <c r="I186" t="s">
        <v>9549</v>
      </c>
      <c r="J186">
        <v>60007740</v>
      </c>
      <c r="K186" t="s">
        <v>9548</v>
      </c>
      <c r="L186" t="s">
        <v>9547</v>
      </c>
      <c r="M186" t="s">
        <v>7</v>
      </c>
      <c r="N186">
        <v>1</v>
      </c>
      <c r="O186" t="s">
        <v>9546</v>
      </c>
      <c r="P186">
        <v>56782606500</v>
      </c>
      <c r="Q186">
        <v>60007740</v>
      </c>
      <c r="R186" s="7">
        <v>33604</v>
      </c>
      <c r="S186" s="8">
        <f t="shared" si="24"/>
        <v>1992</v>
      </c>
      <c r="T186" s="8">
        <v>1992</v>
      </c>
      <c r="U186" s="8">
        <f t="shared" si="25"/>
        <v>30</v>
      </c>
      <c r="V186" s="7" t="s">
        <v>9307</v>
      </c>
      <c r="W186" t="s">
        <v>1403</v>
      </c>
      <c r="X186" s="2">
        <v>0.22500000000000001</v>
      </c>
      <c r="Y186" s="6">
        <f t="shared" si="22"/>
        <v>6.0062464963562111E-3</v>
      </c>
      <c r="AA186">
        <v>2726343</v>
      </c>
      <c r="AB186">
        <v>16128</v>
      </c>
      <c r="AC186" t="s">
        <v>1402</v>
      </c>
      <c r="AD186" t="s">
        <v>4</v>
      </c>
      <c r="AE186">
        <v>12</v>
      </c>
      <c r="AF186" s="9">
        <v>44289</v>
      </c>
      <c r="AH186" t="s">
        <v>9545</v>
      </c>
      <c r="AI186" t="s">
        <v>9544</v>
      </c>
      <c r="AK186" t="s">
        <v>9543</v>
      </c>
      <c r="AL186">
        <v>5</v>
      </c>
      <c r="AM186" s="5">
        <f t="shared" si="26"/>
        <v>0.16666666666666666</v>
      </c>
      <c r="AN186" s="4">
        <f t="shared" si="23"/>
        <v>2.5242963523917705E-4</v>
      </c>
      <c r="AO186" s="3"/>
      <c r="AP186">
        <v>0</v>
      </c>
      <c r="AR186" t="s">
        <v>0</v>
      </c>
      <c r="AT186" s="2">
        <v>1.099</v>
      </c>
      <c r="AU186" s="1">
        <f t="shared" si="27"/>
        <v>0.42801014380211011</v>
      </c>
      <c r="AV186" s="1">
        <f t="shared" si="28"/>
        <v>0.31293380657976944</v>
      </c>
      <c r="AW186" s="1">
        <f t="shared" si="29"/>
        <v>0.19785746935742873</v>
      </c>
    </row>
    <row r="187" spans="1:49" x14ac:dyDescent="0.2">
      <c r="A187">
        <v>185</v>
      </c>
      <c r="B187" t="s">
        <v>9542</v>
      </c>
      <c r="C187" t="s">
        <v>9541</v>
      </c>
      <c r="F187" t="s">
        <v>9540</v>
      </c>
      <c r="G187" t="s">
        <v>12</v>
      </c>
      <c r="H187" t="s">
        <v>11</v>
      </c>
      <c r="R187" s="7">
        <v>33604</v>
      </c>
      <c r="S187" s="8">
        <f t="shared" si="24"/>
        <v>1992</v>
      </c>
      <c r="T187" s="8">
        <v>1992</v>
      </c>
      <c r="U187" s="8">
        <f t="shared" si="25"/>
        <v>30</v>
      </c>
      <c r="V187" s="7">
        <v>33878</v>
      </c>
      <c r="W187" t="s">
        <v>1557</v>
      </c>
      <c r="X187" s="2">
        <v>1.137</v>
      </c>
      <c r="Y187" s="6">
        <f t="shared" si="22"/>
        <v>3.0351565628253384E-2</v>
      </c>
      <c r="AA187">
        <v>189251</v>
      </c>
      <c r="AB187">
        <v>17336</v>
      </c>
      <c r="AD187" t="s">
        <v>4</v>
      </c>
      <c r="AE187">
        <v>28</v>
      </c>
      <c r="AF187">
        <v>4</v>
      </c>
      <c r="AH187" t="s">
        <v>9539</v>
      </c>
      <c r="AI187" t="s">
        <v>9538</v>
      </c>
      <c r="AK187" t="s">
        <v>9537</v>
      </c>
      <c r="AL187">
        <v>2</v>
      </c>
      <c r="AM187" s="5">
        <f t="shared" si="26"/>
        <v>6.6666666666666666E-2</v>
      </c>
      <c r="AN187" s="4">
        <f t="shared" si="23"/>
        <v>1.0097185409567084E-4</v>
      </c>
      <c r="AO187" s="3"/>
      <c r="AP187">
        <v>0</v>
      </c>
      <c r="AR187" t="s">
        <v>0</v>
      </c>
      <c r="AT187" s="2" t="s">
        <v>16</v>
      </c>
      <c r="AU187" s="1">
        <f t="shared" si="27"/>
        <v>2.1276387496006066</v>
      </c>
      <c r="AV187" s="1">
        <f t="shared" si="28"/>
        <v>1.5226268741174527</v>
      </c>
      <c r="AW187" s="1">
        <f t="shared" si="29"/>
        <v>0.91761499863429841</v>
      </c>
    </row>
    <row r="188" spans="1:49" x14ac:dyDescent="0.2">
      <c r="A188">
        <v>186</v>
      </c>
      <c r="B188" t="s">
        <v>9536</v>
      </c>
      <c r="C188" t="s">
        <v>9535</v>
      </c>
      <c r="F188" t="s">
        <v>9534</v>
      </c>
      <c r="G188" t="s">
        <v>12</v>
      </c>
      <c r="H188" t="s">
        <v>11</v>
      </c>
      <c r="I188" t="s">
        <v>9533</v>
      </c>
      <c r="J188">
        <v>60011226</v>
      </c>
      <c r="K188" t="s">
        <v>3342</v>
      </c>
      <c r="L188" t="s">
        <v>3341</v>
      </c>
      <c r="M188" t="s">
        <v>817</v>
      </c>
      <c r="N188">
        <v>3</v>
      </c>
      <c r="O188" t="s">
        <v>9532</v>
      </c>
      <c r="P188" t="s">
        <v>9531</v>
      </c>
      <c r="Q188" t="s">
        <v>3338</v>
      </c>
      <c r="R188" s="7">
        <v>33604</v>
      </c>
      <c r="S188" s="8">
        <f t="shared" si="24"/>
        <v>1992</v>
      </c>
      <c r="T188" s="8">
        <v>1992</v>
      </c>
      <c r="U188" s="8">
        <f t="shared" si="25"/>
        <v>30</v>
      </c>
      <c r="V188" s="7">
        <v>33939</v>
      </c>
      <c r="W188" t="s">
        <v>7688</v>
      </c>
      <c r="X188" s="2">
        <v>1.3460000000000001</v>
      </c>
      <c r="Y188" s="6">
        <f t="shared" si="22"/>
        <v>3.593070126264649E-2</v>
      </c>
      <c r="AA188">
        <v>7338724</v>
      </c>
      <c r="AB188">
        <v>12178</v>
      </c>
      <c r="AC188">
        <v>15582213</v>
      </c>
      <c r="AD188" t="s">
        <v>4</v>
      </c>
      <c r="AE188">
        <v>10</v>
      </c>
      <c r="AF188">
        <v>12</v>
      </c>
      <c r="AH188" t="s">
        <v>9530</v>
      </c>
      <c r="AI188" t="s">
        <v>9529</v>
      </c>
      <c r="AJ188" t="s">
        <v>9528</v>
      </c>
      <c r="AK188" t="s">
        <v>9527</v>
      </c>
      <c r="AL188">
        <v>0</v>
      </c>
      <c r="AM188" s="5">
        <f t="shared" si="26"/>
        <v>0</v>
      </c>
      <c r="AN188" s="4">
        <f t="shared" si="23"/>
        <v>0</v>
      </c>
      <c r="AO188" s="3"/>
      <c r="AP188">
        <v>0</v>
      </c>
      <c r="AR188" t="s">
        <v>0</v>
      </c>
      <c r="AT188" s="2">
        <v>4.1420000000000003</v>
      </c>
      <c r="AU188" s="1">
        <f t="shared" si="27"/>
        <v>2.5151490883852543</v>
      </c>
      <c r="AV188" s="1">
        <f t="shared" si="28"/>
        <v>1.7965350631323245</v>
      </c>
      <c r="AW188" s="1">
        <f t="shared" si="29"/>
        <v>1.0779210378793946</v>
      </c>
    </row>
    <row r="189" spans="1:49" x14ac:dyDescent="0.2">
      <c r="A189">
        <v>187</v>
      </c>
      <c r="B189" t="s">
        <v>9526</v>
      </c>
      <c r="C189" t="s">
        <v>9525</v>
      </c>
      <c r="F189" t="s">
        <v>9524</v>
      </c>
      <c r="G189" t="s">
        <v>12</v>
      </c>
      <c r="H189" t="s">
        <v>11</v>
      </c>
      <c r="I189" t="s">
        <v>9523</v>
      </c>
      <c r="J189" t="s">
        <v>9522</v>
      </c>
      <c r="K189" t="s">
        <v>9521</v>
      </c>
      <c r="L189" t="s">
        <v>9520</v>
      </c>
      <c r="M189" t="s">
        <v>9519</v>
      </c>
      <c r="N189">
        <v>4</v>
      </c>
      <c r="O189" t="s">
        <v>9518</v>
      </c>
      <c r="P189" t="s">
        <v>9517</v>
      </c>
      <c r="Q189" t="s">
        <v>9516</v>
      </c>
      <c r="R189" s="7">
        <v>33604</v>
      </c>
      <c r="S189" s="8">
        <f t="shared" si="24"/>
        <v>1992</v>
      </c>
      <c r="T189" s="8">
        <v>1992</v>
      </c>
      <c r="U189" s="8">
        <f t="shared" si="25"/>
        <v>30</v>
      </c>
      <c r="V189" s="7">
        <v>33756</v>
      </c>
      <c r="W189" t="s">
        <v>2799</v>
      </c>
      <c r="X189" s="2">
        <v>0.88100000000000001</v>
      </c>
      <c r="Y189" s="6">
        <f t="shared" si="22"/>
        <v>2.3517791836843653E-2</v>
      </c>
      <c r="AA189">
        <v>10459243</v>
      </c>
      <c r="AB189">
        <v>17248</v>
      </c>
      <c r="AD189" t="s">
        <v>4</v>
      </c>
      <c r="AE189">
        <v>34</v>
      </c>
      <c r="AF189">
        <v>3</v>
      </c>
      <c r="AH189" t="s">
        <v>2059</v>
      </c>
      <c r="AL189">
        <v>1</v>
      </c>
      <c r="AM189" s="5">
        <f t="shared" si="26"/>
        <v>3.3333333333333333E-2</v>
      </c>
      <c r="AN189" s="4">
        <f t="shared" si="23"/>
        <v>5.0485927047835418E-5</v>
      </c>
      <c r="AO189" s="3"/>
      <c r="AP189">
        <v>0</v>
      </c>
      <c r="AR189" t="s">
        <v>0</v>
      </c>
      <c r="AT189" s="2" t="s">
        <v>16</v>
      </c>
      <c r="AU189" s="1">
        <f t="shared" si="27"/>
        <v>1.6477600063904907</v>
      </c>
      <c r="AV189" s="1">
        <f t="shared" si="28"/>
        <v>1.1784138881945743</v>
      </c>
      <c r="AW189" s="1">
        <f t="shared" si="29"/>
        <v>0.70906776999865806</v>
      </c>
    </row>
    <row r="190" spans="1:49" x14ac:dyDescent="0.2">
      <c r="A190">
        <v>188</v>
      </c>
      <c r="B190" t="s">
        <v>9515</v>
      </c>
      <c r="C190" t="s">
        <v>9514</v>
      </c>
      <c r="F190" t="s">
        <v>9513</v>
      </c>
      <c r="G190" t="s">
        <v>12</v>
      </c>
      <c r="H190" t="s">
        <v>11</v>
      </c>
      <c r="I190" t="s">
        <v>9512</v>
      </c>
      <c r="J190">
        <v>60031707</v>
      </c>
      <c r="K190" t="s">
        <v>9511</v>
      </c>
      <c r="L190" t="s">
        <v>9510</v>
      </c>
      <c r="M190" t="s">
        <v>7</v>
      </c>
      <c r="N190">
        <v>1</v>
      </c>
      <c r="O190" t="s">
        <v>9509</v>
      </c>
      <c r="P190">
        <v>7201725362</v>
      </c>
      <c r="Q190">
        <v>60031707</v>
      </c>
      <c r="R190" s="7">
        <v>33604</v>
      </c>
      <c r="S190" s="8">
        <f t="shared" si="24"/>
        <v>1992</v>
      </c>
      <c r="T190" s="8">
        <v>1992</v>
      </c>
      <c r="U190" s="8">
        <f t="shared" si="25"/>
        <v>30</v>
      </c>
      <c r="V190" s="7">
        <v>33939</v>
      </c>
      <c r="W190" t="s">
        <v>9508</v>
      </c>
      <c r="X190" s="2">
        <v>0.41</v>
      </c>
      <c r="Y190" s="6">
        <f t="shared" si="22"/>
        <v>1.0944715837804649E-2</v>
      </c>
      <c r="AA190">
        <v>2705060</v>
      </c>
      <c r="AB190">
        <v>29535</v>
      </c>
      <c r="AC190">
        <v>21566941</v>
      </c>
      <c r="AD190" t="s">
        <v>4</v>
      </c>
      <c r="AE190">
        <v>7</v>
      </c>
      <c r="AF190">
        <v>4</v>
      </c>
      <c r="AH190" t="s">
        <v>9507</v>
      </c>
      <c r="AI190" t="s">
        <v>9506</v>
      </c>
      <c r="AK190" t="s">
        <v>9505</v>
      </c>
      <c r="AL190">
        <v>1</v>
      </c>
      <c r="AM190" s="5">
        <f t="shared" si="26"/>
        <v>3.3333333333333333E-2</v>
      </c>
      <c r="AN190" s="4">
        <f t="shared" si="23"/>
        <v>5.0485927047835418E-5</v>
      </c>
      <c r="AO190" s="3"/>
      <c r="AP190">
        <v>0</v>
      </c>
      <c r="AR190" t="s">
        <v>0</v>
      </c>
      <c r="AT190" s="2">
        <v>1.1319999999999999</v>
      </c>
      <c r="AU190" s="1">
        <f t="shared" si="27"/>
        <v>0.76764468645776052</v>
      </c>
      <c r="AV190" s="1">
        <f t="shared" si="28"/>
        <v>0.54976008824262423</v>
      </c>
      <c r="AW190" s="1">
        <f t="shared" si="29"/>
        <v>0.33187549002748795</v>
      </c>
    </row>
    <row r="191" spans="1:49" x14ac:dyDescent="0.2">
      <c r="A191">
        <v>189</v>
      </c>
      <c r="B191" t="s">
        <v>9504</v>
      </c>
      <c r="C191" t="s">
        <v>9503</v>
      </c>
      <c r="F191" t="s">
        <v>9502</v>
      </c>
      <c r="G191" t="s">
        <v>12</v>
      </c>
      <c r="H191" t="s">
        <v>11</v>
      </c>
      <c r="I191" t="s">
        <v>9501</v>
      </c>
      <c r="J191">
        <v>116984689</v>
      </c>
      <c r="K191" t="s">
        <v>9500</v>
      </c>
      <c r="L191" t="s">
        <v>9499</v>
      </c>
      <c r="M191" t="s">
        <v>460</v>
      </c>
      <c r="N191">
        <v>1</v>
      </c>
      <c r="O191" t="s">
        <v>9498</v>
      </c>
      <c r="P191">
        <v>57190097101</v>
      </c>
      <c r="Q191">
        <v>116984689</v>
      </c>
      <c r="R191" s="7">
        <v>33604</v>
      </c>
      <c r="S191" s="8">
        <f t="shared" si="24"/>
        <v>1992</v>
      </c>
      <c r="T191" s="8">
        <v>1992</v>
      </c>
      <c r="U191" s="8">
        <f t="shared" si="25"/>
        <v>30</v>
      </c>
      <c r="V191" s="7">
        <v>1992</v>
      </c>
      <c r="W191" t="s">
        <v>9497</v>
      </c>
      <c r="X191" s="2">
        <v>0.39400000000000002</v>
      </c>
      <c r="Y191" s="6">
        <f t="shared" si="22"/>
        <v>1.0517604975841543E-2</v>
      </c>
      <c r="AA191">
        <v>46337</v>
      </c>
      <c r="AB191">
        <v>26748</v>
      </c>
      <c r="AC191">
        <v>15213994</v>
      </c>
      <c r="AD191" t="s">
        <v>4</v>
      </c>
      <c r="AE191">
        <v>313</v>
      </c>
      <c r="AF191">
        <v>2</v>
      </c>
      <c r="AH191" t="s">
        <v>9496</v>
      </c>
      <c r="AI191" t="s">
        <v>9495</v>
      </c>
      <c r="AK191" t="s">
        <v>9494</v>
      </c>
      <c r="AL191">
        <v>2</v>
      </c>
      <c r="AM191" s="5">
        <f t="shared" si="26"/>
        <v>6.6666666666666666E-2</v>
      </c>
      <c r="AN191" s="4">
        <f t="shared" si="23"/>
        <v>1.0097185409567084E-4</v>
      </c>
      <c r="AO191" s="3"/>
      <c r="AP191">
        <v>0</v>
      </c>
      <c r="AR191" t="s">
        <v>0</v>
      </c>
      <c r="AT191" s="2">
        <v>0.67600000000000005</v>
      </c>
      <c r="AU191" s="1">
        <f t="shared" si="27"/>
        <v>0.73926150393177803</v>
      </c>
      <c r="AV191" s="1">
        <f t="shared" si="28"/>
        <v>0.5309288414968607</v>
      </c>
      <c r="AW191" s="1">
        <f t="shared" si="29"/>
        <v>0.32259617906194321</v>
      </c>
    </row>
    <row r="192" spans="1:49" x14ac:dyDescent="0.2">
      <c r="A192">
        <v>190</v>
      </c>
      <c r="B192" t="s">
        <v>9493</v>
      </c>
      <c r="C192" t="s">
        <v>9492</v>
      </c>
      <c r="F192" t="s">
        <v>9491</v>
      </c>
      <c r="G192" t="s">
        <v>12</v>
      </c>
      <c r="H192" t="s">
        <v>11</v>
      </c>
      <c r="I192" t="s">
        <v>9490</v>
      </c>
      <c r="J192">
        <v>60020866</v>
      </c>
      <c r="K192" t="s">
        <v>9489</v>
      </c>
      <c r="L192" t="s">
        <v>9488</v>
      </c>
      <c r="M192" t="s">
        <v>151</v>
      </c>
      <c r="N192">
        <v>2</v>
      </c>
      <c r="O192" t="s">
        <v>9487</v>
      </c>
      <c r="P192" t="s">
        <v>9486</v>
      </c>
      <c r="Q192" t="s">
        <v>9485</v>
      </c>
      <c r="R192" s="7">
        <v>33604</v>
      </c>
      <c r="S192" s="8">
        <f t="shared" si="24"/>
        <v>1992</v>
      </c>
      <c r="T192" s="8">
        <v>1992</v>
      </c>
      <c r="U192" s="8">
        <f t="shared" si="25"/>
        <v>30</v>
      </c>
      <c r="V192" s="7">
        <v>1992</v>
      </c>
      <c r="W192" t="s">
        <v>414</v>
      </c>
      <c r="X192" s="2">
        <v>2.141</v>
      </c>
      <c r="Y192" s="6">
        <f t="shared" si="22"/>
        <v>5.7152772216438434E-2</v>
      </c>
      <c r="AA192">
        <v>1962892</v>
      </c>
      <c r="AB192">
        <v>17360</v>
      </c>
      <c r="AC192">
        <v>15580644</v>
      </c>
      <c r="AD192" t="s">
        <v>4</v>
      </c>
      <c r="AE192">
        <v>30</v>
      </c>
      <c r="AF192">
        <v>6</v>
      </c>
      <c r="AH192" t="s">
        <v>9484</v>
      </c>
      <c r="AI192" t="s">
        <v>9483</v>
      </c>
      <c r="AK192" t="s">
        <v>9482</v>
      </c>
      <c r="AL192">
        <v>1</v>
      </c>
      <c r="AM192" s="5">
        <f t="shared" si="26"/>
        <v>3.3333333333333333E-2</v>
      </c>
      <c r="AN192" s="4">
        <f t="shared" si="23"/>
        <v>5.0485927047835418E-5</v>
      </c>
      <c r="AO192" s="3"/>
      <c r="AP192">
        <v>0</v>
      </c>
      <c r="AR192" t="s">
        <v>0</v>
      </c>
      <c r="AT192" s="2" t="s">
        <v>16</v>
      </c>
      <c r="AU192" s="1">
        <f t="shared" si="27"/>
        <v>4.0022086329621249</v>
      </c>
      <c r="AV192" s="1">
        <f t="shared" si="28"/>
        <v>2.8601629071743138</v>
      </c>
      <c r="AW192" s="1">
        <f t="shared" si="29"/>
        <v>1.7181171813865015</v>
      </c>
    </row>
    <row r="193" spans="1:49" x14ac:dyDescent="0.2">
      <c r="A193">
        <v>191</v>
      </c>
      <c r="B193" t="s">
        <v>9481</v>
      </c>
      <c r="C193" t="s">
        <v>9480</v>
      </c>
      <c r="F193" t="s">
        <v>9479</v>
      </c>
      <c r="G193" t="s">
        <v>12</v>
      </c>
      <c r="H193" t="s">
        <v>11</v>
      </c>
      <c r="I193" t="s">
        <v>9478</v>
      </c>
      <c r="J193">
        <v>60025778</v>
      </c>
      <c r="K193" t="s">
        <v>25</v>
      </c>
      <c r="L193" t="s">
        <v>24</v>
      </c>
      <c r="M193" t="s">
        <v>7</v>
      </c>
      <c r="N193">
        <v>1</v>
      </c>
      <c r="O193" t="s">
        <v>9477</v>
      </c>
      <c r="P193">
        <v>7006384021</v>
      </c>
      <c r="Q193">
        <v>60025778</v>
      </c>
      <c r="R193" s="7">
        <v>33604</v>
      </c>
      <c r="S193" s="8">
        <f t="shared" si="24"/>
        <v>1992</v>
      </c>
      <c r="T193" s="8">
        <v>1992</v>
      </c>
      <c r="U193" s="8">
        <f t="shared" si="25"/>
        <v>30</v>
      </c>
      <c r="V193" s="7">
        <v>33909</v>
      </c>
      <c r="W193" t="s">
        <v>194</v>
      </c>
      <c r="X193" s="2">
        <v>2.383</v>
      </c>
      <c r="Y193" s="6">
        <f t="shared" si="22"/>
        <v>6.3612824003630442E-2</v>
      </c>
      <c r="AA193">
        <v>189219</v>
      </c>
      <c r="AB193">
        <v>17915</v>
      </c>
      <c r="AC193">
        <v>15582256</v>
      </c>
      <c r="AD193" t="s">
        <v>4</v>
      </c>
      <c r="AE193">
        <v>80</v>
      </c>
      <c r="AF193">
        <v>11</v>
      </c>
      <c r="AH193" t="s">
        <v>9476</v>
      </c>
      <c r="AI193" t="s">
        <v>9475</v>
      </c>
      <c r="AK193" t="s">
        <v>9474</v>
      </c>
      <c r="AL193">
        <v>304</v>
      </c>
      <c r="AM193" s="5">
        <f t="shared" si="26"/>
        <v>10.133333333333333</v>
      </c>
      <c r="AN193" s="4">
        <f t="shared" si="23"/>
        <v>1.5347721822541965E-2</v>
      </c>
      <c r="AO193" s="3"/>
      <c r="AP193">
        <v>0</v>
      </c>
      <c r="AQ193" t="s">
        <v>2118</v>
      </c>
      <c r="AR193" t="s">
        <v>0</v>
      </c>
      <c r="AS193" t="s">
        <v>2117</v>
      </c>
      <c r="AT193" s="2">
        <v>10.961</v>
      </c>
      <c r="AU193" s="1">
        <f t="shared" si="27"/>
        <v>4.9133293349303901</v>
      </c>
      <c r="AV193" s="1">
        <f t="shared" si="28"/>
        <v>3.9480272913086201</v>
      </c>
      <c r="AW193" s="1">
        <f t="shared" si="29"/>
        <v>2.9827252476868509</v>
      </c>
    </row>
    <row r="194" spans="1:49" x14ac:dyDescent="0.2">
      <c r="A194">
        <v>192</v>
      </c>
      <c r="B194" t="s">
        <v>9473</v>
      </c>
      <c r="C194" t="s">
        <v>9472</v>
      </c>
      <c r="F194" t="s">
        <v>9471</v>
      </c>
      <c r="G194" t="s">
        <v>12</v>
      </c>
      <c r="H194" t="s">
        <v>11</v>
      </c>
      <c r="I194" t="s">
        <v>9470</v>
      </c>
      <c r="J194">
        <v>60023053</v>
      </c>
      <c r="K194" t="s">
        <v>2354</v>
      </c>
      <c r="L194" t="s">
        <v>2353</v>
      </c>
      <c r="M194" t="s">
        <v>7</v>
      </c>
      <c r="N194">
        <v>1</v>
      </c>
      <c r="O194" t="s">
        <v>9469</v>
      </c>
      <c r="P194">
        <v>7003412776</v>
      </c>
      <c r="Q194">
        <v>60023053</v>
      </c>
      <c r="R194" s="7">
        <v>33604</v>
      </c>
      <c r="S194" s="8">
        <f t="shared" si="24"/>
        <v>1992</v>
      </c>
      <c r="T194" s="8">
        <v>1992</v>
      </c>
      <c r="U194" s="8">
        <f t="shared" si="25"/>
        <v>30</v>
      </c>
      <c r="V194" s="7">
        <v>33664</v>
      </c>
      <c r="W194" t="s">
        <v>9468</v>
      </c>
      <c r="X194" s="2">
        <v>0.52600000000000002</v>
      </c>
      <c r="Y194" s="6">
        <f t="shared" ref="Y194:Y257" si="30">(X194-$Z$4)/($Z$3-$Z$4)</f>
        <v>1.4041269587037187E-2</v>
      </c>
      <c r="AA194">
        <v>472689</v>
      </c>
      <c r="AB194">
        <v>24644</v>
      </c>
      <c r="AC194">
        <v>15297845</v>
      </c>
      <c r="AD194" t="s">
        <v>4</v>
      </c>
      <c r="AE194">
        <v>21</v>
      </c>
      <c r="AF194">
        <v>2</v>
      </c>
      <c r="AH194" t="s">
        <v>9467</v>
      </c>
      <c r="AI194" t="s">
        <v>9466</v>
      </c>
      <c r="AJ194" t="s">
        <v>9465</v>
      </c>
      <c r="AK194" t="s">
        <v>9464</v>
      </c>
      <c r="AL194">
        <v>163</v>
      </c>
      <c r="AM194" s="5">
        <f t="shared" si="26"/>
        <v>5.4333333333333336</v>
      </c>
      <c r="AN194" s="4">
        <f t="shared" ref="AN194:AN257" si="31">(AM194-$AO$4)/($AO$3-$AO$4)</f>
        <v>8.2292061087971737E-3</v>
      </c>
      <c r="AO194" s="3"/>
      <c r="AP194">
        <v>0</v>
      </c>
      <c r="AR194" t="s">
        <v>0</v>
      </c>
      <c r="AT194" s="2" t="s">
        <v>16</v>
      </c>
      <c r="AU194" s="1">
        <f t="shared" si="27"/>
        <v>1.2297650543565182</v>
      </c>
      <c r="AV194" s="1">
        <f t="shared" si="28"/>
        <v>1.1135237847917181</v>
      </c>
      <c r="AW194" s="1">
        <f t="shared" si="29"/>
        <v>0.9972825152269178</v>
      </c>
    </row>
    <row r="195" spans="1:49" x14ac:dyDescent="0.2">
      <c r="A195">
        <v>193</v>
      </c>
      <c r="B195" t="s">
        <v>9463</v>
      </c>
      <c r="C195" t="s">
        <v>9462</v>
      </c>
      <c r="F195" t="s">
        <v>9461</v>
      </c>
      <c r="G195" t="s">
        <v>12</v>
      </c>
      <c r="H195" t="s">
        <v>11</v>
      </c>
      <c r="I195" t="s">
        <v>9460</v>
      </c>
      <c r="J195">
        <v>60119141</v>
      </c>
      <c r="K195" t="s">
        <v>9459</v>
      </c>
      <c r="L195" t="s">
        <v>9458</v>
      </c>
      <c r="M195" t="s">
        <v>7</v>
      </c>
      <c r="N195">
        <v>1</v>
      </c>
      <c r="O195" t="s">
        <v>9457</v>
      </c>
      <c r="P195">
        <v>6603094055</v>
      </c>
      <c r="Q195">
        <v>60119141</v>
      </c>
      <c r="R195" s="7">
        <v>33604</v>
      </c>
      <c r="S195" s="8">
        <f t="shared" si="24"/>
        <v>1992</v>
      </c>
      <c r="T195" s="8">
        <v>1992</v>
      </c>
      <c r="U195" s="8">
        <f t="shared" si="25"/>
        <v>30</v>
      </c>
      <c r="V195" s="7">
        <v>33817</v>
      </c>
      <c r="W195" t="s">
        <v>194</v>
      </c>
      <c r="X195" s="2">
        <v>2.383</v>
      </c>
      <c r="Y195" s="6">
        <f t="shared" si="30"/>
        <v>6.3612824003630442E-2</v>
      </c>
      <c r="AA195">
        <v>189219</v>
      </c>
      <c r="AB195">
        <v>17915</v>
      </c>
      <c r="AC195">
        <v>15582256</v>
      </c>
      <c r="AD195" t="s">
        <v>4</v>
      </c>
      <c r="AE195">
        <v>80</v>
      </c>
      <c r="AF195">
        <v>8</v>
      </c>
      <c r="AH195" t="s">
        <v>9456</v>
      </c>
      <c r="AI195" t="s">
        <v>9455</v>
      </c>
      <c r="AK195" t="s">
        <v>9454</v>
      </c>
      <c r="AL195">
        <v>2</v>
      </c>
      <c r="AM195" s="5">
        <f t="shared" si="26"/>
        <v>6.6666666666666666E-2</v>
      </c>
      <c r="AN195" s="4">
        <f t="shared" si="31"/>
        <v>1.0097185409567084E-4</v>
      </c>
      <c r="AO195" s="3"/>
      <c r="AP195">
        <v>0</v>
      </c>
      <c r="AR195" t="s">
        <v>0</v>
      </c>
      <c r="AT195" s="2">
        <v>10.961</v>
      </c>
      <c r="AU195" s="1">
        <f t="shared" si="27"/>
        <v>4.4559268358770012</v>
      </c>
      <c r="AV195" s="1">
        <f t="shared" si="28"/>
        <v>3.1856897928863059</v>
      </c>
      <c r="AW195" s="1">
        <f t="shared" si="29"/>
        <v>1.9154527498956102</v>
      </c>
    </row>
    <row r="196" spans="1:49" x14ac:dyDescent="0.2">
      <c r="A196">
        <v>194</v>
      </c>
      <c r="B196" t="s">
        <v>9453</v>
      </c>
      <c r="C196" t="s">
        <v>9452</v>
      </c>
      <c r="F196" t="s">
        <v>9451</v>
      </c>
      <c r="G196" t="s">
        <v>12</v>
      </c>
      <c r="H196" t="s">
        <v>11</v>
      </c>
      <c r="I196" t="s">
        <v>3646</v>
      </c>
      <c r="J196" t="s">
        <v>9447</v>
      </c>
      <c r="K196" t="s">
        <v>9450</v>
      </c>
      <c r="L196" t="s">
        <v>9449</v>
      </c>
      <c r="M196" t="s">
        <v>904</v>
      </c>
      <c r="N196">
        <v>3</v>
      </c>
      <c r="O196" t="s">
        <v>9448</v>
      </c>
      <c r="P196" t="s">
        <v>3641</v>
      </c>
      <c r="Q196" t="s">
        <v>9447</v>
      </c>
      <c r="R196" s="7">
        <v>33604</v>
      </c>
      <c r="S196" s="8">
        <f t="shared" si="24"/>
        <v>1992</v>
      </c>
      <c r="T196" s="8">
        <v>1992</v>
      </c>
      <c r="U196" s="8">
        <f t="shared" si="25"/>
        <v>30</v>
      </c>
      <c r="V196" s="7">
        <v>1992</v>
      </c>
      <c r="W196" t="s">
        <v>321</v>
      </c>
      <c r="X196" s="2">
        <v>0.28599999999999998</v>
      </c>
      <c r="Y196" s="6">
        <f t="shared" si="30"/>
        <v>7.6346066575905605E-3</v>
      </c>
      <c r="AA196">
        <v>9205071</v>
      </c>
      <c r="AB196">
        <v>28139</v>
      </c>
      <c r="AC196">
        <v>15693937</v>
      </c>
      <c r="AD196" t="s">
        <v>4</v>
      </c>
      <c r="AE196">
        <v>6</v>
      </c>
      <c r="AF196" s="9">
        <v>44348</v>
      </c>
      <c r="AH196" t="s">
        <v>9446</v>
      </c>
      <c r="AI196" t="s">
        <v>9445</v>
      </c>
      <c r="AK196" t="s">
        <v>9444</v>
      </c>
      <c r="AL196">
        <v>3</v>
      </c>
      <c r="AM196" s="5">
        <f t="shared" si="26"/>
        <v>0.1</v>
      </c>
      <c r="AN196" s="4">
        <f t="shared" si="31"/>
        <v>1.5145778114350627E-4</v>
      </c>
      <c r="AO196" s="3"/>
      <c r="AP196">
        <v>0</v>
      </c>
      <c r="AR196" t="s">
        <v>0</v>
      </c>
      <c r="AS196" t="s">
        <v>9443</v>
      </c>
      <c r="AT196" s="2" t="s">
        <v>16</v>
      </c>
      <c r="AU196" s="1">
        <f t="shared" si="27"/>
        <v>0.5389661994656445</v>
      </c>
      <c r="AV196" s="1">
        <f t="shared" si="28"/>
        <v>0.38930322193670336</v>
      </c>
      <c r="AW196" s="1">
        <f t="shared" si="29"/>
        <v>0.23964024440776224</v>
      </c>
    </row>
    <row r="197" spans="1:49" x14ac:dyDescent="0.2">
      <c r="A197">
        <v>195</v>
      </c>
      <c r="B197" t="s">
        <v>9442</v>
      </c>
      <c r="C197" t="s">
        <v>9441</v>
      </c>
      <c r="F197" t="s">
        <v>9440</v>
      </c>
      <c r="G197" t="s">
        <v>12</v>
      </c>
      <c r="H197" t="s">
        <v>11</v>
      </c>
      <c r="I197" t="s">
        <v>9439</v>
      </c>
      <c r="J197">
        <v>60016941</v>
      </c>
      <c r="K197" t="s">
        <v>9438</v>
      </c>
      <c r="L197" t="s">
        <v>2367</v>
      </c>
      <c r="M197" t="s">
        <v>1548</v>
      </c>
      <c r="N197">
        <v>1</v>
      </c>
      <c r="O197" t="s">
        <v>9437</v>
      </c>
      <c r="P197">
        <v>7004402050</v>
      </c>
      <c r="Q197">
        <v>60016941</v>
      </c>
      <c r="R197" s="7">
        <v>33604</v>
      </c>
      <c r="S197" s="8">
        <f t="shared" si="24"/>
        <v>1992</v>
      </c>
      <c r="T197" s="8">
        <v>1992</v>
      </c>
      <c r="U197" s="8">
        <f t="shared" si="25"/>
        <v>30</v>
      </c>
      <c r="V197" s="7">
        <v>1992</v>
      </c>
      <c r="W197" t="s">
        <v>321</v>
      </c>
      <c r="X197" s="2">
        <v>0.28599999999999998</v>
      </c>
      <c r="Y197" s="6">
        <f t="shared" si="30"/>
        <v>7.6346066575905605E-3</v>
      </c>
      <c r="AA197">
        <v>9205071</v>
      </c>
      <c r="AB197">
        <v>28139</v>
      </c>
      <c r="AC197">
        <v>15693937</v>
      </c>
      <c r="AD197" t="s">
        <v>4</v>
      </c>
      <c r="AE197">
        <v>6</v>
      </c>
      <c r="AF197">
        <v>7</v>
      </c>
      <c r="AH197" t="s">
        <v>9436</v>
      </c>
      <c r="AI197" t="s">
        <v>9435</v>
      </c>
      <c r="AK197" t="s">
        <v>9434</v>
      </c>
      <c r="AL197">
        <v>1</v>
      </c>
      <c r="AM197" s="5">
        <f t="shared" si="26"/>
        <v>3.3333333333333333E-2</v>
      </c>
      <c r="AN197" s="4">
        <f t="shared" si="31"/>
        <v>5.0485927047835418E-5</v>
      </c>
      <c r="AO197" s="3"/>
      <c r="AP197">
        <v>0</v>
      </c>
      <c r="AR197" t="s">
        <v>0</v>
      </c>
      <c r="AT197" s="2" t="s">
        <v>16</v>
      </c>
      <c r="AU197" s="1">
        <f t="shared" si="27"/>
        <v>0.5359370438427743</v>
      </c>
      <c r="AV197" s="1">
        <f t="shared" si="28"/>
        <v>0.38425462923191978</v>
      </c>
      <c r="AW197" s="1">
        <f t="shared" si="29"/>
        <v>0.23257221462106531</v>
      </c>
    </row>
    <row r="198" spans="1:49" x14ac:dyDescent="0.2">
      <c r="A198">
        <v>196</v>
      </c>
      <c r="B198" t="s">
        <v>9433</v>
      </c>
      <c r="C198" t="s">
        <v>9432</v>
      </c>
      <c r="F198" t="s">
        <v>9431</v>
      </c>
      <c r="G198" t="s">
        <v>12</v>
      </c>
      <c r="H198" t="s">
        <v>11</v>
      </c>
      <c r="I198" t="s">
        <v>9430</v>
      </c>
      <c r="J198" t="s">
        <v>9429</v>
      </c>
      <c r="K198" t="s">
        <v>9428</v>
      </c>
      <c r="L198" t="s">
        <v>9427</v>
      </c>
      <c r="M198" t="s">
        <v>904</v>
      </c>
      <c r="N198">
        <v>3</v>
      </c>
      <c r="O198" t="s">
        <v>9426</v>
      </c>
      <c r="P198" t="s">
        <v>9425</v>
      </c>
      <c r="Q198" t="s">
        <v>9424</v>
      </c>
      <c r="R198" s="7">
        <v>33604</v>
      </c>
      <c r="S198" s="8">
        <f t="shared" si="24"/>
        <v>1992</v>
      </c>
      <c r="T198" s="8">
        <v>1992</v>
      </c>
      <c r="U198" s="8">
        <f t="shared" si="25"/>
        <v>30</v>
      </c>
      <c r="V198" s="7">
        <v>33878</v>
      </c>
      <c r="W198" t="s">
        <v>97</v>
      </c>
      <c r="X198" s="2">
        <v>1.6519999999999999</v>
      </c>
      <c r="Y198" s="6">
        <f t="shared" si="30"/>
        <v>4.409919649769093E-2</v>
      </c>
      <c r="AA198" t="s">
        <v>96</v>
      </c>
      <c r="AB198">
        <v>17337</v>
      </c>
      <c r="AC198">
        <v>15582221</v>
      </c>
      <c r="AD198" t="s">
        <v>4</v>
      </c>
      <c r="AE198">
        <v>40</v>
      </c>
      <c r="AF198">
        <v>10</v>
      </c>
      <c r="AH198" t="s">
        <v>9423</v>
      </c>
      <c r="AI198" t="s">
        <v>9422</v>
      </c>
      <c r="AK198" t="s">
        <v>9421</v>
      </c>
      <c r="AL198">
        <v>11</v>
      </c>
      <c r="AM198" s="5">
        <f t="shared" si="26"/>
        <v>0.36666666666666664</v>
      </c>
      <c r="AN198" s="4">
        <f t="shared" si="31"/>
        <v>5.5534519752618958E-4</v>
      </c>
      <c r="AO198" s="3"/>
      <c r="AP198">
        <v>0</v>
      </c>
      <c r="AR198" t="s">
        <v>0</v>
      </c>
      <c r="AT198" s="2" t="s">
        <v>16</v>
      </c>
      <c r="AU198" s="1">
        <f t="shared" si="27"/>
        <v>3.1036041107641505</v>
      </c>
      <c r="AV198" s="1">
        <f t="shared" si="28"/>
        <v>2.2327270847608558</v>
      </c>
      <c r="AW198" s="1">
        <f t="shared" si="29"/>
        <v>1.361850058757561</v>
      </c>
    </row>
    <row r="199" spans="1:49" x14ac:dyDescent="0.2">
      <c r="A199">
        <v>197</v>
      </c>
      <c r="B199" t="s">
        <v>9420</v>
      </c>
      <c r="C199" t="s">
        <v>9419</v>
      </c>
      <c r="F199" t="s">
        <v>9418</v>
      </c>
      <c r="G199" t="s">
        <v>12</v>
      </c>
      <c r="H199" t="s">
        <v>11</v>
      </c>
      <c r="I199" t="s">
        <v>9417</v>
      </c>
      <c r="J199">
        <v>60002306</v>
      </c>
      <c r="K199" t="s">
        <v>9416</v>
      </c>
      <c r="L199" t="s">
        <v>9415</v>
      </c>
      <c r="M199" t="s">
        <v>393</v>
      </c>
      <c r="N199">
        <v>2</v>
      </c>
      <c r="O199" t="s">
        <v>9414</v>
      </c>
      <c r="P199" t="s">
        <v>9413</v>
      </c>
      <c r="Q199" t="s">
        <v>9412</v>
      </c>
      <c r="R199" s="7">
        <v>33604</v>
      </c>
      <c r="S199" s="8">
        <f t="shared" si="24"/>
        <v>1992</v>
      </c>
      <c r="T199" s="8">
        <v>1992</v>
      </c>
      <c r="U199" s="8">
        <f t="shared" si="25"/>
        <v>30</v>
      </c>
      <c r="V199" s="7">
        <v>1992</v>
      </c>
      <c r="W199" t="s">
        <v>9411</v>
      </c>
      <c r="X199" s="2">
        <v>2.609</v>
      </c>
      <c r="Y199" s="6">
        <f t="shared" si="30"/>
        <v>6.9645764928859349E-2</v>
      </c>
      <c r="AA199">
        <v>917613</v>
      </c>
      <c r="AB199">
        <v>26959</v>
      </c>
      <c r="AD199" t="s">
        <v>4</v>
      </c>
      <c r="AE199">
        <v>20</v>
      </c>
      <c r="AF199">
        <v>12</v>
      </c>
      <c r="AH199" t="s">
        <v>9410</v>
      </c>
      <c r="AI199" t="s">
        <v>9409</v>
      </c>
      <c r="AK199" t="s">
        <v>9408</v>
      </c>
      <c r="AL199">
        <v>74</v>
      </c>
      <c r="AM199" s="5">
        <f t="shared" si="26"/>
        <v>2.4666666666666668</v>
      </c>
      <c r="AN199" s="4">
        <f t="shared" si="31"/>
        <v>3.7359586015398212E-3</v>
      </c>
      <c r="AO199" s="3"/>
      <c r="AP199">
        <v>0</v>
      </c>
      <c r="AR199" t="s">
        <v>0</v>
      </c>
      <c r="AT199" s="2">
        <v>5.399</v>
      </c>
      <c r="AU199" s="1">
        <f t="shared" si="27"/>
        <v>4.9872823030663493</v>
      </c>
      <c r="AV199" s="1">
        <f t="shared" si="28"/>
        <v>3.6690861765199583</v>
      </c>
      <c r="AW199" s="1">
        <f t="shared" si="29"/>
        <v>2.3508900499735681</v>
      </c>
    </row>
    <row r="200" spans="1:49" x14ac:dyDescent="0.2">
      <c r="A200">
        <v>198</v>
      </c>
      <c r="B200" t="s">
        <v>9407</v>
      </c>
      <c r="C200" t="s">
        <v>9406</v>
      </c>
      <c r="F200" t="s">
        <v>9405</v>
      </c>
      <c r="G200" t="s">
        <v>12</v>
      </c>
      <c r="H200" t="s">
        <v>11</v>
      </c>
      <c r="I200" t="s">
        <v>9404</v>
      </c>
      <c r="J200">
        <v>60030622</v>
      </c>
      <c r="K200" t="s">
        <v>9403</v>
      </c>
      <c r="L200" t="s">
        <v>5405</v>
      </c>
      <c r="M200" t="s">
        <v>3937</v>
      </c>
      <c r="N200">
        <v>3</v>
      </c>
      <c r="O200" t="s">
        <v>9402</v>
      </c>
      <c r="P200" t="s">
        <v>9401</v>
      </c>
      <c r="Q200" t="s">
        <v>9400</v>
      </c>
      <c r="R200" s="7">
        <v>33604</v>
      </c>
      <c r="S200" s="8">
        <f t="shared" si="24"/>
        <v>1992</v>
      </c>
      <c r="T200" s="8">
        <v>1992</v>
      </c>
      <c r="U200" s="8">
        <f t="shared" si="25"/>
        <v>30</v>
      </c>
      <c r="V200" s="7">
        <v>33604</v>
      </c>
      <c r="W200" t="s">
        <v>9399</v>
      </c>
      <c r="X200" s="2">
        <v>0.32900000000000001</v>
      </c>
      <c r="Y200" s="6">
        <f t="shared" si="30"/>
        <v>8.7824670991164151E-3</v>
      </c>
      <c r="AA200">
        <v>9717811</v>
      </c>
      <c r="AB200">
        <v>17624</v>
      </c>
      <c r="AC200">
        <v>9741275</v>
      </c>
      <c r="AD200" t="s">
        <v>4</v>
      </c>
      <c r="AE200">
        <v>1</v>
      </c>
      <c r="AF200">
        <v>1</v>
      </c>
      <c r="AH200" t="s">
        <v>9398</v>
      </c>
      <c r="AI200" t="s">
        <v>9397</v>
      </c>
      <c r="AJ200" t="s">
        <v>9396</v>
      </c>
      <c r="AK200" t="s">
        <v>9395</v>
      </c>
      <c r="AL200">
        <v>2</v>
      </c>
      <c r="AM200" s="5">
        <f t="shared" si="26"/>
        <v>6.6666666666666666E-2</v>
      </c>
      <c r="AN200" s="4">
        <f t="shared" si="31"/>
        <v>1.0097185409567084E-4</v>
      </c>
      <c r="AO200" s="3"/>
      <c r="AP200">
        <v>0</v>
      </c>
      <c r="AR200" t="s">
        <v>0</v>
      </c>
      <c r="AT200" s="2" t="s">
        <v>16</v>
      </c>
      <c r="AU200" s="1">
        <f t="shared" si="27"/>
        <v>0.61780185256101916</v>
      </c>
      <c r="AV200" s="1">
        <f t="shared" si="28"/>
        <v>0.4441719476606043</v>
      </c>
      <c r="AW200" s="1">
        <f t="shared" si="29"/>
        <v>0.27054204276018939</v>
      </c>
    </row>
    <row r="201" spans="1:49" x14ac:dyDescent="0.2">
      <c r="A201">
        <v>199</v>
      </c>
      <c r="B201" t="s">
        <v>9394</v>
      </c>
      <c r="C201" t="s">
        <v>9393</v>
      </c>
      <c r="F201" t="s">
        <v>9392</v>
      </c>
      <c r="G201" t="s">
        <v>12</v>
      </c>
      <c r="H201" t="s">
        <v>11</v>
      </c>
      <c r="I201" t="s">
        <v>9391</v>
      </c>
      <c r="J201" t="s">
        <v>9390</v>
      </c>
      <c r="K201" t="s">
        <v>9389</v>
      </c>
      <c r="L201" t="s">
        <v>9388</v>
      </c>
      <c r="M201" t="s">
        <v>125</v>
      </c>
      <c r="N201">
        <v>2</v>
      </c>
      <c r="O201" t="s">
        <v>9387</v>
      </c>
      <c r="P201" t="s">
        <v>9386</v>
      </c>
      <c r="Q201" t="s">
        <v>9385</v>
      </c>
      <c r="R201" s="7">
        <v>33604</v>
      </c>
      <c r="S201" s="8">
        <f t="shared" si="24"/>
        <v>1992</v>
      </c>
      <c r="T201" s="8">
        <v>1992</v>
      </c>
      <c r="U201" s="8">
        <f t="shared" si="25"/>
        <v>30</v>
      </c>
      <c r="V201" s="7">
        <v>33756</v>
      </c>
      <c r="W201" t="s">
        <v>9384</v>
      </c>
      <c r="X201" s="2">
        <v>0.81799999999999995</v>
      </c>
      <c r="Y201" s="6">
        <f t="shared" si="30"/>
        <v>2.1836042817863912E-2</v>
      </c>
      <c r="AA201">
        <v>318655</v>
      </c>
      <c r="AB201">
        <v>27010</v>
      </c>
      <c r="AC201">
        <v>17511097</v>
      </c>
      <c r="AD201" t="s">
        <v>4</v>
      </c>
      <c r="AE201">
        <v>55</v>
      </c>
      <c r="AF201">
        <v>6</v>
      </c>
      <c r="AH201" t="s">
        <v>9383</v>
      </c>
      <c r="AI201" t="s">
        <v>9382</v>
      </c>
      <c r="AK201" t="s">
        <v>9381</v>
      </c>
      <c r="AL201">
        <v>7</v>
      </c>
      <c r="AM201" s="5">
        <f t="shared" si="26"/>
        <v>0.23333333333333334</v>
      </c>
      <c r="AN201" s="4">
        <f t="shared" si="31"/>
        <v>3.5340148933484791E-4</v>
      </c>
      <c r="AO201" s="3"/>
      <c r="AP201">
        <v>0</v>
      </c>
      <c r="AR201" t="s">
        <v>0</v>
      </c>
      <c r="AT201" s="2">
        <v>3.4209999999999998</v>
      </c>
      <c r="AU201" s="1">
        <f t="shared" si="27"/>
        <v>1.5391250419305191</v>
      </c>
      <c r="AV201" s="1">
        <f t="shared" si="28"/>
        <v>1.1094722153599379</v>
      </c>
      <c r="AW201" s="1">
        <f t="shared" si="29"/>
        <v>0.67981938878935666</v>
      </c>
    </row>
    <row r="202" spans="1:49" x14ac:dyDescent="0.2">
      <c r="A202">
        <v>200</v>
      </c>
      <c r="B202" t="s">
        <v>9380</v>
      </c>
      <c r="C202" t="s">
        <v>9379</v>
      </c>
      <c r="D202" t="s">
        <v>9378</v>
      </c>
      <c r="F202" t="s">
        <v>9377</v>
      </c>
      <c r="G202" t="s">
        <v>12</v>
      </c>
      <c r="H202" t="s">
        <v>11</v>
      </c>
      <c r="I202" t="s">
        <v>9376</v>
      </c>
      <c r="J202">
        <v>60123163</v>
      </c>
      <c r="K202" t="s">
        <v>9375</v>
      </c>
      <c r="L202" t="s">
        <v>618</v>
      </c>
      <c r="M202" t="s">
        <v>617</v>
      </c>
      <c r="N202">
        <v>2</v>
      </c>
      <c r="O202" t="s">
        <v>9374</v>
      </c>
      <c r="P202" t="s">
        <v>9373</v>
      </c>
      <c r="Q202" t="s">
        <v>9372</v>
      </c>
      <c r="R202" s="7">
        <v>33604</v>
      </c>
      <c r="S202" s="8">
        <f t="shared" si="24"/>
        <v>1992</v>
      </c>
      <c r="T202" s="8">
        <v>1992</v>
      </c>
      <c r="U202" s="8">
        <f t="shared" si="25"/>
        <v>30</v>
      </c>
      <c r="V202" s="7">
        <v>33756</v>
      </c>
      <c r="W202" t="s">
        <v>9371</v>
      </c>
      <c r="X202" s="2">
        <v>0.93400000000000005</v>
      </c>
      <c r="Y202" s="6">
        <f t="shared" si="30"/>
        <v>2.4932596567096451E-2</v>
      </c>
      <c r="AA202">
        <v>483575</v>
      </c>
      <c r="AB202">
        <v>39487</v>
      </c>
      <c r="AC202">
        <v>10959939</v>
      </c>
      <c r="AD202" t="s">
        <v>4</v>
      </c>
      <c r="AE202">
        <v>43</v>
      </c>
      <c r="AF202">
        <v>2</v>
      </c>
      <c r="AH202" t="s">
        <v>9370</v>
      </c>
      <c r="AI202" t="s">
        <v>9369</v>
      </c>
      <c r="AK202" t="s">
        <v>9368</v>
      </c>
      <c r="AL202">
        <v>13</v>
      </c>
      <c r="AM202" s="5">
        <f t="shared" si="26"/>
        <v>0.43333333333333335</v>
      </c>
      <c r="AN202" s="4">
        <f t="shared" si="31"/>
        <v>6.5631705162186044E-4</v>
      </c>
      <c r="AO202" s="3"/>
      <c r="AP202">
        <v>0</v>
      </c>
      <c r="AR202" t="s">
        <v>0</v>
      </c>
      <c r="AT202" s="2">
        <v>3.9630000000000001</v>
      </c>
      <c r="AU202" s="1">
        <f t="shared" si="27"/>
        <v>1.7649712712454073</v>
      </c>
      <c r="AV202" s="1">
        <f t="shared" si="28"/>
        <v>1.2794456809359156</v>
      </c>
      <c r="AW202" s="1">
        <f t="shared" si="29"/>
        <v>0.79392009062642377</v>
      </c>
    </row>
    <row r="203" spans="1:49" x14ac:dyDescent="0.2">
      <c r="A203">
        <v>201</v>
      </c>
      <c r="B203" t="s">
        <v>9367</v>
      </c>
      <c r="C203" t="s">
        <v>9366</v>
      </c>
      <c r="F203" t="s">
        <v>9365</v>
      </c>
      <c r="G203" t="s">
        <v>12</v>
      </c>
      <c r="H203" t="s">
        <v>11</v>
      </c>
      <c r="I203" t="s">
        <v>6591</v>
      </c>
      <c r="J203" t="s">
        <v>9364</v>
      </c>
      <c r="K203" t="s">
        <v>9363</v>
      </c>
      <c r="L203" t="s">
        <v>9362</v>
      </c>
      <c r="M203" t="s">
        <v>9361</v>
      </c>
      <c r="N203">
        <v>3</v>
      </c>
      <c r="O203" t="s">
        <v>9360</v>
      </c>
      <c r="P203" t="s">
        <v>9359</v>
      </c>
      <c r="Q203" t="s">
        <v>9358</v>
      </c>
      <c r="R203" s="7">
        <v>33604</v>
      </c>
      <c r="S203" s="8">
        <f t="shared" si="24"/>
        <v>1992</v>
      </c>
      <c r="T203" s="8">
        <v>1992</v>
      </c>
      <c r="U203" s="8">
        <f t="shared" si="25"/>
        <v>30</v>
      </c>
      <c r="V203" s="7">
        <v>33878</v>
      </c>
      <c r="W203" t="s">
        <v>97</v>
      </c>
      <c r="X203" s="2">
        <v>1.6519999999999999</v>
      </c>
      <c r="Y203" s="6">
        <f t="shared" si="30"/>
        <v>4.409919649769093E-2</v>
      </c>
      <c r="AA203" t="s">
        <v>96</v>
      </c>
      <c r="AB203">
        <v>17337</v>
      </c>
      <c r="AC203">
        <v>15582221</v>
      </c>
      <c r="AD203" t="s">
        <v>4</v>
      </c>
      <c r="AE203">
        <v>40</v>
      </c>
      <c r="AF203">
        <v>10</v>
      </c>
      <c r="AH203" t="s">
        <v>9357</v>
      </c>
      <c r="AI203" t="s">
        <v>9356</v>
      </c>
      <c r="AK203" t="s">
        <v>9355</v>
      </c>
      <c r="AL203">
        <v>76</v>
      </c>
      <c r="AM203" s="5">
        <f t="shared" si="26"/>
        <v>2.5333333333333332</v>
      </c>
      <c r="AN203" s="4">
        <f t="shared" si="31"/>
        <v>3.8369304556354913E-3</v>
      </c>
      <c r="AO203" s="3"/>
      <c r="AP203">
        <v>0</v>
      </c>
      <c r="AR203" t="s">
        <v>0</v>
      </c>
      <c r="AT203" s="2" t="s">
        <v>16</v>
      </c>
      <c r="AU203" s="1">
        <f t="shared" si="27"/>
        <v>3.2020516685074294</v>
      </c>
      <c r="AV203" s="1">
        <f t="shared" si="28"/>
        <v>2.3968063476663208</v>
      </c>
      <c r="AW203" s="1">
        <f t="shared" si="29"/>
        <v>1.5915610268252123</v>
      </c>
    </row>
    <row r="204" spans="1:49" x14ac:dyDescent="0.2">
      <c r="A204">
        <v>202</v>
      </c>
      <c r="B204" t="s">
        <v>9354</v>
      </c>
      <c r="C204" t="s">
        <v>9353</v>
      </c>
      <c r="F204" t="s">
        <v>9352</v>
      </c>
      <c r="G204" t="s">
        <v>12</v>
      </c>
      <c r="H204" t="s">
        <v>11</v>
      </c>
      <c r="I204" t="s">
        <v>1882</v>
      </c>
      <c r="J204">
        <v>60102562</v>
      </c>
      <c r="K204" t="s">
        <v>1358</v>
      </c>
      <c r="L204" t="s">
        <v>1357</v>
      </c>
      <c r="M204" t="s">
        <v>7</v>
      </c>
      <c r="N204">
        <v>2</v>
      </c>
      <c r="O204" t="s">
        <v>9351</v>
      </c>
      <c r="P204" t="s">
        <v>1880</v>
      </c>
      <c r="Q204" t="s">
        <v>1354</v>
      </c>
      <c r="R204" s="7">
        <v>33604</v>
      </c>
      <c r="S204" s="8">
        <f t="shared" si="24"/>
        <v>1992</v>
      </c>
      <c r="T204" s="8">
        <v>1992</v>
      </c>
      <c r="U204" s="8">
        <f t="shared" si="25"/>
        <v>30</v>
      </c>
      <c r="V204" s="7">
        <v>1992</v>
      </c>
      <c r="W204" t="s">
        <v>321</v>
      </c>
      <c r="X204" s="2">
        <v>0.28599999999999998</v>
      </c>
      <c r="Y204" s="6">
        <f t="shared" si="30"/>
        <v>7.6346066575905605E-3</v>
      </c>
      <c r="AA204">
        <v>9205071</v>
      </c>
      <c r="AB204">
        <v>28139</v>
      </c>
      <c r="AC204">
        <v>15693937</v>
      </c>
      <c r="AD204" t="s">
        <v>4</v>
      </c>
      <c r="AE204">
        <v>6</v>
      </c>
      <c r="AF204" s="9">
        <v>44348</v>
      </c>
      <c r="AH204" t="s">
        <v>9350</v>
      </c>
      <c r="AI204" t="s">
        <v>9349</v>
      </c>
      <c r="AK204" t="s">
        <v>9348</v>
      </c>
      <c r="AL204">
        <v>32</v>
      </c>
      <c r="AM204" s="5">
        <f t="shared" si="26"/>
        <v>1.0666666666666667</v>
      </c>
      <c r="AN204" s="4">
        <f t="shared" si="31"/>
        <v>1.6155496655307334E-3</v>
      </c>
      <c r="AO204" s="3"/>
      <c r="AP204">
        <v>0</v>
      </c>
      <c r="AQ204" t="s">
        <v>2118</v>
      </c>
      <c r="AR204" t="s">
        <v>9347</v>
      </c>
      <c r="AS204" t="s">
        <v>2117</v>
      </c>
      <c r="AT204" s="2" t="s">
        <v>16</v>
      </c>
      <c r="AU204" s="1">
        <f t="shared" si="27"/>
        <v>0.5828889559972612</v>
      </c>
      <c r="AV204" s="1">
        <f t="shared" si="28"/>
        <v>0.46250781615606473</v>
      </c>
      <c r="AW204" s="1">
        <f t="shared" si="29"/>
        <v>0.34212667631486815</v>
      </c>
    </row>
    <row r="205" spans="1:49" x14ac:dyDescent="0.2">
      <c r="A205">
        <v>203</v>
      </c>
      <c r="B205" t="s">
        <v>9346</v>
      </c>
      <c r="C205" t="s">
        <v>9345</v>
      </c>
      <c r="F205" t="s">
        <v>9344</v>
      </c>
      <c r="G205" t="s">
        <v>12</v>
      </c>
      <c r="H205" t="s">
        <v>11</v>
      </c>
      <c r="I205" t="s">
        <v>9343</v>
      </c>
      <c r="J205" t="s">
        <v>9342</v>
      </c>
      <c r="K205" t="s">
        <v>9341</v>
      </c>
      <c r="L205" t="s">
        <v>9340</v>
      </c>
      <c r="M205" t="s">
        <v>125</v>
      </c>
      <c r="N205">
        <v>6</v>
      </c>
      <c r="O205" t="s">
        <v>9339</v>
      </c>
      <c r="P205" t="s">
        <v>9338</v>
      </c>
      <c r="Q205" t="s">
        <v>9337</v>
      </c>
      <c r="R205" s="7">
        <v>33604</v>
      </c>
      <c r="S205" s="8">
        <f t="shared" si="24"/>
        <v>1992</v>
      </c>
      <c r="T205" s="8">
        <v>1992</v>
      </c>
      <c r="U205" s="8">
        <f t="shared" si="25"/>
        <v>30</v>
      </c>
      <c r="V205" s="7">
        <v>1992</v>
      </c>
      <c r="W205" t="s">
        <v>283</v>
      </c>
      <c r="X205" s="2">
        <v>1.1879999999999999</v>
      </c>
      <c r="Y205" s="6">
        <f t="shared" si="30"/>
        <v>3.1712981500760788E-2</v>
      </c>
      <c r="AA205">
        <v>8998221</v>
      </c>
      <c r="AB205">
        <v>8900153323</v>
      </c>
      <c r="AD205" t="s">
        <v>4</v>
      </c>
      <c r="AE205">
        <v>4</v>
      </c>
      <c r="AF205">
        <v>7</v>
      </c>
      <c r="AH205" t="s">
        <v>9336</v>
      </c>
      <c r="AI205" t="s">
        <v>9335</v>
      </c>
      <c r="AK205" t="s">
        <v>9334</v>
      </c>
      <c r="AL205">
        <v>7</v>
      </c>
      <c r="AM205" s="5">
        <f t="shared" si="26"/>
        <v>0.23333333333333334</v>
      </c>
      <c r="AN205" s="4">
        <f t="shared" si="31"/>
        <v>3.5340148933484791E-4</v>
      </c>
      <c r="AO205" s="3"/>
      <c r="AP205">
        <v>0</v>
      </c>
      <c r="AR205" t="s">
        <v>0</v>
      </c>
      <c r="AT205" s="2" t="s">
        <v>16</v>
      </c>
      <c r="AU205" s="1">
        <f t="shared" si="27"/>
        <v>2.2305107497333005</v>
      </c>
      <c r="AV205" s="1">
        <f t="shared" si="28"/>
        <v>1.6033191495047818</v>
      </c>
      <c r="AW205" s="1">
        <f t="shared" si="29"/>
        <v>0.97612754927626311</v>
      </c>
    </row>
    <row r="206" spans="1:49" x14ac:dyDescent="0.2">
      <c r="A206">
        <v>204</v>
      </c>
      <c r="B206" t="s">
        <v>9333</v>
      </c>
      <c r="C206" t="s">
        <v>9332</v>
      </c>
      <c r="F206" t="s">
        <v>9331</v>
      </c>
      <c r="G206" t="s">
        <v>12</v>
      </c>
      <c r="H206" t="s">
        <v>11</v>
      </c>
      <c r="I206" t="s">
        <v>9330</v>
      </c>
      <c r="J206" t="s">
        <v>9329</v>
      </c>
      <c r="K206" t="s">
        <v>9328</v>
      </c>
      <c r="L206" t="s">
        <v>9327</v>
      </c>
      <c r="M206" t="s">
        <v>9326</v>
      </c>
      <c r="N206">
        <v>3</v>
      </c>
      <c r="O206" t="s">
        <v>9325</v>
      </c>
      <c r="P206" t="s">
        <v>9324</v>
      </c>
      <c r="Q206" t="s">
        <v>9323</v>
      </c>
      <c r="R206" s="7">
        <v>33604</v>
      </c>
      <c r="S206" s="8">
        <f t="shared" si="24"/>
        <v>1992</v>
      </c>
      <c r="T206" s="8">
        <v>1992</v>
      </c>
      <c r="U206" s="8">
        <f t="shared" si="25"/>
        <v>30</v>
      </c>
      <c r="V206" s="7">
        <v>1992</v>
      </c>
      <c r="W206" t="s">
        <v>487</v>
      </c>
      <c r="X206" s="2">
        <v>1.641</v>
      </c>
      <c r="Y206" s="6">
        <f t="shared" si="30"/>
        <v>4.3805557780091299E-2</v>
      </c>
      <c r="AA206">
        <v>223654</v>
      </c>
      <c r="AB206">
        <v>30422</v>
      </c>
      <c r="AD206" t="s">
        <v>4</v>
      </c>
      <c r="AE206">
        <v>96</v>
      </c>
      <c r="AF206">
        <v>15</v>
      </c>
      <c r="AH206" t="s">
        <v>9322</v>
      </c>
      <c r="AI206" t="s">
        <v>9321</v>
      </c>
      <c r="AK206" t="s">
        <v>9320</v>
      </c>
      <c r="AL206">
        <v>139</v>
      </c>
      <c r="AM206" s="5">
        <f t="shared" si="26"/>
        <v>4.6333333333333337</v>
      </c>
      <c r="AN206" s="4">
        <f t="shared" si="31"/>
        <v>7.0175438596491238E-3</v>
      </c>
      <c r="AO206" s="3"/>
      <c r="AP206">
        <v>0</v>
      </c>
      <c r="AR206" t="s">
        <v>0</v>
      </c>
      <c r="AT206" s="2" t="s">
        <v>16</v>
      </c>
      <c r="AU206" s="1">
        <f t="shared" si="27"/>
        <v>3.2769153603958641</v>
      </c>
      <c r="AV206" s="1">
        <f t="shared" si="28"/>
        <v>2.541155081987021</v>
      </c>
      <c r="AW206" s="1">
        <f t="shared" si="29"/>
        <v>1.8053948035781777</v>
      </c>
    </row>
    <row r="207" spans="1:49" x14ac:dyDescent="0.2">
      <c r="A207">
        <v>205</v>
      </c>
      <c r="B207" t="s">
        <v>9319</v>
      </c>
      <c r="C207" t="s">
        <v>9318</v>
      </c>
      <c r="D207">
        <v>21916992901288</v>
      </c>
      <c r="F207" t="s">
        <v>9317</v>
      </c>
      <c r="G207" t="s">
        <v>12</v>
      </c>
      <c r="H207" t="s">
        <v>11</v>
      </c>
      <c r="I207" t="s">
        <v>1658</v>
      </c>
      <c r="N207">
        <v>1</v>
      </c>
      <c r="O207" t="s">
        <v>9316</v>
      </c>
      <c r="P207">
        <v>7103195054</v>
      </c>
      <c r="R207" s="7">
        <v>33604</v>
      </c>
      <c r="S207" s="8">
        <f t="shared" si="24"/>
        <v>1992</v>
      </c>
      <c r="T207" s="8">
        <v>1992</v>
      </c>
      <c r="U207" s="8">
        <f t="shared" si="25"/>
        <v>30</v>
      </c>
      <c r="V207" s="7">
        <v>33635</v>
      </c>
      <c r="W207" t="s">
        <v>65</v>
      </c>
      <c r="X207" s="2">
        <v>0.51500000000000001</v>
      </c>
      <c r="Y207" s="6">
        <f t="shared" si="30"/>
        <v>1.374763086943755E-2</v>
      </c>
      <c r="AA207">
        <v>219169</v>
      </c>
      <c r="AB207">
        <v>30966</v>
      </c>
      <c r="AD207" t="s">
        <v>4</v>
      </c>
      <c r="AE207">
        <v>54</v>
      </c>
      <c r="AF207">
        <v>2</v>
      </c>
      <c r="AH207" t="s">
        <v>9315</v>
      </c>
      <c r="AI207" t="s">
        <v>9314</v>
      </c>
      <c r="AK207" t="s">
        <v>9313</v>
      </c>
      <c r="AL207">
        <v>2</v>
      </c>
      <c r="AM207" s="5">
        <f t="shared" si="26"/>
        <v>6.6666666666666666E-2</v>
      </c>
      <c r="AN207" s="4">
        <f t="shared" si="31"/>
        <v>1.0097185409567084E-4</v>
      </c>
      <c r="AO207" s="3"/>
      <c r="AP207">
        <v>0</v>
      </c>
      <c r="AR207" t="s">
        <v>0</v>
      </c>
      <c r="AT207" s="2" t="s">
        <v>16</v>
      </c>
      <c r="AU207" s="1">
        <f t="shared" si="27"/>
        <v>0.9653633164834986</v>
      </c>
      <c r="AV207" s="1">
        <f t="shared" si="28"/>
        <v>0.69243013617666105</v>
      </c>
      <c r="AW207" s="1">
        <f t="shared" si="29"/>
        <v>0.4194969558698235</v>
      </c>
    </row>
    <row r="208" spans="1:49" x14ac:dyDescent="0.2">
      <c r="A208">
        <v>206</v>
      </c>
      <c r="B208" t="s">
        <v>9312</v>
      </c>
      <c r="C208" t="s">
        <v>9311</v>
      </c>
      <c r="F208" t="s">
        <v>9310</v>
      </c>
      <c r="G208" t="s">
        <v>12</v>
      </c>
      <c r="H208" t="s">
        <v>11</v>
      </c>
      <c r="I208" t="s">
        <v>9309</v>
      </c>
      <c r="J208">
        <v>60014313</v>
      </c>
      <c r="K208" t="s">
        <v>100</v>
      </c>
      <c r="L208" t="s">
        <v>99</v>
      </c>
      <c r="M208" t="s">
        <v>7</v>
      </c>
      <c r="N208">
        <v>1</v>
      </c>
      <c r="O208" t="s">
        <v>9308</v>
      </c>
      <c r="P208">
        <v>7006791463</v>
      </c>
      <c r="Q208">
        <v>60014313</v>
      </c>
      <c r="R208" s="7">
        <v>33604</v>
      </c>
      <c r="S208" s="8">
        <f t="shared" si="24"/>
        <v>1992</v>
      </c>
      <c r="T208" s="8">
        <v>1992</v>
      </c>
      <c r="U208" s="8">
        <f t="shared" si="25"/>
        <v>30</v>
      </c>
      <c r="V208" s="7" t="s">
        <v>9307</v>
      </c>
      <c r="W208" t="s">
        <v>1403</v>
      </c>
      <c r="X208" s="2">
        <v>0.22500000000000001</v>
      </c>
      <c r="Y208" s="6">
        <f t="shared" si="30"/>
        <v>6.0062464963562111E-3</v>
      </c>
      <c r="AA208">
        <v>2726343</v>
      </c>
      <c r="AB208">
        <v>16128</v>
      </c>
      <c r="AC208" t="s">
        <v>1402</v>
      </c>
      <c r="AD208" t="s">
        <v>4</v>
      </c>
      <c r="AE208">
        <v>12</v>
      </c>
      <c r="AF208" s="9">
        <v>44289</v>
      </c>
      <c r="AH208" t="s">
        <v>9306</v>
      </c>
      <c r="AI208" t="s">
        <v>9305</v>
      </c>
      <c r="AK208" t="s">
        <v>9304</v>
      </c>
      <c r="AL208">
        <v>4</v>
      </c>
      <c r="AM208" s="5">
        <f t="shared" si="26"/>
        <v>0.13333333333333333</v>
      </c>
      <c r="AN208" s="4">
        <f t="shared" si="31"/>
        <v>2.0194370819134167E-4</v>
      </c>
      <c r="AO208" s="3"/>
      <c r="AP208">
        <v>0</v>
      </c>
      <c r="AR208" t="s">
        <v>0</v>
      </c>
      <c r="AT208" s="2">
        <v>1.099</v>
      </c>
      <c r="AU208" s="1">
        <f t="shared" si="27"/>
        <v>0.42649556599067501</v>
      </c>
      <c r="AV208" s="1">
        <f t="shared" si="28"/>
        <v>0.31040951022737767</v>
      </c>
      <c r="AW208" s="1">
        <f t="shared" si="29"/>
        <v>0.19432345446408023</v>
      </c>
    </row>
    <row r="209" spans="1:49" x14ac:dyDescent="0.2">
      <c r="A209">
        <v>207</v>
      </c>
      <c r="B209" t="s">
        <v>9303</v>
      </c>
      <c r="C209" t="s">
        <v>9302</v>
      </c>
      <c r="F209" t="s">
        <v>9301</v>
      </c>
      <c r="G209" t="s">
        <v>12</v>
      </c>
      <c r="H209" t="s">
        <v>11</v>
      </c>
      <c r="I209" t="s">
        <v>9300</v>
      </c>
      <c r="N209">
        <v>9</v>
      </c>
      <c r="O209" t="s">
        <v>9299</v>
      </c>
      <c r="P209" t="s">
        <v>9298</v>
      </c>
      <c r="Q209" t="s">
        <v>9297</v>
      </c>
      <c r="R209" s="7">
        <v>33604</v>
      </c>
      <c r="S209" s="8">
        <f t="shared" si="24"/>
        <v>1992</v>
      </c>
      <c r="T209" s="8">
        <v>1992</v>
      </c>
      <c r="U209" s="8">
        <f t="shared" si="25"/>
        <v>30</v>
      </c>
      <c r="V209" s="7">
        <v>33878</v>
      </c>
      <c r="W209" t="s">
        <v>1557</v>
      </c>
      <c r="X209" s="2">
        <v>1.137</v>
      </c>
      <c r="Y209" s="6">
        <f t="shared" si="30"/>
        <v>3.0351565628253384E-2</v>
      </c>
      <c r="AA209">
        <v>189251</v>
      </c>
      <c r="AB209">
        <v>17336</v>
      </c>
      <c r="AD209" t="s">
        <v>4</v>
      </c>
      <c r="AE209">
        <v>28</v>
      </c>
      <c r="AF209">
        <v>4</v>
      </c>
      <c r="AH209" t="s">
        <v>9296</v>
      </c>
      <c r="AI209" t="s">
        <v>9295</v>
      </c>
      <c r="AK209" t="s">
        <v>9294</v>
      </c>
      <c r="AL209">
        <v>8</v>
      </c>
      <c r="AM209" s="5">
        <f t="shared" si="26"/>
        <v>0.26666666666666666</v>
      </c>
      <c r="AN209" s="4">
        <f t="shared" si="31"/>
        <v>4.0388741638268334E-4</v>
      </c>
      <c r="AO209" s="3"/>
      <c r="AP209">
        <v>0</v>
      </c>
      <c r="AR209" t="s">
        <v>0</v>
      </c>
      <c r="AT209" s="2" t="s">
        <v>16</v>
      </c>
      <c r="AU209" s="1">
        <f t="shared" si="27"/>
        <v>2.1367262164692171</v>
      </c>
      <c r="AV209" s="1">
        <f t="shared" si="28"/>
        <v>1.5377726522318034</v>
      </c>
      <c r="AW209" s="1">
        <f t="shared" si="29"/>
        <v>0.93881908799438929</v>
      </c>
    </row>
    <row r="210" spans="1:49" x14ac:dyDescent="0.2">
      <c r="A210">
        <v>208</v>
      </c>
      <c r="B210" t="s">
        <v>9293</v>
      </c>
      <c r="C210" t="s">
        <v>9292</v>
      </c>
      <c r="D210">
        <v>265964692900687</v>
      </c>
      <c r="F210" t="s">
        <v>9291</v>
      </c>
      <c r="G210" t="s">
        <v>12</v>
      </c>
      <c r="H210" t="s">
        <v>11</v>
      </c>
      <c r="I210" t="s">
        <v>9290</v>
      </c>
      <c r="J210">
        <v>60003873</v>
      </c>
      <c r="K210" t="s">
        <v>9289</v>
      </c>
      <c r="L210" t="s">
        <v>138</v>
      </c>
      <c r="M210" t="s">
        <v>7</v>
      </c>
      <c r="N210">
        <v>2</v>
      </c>
      <c r="O210" t="s">
        <v>9288</v>
      </c>
      <c r="P210" t="s">
        <v>9287</v>
      </c>
      <c r="Q210" t="s">
        <v>9286</v>
      </c>
      <c r="R210" s="7">
        <v>33604</v>
      </c>
      <c r="S210" s="8">
        <f t="shared" ref="S210:S273" si="32">YEAR(R210)</f>
        <v>1992</v>
      </c>
      <c r="T210" s="8">
        <v>1992</v>
      </c>
      <c r="U210" s="8">
        <f t="shared" ref="U210:U273" si="33">2022-T210</f>
        <v>30</v>
      </c>
      <c r="V210" s="7">
        <v>33909</v>
      </c>
      <c r="W210" t="s">
        <v>9285</v>
      </c>
      <c r="X210" s="2">
        <v>0.88600000000000001</v>
      </c>
      <c r="Y210" s="6">
        <f t="shared" si="30"/>
        <v>2.3651263981207125E-2</v>
      </c>
      <c r="AA210">
        <v>2659646</v>
      </c>
      <c r="AB210">
        <v>12915</v>
      </c>
      <c r="AD210" t="s">
        <v>4</v>
      </c>
      <c r="AE210">
        <v>8</v>
      </c>
      <c r="AF210">
        <v>4</v>
      </c>
      <c r="AH210" t="s">
        <v>9284</v>
      </c>
      <c r="AI210" t="s">
        <v>9283</v>
      </c>
      <c r="AK210" t="s">
        <v>9282</v>
      </c>
      <c r="AL210">
        <v>0</v>
      </c>
      <c r="AM210" s="5">
        <f t="shared" ref="AM210:AM273" si="34">AL210/U210</f>
        <v>0</v>
      </c>
      <c r="AN210" s="4">
        <f t="shared" si="31"/>
        <v>0</v>
      </c>
      <c r="AO210" s="3"/>
      <c r="AP210">
        <v>0</v>
      </c>
      <c r="AR210" t="s">
        <v>0</v>
      </c>
      <c r="AT210" s="2">
        <v>1.2310000000000001</v>
      </c>
      <c r="AU210" s="1">
        <f t="shared" ref="AU210:AU273" si="35">(Y210*0.7+AN210*0.3)*100</f>
        <v>1.6555884786844985</v>
      </c>
      <c r="AV210" s="1">
        <f t="shared" ref="AV210:AV273" si="36">(Y210*0.5+AN210*0.5)*100</f>
        <v>1.1825631990603562</v>
      </c>
      <c r="AW210" s="1">
        <f t="shared" ref="AW210:AW273" si="37">(Y210*0.3+AN210*0.7)*100</f>
        <v>0.70953791943621369</v>
      </c>
    </row>
    <row r="211" spans="1:49" x14ac:dyDescent="0.2">
      <c r="A211">
        <v>209</v>
      </c>
      <c r="B211" t="s">
        <v>9281</v>
      </c>
      <c r="C211" t="s">
        <v>9280</v>
      </c>
      <c r="D211" t="s">
        <v>9279</v>
      </c>
      <c r="F211" t="s">
        <v>9278</v>
      </c>
      <c r="G211" t="s">
        <v>12</v>
      </c>
      <c r="H211" t="s">
        <v>11</v>
      </c>
      <c r="I211" t="s">
        <v>9277</v>
      </c>
      <c r="J211">
        <v>60010365</v>
      </c>
      <c r="K211" t="s">
        <v>8940</v>
      </c>
      <c r="L211" t="s">
        <v>8939</v>
      </c>
      <c r="M211" t="s">
        <v>393</v>
      </c>
      <c r="N211">
        <v>2</v>
      </c>
      <c r="O211" t="s">
        <v>9276</v>
      </c>
      <c r="P211" t="s">
        <v>9275</v>
      </c>
      <c r="Q211" t="s">
        <v>8936</v>
      </c>
      <c r="R211" s="7">
        <v>33604</v>
      </c>
      <c r="S211" s="8">
        <f t="shared" si="32"/>
        <v>1992</v>
      </c>
      <c r="T211" s="8">
        <v>1992</v>
      </c>
      <c r="U211" s="8">
        <f t="shared" si="33"/>
        <v>30</v>
      </c>
      <c r="V211" s="7">
        <v>33756</v>
      </c>
      <c r="W211" t="s">
        <v>8580</v>
      </c>
      <c r="X211" s="2">
        <v>1.1339999999999999</v>
      </c>
      <c r="Y211" s="6">
        <f t="shared" si="30"/>
        <v>3.0271482341635299E-2</v>
      </c>
      <c r="AA211">
        <v>945765</v>
      </c>
      <c r="AB211">
        <v>12372</v>
      </c>
      <c r="AD211" t="s">
        <v>4</v>
      </c>
      <c r="AE211">
        <v>26</v>
      </c>
      <c r="AF211">
        <v>6</v>
      </c>
      <c r="AH211" t="s">
        <v>9274</v>
      </c>
      <c r="AI211" t="s">
        <v>9273</v>
      </c>
      <c r="AK211" t="s">
        <v>9272</v>
      </c>
      <c r="AL211">
        <v>0</v>
      </c>
      <c r="AM211" s="5">
        <f t="shared" si="34"/>
        <v>0</v>
      </c>
      <c r="AN211" s="4">
        <f t="shared" si="31"/>
        <v>0</v>
      </c>
      <c r="AO211" s="3"/>
      <c r="AP211">
        <v>0</v>
      </c>
      <c r="AR211" t="s">
        <v>0</v>
      </c>
      <c r="AT211" s="2">
        <v>2.4129999999999998</v>
      </c>
      <c r="AU211" s="1">
        <f t="shared" si="35"/>
        <v>2.119003763914471</v>
      </c>
      <c r="AV211" s="1">
        <f t="shared" si="36"/>
        <v>1.5135741170817649</v>
      </c>
      <c r="AW211" s="1">
        <f t="shared" si="37"/>
        <v>0.90814447024905898</v>
      </c>
    </row>
    <row r="212" spans="1:49" x14ac:dyDescent="0.2">
      <c r="A212">
        <v>210</v>
      </c>
      <c r="B212" t="s">
        <v>9271</v>
      </c>
      <c r="C212" t="s">
        <v>9270</v>
      </c>
      <c r="D212" t="s">
        <v>9269</v>
      </c>
      <c r="F212" t="s">
        <v>9268</v>
      </c>
      <c r="G212" t="s">
        <v>12</v>
      </c>
      <c r="H212" t="s">
        <v>11</v>
      </c>
      <c r="I212" t="s">
        <v>9267</v>
      </c>
      <c r="J212">
        <v>60030718</v>
      </c>
      <c r="K212" t="s">
        <v>819</v>
      </c>
      <c r="L212" t="s">
        <v>818</v>
      </c>
      <c r="M212" t="s">
        <v>817</v>
      </c>
      <c r="N212">
        <v>3</v>
      </c>
      <c r="O212" t="s">
        <v>9266</v>
      </c>
      <c r="P212" t="s">
        <v>9265</v>
      </c>
      <c r="Q212" t="s">
        <v>9264</v>
      </c>
      <c r="R212" s="7">
        <v>33604</v>
      </c>
      <c r="S212" s="8">
        <f t="shared" si="32"/>
        <v>1992</v>
      </c>
      <c r="T212" s="8">
        <v>1992</v>
      </c>
      <c r="U212" s="8">
        <f t="shared" si="33"/>
        <v>30</v>
      </c>
      <c r="V212" s="7">
        <v>33756</v>
      </c>
      <c r="W212" t="s">
        <v>9263</v>
      </c>
      <c r="X212" s="2">
        <v>0.84499999999999997</v>
      </c>
      <c r="Y212" s="6">
        <f t="shared" si="30"/>
        <v>2.2556792397426657E-2</v>
      </c>
      <c r="AA212">
        <v>220728</v>
      </c>
      <c r="AB212">
        <v>9500154039</v>
      </c>
      <c r="AD212" t="s">
        <v>4</v>
      </c>
      <c r="AE212">
        <v>342</v>
      </c>
      <c r="AF212">
        <v>3</v>
      </c>
      <c r="AH212" t="s">
        <v>2321</v>
      </c>
      <c r="AI212" t="s">
        <v>9262</v>
      </c>
      <c r="AK212" t="s">
        <v>9261</v>
      </c>
      <c r="AL212">
        <v>0</v>
      </c>
      <c r="AM212" s="5">
        <f t="shared" si="34"/>
        <v>0</v>
      </c>
      <c r="AN212" s="4">
        <f t="shared" si="31"/>
        <v>0</v>
      </c>
      <c r="AO212" s="3"/>
      <c r="AP212">
        <v>0</v>
      </c>
      <c r="AR212" t="s">
        <v>0</v>
      </c>
      <c r="AT212" s="2" t="s">
        <v>16</v>
      </c>
      <c r="AU212" s="1">
        <f t="shared" si="35"/>
        <v>1.578975467819866</v>
      </c>
      <c r="AV212" s="1">
        <f t="shared" si="36"/>
        <v>1.1278396198713327</v>
      </c>
      <c r="AW212" s="1">
        <f t="shared" si="37"/>
        <v>0.67670377192279962</v>
      </c>
    </row>
    <row r="213" spans="1:49" x14ac:dyDescent="0.2">
      <c r="A213">
        <v>211</v>
      </c>
      <c r="B213" t="s">
        <v>9260</v>
      </c>
      <c r="C213" t="s">
        <v>9259</v>
      </c>
      <c r="D213" t="s">
        <v>9258</v>
      </c>
      <c r="F213" t="s">
        <v>9257</v>
      </c>
      <c r="G213" t="s">
        <v>12</v>
      </c>
      <c r="H213" t="s">
        <v>11</v>
      </c>
      <c r="I213" t="s">
        <v>9256</v>
      </c>
      <c r="J213">
        <v>101348348</v>
      </c>
      <c r="K213" t="s">
        <v>9255</v>
      </c>
      <c r="L213" t="s">
        <v>1500</v>
      </c>
      <c r="M213" t="s">
        <v>7</v>
      </c>
      <c r="N213">
        <v>5</v>
      </c>
      <c r="O213" t="s">
        <v>9254</v>
      </c>
      <c r="P213" t="s">
        <v>9253</v>
      </c>
      <c r="Q213" t="s">
        <v>9252</v>
      </c>
      <c r="R213" s="7">
        <v>33604</v>
      </c>
      <c r="S213" s="8">
        <f t="shared" si="32"/>
        <v>1992</v>
      </c>
      <c r="T213" s="8">
        <v>1992</v>
      </c>
      <c r="U213" s="8">
        <f t="shared" si="33"/>
        <v>30</v>
      </c>
      <c r="V213" s="7" t="s">
        <v>8581</v>
      </c>
      <c r="W213" t="s">
        <v>8580</v>
      </c>
      <c r="X213" s="2">
        <v>1.1339999999999999</v>
      </c>
      <c r="Y213" s="6">
        <f t="shared" si="30"/>
        <v>3.0271482341635299E-2</v>
      </c>
      <c r="AA213">
        <v>945765</v>
      </c>
      <c r="AB213">
        <v>12372</v>
      </c>
      <c r="AD213" t="s">
        <v>4</v>
      </c>
      <c r="AE213">
        <v>26</v>
      </c>
      <c r="AF213" s="9">
        <v>44289</v>
      </c>
      <c r="AH213" t="s">
        <v>9251</v>
      </c>
      <c r="AI213" t="s">
        <v>9250</v>
      </c>
      <c r="AK213" t="s">
        <v>9249</v>
      </c>
      <c r="AL213">
        <v>1</v>
      </c>
      <c r="AM213" s="5">
        <f t="shared" si="34"/>
        <v>3.3333333333333333E-2</v>
      </c>
      <c r="AN213" s="4">
        <f t="shared" si="31"/>
        <v>5.0485927047835418E-5</v>
      </c>
      <c r="AO213" s="3"/>
      <c r="AP213">
        <v>0</v>
      </c>
      <c r="AR213" t="s">
        <v>0</v>
      </c>
      <c r="AT213" s="2">
        <v>2.4129999999999998</v>
      </c>
      <c r="AU213" s="1">
        <f t="shared" si="35"/>
        <v>2.1205183417259059</v>
      </c>
      <c r="AV213" s="1">
        <f t="shared" si="36"/>
        <v>1.5160984134341566</v>
      </c>
      <c r="AW213" s="1">
        <f t="shared" si="37"/>
        <v>0.91167848514240746</v>
      </c>
    </row>
    <row r="214" spans="1:49" x14ac:dyDescent="0.2">
      <c r="A214">
        <v>212</v>
      </c>
      <c r="B214" t="s">
        <v>9248</v>
      </c>
      <c r="C214" t="s">
        <v>9247</v>
      </c>
      <c r="D214" t="s">
        <v>9246</v>
      </c>
      <c r="F214" t="s">
        <v>9245</v>
      </c>
      <c r="G214" t="s">
        <v>12</v>
      </c>
      <c r="H214" t="s">
        <v>11</v>
      </c>
      <c r="I214" t="s">
        <v>9244</v>
      </c>
      <c r="J214">
        <v>60009982</v>
      </c>
      <c r="K214" t="s">
        <v>9243</v>
      </c>
      <c r="L214" t="s">
        <v>2051</v>
      </c>
      <c r="M214" t="s">
        <v>7</v>
      </c>
      <c r="N214">
        <v>2</v>
      </c>
      <c r="O214" t="s">
        <v>9242</v>
      </c>
      <c r="P214" t="s">
        <v>9241</v>
      </c>
      <c r="Q214" t="s">
        <v>9240</v>
      </c>
      <c r="R214" s="7">
        <v>33604</v>
      </c>
      <c r="S214" s="8">
        <f t="shared" si="32"/>
        <v>1992</v>
      </c>
      <c r="T214" s="8">
        <v>1992</v>
      </c>
      <c r="U214" s="8">
        <f t="shared" si="33"/>
        <v>30</v>
      </c>
      <c r="V214" s="7" t="s">
        <v>8581</v>
      </c>
      <c r="W214" t="s">
        <v>8580</v>
      </c>
      <c r="X214" s="2">
        <v>1.1339999999999999</v>
      </c>
      <c r="Y214" s="6">
        <f t="shared" si="30"/>
        <v>3.0271482341635299E-2</v>
      </c>
      <c r="AA214">
        <v>945765</v>
      </c>
      <c r="AB214">
        <v>12372</v>
      </c>
      <c r="AD214" t="s">
        <v>4</v>
      </c>
      <c r="AE214">
        <v>26</v>
      </c>
      <c r="AF214" s="9">
        <v>44289</v>
      </c>
      <c r="AH214" t="s">
        <v>9239</v>
      </c>
      <c r="AI214" t="s">
        <v>9238</v>
      </c>
      <c r="AK214" t="s">
        <v>9237</v>
      </c>
      <c r="AL214">
        <v>1</v>
      </c>
      <c r="AM214" s="5">
        <f t="shared" si="34"/>
        <v>3.3333333333333333E-2</v>
      </c>
      <c r="AN214" s="4">
        <f t="shared" si="31"/>
        <v>5.0485927047835418E-5</v>
      </c>
      <c r="AO214" s="3"/>
      <c r="AP214">
        <v>0</v>
      </c>
      <c r="AQ214" t="s">
        <v>1376</v>
      </c>
      <c r="AR214" t="s">
        <v>0</v>
      </c>
      <c r="AS214" t="s">
        <v>1374</v>
      </c>
      <c r="AT214" s="2">
        <v>2.4129999999999998</v>
      </c>
      <c r="AU214" s="1">
        <f t="shared" si="35"/>
        <v>2.1205183417259059</v>
      </c>
      <c r="AV214" s="1">
        <f t="shared" si="36"/>
        <v>1.5160984134341566</v>
      </c>
      <c r="AW214" s="1">
        <f t="shared" si="37"/>
        <v>0.91167848514240746</v>
      </c>
    </row>
    <row r="215" spans="1:49" x14ac:dyDescent="0.2">
      <c r="A215">
        <v>213</v>
      </c>
      <c r="B215" t="s">
        <v>9236</v>
      </c>
      <c r="C215" t="s">
        <v>9235</v>
      </c>
      <c r="D215" t="s">
        <v>9234</v>
      </c>
      <c r="F215" t="s">
        <v>9233</v>
      </c>
      <c r="G215" t="s">
        <v>12</v>
      </c>
      <c r="H215" t="s">
        <v>11</v>
      </c>
      <c r="I215" t="s">
        <v>9232</v>
      </c>
      <c r="J215">
        <v>60011533</v>
      </c>
      <c r="K215" t="s">
        <v>9231</v>
      </c>
      <c r="L215" t="s">
        <v>9230</v>
      </c>
      <c r="M215" t="s">
        <v>7</v>
      </c>
      <c r="N215">
        <v>4</v>
      </c>
      <c r="O215" t="s">
        <v>9229</v>
      </c>
      <c r="P215" t="s">
        <v>9228</v>
      </c>
      <c r="Q215" t="s">
        <v>9227</v>
      </c>
      <c r="R215" s="7">
        <v>33604</v>
      </c>
      <c r="S215" s="8">
        <f t="shared" si="32"/>
        <v>1992</v>
      </c>
      <c r="T215" s="8">
        <v>1992</v>
      </c>
      <c r="U215" s="8">
        <f t="shared" si="33"/>
        <v>30</v>
      </c>
      <c r="V215" s="7">
        <v>33786</v>
      </c>
      <c r="W215" t="s">
        <v>9215</v>
      </c>
      <c r="X215" s="2" t="s">
        <v>16</v>
      </c>
      <c r="Y215" s="6" t="e">
        <f t="shared" si="30"/>
        <v>#VALUE!</v>
      </c>
      <c r="AA215">
        <v>10512004</v>
      </c>
      <c r="AB215">
        <v>24306</v>
      </c>
      <c r="AD215" t="s">
        <v>4</v>
      </c>
      <c r="AE215">
        <v>2</v>
      </c>
      <c r="AF215">
        <v>3</v>
      </c>
      <c r="AH215" t="s">
        <v>9226</v>
      </c>
      <c r="AI215" t="s">
        <v>9225</v>
      </c>
      <c r="AK215" t="s">
        <v>9224</v>
      </c>
      <c r="AL215">
        <v>0</v>
      </c>
      <c r="AM215" s="5">
        <f t="shared" si="34"/>
        <v>0</v>
      </c>
      <c r="AN215" s="4">
        <f t="shared" si="31"/>
        <v>0</v>
      </c>
      <c r="AO215" s="3"/>
      <c r="AP215">
        <v>0</v>
      </c>
      <c r="AR215" t="s">
        <v>0</v>
      </c>
      <c r="AT215" s="2">
        <v>3.3809999999999998</v>
      </c>
      <c r="AU215" s="1" t="e">
        <f t="shared" si="35"/>
        <v>#VALUE!</v>
      </c>
      <c r="AV215" s="1" t="e">
        <f t="shared" si="36"/>
        <v>#VALUE!</v>
      </c>
      <c r="AW215" s="1" t="e">
        <f t="shared" si="37"/>
        <v>#VALUE!</v>
      </c>
    </row>
    <row r="216" spans="1:49" x14ac:dyDescent="0.2">
      <c r="A216">
        <v>214</v>
      </c>
      <c r="B216" t="s">
        <v>9223</v>
      </c>
      <c r="C216" t="s">
        <v>9222</v>
      </c>
      <c r="D216" t="s">
        <v>9221</v>
      </c>
      <c r="F216" t="s">
        <v>9220</v>
      </c>
      <c r="G216" t="s">
        <v>12</v>
      </c>
      <c r="H216" t="s">
        <v>11</v>
      </c>
      <c r="I216" t="s">
        <v>9219</v>
      </c>
      <c r="J216">
        <v>60026280</v>
      </c>
      <c r="K216" t="s">
        <v>9218</v>
      </c>
      <c r="L216" t="s">
        <v>9217</v>
      </c>
      <c r="M216" t="s">
        <v>7</v>
      </c>
      <c r="N216">
        <v>1</v>
      </c>
      <c r="O216" t="s">
        <v>9216</v>
      </c>
      <c r="P216">
        <v>7101809031</v>
      </c>
      <c r="Q216">
        <v>60026280</v>
      </c>
      <c r="R216" s="7">
        <v>33604</v>
      </c>
      <c r="S216" s="8">
        <f t="shared" si="32"/>
        <v>1992</v>
      </c>
      <c r="T216" s="8">
        <v>1992</v>
      </c>
      <c r="U216" s="8">
        <f t="shared" si="33"/>
        <v>30</v>
      </c>
      <c r="V216" s="7">
        <v>33878</v>
      </c>
      <c r="W216" t="s">
        <v>9215</v>
      </c>
      <c r="X216" s="2" t="s">
        <v>16</v>
      </c>
      <c r="Y216" s="6" t="e">
        <f t="shared" si="30"/>
        <v>#VALUE!</v>
      </c>
      <c r="AA216">
        <v>10512004</v>
      </c>
      <c r="AB216">
        <v>24306</v>
      </c>
      <c r="AD216" t="s">
        <v>4</v>
      </c>
      <c r="AE216">
        <v>2</v>
      </c>
      <c r="AF216">
        <v>4</v>
      </c>
      <c r="AH216" t="s">
        <v>9214</v>
      </c>
      <c r="AL216">
        <v>0</v>
      </c>
      <c r="AM216" s="5">
        <f t="shared" si="34"/>
        <v>0</v>
      </c>
      <c r="AN216" s="4">
        <f t="shared" si="31"/>
        <v>0</v>
      </c>
      <c r="AO216" s="3"/>
      <c r="AP216">
        <v>0</v>
      </c>
      <c r="AR216" t="s">
        <v>0</v>
      </c>
      <c r="AT216" s="2">
        <v>3.3809999999999998</v>
      </c>
      <c r="AU216" s="1" t="e">
        <f t="shared" si="35"/>
        <v>#VALUE!</v>
      </c>
      <c r="AV216" s="1" t="e">
        <f t="shared" si="36"/>
        <v>#VALUE!</v>
      </c>
      <c r="AW216" s="1" t="e">
        <f t="shared" si="37"/>
        <v>#VALUE!</v>
      </c>
    </row>
    <row r="217" spans="1:49" x14ac:dyDescent="0.2">
      <c r="A217">
        <v>215</v>
      </c>
      <c r="B217" t="s">
        <v>9213</v>
      </c>
      <c r="C217" t="s">
        <v>9212</v>
      </c>
      <c r="D217" t="s">
        <v>9211</v>
      </c>
      <c r="F217" t="s">
        <v>9210</v>
      </c>
      <c r="G217" t="s">
        <v>12</v>
      </c>
      <c r="H217" t="s">
        <v>11</v>
      </c>
      <c r="I217" t="s">
        <v>9209</v>
      </c>
      <c r="J217" t="s">
        <v>9208</v>
      </c>
      <c r="K217" t="s">
        <v>9207</v>
      </c>
      <c r="L217" t="s">
        <v>9206</v>
      </c>
      <c r="M217" t="s">
        <v>931</v>
      </c>
      <c r="N217">
        <v>5</v>
      </c>
      <c r="O217" t="s">
        <v>9205</v>
      </c>
      <c r="P217" t="s">
        <v>9204</v>
      </c>
      <c r="Q217" t="s">
        <v>9203</v>
      </c>
      <c r="R217" s="7">
        <v>33604</v>
      </c>
      <c r="S217" s="8">
        <f t="shared" si="32"/>
        <v>1992</v>
      </c>
      <c r="T217" s="8">
        <v>1992</v>
      </c>
      <c r="U217" s="8">
        <f t="shared" si="33"/>
        <v>30</v>
      </c>
      <c r="V217" s="7">
        <v>33756</v>
      </c>
      <c r="W217" t="s">
        <v>65</v>
      </c>
      <c r="X217" s="2">
        <v>0.51500000000000001</v>
      </c>
      <c r="Y217" s="6">
        <f t="shared" si="30"/>
        <v>1.374763086943755E-2</v>
      </c>
      <c r="AA217">
        <v>219169</v>
      </c>
      <c r="AB217">
        <v>30966</v>
      </c>
      <c r="AD217" t="s">
        <v>4</v>
      </c>
      <c r="AE217">
        <v>54</v>
      </c>
      <c r="AF217">
        <v>6</v>
      </c>
      <c r="AH217" t="s">
        <v>9202</v>
      </c>
      <c r="AI217" t="s">
        <v>9201</v>
      </c>
      <c r="AK217" t="s">
        <v>9200</v>
      </c>
      <c r="AL217">
        <v>94</v>
      </c>
      <c r="AM217" s="5">
        <f t="shared" si="34"/>
        <v>3.1333333333333333</v>
      </c>
      <c r="AN217" s="4">
        <f t="shared" si="31"/>
        <v>4.7456771424965287E-3</v>
      </c>
      <c r="AO217" s="3"/>
      <c r="AP217">
        <v>0</v>
      </c>
      <c r="AR217" t="s">
        <v>0</v>
      </c>
      <c r="AT217" s="2" t="s">
        <v>16</v>
      </c>
      <c r="AU217" s="1">
        <f t="shared" si="35"/>
        <v>1.1047044751355242</v>
      </c>
      <c r="AV217" s="1">
        <f t="shared" si="36"/>
        <v>0.92466540059670388</v>
      </c>
      <c r="AW217" s="1">
        <f t="shared" si="37"/>
        <v>0.74462632605788348</v>
      </c>
    </row>
    <row r="218" spans="1:49" x14ac:dyDescent="0.2">
      <c r="A218">
        <v>216</v>
      </c>
      <c r="B218" t="s">
        <v>9199</v>
      </c>
      <c r="C218" t="s">
        <v>9198</v>
      </c>
      <c r="D218" t="s">
        <v>9197</v>
      </c>
      <c r="F218" t="s">
        <v>9196</v>
      </c>
      <c r="G218" t="s">
        <v>12</v>
      </c>
      <c r="H218" t="s">
        <v>11</v>
      </c>
      <c r="I218" t="s">
        <v>9195</v>
      </c>
      <c r="J218">
        <v>60031855</v>
      </c>
      <c r="K218" t="s">
        <v>9194</v>
      </c>
      <c r="L218" t="s">
        <v>9193</v>
      </c>
      <c r="M218" t="s">
        <v>3937</v>
      </c>
      <c r="N218">
        <v>1</v>
      </c>
      <c r="O218" t="s">
        <v>9192</v>
      </c>
      <c r="P218">
        <v>56266126900</v>
      </c>
      <c r="Q218">
        <v>60031855</v>
      </c>
      <c r="R218" s="7">
        <v>33604</v>
      </c>
      <c r="S218" s="8">
        <f t="shared" si="32"/>
        <v>1992</v>
      </c>
      <c r="T218" s="8">
        <v>1992</v>
      </c>
      <c r="U218" s="8">
        <f t="shared" si="33"/>
        <v>30</v>
      </c>
      <c r="V218" s="7" t="s">
        <v>8581</v>
      </c>
      <c r="W218" t="s">
        <v>8580</v>
      </c>
      <c r="X218" s="2">
        <v>1.1339999999999999</v>
      </c>
      <c r="Y218" s="6">
        <f t="shared" si="30"/>
        <v>3.0271482341635299E-2</v>
      </c>
      <c r="AA218">
        <v>945765</v>
      </c>
      <c r="AB218">
        <v>12372</v>
      </c>
      <c r="AD218" t="s">
        <v>4</v>
      </c>
      <c r="AE218">
        <v>26</v>
      </c>
      <c r="AF218" s="9">
        <v>44289</v>
      </c>
      <c r="AH218" t="s">
        <v>9191</v>
      </c>
      <c r="AI218" t="s">
        <v>9190</v>
      </c>
      <c r="AK218" t="s">
        <v>9189</v>
      </c>
      <c r="AL218">
        <v>0</v>
      </c>
      <c r="AM218" s="5">
        <f t="shared" si="34"/>
        <v>0</v>
      </c>
      <c r="AN218" s="4">
        <f t="shared" si="31"/>
        <v>0</v>
      </c>
      <c r="AO218" s="3"/>
      <c r="AP218">
        <v>0</v>
      </c>
      <c r="AR218" t="s">
        <v>0</v>
      </c>
      <c r="AT218" s="2">
        <v>2.4129999999999998</v>
      </c>
      <c r="AU218" s="1">
        <f t="shared" si="35"/>
        <v>2.119003763914471</v>
      </c>
      <c r="AV218" s="1">
        <f t="shared" si="36"/>
        <v>1.5135741170817649</v>
      </c>
      <c r="AW218" s="1">
        <f t="shared" si="37"/>
        <v>0.90814447024905898</v>
      </c>
    </row>
    <row r="219" spans="1:49" x14ac:dyDescent="0.2">
      <c r="A219">
        <v>217</v>
      </c>
      <c r="B219" t="s">
        <v>9188</v>
      </c>
      <c r="C219" t="s">
        <v>9187</v>
      </c>
      <c r="D219" t="s">
        <v>9186</v>
      </c>
      <c r="F219" t="s">
        <v>9185</v>
      </c>
      <c r="G219" t="s">
        <v>12</v>
      </c>
      <c r="H219" t="s">
        <v>11</v>
      </c>
      <c r="I219" t="s">
        <v>9184</v>
      </c>
      <c r="J219">
        <v>60032350</v>
      </c>
      <c r="K219" t="s">
        <v>9183</v>
      </c>
      <c r="L219" t="s">
        <v>4758</v>
      </c>
      <c r="M219" t="s">
        <v>338</v>
      </c>
      <c r="N219">
        <v>1</v>
      </c>
      <c r="O219" t="s">
        <v>9182</v>
      </c>
      <c r="P219">
        <v>7003386560</v>
      </c>
      <c r="Q219">
        <v>60032350</v>
      </c>
      <c r="R219" s="7">
        <v>33604</v>
      </c>
      <c r="S219" s="8">
        <f t="shared" si="32"/>
        <v>1992</v>
      </c>
      <c r="T219" s="8">
        <v>1992</v>
      </c>
      <c r="U219" s="8">
        <f t="shared" si="33"/>
        <v>30</v>
      </c>
      <c r="V219" s="7">
        <v>33786</v>
      </c>
      <c r="W219" t="s">
        <v>9083</v>
      </c>
      <c r="X219" s="2" t="s">
        <v>16</v>
      </c>
      <c r="Y219" s="6" t="e">
        <f t="shared" si="30"/>
        <v>#VALUE!</v>
      </c>
      <c r="AA219">
        <v>9205632</v>
      </c>
      <c r="AB219">
        <v>29087</v>
      </c>
      <c r="AD219" t="s">
        <v>4</v>
      </c>
      <c r="AE219">
        <v>28</v>
      </c>
      <c r="AF219">
        <v>1</v>
      </c>
      <c r="AH219" t="s">
        <v>9181</v>
      </c>
      <c r="AI219" t="s">
        <v>9180</v>
      </c>
      <c r="AK219" t="s">
        <v>9179</v>
      </c>
      <c r="AL219">
        <v>0</v>
      </c>
      <c r="AM219" s="5">
        <f t="shared" si="34"/>
        <v>0</v>
      </c>
      <c r="AN219" s="4">
        <f t="shared" si="31"/>
        <v>0</v>
      </c>
      <c r="AO219" s="3"/>
      <c r="AP219">
        <v>0</v>
      </c>
      <c r="AR219" t="s">
        <v>0</v>
      </c>
      <c r="AT219" s="2" t="s">
        <v>16</v>
      </c>
      <c r="AU219" s="1" t="e">
        <f t="shared" si="35"/>
        <v>#VALUE!</v>
      </c>
      <c r="AV219" s="1" t="e">
        <f t="shared" si="36"/>
        <v>#VALUE!</v>
      </c>
      <c r="AW219" s="1" t="e">
        <f t="shared" si="37"/>
        <v>#VALUE!</v>
      </c>
    </row>
    <row r="220" spans="1:49" x14ac:dyDescent="0.2">
      <c r="A220">
        <v>218</v>
      </c>
      <c r="B220" t="s">
        <v>9178</v>
      </c>
      <c r="C220" t="s">
        <v>9177</v>
      </c>
      <c r="D220">
        <v>920379692900629</v>
      </c>
      <c r="F220" t="s">
        <v>9176</v>
      </c>
      <c r="G220" t="s">
        <v>12</v>
      </c>
      <c r="H220" t="s">
        <v>11</v>
      </c>
      <c r="I220" t="s">
        <v>9175</v>
      </c>
      <c r="J220" t="s">
        <v>9174</v>
      </c>
      <c r="K220" t="s">
        <v>9173</v>
      </c>
      <c r="L220" t="s">
        <v>9172</v>
      </c>
      <c r="M220" t="s">
        <v>9171</v>
      </c>
      <c r="N220">
        <v>15</v>
      </c>
      <c r="O220" t="s">
        <v>9170</v>
      </c>
      <c r="P220" t="s">
        <v>9169</v>
      </c>
      <c r="Q220" t="s">
        <v>9168</v>
      </c>
      <c r="R220" s="7">
        <v>33604</v>
      </c>
      <c r="S220" s="8">
        <f t="shared" si="32"/>
        <v>1992</v>
      </c>
      <c r="T220" s="8">
        <v>1992</v>
      </c>
      <c r="U220" s="8">
        <f t="shared" si="33"/>
        <v>30</v>
      </c>
      <c r="V220" s="7">
        <v>33786</v>
      </c>
      <c r="W220" t="s">
        <v>147</v>
      </c>
      <c r="X220" s="2">
        <v>0.65600000000000003</v>
      </c>
      <c r="Y220" s="6">
        <f t="shared" si="30"/>
        <v>1.751154534048744E-2</v>
      </c>
      <c r="AA220">
        <v>9203796</v>
      </c>
      <c r="AB220">
        <v>20344</v>
      </c>
      <c r="AD220" t="s">
        <v>4</v>
      </c>
      <c r="AE220">
        <v>19</v>
      </c>
      <c r="AF220">
        <v>1</v>
      </c>
      <c r="AH220" t="s">
        <v>9167</v>
      </c>
      <c r="AI220" t="s">
        <v>9166</v>
      </c>
      <c r="AK220" t="s">
        <v>9165</v>
      </c>
      <c r="AL220">
        <v>9</v>
      </c>
      <c r="AM220" s="5">
        <f t="shared" si="34"/>
        <v>0.3</v>
      </c>
      <c r="AN220" s="4">
        <f t="shared" si="31"/>
        <v>4.5437334343051872E-4</v>
      </c>
      <c r="AO220" s="3"/>
      <c r="AP220">
        <v>0</v>
      </c>
      <c r="AR220" t="s">
        <v>0</v>
      </c>
      <c r="AT220" s="2">
        <v>1.4530000000000001</v>
      </c>
      <c r="AU220" s="1">
        <f t="shared" si="35"/>
        <v>1.2394393741370364</v>
      </c>
      <c r="AV220" s="1">
        <f t="shared" si="36"/>
        <v>0.89829593419589793</v>
      </c>
      <c r="AW220" s="1">
        <f t="shared" si="37"/>
        <v>0.55715249425475954</v>
      </c>
    </row>
    <row r="221" spans="1:49" x14ac:dyDescent="0.2">
      <c r="A221">
        <v>219</v>
      </c>
      <c r="B221" t="s">
        <v>9164</v>
      </c>
      <c r="C221" t="s">
        <v>9163</v>
      </c>
      <c r="D221" t="s">
        <v>9162</v>
      </c>
      <c r="F221" t="s">
        <v>9161</v>
      </c>
      <c r="G221" t="s">
        <v>12</v>
      </c>
      <c r="H221" t="s">
        <v>11</v>
      </c>
      <c r="I221" t="s">
        <v>9160</v>
      </c>
      <c r="J221" t="s">
        <v>9159</v>
      </c>
      <c r="K221" t="s">
        <v>9158</v>
      </c>
      <c r="L221" t="s">
        <v>9157</v>
      </c>
      <c r="M221" t="s">
        <v>9156</v>
      </c>
      <c r="N221">
        <v>3</v>
      </c>
      <c r="O221" t="s">
        <v>9155</v>
      </c>
      <c r="P221" t="s">
        <v>9154</v>
      </c>
      <c r="Q221" t="s">
        <v>9153</v>
      </c>
      <c r="R221" s="7">
        <v>33604</v>
      </c>
      <c r="S221" s="8">
        <f t="shared" si="32"/>
        <v>1992</v>
      </c>
      <c r="T221" s="8">
        <v>1992</v>
      </c>
      <c r="U221" s="8">
        <f t="shared" si="33"/>
        <v>30</v>
      </c>
      <c r="V221" s="7" t="s">
        <v>8581</v>
      </c>
      <c r="W221" t="s">
        <v>8580</v>
      </c>
      <c r="X221" s="2">
        <v>1.1339999999999999</v>
      </c>
      <c r="Y221" s="6">
        <f t="shared" si="30"/>
        <v>3.0271482341635299E-2</v>
      </c>
      <c r="AA221">
        <v>945765</v>
      </c>
      <c r="AB221">
        <v>12372</v>
      </c>
      <c r="AD221" t="s">
        <v>4</v>
      </c>
      <c r="AE221">
        <v>26</v>
      </c>
      <c r="AF221" s="9">
        <v>44289</v>
      </c>
      <c r="AH221" t="s">
        <v>9152</v>
      </c>
      <c r="AI221" t="s">
        <v>9151</v>
      </c>
      <c r="AK221" t="s">
        <v>9150</v>
      </c>
      <c r="AL221">
        <v>2</v>
      </c>
      <c r="AM221" s="5">
        <f t="shared" si="34"/>
        <v>6.6666666666666666E-2</v>
      </c>
      <c r="AN221" s="4">
        <f t="shared" si="31"/>
        <v>1.0097185409567084E-4</v>
      </c>
      <c r="AO221" s="3"/>
      <c r="AP221">
        <v>0</v>
      </c>
      <c r="AR221" t="s">
        <v>0</v>
      </c>
      <c r="AT221" s="2">
        <v>2.4129999999999998</v>
      </c>
      <c r="AU221" s="1">
        <f t="shared" si="35"/>
        <v>2.1220329195373409</v>
      </c>
      <c r="AV221" s="1">
        <f t="shared" si="36"/>
        <v>1.5186227097865486</v>
      </c>
      <c r="AW221" s="1">
        <f t="shared" si="37"/>
        <v>0.91521250003575583</v>
      </c>
    </row>
    <row r="222" spans="1:49" x14ac:dyDescent="0.2">
      <c r="A222">
        <v>220</v>
      </c>
      <c r="B222" t="s">
        <v>9149</v>
      </c>
      <c r="C222" t="s">
        <v>9148</v>
      </c>
      <c r="D222" t="s">
        <v>9147</v>
      </c>
      <c r="F222" t="s">
        <v>9146</v>
      </c>
      <c r="G222" t="s">
        <v>12</v>
      </c>
      <c r="H222" t="s">
        <v>11</v>
      </c>
      <c r="I222" t="s">
        <v>9145</v>
      </c>
      <c r="J222" t="s">
        <v>9144</v>
      </c>
      <c r="K222" t="s">
        <v>9143</v>
      </c>
      <c r="L222" t="s">
        <v>6727</v>
      </c>
      <c r="M222" t="s">
        <v>931</v>
      </c>
      <c r="N222">
        <v>4</v>
      </c>
      <c r="O222" t="s">
        <v>9142</v>
      </c>
      <c r="P222" t="s">
        <v>9141</v>
      </c>
      <c r="Q222" t="s">
        <v>9140</v>
      </c>
      <c r="R222" s="7">
        <v>33604</v>
      </c>
      <c r="S222" s="8">
        <f t="shared" si="32"/>
        <v>1992</v>
      </c>
      <c r="T222" s="8">
        <v>1992</v>
      </c>
      <c r="U222" s="8">
        <f t="shared" si="33"/>
        <v>30</v>
      </c>
      <c r="V222" s="7" t="s">
        <v>9139</v>
      </c>
      <c r="W222" t="s">
        <v>8580</v>
      </c>
      <c r="X222" s="2">
        <v>1.1339999999999999</v>
      </c>
      <c r="Y222" s="6">
        <f t="shared" si="30"/>
        <v>3.0271482341635299E-2</v>
      </c>
      <c r="AA222">
        <v>945765</v>
      </c>
      <c r="AB222">
        <v>12372</v>
      </c>
      <c r="AD222" t="s">
        <v>4</v>
      </c>
      <c r="AE222">
        <v>26</v>
      </c>
      <c r="AF222" s="9">
        <v>44477</v>
      </c>
      <c r="AH222" t="s">
        <v>9138</v>
      </c>
      <c r="AI222" t="s">
        <v>9137</v>
      </c>
      <c r="AK222" t="s">
        <v>9136</v>
      </c>
      <c r="AL222">
        <v>1</v>
      </c>
      <c r="AM222" s="5">
        <f t="shared" si="34"/>
        <v>3.3333333333333333E-2</v>
      </c>
      <c r="AN222" s="4">
        <f t="shared" si="31"/>
        <v>5.0485927047835418E-5</v>
      </c>
      <c r="AO222" s="3"/>
      <c r="AP222">
        <v>0</v>
      </c>
      <c r="AR222" t="s">
        <v>0</v>
      </c>
      <c r="AT222" s="2">
        <v>2.4129999999999998</v>
      </c>
      <c r="AU222" s="1">
        <f t="shared" si="35"/>
        <v>2.1205183417259059</v>
      </c>
      <c r="AV222" s="1">
        <f t="shared" si="36"/>
        <v>1.5160984134341566</v>
      </c>
      <c r="AW222" s="1">
        <f t="shared" si="37"/>
        <v>0.91167848514240746</v>
      </c>
    </row>
    <row r="223" spans="1:49" x14ac:dyDescent="0.2">
      <c r="A223">
        <v>221</v>
      </c>
      <c r="B223" t="s">
        <v>9135</v>
      </c>
      <c r="C223" t="s">
        <v>9134</v>
      </c>
      <c r="D223" t="s">
        <v>9133</v>
      </c>
      <c r="F223" t="s">
        <v>9132</v>
      </c>
      <c r="G223" t="s">
        <v>12</v>
      </c>
      <c r="H223" t="s">
        <v>11</v>
      </c>
      <c r="I223" t="s">
        <v>9131</v>
      </c>
      <c r="J223" t="s">
        <v>9130</v>
      </c>
      <c r="K223" t="s">
        <v>9129</v>
      </c>
      <c r="L223" t="s">
        <v>9128</v>
      </c>
      <c r="M223" t="s">
        <v>125</v>
      </c>
      <c r="N223">
        <v>6</v>
      </c>
      <c r="O223" t="s">
        <v>9127</v>
      </c>
      <c r="P223" t="s">
        <v>9126</v>
      </c>
      <c r="Q223" t="s">
        <v>9125</v>
      </c>
      <c r="R223" s="7">
        <v>33604</v>
      </c>
      <c r="S223" s="8">
        <f t="shared" si="32"/>
        <v>1992</v>
      </c>
      <c r="T223" s="8">
        <v>1992</v>
      </c>
      <c r="U223" s="8">
        <f t="shared" si="33"/>
        <v>30</v>
      </c>
      <c r="V223" s="7">
        <v>33909</v>
      </c>
      <c r="W223" t="s">
        <v>8580</v>
      </c>
      <c r="X223" s="2">
        <v>1.1339999999999999</v>
      </c>
      <c r="Y223" s="6">
        <f t="shared" si="30"/>
        <v>3.0271482341635299E-2</v>
      </c>
      <c r="AA223">
        <v>945765</v>
      </c>
      <c r="AB223">
        <v>12372</v>
      </c>
      <c r="AD223" t="s">
        <v>4</v>
      </c>
      <c r="AE223">
        <v>26</v>
      </c>
      <c r="AF223">
        <v>11</v>
      </c>
      <c r="AH223" t="s">
        <v>9124</v>
      </c>
      <c r="AI223" t="s">
        <v>9123</v>
      </c>
      <c r="AK223" t="s">
        <v>9122</v>
      </c>
      <c r="AL223">
        <v>2</v>
      </c>
      <c r="AM223" s="5">
        <f t="shared" si="34"/>
        <v>6.6666666666666666E-2</v>
      </c>
      <c r="AN223" s="4">
        <f t="shared" si="31"/>
        <v>1.0097185409567084E-4</v>
      </c>
      <c r="AO223" s="3"/>
      <c r="AP223">
        <v>0</v>
      </c>
      <c r="AR223" t="s">
        <v>0</v>
      </c>
      <c r="AT223" s="2">
        <v>2.4129999999999998</v>
      </c>
      <c r="AU223" s="1">
        <f t="shared" si="35"/>
        <v>2.1220329195373409</v>
      </c>
      <c r="AV223" s="1">
        <f t="shared" si="36"/>
        <v>1.5186227097865486</v>
      </c>
      <c r="AW223" s="1">
        <f t="shared" si="37"/>
        <v>0.91521250003575583</v>
      </c>
    </row>
    <row r="224" spans="1:49" x14ac:dyDescent="0.2">
      <c r="A224">
        <v>222</v>
      </c>
      <c r="B224" t="s">
        <v>9121</v>
      </c>
      <c r="C224" t="s">
        <v>9120</v>
      </c>
      <c r="F224" t="s">
        <v>9119</v>
      </c>
      <c r="G224" t="s">
        <v>12</v>
      </c>
      <c r="H224" t="s">
        <v>11</v>
      </c>
      <c r="I224" t="s">
        <v>9118</v>
      </c>
      <c r="J224">
        <v>60091252</v>
      </c>
      <c r="K224" t="s">
        <v>2756</v>
      </c>
      <c r="L224" t="s">
        <v>2755</v>
      </c>
      <c r="M224" t="s">
        <v>7</v>
      </c>
      <c r="N224">
        <v>2</v>
      </c>
      <c r="O224" t="s">
        <v>9117</v>
      </c>
      <c r="P224" t="s">
        <v>9116</v>
      </c>
      <c r="Q224" t="s">
        <v>9115</v>
      </c>
      <c r="R224" s="7">
        <v>33604</v>
      </c>
      <c r="S224" s="8">
        <f t="shared" si="32"/>
        <v>1992</v>
      </c>
      <c r="T224" s="8">
        <v>1992</v>
      </c>
      <c r="U224" s="8">
        <f t="shared" si="33"/>
        <v>30</v>
      </c>
      <c r="V224" s="7">
        <v>33817</v>
      </c>
      <c r="W224" t="s">
        <v>529</v>
      </c>
      <c r="X224" s="2">
        <v>0.65500000000000003</v>
      </c>
      <c r="Y224" s="6">
        <f t="shared" si="30"/>
        <v>1.7484850911614749E-2</v>
      </c>
      <c r="AA224">
        <v>189375</v>
      </c>
      <c r="AB224">
        <v>26051</v>
      </c>
      <c r="AC224" t="s">
        <v>528</v>
      </c>
      <c r="AD224" t="s">
        <v>4</v>
      </c>
      <c r="AE224">
        <v>34</v>
      </c>
      <c r="AF224">
        <v>3</v>
      </c>
      <c r="AH224" t="s">
        <v>9114</v>
      </c>
      <c r="AI224" t="s">
        <v>9113</v>
      </c>
      <c r="AK224" t="s">
        <v>9112</v>
      </c>
      <c r="AL224">
        <v>14</v>
      </c>
      <c r="AM224" s="5">
        <f t="shared" si="34"/>
        <v>0.46666666666666667</v>
      </c>
      <c r="AN224" s="4">
        <f t="shared" si="31"/>
        <v>7.0680297866969582E-4</v>
      </c>
      <c r="AO224" s="3"/>
      <c r="AP224">
        <v>0</v>
      </c>
      <c r="AQ224" t="s">
        <v>2118</v>
      </c>
      <c r="AR224" t="s">
        <v>9111</v>
      </c>
      <c r="AS224" t="s">
        <v>2117</v>
      </c>
      <c r="AT224" s="2" t="s">
        <v>16</v>
      </c>
      <c r="AU224" s="1">
        <f t="shared" si="35"/>
        <v>1.2451436531731233</v>
      </c>
      <c r="AV224" s="1">
        <f t="shared" si="36"/>
        <v>0.90958269451422225</v>
      </c>
      <c r="AW224" s="1">
        <f t="shared" si="37"/>
        <v>0.57402173585532124</v>
      </c>
    </row>
    <row r="225" spans="1:49" x14ac:dyDescent="0.2">
      <c r="A225">
        <v>223</v>
      </c>
      <c r="B225" t="s">
        <v>9110</v>
      </c>
      <c r="C225" t="s">
        <v>9109</v>
      </c>
      <c r="F225" t="s">
        <v>9108</v>
      </c>
      <c r="G225" t="s">
        <v>12</v>
      </c>
      <c r="H225" t="s">
        <v>11</v>
      </c>
      <c r="I225" t="s">
        <v>9107</v>
      </c>
      <c r="J225" t="s">
        <v>9106</v>
      </c>
      <c r="K225" t="s">
        <v>9105</v>
      </c>
      <c r="L225" t="s">
        <v>9104</v>
      </c>
      <c r="M225" t="s">
        <v>9103</v>
      </c>
      <c r="N225">
        <v>2</v>
      </c>
      <c r="O225" t="s">
        <v>9102</v>
      </c>
      <c r="P225" t="s">
        <v>9101</v>
      </c>
      <c r="Q225" t="s">
        <v>9100</v>
      </c>
      <c r="R225" s="7">
        <v>33604</v>
      </c>
      <c r="S225" s="8">
        <f t="shared" si="32"/>
        <v>1992</v>
      </c>
      <c r="T225" s="8">
        <v>1992</v>
      </c>
      <c r="U225" s="8">
        <f t="shared" si="33"/>
        <v>30</v>
      </c>
      <c r="V225" s="7">
        <v>1992</v>
      </c>
      <c r="W225" t="s">
        <v>9099</v>
      </c>
      <c r="X225" s="2">
        <v>1.391</v>
      </c>
      <c r="Y225" s="6">
        <f t="shared" si="30"/>
        <v>3.7131950561917731E-2</v>
      </c>
      <c r="AA225">
        <v>10502947</v>
      </c>
      <c r="AB225">
        <v>29143</v>
      </c>
      <c r="AD225" t="s">
        <v>4</v>
      </c>
      <c r="AE225">
        <v>45</v>
      </c>
      <c r="AF225">
        <v>5</v>
      </c>
      <c r="AH225" t="s">
        <v>9098</v>
      </c>
      <c r="AI225" t="s">
        <v>9097</v>
      </c>
      <c r="AK225" t="s">
        <v>9096</v>
      </c>
      <c r="AL225">
        <v>7</v>
      </c>
      <c r="AM225" s="5">
        <f t="shared" si="34"/>
        <v>0.23333333333333334</v>
      </c>
      <c r="AN225" s="4">
        <f t="shared" si="31"/>
        <v>3.5340148933484791E-4</v>
      </c>
      <c r="AO225" s="3"/>
      <c r="AP225">
        <v>0</v>
      </c>
      <c r="AR225" t="s">
        <v>0</v>
      </c>
      <c r="AT225" s="2">
        <v>3.14</v>
      </c>
      <c r="AU225" s="1">
        <f t="shared" si="35"/>
        <v>2.6098385840142866</v>
      </c>
      <c r="AV225" s="1">
        <f t="shared" si="36"/>
        <v>1.8742676025626288</v>
      </c>
      <c r="AW225" s="1">
        <f t="shared" si="37"/>
        <v>1.1386966211109713</v>
      </c>
    </row>
    <row r="226" spans="1:49" x14ac:dyDescent="0.2">
      <c r="A226">
        <v>224</v>
      </c>
      <c r="B226" t="s">
        <v>9095</v>
      </c>
      <c r="C226" t="s">
        <v>9094</v>
      </c>
      <c r="D226" t="s">
        <v>9093</v>
      </c>
      <c r="F226" t="s">
        <v>9092</v>
      </c>
      <c r="G226" t="s">
        <v>12</v>
      </c>
      <c r="H226" t="s">
        <v>11</v>
      </c>
      <c r="I226" t="s">
        <v>9091</v>
      </c>
      <c r="J226" t="s">
        <v>9090</v>
      </c>
      <c r="K226" t="s">
        <v>9089</v>
      </c>
      <c r="L226" t="s">
        <v>9088</v>
      </c>
      <c r="M226" t="s">
        <v>9087</v>
      </c>
      <c r="N226">
        <v>12</v>
      </c>
      <c r="O226" t="s">
        <v>9086</v>
      </c>
      <c r="P226" t="s">
        <v>9085</v>
      </c>
      <c r="Q226" t="s">
        <v>9084</v>
      </c>
      <c r="R226" s="7">
        <v>33604</v>
      </c>
      <c r="S226" s="8">
        <f t="shared" si="32"/>
        <v>1992</v>
      </c>
      <c r="T226" s="8">
        <v>1992</v>
      </c>
      <c r="U226" s="8">
        <f t="shared" si="33"/>
        <v>30</v>
      </c>
      <c r="V226" s="7">
        <v>33786</v>
      </c>
      <c r="W226" t="s">
        <v>9083</v>
      </c>
      <c r="X226" s="2" t="s">
        <v>16</v>
      </c>
      <c r="Y226" s="6" t="e">
        <f t="shared" si="30"/>
        <v>#VALUE!</v>
      </c>
      <c r="AA226">
        <v>9205632</v>
      </c>
      <c r="AB226">
        <v>29087</v>
      </c>
      <c r="AD226" t="s">
        <v>4</v>
      </c>
      <c r="AE226">
        <v>28</v>
      </c>
      <c r="AF226">
        <v>1</v>
      </c>
      <c r="AH226" t="s">
        <v>9082</v>
      </c>
      <c r="AI226" t="s">
        <v>9081</v>
      </c>
      <c r="AK226" t="s">
        <v>9080</v>
      </c>
      <c r="AL226">
        <v>6</v>
      </c>
      <c r="AM226" s="5">
        <f t="shared" si="34"/>
        <v>0.2</v>
      </c>
      <c r="AN226" s="4">
        <f t="shared" si="31"/>
        <v>3.0291556228701253E-4</v>
      </c>
      <c r="AO226" s="3"/>
      <c r="AP226">
        <v>0</v>
      </c>
      <c r="AR226" t="s">
        <v>0</v>
      </c>
      <c r="AT226" s="2" t="s">
        <v>16</v>
      </c>
      <c r="AU226" s="1" t="e">
        <f t="shared" si="35"/>
        <v>#VALUE!</v>
      </c>
      <c r="AV226" s="1" t="e">
        <f t="shared" si="36"/>
        <v>#VALUE!</v>
      </c>
      <c r="AW226" s="1" t="e">
        <f t="shared" si="37"/>
        <v>#VALUE!</v>
      </c>
    </row>
    <row r="227" spans="1:49" x14ac:dyDescent="0.2">
      <c r="A227">
        <v>225</v>
      </c>
      <c r="B227" t="s">
        <v>9079</v>
      </c>
      <c r="C227" t="s">
        <v>9078</v>
      </c>
      <c r="F227" t="s">
        <v>9077</v>
      </c>
      <c r="G227" t="s">
        <v>12</v>
      </c>
      <c r="H227" t="s">
        <v>11</v>
      </c>
      <c r="I227" t="s">
        <v>9076</v>
      </c>
      <c r="J227">
        <v>60001247</v>
      </c>
      <c r="K227" t="s">
        <v>1213</v>
      </c>
      <c r="M227" t="s">
        <v>7</v>
      </c>
      <c r="N227">
        <v>1</v>
      </c>
      <c r="O227" t="s">
        <v>9075</v>
      </c>
      <c r="P227">
        <v>7103309959</v>
      </c>
      <c r="Q227">
        <v>60001247</v>
      </c>
      <c r="R227" s="7">
        <v>33604</v>
      </c>
      <c r="S227" s="8">
        <f t="shared" si="32"/>
        <v>1992</v>
      </c>
      <c r="T227" s="8">
        <v>1992</v>
      </c>
      <c r="U227" s="8">
        <f t="shared" si="33"/>
        <v>30</v>
      </c>
      <c r="V227" s="7">
        <v>33695</v>
      </c>
      <c r="W227" t="s">
        <v>4664</v>
      </c>
      <c r="X227" s="2">
        <v>0.82</v>
      </c>
      <c r="Y227" s="6">
        <f t="shared" si="30"/>
        <v>2.1889431675609299E-2</v>
      </c>
      <c r="AA227">
        <v>189456</v>
      </c>
      <c r="AB227">
        <v>15361</v>
      </c>
      <c r="AC227">
        <v>15579662</v>
      </c>
      <c r="AD227" t="s">
        <v>4</v>
      </c>
      <c r="AE227">
        <v>41</v>
      </c>
      <c r="AF227">
        <v>2</v>
      </c>
      <c r="AH227" t="s">
        <v>9074</v>
      </c>
      <c r="AI227" t="s">
        <v>9073</v>
      </c>
      <c r="AK227" t="s">
        <v>9072</v>
      </c>
      <c r="AL227">
        <v>25</v>
      </c>
      <c r="AM227" s="5">
        <f t="shared" si="34"/>
        <v>0.83333333333333337</v>
      </c>
      <c r="AN227" s="4">
        <f t="shared" si="31"/>
        <v>1.2621481761958854E-3</v>
      </c>
      <c r="AO227" s="3"/>
      <c r="AP227">
        <v>0</v>
      </c>
      <c r="AR227" t="s">
        <v>0</v>
      </c>
      <c r="AT227" s="2" t="s">
        <v>16</v>
      </c>
      <c r="AU227" s="1">
        <f t="shared" si="35"/>
        <v>1.5701246625785272</v>
      </c>
      <c r="AV227" s="1">
        <f t="shared" si="36"/>
        <v>1.1575789925902591</v>
      </c>
      <c r="AW227" s="1">
        <f t="shared" si="37"/>
        <v>0.74503332260199095</v>
      </c>
    </row>
    <row r="228" spans="1:49" x14ac:dyDescent="0.2">
      <c r="A228">
        <v>226</v>
      </c>
      <c r="B228" t="s">
        <v>9071</v>
      </c>
      <c r="C228" t="s">
        <v>9070</v>
      </c>
      <c r="D228" t="s">
        <v>9069</v>
      </c>
      <c r="F228" t="s">
        <v>9068</v>
      </c>
      <c r="G228" t="s">
        <v>12</v>
      </c>
      <c r="H228" t="s">
        <v>11</v>
      </c>
      <c r="I228" t="s">
        <v>9067</v>
      </c>
      <c r="J228" t="s">
        <v>9066</v>
      </c>
      <c r="K228" t="s">
        <v>9065</v>
      </c>
      <c r="L228" t="s">
        <v>9064</v>
      </c>
      <c r="M228" t="s">
        <v>125</v>
      </c>
      <c r="N228">
        <v>1</v>
      </c>
      <c r="O228" t="s">
        <v>9063</v>
      </c>
      <c r="P228">
        <v>7004487518</v>
      </c>
      <c r="Q228" t="s">
        <v>9062</v>
      </c>
      <c r="R228" s="7">
        <v>33604</v>
      </c>
      <c r="S228" s="8">
        <f t="shared" si="32"/>
        <v>1992</v>
      </c>
      <c r="T228" s="8">
        <v>1992</v>
      </c>
      <c r="U228" s="8">
        <f t="shared" si="33"/>
        <v>30</v>
      </c>
      <c r="V228" s="7" t="s">
        <v>8581</v>
      </c>
      <c r="W228" t="s">
        <v>8580</v>
      </c>
      <c r="X228" s="2">
        <v>1.1339999999999999</v>
      </c>
      <c r="Y228" s="6">
        <f t="shared" si="30"/>
        <v>3.0271482341635299E-2</v>
      </c>
      <c r="AA228">
        <v>945765</v>
      </c>
      <c r="AB228">
        <v>12372</v>
      </c>
      <c r="AD228" t="s">
        <v>4</v>
      </c>
      <c r="AE228">
        <v>26</v>
      </c>
      <c r="AF228" s="9">
        <v>44289</v>
      </c>
      <c r="AH228" t="s">
        <v>9061</v>
      </c>
      <c r="AI228" t="s">
        <v>9060</v>
      </c>
      <c r="AK228" t="s">
        <v>9059</v>
      </c>
      <c r="AL228">
        <v>4</v>
      </c>
      <c r="AM228" s="5">
        <f t="shared" si="34"/>
        <v>0.13333333333333333</v>
      </c>
      <c r="AN228" s="4">
        <f t="shared" si="31"/>
        <v>2.0194370819134167E-4</v>
      </c>
      <c r="AO228" s="3"/>
      <c r="AP228">
        <v>0</v>
      </c>
      <c r="AQ228" t="s">
        <v>1376</v>
      </c>
      <c r="AR228" t="s">
        <v>9058</v>
      </c>
      <c r="AS228" t="s">
        <v>1374</v>
      </c>
      <c r="AT228" s="2">
        <v>2.4129999999999998</v>
      </c>
      <c r="AU228" s="1">
        <f t="shared" si="35"/>
        <v>2.1250620751602112</v>
      </c>
      <c r="AV228" s="1">
        <f t="shared" si="36"/>
        <v>1.523671302491332</v>
      </c>
      <c r="AW228" s="1">
        <f t="shared" si="37"/>
        <v>0.9222805298224529</v>
      </c>
    </row>
    <row r="229" spans="1:49" x14ac:dyDescent="0.2">
      <c r="A229">
        <v>227</v>
      </c>
      <c r="B229" t="s">
        <v>9057</v>
      </c>
      <c r="C229" t="s">
        <v>9056</v>
      </c>
      <c r="D229" t="s">
        <v>9055</v>
      </c>
      <c r="F229" t="s">
        <v>9054</v>
      </c>
      <c r="G229" t="s">
        <v>12</v>
      </c>
      <c r="H229" t="s">
        <v>11</v>
      </c>
      <c r="I229" t="s">
        <v>9053</v>
      </c>
      <c r="J229">
        <v>60006552</v>
      </c>
      <c r="K229" t="s">
        <v>9052</v>
      </c>
      <c r="L229" t="s">
        <v>6766</v>
      </c>
      <c r="M229" t="s">
        <v>856</v>
      </c>
      <c r="N229">
        <v>1</v>
      </c>
      <c r="O229" t="s">
        <v>9051</v>
      </c>
      <c r="P229">
        <v>6506505265</v>
      </c>
      <c r="Q229">
        <v>60006552</v>
      </c>
      <c r="R229" s="7">
        <v>33604</v>
      </c>
      <c r="S229" s="8">
        <f t="shared" si="32"/>
        <v>1992</v>
      </c>
      <c r="T229" s="8">
        <v>1992</v>
      </c>
      <c r="U229" s="8">
        <f t="shared" si="33"/>
        <v>30</v>
      </c>
      <c r="V229" s="7">
        <v>33939</v>
      </c>
      <c r="W229" t="s">
        <v>9032</v>
      </c>
      <c r="X229" s="2">
        <v>0.41399999999999998</v>
      </c>
      <c r="Y229" s="6">
        <f t="shared" si="30"/>
        <v>1.1051493553295428E-2</v>
      </c>
      <c r="AA229">
        <v>17272</v>
      </c>
      <c r="AB229">
        <v>24104</v>
      </c>
      <c r="AC229">
        <v>14636395</v>
      </c>
      <c r="AD229" t="s">
        <v>4</v>
      </c>
      <c r="AE229">
        <v>73</v>
      </c>
      <c r="AF229">
        <v>5</v>
      </c>
      <c r="AH229" t="s">
        <v>5827</v>
      </c>
      <c r="AI229" t="s">
        <v>9050</v>
      </c>
      <c r="AK229" t="s">
        <v>9049</v>
      </c>
      <c r="AL229">
        <v>11</v>
      </c>
      <c r="AM229" s="5">
        <f t="shared" si="34"/>
        <v>0.36666666666666664</v>
      </c>
      <c r="AN229" s="4">
        <f t="shared" si="31"/>
        <v>5.5534519752618958E-4</v>
      </c>
      <c r="AO229" s="3"/>
      <c r="AP229">
        <v>0</v>
      </c>
      <c r="AR229" t="s">
        <v>0</v>
      </c>
      <c r="AT229" s="2">
        <v>1.2609999999999999</v>
      </c>
      <c r="AU229" s="1">
        <f t="shared" si="35"/>
        <v>0.79026490465646559</v>
      </c>
      <c r="AV229" s="1">
        <f t="shared" si="36"/>
        <v>0.58034193754108088</v>
      </c>
      <c r="AW229" s="1">
        <f t="shared" si="37"/>
        <v>0.3704189704256961</v>
      </c>
    </row>
    <row r="230" spans="1:49" x14ac:dyDescent="0.2">
      <c r="A230">
        <v>228</v>
      </c>
      <c r="B230" t="s">
        <v>9048</v>
      </c>
      <c r="C230" t="s">
        <v>9047</v>
      </c>
      <c r="D230" t="s">
        <v>9046</v>
      </c>
      <c r="F230" t="s">
        <v>9045</v>
      </c>
      <c r="G230" t="s">
        <v>12</v>
      </c>
      <c r="H230" t="s">
        <v>11</v>
      </c>
      <c r="I230" t="s">
        <v>9044</v>
      </c>
      <c r="J230">
        <v>60025038</v>
      </c>
      <c r="K230" t="s">
        <v>7631</v>
      </c>
      <c r="L230" t="s">
        <v>7630</v>
      </c>
      <c r="M230" t="s">
        <v>7</v>
      </c>
      <c r="N230">
        <v>1</v>
      </c>
      <c r="O230" t="s">
        <v>9043</v>
      </c>
      <c r="P230">
        <v>35552767000</v>
      </c>
      <c r="Q230">
        <v>60025038</v>
      </c>
      <c r="R230" s="7">
        <v>33604</v>
      </c>
      <c r="S230" s="8">
        <f t="shared" si="32"/>
        <v>1992</v>
      </c>
      <c r="T230" s="8">
        <v>1992</v>
      </c>
      <c r="U230" s="8">
        <f t="shared" si="33"/>
        <v>30</v>
      </c>
      <c r="V230" s="7" t="s">
        <v>8581</v>
      </c>
      <c r="W230" t="s">
        <v>8580</v>
      </c>
      <c r="X230" s="2">
        <v>1.1339999999999999</v>
      </c>
      <c r="Y230" s="6">
        <f t="shared" si="30"/>
        <v>3.0271482341635299E-2</v>
      </c>
      <c r="AA230">
        <v>945765</v>
      </c>
      <c r="AB230">
        <v>12372</v>
      </c>
      <c r="AD230" t="s">
        <v>4</v>
      </c>
      <c r="AE230">
        <v>26</v>
      </c>
      <c r="AF230" s="9">
        <v>44289</v>
      </c>
      <c r="AH230" t="s">
        <v>9042</v>
      </c>
      <c r="AI230" t="s">
        <v>9041</v>
      </c>
      <c r="AK230" t="s">
        <v>9040</v>
      </c>
      <c r="AL230">
        <v>5</v>
      </c>
      <c r="AM230" s="5">
        <f t="shared" si="34"/>
        <v>0.16666666666666666</v>
      </c>
      <c r="AN230" s="4">
        <f t="shared" si="31"/>
        <v>2.5242963523917705E-4</v>
      </c>
      <c r="AO230" s="3"/>
      <c r="AP230">
        <v>0</v>
      </c>
      <c r="AR230" t="s">
        <v>0</v>
      </c>
      <c r="AT230" s="2">
        <v>2.4129999999999998</v>
      </c>
      <c r="AU230" s="1">
        <f t="shared" si="35"/>
        <v>2.1265766529716461</v>
      </c>
      <c r="AV230" s="1">
        <f t="shared" si="36"/>
        <v>1.5261955988437237</v>
      </c>
      <c r="AW230" s="1">
        <f t="shared" si="37"/>
        <v>0.92581454471580127</v>
      </c>
    </row>
    <row r="231" spans="1:49" x14ac:dyDescent="0.2">
      <c r="A231">
        <v>229</v>
      </c>
      <c r="B231" t="s">
        <v>9039</v>
      </c>
      <c r="C231" t="s">
        <v>9038</v>
      </c>
      <c r="D231">
        <v>1727292900475</v>
      </c>
      <c r="F231" t="s">
        <v>9037</v>
      </c>
      <c r="G231" t="s">
        <v>12</v>
      </c>
      <c r="H231" t="s">
        <v>11</v>
      </c>
      <c r="I231" t="s">
        <v>9036</v>
      </c>
      <c r="J231">
        <v>60023643</v>
      </c>
      <c r="K231" t="s">
        <v>9035</v>
      </c>
      <c r="L231" t="s">
        <v>9034</v>
      </c>
      <c r="M231" t="s">
        <v>856</v>
      </c>
      <c r="N231">
        <v>1</v>
      </c>
      <c r="O231" t="s">
        <v>9033</v>
      </c>
      <c r="P231">
        <v>7006246961</v>
      </c>
      <c r="Q231">
        <v>60023643</v>
      </c>
      <c r="R231" s="7">
        <v>33604</v>
      </c>
      <c r="S231" s="8">
        <f t="shared" si="32"/>
        <v>1992</v>
      </c>
      <c r="T231" s="8">
        <v>1992</v>
      </c>
      <c r="U231" s="8">
        <f t="shared" si="33"/>
        <v>30</v>
      </c>
      <c r="V231" s="7">
        <v>33939</v>
      </c>
      <c r="W231" t="s">
        <v>9032</v>
      </c>
      <c r="X231" s="2">
        <v>0.41399999999999998</v>
      </c>
      <c r="Y231" s="6">
        <f t="shared" si="30"/>
        <v>1.1051493553295428E-2</v>
      </c>
      <c r="AA231">
        <v>17272</v>
      </c>
      <c r="AB231">
        <v>24104</v>
      </c>
      <c r="AC231">
        <v>14636395</v>
      </c>
      <c r="AD231" t="s">
        <v>4</v>
      </c>
      <c r="AE231">
        <v>73</v>
      </c>
      <c r="AF231">
        <v>5</v>
      </c>
      <c r="AH231" t="s">
        <v>7819</v>
      </c>
      <c r="AI231" t="s">
        <v>9031</v>
      </c>
      <c r="AK231" t="s">
        <v>9030</v>
      </c>
      <c r="AL231">
        <v>22</v>
      </c>
      <c r="AM231" s="5">
        <f t="shared" si="34"/>
        <v>0.73333333333333328</v>
      </c>
      <c r="AN231" s="4">
        <f t="shared" si="31"/>
        <v>1.1106903950523792E-3</v>
      </c>
      <c r="AO231" s="3"/>
      <c r="AP231">
        <v>0</v>
      </c>
      <c r="AR231" t="s">
        <v>0</v>
      </c>
      <c r="AS231" t="s">
        <v>9029</v>
      </c>
      <c r="AT231" s="2">
        <v>1.2609999999999999</v>
      </c>
      <c r="AU231" s="1">
        <f t="shared" si="35"/>
        <v>0.80692526058225122</v>
      </c>
      <c r="AV231" s="1">
        <f t="shared" si="36"/>
        <v>0.60810919741739033</v>
      </c>
      <c r="AW231" s="1">
        <f t="shared" si="37"/>
        <v>0.40929313425252939</v>
      </c>
    </row>
    <row r="232" spans="1:49" x14ac:dyDescent="0.2">
      <c r="A232">
        <v>230</v>
      </c>
      <c r="B232" t="s">
        <v>9028</v>
      </c>
      <c r="C232" t="s">
        <v>9027</v>
      </c>
      <c r="D232" t="s">
        <v>9026</v>
      </c>
      <c r="F232" t="s">
        <v>9025</v>
      </c>
      <c r="G232" t="s">
        <v>12</v>
      </c>
      <c r="H232" t="s">
        <v>11</v>
      </c>
      <c r="I232" t="s">
        <v>9024</v>
      </c>
      <c r="J232">
        <v>60032530</v>
      </c>
      <c r="K232" t="s">
        <v>9023</v>
      </c>
      <c r="L232" t="s">
        <v>9022</v>
      </c>
      <c r="M232" t="s">
        <v>617</v>
      </c>
      <c r="N232">
        <v>3</v>
      </c>
      <c r="O232" t="s">
        <v>9021</v>
      </c>
      <c r="P232" t="s">
        <v>9020</v>
      </c>
      <c r="Q232" t="s">
        <v>9019</v>
      </c>
      <c r="R232" s="7">
        <v>33604</v>
      </c>
      <c r="S232" s="8">
        <f t="shared" si="32"/>
        <v>1992</v>
      </c>
      <c r="T232" s="8">
        <v>1992</v>
      </c>
      <c r="U232" s="8">
        <f t="shared" si="33"/>
        <v>30</v>
      </c>
      <c r="V232" s="7">
        <v>33786</v>
      </c>
      <c r="W232" t="s">
        <v>9018</v>
      </c>
      <c r="X232" s="2">
        <v>0.998</v>
      </c>
      <c r="Y232" s="6">
        <f t="shared" si="30"/>
        <v>2.664104001494888E-2</v>
      </c>
      <c r="AA232">
        <v>207322</v>
      </c>
      <c r="AB232">
        <v>90127</v>
      </c>
      <c r="AD232" t="s">
        <v>4</v>
      </c>
      <c r="AE232">
        <v>21</v>
      </c>
      <c r="AF232">
        <v>3</v>
      </c>
      <c r="AH232" t="s">
        <v>9017</v>
      </c>
      <c r="AI232" t="s">
        <v>9016</v>
      </c>
      <c r="AJ232" t="s">
        <v>9015</v>
      </c>
      <c r="AK232" t="s">
        <v>9014</v>
      </c>
      <c r="AL232">
        <v>15</v>
      </c>
      <c r="AM232" s="5">
        <f t="shared" si="34"/>
        <v>0.5</v>
      </c>
      <c r="AN232" s="4">
        <f t="shared" si="31"/>
        <v>7.572889057175312E-4</v>
      </c>
      <c r="AO232" s="3"/>
      <c r="AP232">
        <v>0</v>
      </c>
      <c r="AR232" t="s">
        <v>0</v>
      </c>
      <c r="AT232" s="2" t="s">
        <v>16</v>
      </c>
      <c r="AU232" s="1">
        <f t="shared" si="35"/>
        <v>1.8875914682179478</v>
      </c>
      <c r="AV232" s="1">
        <f t="shared" si="36"/>
        <v>1.3699164460333206</v>
      </c>
      <c r="AW232" s="1">
        <f t="shared" si="37"/>
        <v>0.85224142384869361</v>
      </c>
    </row>
    <row r="233" spans="1:49" x14ac:dyDescent="0.2">
      <c r="A233">
        <v>231</v>
      </c>
      <c r="B233" t="s">
        <v>9013</v>
      </c>
      <c r="C233" t="s">
        <v>9012</v>
      </c>
      <c r="D233">
        <v>21916992901233</v>
      </c>
      <c r="F233" t="s">
        <v>9011</v>
      </c>
      <c r="G233" t="s">
        <v>12</v>
      </c>
      <c r="H233" t="s">
        <v>11</v>
      </c>
      <c r="I233" t="s">
        <v>3260</v>
      </c>
      <c r="J233">
        <v>60009512</v>
      </c>
      <c r="K233" t="s">
        <v>2622</v>
      </c>
      <c r="L233" t="s">
        <v>2621</v>
      </c>
      <c r="M233" t="s">
        <v>2620</v>
      </c>
      <c r="N233">
        <v>1</v>
      </c>
      <c r="O233" t="s">
        <v>9010</v>
      </c>
      <c r="P233">
        <v>7103327130</v>
      </c>
      <c r="Q233">
        <v>60009512</v>
      </c>
      <c r="R233" s="7">
        <v>33604</v>
      </c>
      <c r="S233" s="8">
        <f t="shared" si="32"/>
        <v>1992</v>
      </c>
      <c r="T233" s="8">
        <v>1992</v>
      </c>
      <c r="U233" s="8">
        <f t="shared" si="33"/>
        <v>30</v>
      </c>
      <c r="V233" s="7">
        <v>33635</v>
      </c>
      <c r="W233" t="s">
        <v>65</v>
      </c>
      <c r="X233" s="2">
        <v>0.51500000000000001</v>
      </c>
      <c r="Y233" s="6">
        <f t="shared" si="30"/>
        <v>1.374763086943755E-2</v>
      </c>
      <c r="AA233">
        <v>219169</v>
      </c>
      <c r="AB233">
        <v>30966</v>
      </c>
      <c r="AD233" t="s">
        <v>4</v>
      </c>
      <c r="AE233">
        <v>54</v>
      </c>
      <c r="AF233">
        <v>2</v>
      </c>
      <c r="AH233" t="s">
        <v>9009</v>
      </c>
      <c r="AI233" t="s">
        <v>9008</v>
      </c>
      <c r="AK233" t="s">
        <v>9007</v>
      </c>
      <c r="AL233">
        <v>24</v>
      </c>
      <c r="AM233" s="5">
        <f t="shared" si="34"/>
        <v>0.8</v>
      </c>
      <c r="AN233" s="4">
        <f t="shared" si="31"/>
        <v>1.2116622491480501E-3</v>
      </c>
      <c r="AO233" s="3"/>
      <c r="AP233">
        <v>0</v>
      </c>
      <c r="AQ233" t="s">
        <v>7605</v>
      </c>
      <c r="AR233" t="s">
        <v>0</v>
      </c>
      <c r="AS233" t="s">
        <v>7604</v>
      </c>
      <c r="AT233" s="2" t="s">
        <v>16</v>
      </c>
      <c r="AU233" s="1">
        <f t="shared" si="35"/>
        <v>0.99868402833506986</v>
      </c>
      <c r="AV233" s="1">
        <f t="shared" si="36"/>
        <v>0.74796465592927996</v>
      </c>
      <c r="AW233" s="1">
        <f t="shared" si="37"/>
        <v>0.49724528352349001</v>
      </c>
    </row>
    <row r="234" spans="1:49" x14ac:dyDescent="0.2">
      <c r="A234">
        <v>232</v>
      </c>
      <c r="B234" t="s">
        <v>9006</v>
      </c>
      <c r="C234" t="s">
        <v>9005</v>
      </c>
      <c r="D234">
        <v>21916992900089</v>
      </c>
      <c r="F234" t="s">
        <v>9004</v>
      </c>
      <c r="G234" t="s">
        <v>12</v>
      </c>
      <c r="H234" t="s">
        <v>11</v>
      </c>
      <c r="I234" t="s">
        <v>9003</v>
      </c>
      <c r="J234">
        <v>60191856</v>
      </c>
      <c r="K234" t="s">
        <v>679</v>
      </c>
      <c r="L234" t="s">
        <v>678</v>
      </c>
      <c r="M234" t="s">
        <v>393</v>
      </c>
      <c r="N234">
        <v>2</v>
      </c>
      <c r="O234" t="s">
        <v>9002</v>
      </c>
      <c r="P234" t="s">
        <v>9001</v>
      </c>
      <c r="Q234" t="s">
        <v>9000</v>
      </c>
      <c r="R234" s="7">
        <v>33604</v>
      </c>
      <c r="S234" s="8">
        <f t="shared" si="32"/>
        <v>1992</v>
      </c>
      <c r="T234" s="8">
        <v>1992</v>
      </c>
      <c r="U234" s="8">
        <f t="shared" si="33"/>
        <v>30</v>
      </c>
      <c r="V234" s="7" t="s">
        <v>8581</v>
      </c>
      <c r="W234" t="s">
        <v>65</v>
      </c>
      <c r="X234" s="2">
        <v>0.51500000000000001</v>
      </c>
      <c r="Y234" s="6">
        <f t="shared" si="30"/>
        <v>1.374763086943755E-2</v>
      </c>
      <c r="AA234">
        <v>219169</v>
      </c>
      <c r="AB234">
        <v>30966</v>
      </c>
      <c r="AD234" t="s">
        <v>4</v>
      </c>
      <c r="AE234">
        <v>54</v>
      </c>
      <c r="AF234" s="9">
        <v>44289</v>
      </c>
      <c r="AH234" t="s">
        <v>8999</v>
      </c>
      <c r="AI234" t="s">
        <v>8998</v>
      </c>
      <c r="AK234" t="s">
        <v>8997</v>
      </c>
      <c r="AL234">
        <v>10</v>
      </c>
      <c r="AM234" s="5">
        <f t="shared" si="34"/>
        <v>0.33333333333333331</v>
      </c>
      <c r="AN234" s="4">
        <f t="shared" si="31"/>
        <v>5.048592704783541E-4</v>
      </c>
      <c r="AO234" s="3"/>
      <c r="AP234">
        <v>0</v>
      </c>
      <c r="AR234" t="s">
        <v>0</v>
      </c>
      <c r="AT234" s="2" t="s">
        <v>16</v>
      </c>
      <c r="AU234" s="1">
        <f t="shared" si="35"/>
        <v>0.97747993897497909</v>
      </c>
      <c r="AV234" s="1">
        <f t="shared" si="36"/>
        <v>0.71262450699579527</v>
      </c>
      <c r="AW234" s="1">
        <f t="shared" si="37"/>
        <v>0.44776907501661128</v>
      </c>
    </row>
    <row r="235" spans="1:49" x14ac:dyDescent="0.2">
      <c r="A235">
        <v>233</v>
      </c>
      <c r="B235" t="s">
        <v>8996</v>
      </c>
      <c r="C235" t="s">
        <v>8995</v>
      </c>
      <c r="D235" t="s">
        <v>8994</v>
      </c>
      <c r="F235" t="s">
        <v>8993</v>
      </c>
      <c r="G235" t="s">
        <v>12</v>
      </c>
      <c r="H235" t="s">
        <v>11</v>
      </c>
      <c r="I235" t="s">
        <v>8992</v>
      </c>
      <c r="J235">
        <v>60003500</v>
      </c>
      <c r="K235" t="s">
        <v>1690</v>
      </c>
      <c r="L235" t="s">
        <v>1689</v>
      </c>
      <c r="M235" t="s">
        <v>7</v>
      </c>
      <c r="N235">
        <v>3</v>
      </c>
      <c r="O235" t="s">
        <v>8991</v>
      </c>
      <c r="P235" t="s">
        <v>8990</v>
      </c>
      <c r="Q235" t="s">
        <v>5466</v>
      </c>
      <c r="R235" s="7">
        <v>33604</v>
      </c>
      <c r="S235" s="8">
        <f t="shared" si="32"/>
        <v>1992</v>
      </c>
      <c r="T235" s="8">
        <v>1992</v>
      </c>
      <c r="U235" s="8">
        <f t="shared" si="33"/>
        <v>30</v>
      </c>
      <c r="V235" s="7">
        <v>33725</v>
      </c>
      <c r="W235" t="s">
        <v>8989</v>
      </c>
      <c r="X235" s="2">
        <v>0.81599999999999995</v>
      </c>
      <c r="Y235" s="6">
        <f t="shared" si="30"/>
        <v>2.1782653960118522E-2</v>
      </c>
      <c r="AA235" t="s">
        <v>8988</v>
      </c>
      <c r="AB235">
        <v>18903</v>
      </c>
      <c r="AD235" t="s">
        <v>4</v>
      </c>
      <c r="AE235">
        <v>37</v>
      </c>
      <c r="AF235">
        <v>5</v>
      </c>
      <c r="AH235" t="s">
        <v>8987</v>
      </c>
      <c r="AI235" t="s">
        <v>8986</v>
      </c>
      <c r="AJ235" t="s">
        <v>8985</v>
      </c>
      <c r="AK235" t="s">
        <v>8984</v>
      </c>
      <c r="AL235">
        <v>5</v>
      </c>
      <c r="AM235" s="5">
        <f t="shared" si="34"/>
        <v>0.16666666666666666</v>
      </c>
      <c r="AN235" s="4">
        <f t="shared" si="31"/>
        <v>2.5242963523917705E-4</v>
      </c>
      <c r="AO235" s="3"/>
      <c r="AP235">
        <v>0</v>
      </c>
      <c r="AR235" t="s">
        <v>0</v>
      </c>
      <c r="AT235" s="2">
        <v>2.74</v>
      </c>
      <c r="AU235" s="1">
        <f t="shared" si="35"/>
        <v>1.5323586662654716</v>
      </c>
      <c r="AV235" s="1">
        <f t="shared" si="36"/>
        <v>1.1017541797678849</v>
      </c>
      <c r="AW235" s="1">
        <f t="shared" si="37"/>
        <v>0.67114969327029805</v>
      </c>
    </row>
    <row r="236" spans="1:49" x14ac:dyDescent="0.2">
      <c r="A236">
        <v>234</v>
      </c>
      <c r="B236" t="s">
        <v>8983</v>
      </c>
      <c r="C236" t="s">
        <v>8982</v>
      </c>
      <c r="D236" t="s">
        <v>8981</v>
      </c>
      <c r="F236" t="s">
        <v>8980</v>
      </c>
      <c r="G236" t="s">
        <v>12</v>
      </c>
      <c r="H236" t="s">
        <v>11</v>
      </c>
      <c r="I236" t="s">
        <v>8979</v>
      </c>
      <c r="J236" t="s">
        <v>8978</v>
      </c>
      <c r="K236" t="s">
        <v>8977</v>
      </c>
      <c r="L236" t="s">
        <v>8976</v>
      </c>
      <c r="M236" t="s">
        <v>931</v>
      </c>
      <c r="N236">
        <v>7</v>
      </c>
      <c r="O236" t="s">
        <v>8975</v>
      </c>
      <c r="P236" t="s">
        <v>8974</v>
      </c>
      <c r="Q236" t="s">
        <v>8973</v>
      </c>
      <c r="R236" s="7">
        <v>33604</v>
      </c>
      <c r="S236" s="8">
        <f t="shared" si="32"/>
        <v>1992</v>
      </c>
      <c r="T236" s="8">
        <v>1992</v>
      </c>
      <c r="U236" s="8">
        <f t="shared" si="33"/>
        <v>30</v>
      </c>
      <c r="V236" s="7">
        <v>33848</v>
      </c>
      <c r="W236" t="s">
        <v>8950</v>
      </c>
      <c r="X236" s="2">
        <v>0.89900000000000002</v>
      </c>
      <c r="Y236" s="6">
        <f t="shared" si="30"/>
        <v>2.399829155655215E-2</v>
      </c>
      <c r="AA236">
        <v>221910</v>
      </c>
      <c r="AB236">
        <v>20487</v>
      </c>
      <c r="AD236" t="s">
        <v>4</v>
      </c>
      <c r="AE236">
        <v>38</v>
      </c>
      <c r="AF236">
        <v>9</v>
      </c>
      <c r="AH236" t="s">
        <v>8972</v>
      </c>
      <c r="AI236" t="s">
        <v>8971</v>
      </c>
      <c r="AJ236" t="s">
        <v>8970</v>
      </c>
      <c r="AK236" t="s">
        <v>8969</v>
      </c>
      <c r="AL236">
        <v>11</v>
      </c>
      <c r="AM236" s="5">
        <f t="shared" si="34"/>
        <v>0.36666666666666664</v>
      </c>
      <c r="AN236" s="4">
        <f t="shared" si="31"/>
        <v>5.5534519752618958E-4</v>
      </c>
      <c r="AO236" s="3"/>
      <c r="AP236">
        <v>0</v>
      </c>
      <c r="AR236" t="s">
        <v>0</v>
      </c>
      <c r="AT236" s="2">
        <v>2.3540000000000001</v>
      </c>
      <c r="AU236" s="1">
        <f t="shared" si="35"/>
        <v>1.6965407648844359</v>
      </c>
      <c r="AV236" s="1">
        <f t="shared" si="36"/>
        <v>1.2276818377039169</v>
      </c>
      <c r="AW236" s="1">
        <f t="shared" si="37"/>
        <v>0.75882291052339768</v>
      </c>
    </row>
    <row r="237" spans="1:49" x14ac:dyDescent="0.2">
      <c r="A237">
        <v>235</v>
      </c>
      <c r="B237" t="s">
        <v>8968</v>
      </c>
      <c r="C237" t="s">
        <v>8967</v>
      </c>
      <c r="D237" t="s">
        <v>8966</v>
      </c>
      <c r="F237" t="s">
        <v>8965</v>
      </c>
      <c r="G237" t="s">
        <v>12</v>
      </c>
      <c r="H237" t="s">
        <v>11</v>
      </c>
      <c r="I237" t="s">
        <v>8964</v>
      </c>
      <c r="J237">
        <v>60020585</v>
      </c>
      <c r="K237" t="s">
        <v>7338</v>
      </c>
      <c r="L237" t="s">
        <v>7337</v>
      </c>
      <c r="M237" t="s">
        <v>7336</v>
      </c>
      <c r="N237">
        <v>1</v>
      </c>
      <c r="O237" t="s">
        <v>8963</v>
      </c>
      <c r="P237">
        <v>7801454376</v>
      </c>
      <c r="Q237">
        <v>60020585</v>
      </c>
      <c r="R237" s="7">
        <v>33604</v>
      </c>
      <c r="S237" s="8">
        <f t="shared" si="32"/>
        <v>1992</v>
      </c>
      <c r="T237" s="8">
        <v>1992</v>
      </c>
      <c r="U237" s="8">
        <f t="shared" si="33"/>
        <v>30</v>
      </c>
      <c r="V237" s="7" t="s">
        <v>8962</v>
      </c>
      <c r="W237" t="s">
        <v>65</v>
      </c>
      <c r="X237" s="2">
        <v>0.51500000000000001</v>
      </c>
      <c r="Y237" s="6">
        <f t="shared" si="30"/>
        <v>1.374763086943755E-2</v>
      </c>
      <c r="AA237">
        <v>219169</v>
      </c>
      <c r="AB237">
        <v>30966</v>
      </c>
      <c r="AD237" t="s">
        <v>4</v>
      </c>
      <c r="AE237">
        <v>54</v>
      </c>
      <c r="AF237" s="9">
        <v>44541</v>
      </c>
      <c r="AH237" t="s">
        <v>8961</v>
      </c>
      <c r="AI237" t="s">
        <v>8960</v>
      </c>
      <c r="AK237" t="s">
        <v>8959</v>
      </c>
      <c r="AL237">
        <v>1</v>
      </c>
      <c r="AM237" s="5">
        <f t="shared" si="34"/>
        <v>3.3333333333333333E-2</v>
      </c>
      <c r="AN237" s="4">
        <f t="shared" si="31"/>
        <v>5.0485927047835418E-5</v>
      </c>
      <c r="AO237" s="3"/>
      <c r="AP237">
        <v>0</v>
      </c>
      <c r="AR237" t="s">
        <v>0</v>
      </c>
      <c r="AT237" s="2" t="s">
        <v>16</v>
      </c>
      <c r="AU237" s="1">
        <f t="shared" si="35"/>
        <v>0.96384873867206344</v>
      </c>
      <c r="AV237" s="1">
        <f t="shared" si="36"/>
        <v>0.68990583982426923</v>
      </c>
      <c r="AW237" s="1">
        <f t="shared" si="37"/>
        <v>0.41596294097647496</v>
      </c>
    </row>
    <row r="238" spans="1:49" x14ac:dyDescent="0.2">
      <c r="A238">
        <v>236</v>
      </c>
      <c r="B238" t="s">
        <v>8958</v>
      </c>
      <c r="C238" t="s">
        <v>8957</v>
      </c>
      <c r="D238" t="s">
        <v>8956</v>
      </c>
      <c r="F238" t="s">
        <v>8955</v>
      </c>
      <c r="G238" t="s">
        <v>12</v>
      </c>
      <c r="H238" t="s">
        <v>11</v>
      </c>
      <c r="I238" t="s">
        <v>8954</v>
      </c>
      <c r="J238">
        <v>60030807</v>
      </c>
      <c r="K238" t="s">
        <v>8953</v>
      </c>
      <c r="L238" t="s">
        <v>8952</v>
      </c>
      <c r="M238" t="s">
        <v>817</v>
      </c>
      <c r="N238">
        <v>1</v>
      </c>
      <c r="O238" t="s">
        <v>8951</v>
      </c>
      <c r="P238">
        <v>6602529081</v>
      </c>
      <c r="Q238">
        <v>60030807</v>
      </c>
      <c r="R238" s="7">
        <v>33604</v>
      </c>
      <c r="S238" s="8">
        <f t="shared" si="32"/>
        <v>1992</v>
      </c>
      <c r="T238" s="8">
        <v>1992</v>
      </c>
      <c r="U238" s="8">
        <f t="shared" si="33"/>
        <v>30</v>
      </c>
      <c r="V238" s="7">
        <v>33878</v>
      </c>
      <c r="W238" t="s">
        <v>8950</v>
      </c>
      <c r="X238" s="2">
        <v>0.89900000000000002</v>
      </c>
      <c r="Y238" s="6">
        <f t="shared" si="30"/>
        <v>2.399829155655215E-2</v>
      </c>
      <c r="AA238">
        <v>221910</v>
      </c>
      <c r="AB238">
        <v>20487</v>
      </c>
      <c r="AD238" t="s">
        <v>4</v>
      </c>
      <c r="AE238">
        <v>38</v>
      </c>
      <c r="AF238">
        <v>10</v>
      </c>
      <c r="AH238" t="s">
        <v>8949</v>
      </c>
      <c r="AI238" t="s">
        <v>8948</v>
      </c>
      <c r="AJ238" t="s">
        <v>8947</v>
      </c>
      <c r="AK238" t="s">
        <v>8946</v>
      </c>
      <c r="AL238">
        <v>25</v>
      </c>
      <c r="AM238" s="5">
        <f t="shared" si="34"/>
        <v>0.83333333333333337</v>
      </c>
      <c r="AN238" s="4">
        <f t="shared" si="31"/>
        <v>1.2621481761958854E-3</v>
      </c>
      <c r="AO238" s="3"/>
      <c r="AP238">
        <v>0</v>
      </c>
      <c r="AR238" t="s">
        <v>0</v>
      </c>
      <c r="AT238" s="2">
        <v>2.3540000000000001</v>
      </c>
      <c r="AU238" s="1">
        <f t="shared" si="35"/>
        <v>1.7177448542445268</v>
      </c>
      <c r="AV238" s="1">
        <f t="shared" si="36"/>
        <v>1.2630219866374017</v>
      </c>
      <c r="AW238" s="1">
        <f t="shared" si="37"/>
        <v>0.8082991190302764</v>
      </c>
    </row>
    <row r="239" spans="1:49" x14ac:dyDescent="0.2">
      <c r="A239">
        <v>237</v>
      </c>
      <c r="B239" t="s">
        <v>8945</v>
      </c>
      <c r="C239" t="s">
        <v>8944</v>
      </c>
      <c r="D239" t="s">
        <v>8943</v>
      </c>
      <c r="F239" t="s">
        <v>8942</v>
      </c>
      <c r="G239" t="s">
        <v>12</v>
      </c>
      <c r="H239" t="s">
        <v>11</v>
      </c>
      <c r="I239" t="s">
        <v>8941</v>
      </c>
      <c r="J239">
        <v>60010365</v>
      </c>
      <c r="K239" t="s">
        <v>8940</v>
      </c>
      <c r="L239" t="s">
        <v>8939</v>
      </c>
      <c r="M239" t="s">
        <v>393</v>
      </c>
      <c r="N239">
        <v>2</v>
      </c>
      <c r="O239" t="s">
        <v>8938</v>
      </c>
      <c r="P239" t="s">
        <v>8937</v>
      </c>
      <c r="Q239" t="s">
        <v>8936</v>
      </c>
      <c r="R239" s="7">
        <v>33604</v>
      </c>
      <c r="S239" s="8">
        <f t="shared" si="32"/>
        <v>1992</v>
      </c>
      <c r="T239" s="8">
        <v>1992</v>
      </c>
      <c r="U239" s="8">
        <f t="shared" si="33"/>
        <v>30</v>
      </c>
      <c r="V239" s="7">
        <v>33909</v>
      </c>
      <c r="W239" t="s">
        <v>8580</v>
      </c>
      <c r="X239" s="2">
        <v>1.1339999999999999</v>
      </c>
      <c r="Y239" s="6">
        <f t="shared" si="30"/>
        <v>3.0271482341635299E-2</v>
      </c>
      <c r="AA239">
        <v>945765</v>
      </c>
      <c r="AB239">
        <v>12372</v>
      </c>
      <c r="AD239" t="s">
        <v>4</v>
      </c>
      <c r="AE239">
        <v>26</v>
      </c>
      <c r="AF239">
        <v>11</v>
      </c>
      <c r="AH239" t="s">
        <v>8935</v>
      </c>
      <c r="AI239" t="s">
        <v>8934</v>
      </c>
      <c r="AK239" t="s">
        <v>8933</v>
      </c>
      <c r="AL239">
        <v>5</v>
      </c>
      <c r="AM239" s="5">
        <f t="shared" si="34"/>
        <v>0.16666666666666666</v>
      </c>
      <c r="AN239" s="4">
        <f t="shared" si="31"/>
        <v>2.5242963523917705E-4</v>
      </c>
      <c r="AO239" s="3"/>
      <c r="AP239">
        <v>0</v>
      </c>
      <c r="AQ239" t="s">
        <v>571</v>
      </c>
      <c r="AR239" t="s">
        <v>8932</v>
      </c>
      <c r="AS239" t="s">
        <v>570</v>
      </c>
      <c r="AT239" s="2">
        <v>2.4129999999999998</v>
      </c>
      <c r="AU239" s="1">
        <f t="shared" si="35"/>
        <v>2.1265766529716461</v>
      </c>
      <c r="AV239" s="1">
        <f t="shared" si="36"/>
        <v>1.5261955988437237</v>
      </c>
      <c r="AW239" s="1">
        <f t="shared" si="37"/>
        <v>0.92581454471580127</v>
      </c>
    </row>
    <row r="240" spans="1:49" x14ac:dyDescent="0.2">
      <c r="A240">
        <v>238</v>
      </c>
      <c r="B240" t="s">
        <v>8931</v>
      </c>
      <c r="C240" t="s">
        <v>8930</v>
      </c>
      <c r="F240" t="s">
        <v>8929</v>
      </c>
      <c r="G240" t="s">
        <v>12</v>
      </c>
      <c r="H240" t="s">
        <v>11</v>
      </c>
      <c r="I240" t="s">
        <v>5529</v>
      </c>
      <c r="J240">
        <v>60025104</v>
      </c>
      <c r="K240" t="s">
        <v>5528</v>
      </c>
      <c r="M240" t="s">
        <v>856</v>
      </c>
      <c r="N240">
        <v>2</v>
      </c>
      <c r="O240" t="s">
        <v>8928</v>
      </c>
      <c r="P240" t="s">
        <v>8927</v>
      </c>
      <c r="Q240" t="s">
        <v>5525</v>
      </c>
      <c r="R240" s="7">
        <v>33604</v>
      </c>
      <c r="S240" s="8">
        <f t="shared" si="32"/>
        <v>1992</v>
      </c>
      <c r="T240" s="8">
        <v>1992</v>
      </c>
      <c r="U240" s="8">
        <f t="shared" si="33"/>
        <v>30</v>
      </c>
      <c r="V240" s="7">
        <v>1992</v>
      </c>
      <c r="W240" t="s">
        <v>283</v>
      </c>
      <c r="X240" s="2">
        <v>1.1879999999999999</v>
      </c>
      <c r="Y240" s="6">
        <f t="shared" si="30"/>
        <v>3.1712981500760788E-2</v>
      </c>
      <c r="AA240">
        <v>8998221</v>
      </c>
      <c r="AB240">
        <v>8900153323</v>
      </c>
      <c r="AD240" t="s">
        <v>4</v>
      </c>
      <c r="AE240">
        <v>4</v>
      </c>
      <c r="AF240">
        <v>7</v>
      </c>
      <c r="AH240" t="s">
        <v>8926</v>
      </c>
      <c r="AI240" t="s">
        <v>8925</v>
      </c>
      <c r="AK240" t="s">
        <v>8924</v>
      </c>
      <c r="AL240">
        <v>8</v>
      </c>
      <c r="AM240" s="5">
        <f t="shared" si="34"/>
        <v>0.26666666666666666</v>
      </c>
      <c r="AN240" s="4">
        <f t="shared" si="31"/>
        <v>4.0388741638268334E-4</v>
      </c>
      <c r="AO240" s="3"/>
      <c r="AP240">
        <v>0</v>
      </c>
      <c r="AR240" t="s">
        <v>0</v>
      </c>
      <c r="AT240" s="2" t="s">
        <v>16</v>
      </c>
      <c r="AU240" s="1">
        <f t="shared" si="35"/>
        <v>2.2320253275447355</v>
      </c>
      <c r="AV240" s="1">
        <f t="shared" si="36"/>
        <v>1.6058434458571735</v>
      </c>
      <c r="AW240" s="1">
        <f t="shared" si="37"/>
        <v>0.97966156416961148</v>
      </c>
    </row>
    <row r="241" spans="1:49" x14ac:dyDescent="0.2">
      <c r="A241">
        <v>239</v>
      </c>
      <c r="B241" t="s">
        <v>8923</v>
      </c>
      <c r="C241" t="s">
        <v>8922</v>
      </c>
      <c r="D241" t="s">
        <v>8921</v>
      </c>
      <c r="F241" t="s">
        <v>8920</v>
      </c>
      <c r="G241" t="s">
        <v>12</v>
      </c>
      <c r="H241" t="s">
        <v>11</v>
      </c>
      <c r="I241" t="s">
        <v>8919</v>
      </c>
      <c r="J241">
        <v>60030318</v>
      </c>
      <c r="K241" t="s">
        <v>8918</v>
      </c>
      <c r="L241" t="s">
        <v>3485</v>
      </c>
      <c r="M241" t="s">
        <v>338</v>
      </c>
      <c r="N241">
        <v>6</v>
      </c>
      <c r="O241" t="s">
        <v>8917</v>
      </c>
      <c r="P241" t="s">
        <v>8916</v>
      </c>
      <c r="Q241" t="s">
        <v>8915</v>
      </c>
      <c r="R241" s="7">
        <v>33604</v>
      </c>
      <c r="S241" s="8">
        <f t="shared" si="32"/>
        <v>1992</v>
      </c>
      <c r="T241" s="8">
        <v>1992</v>
      </c>
      <c r="U241" s="8">
        <f t="shared" si="33"/>
        <v>30</v>
      </c>
      <c r="V241" s="7">
        <v>33635</v>
      </c>
      <c r="W241" t="s">
        <v>516</v>
      </c>
      <c r="X241" s="2">
        <v>1.3280000000000001</v>
      </c>
      <c r="Y241" s="6">
        <f t="shared" si="30"/>
        <v>3.5450201542937994E-2</v>
      </c>
      <c r="AA241">
        <v>7413335</v>
      </c>
      <c r="AB241">
        <v>29251</v>
      </c>
      <c r="AC241">
        <v>13616587</v>
      </c>
      <c r="AD241" t="s">
        <v>4</v>
      </c>
      <c r="AE241">
        <v>34</v>
      </c>
      <c r="AF241">
        <v>2</v>
      </c>
      <c r="AH241" t="s">
        <v>8914</v>
      </c>
      <c r="AI241" t="s">
        <v>8913</v>
      </c>
      <c r="AK241" t="s">
        <v>8912</v>
      </c>
      <c r="AL241">
        <v>10</v>
      </c>
      <c r="AM241" s="5">
        <f t="shared" si="34"/>
        <v>0.33333333333333331</v>
      </c>
      <c r="AN241" s="4">
        <f t="shared" si="31"/>
        <v>5.048592704783541E-4</v>
      </c>
      <c r="AO241" s="3"/>
      <c r="AP241">
        <v>0</v>
      </c>
      <c r="AR241" t="s">
        <v>0</v>
      </c>
      <c r="AT241" s="2">
        <v>2.4580000000000002</v>
      </c>
      <c r="AU241" s="1">
        <f t="shared" si="35"/>
        <v>2.49665988612001</v>
      </c>
      <c r="AV241" s="1">
        <f t="shared" si="36"/>
        <v>1.7977530406708173</v>
      </c>
      <c r="AW241" s="1">
        <f t="shared" si="37"/>
        <v>1.0988461952216246</v>
      </c>
    </row>
    <row r="242" spans="1:49" x14ac:dyDescent="0.2">
      <c r="A242">
        <v>240</v>
      </c>
      <c r="B242" t="s">
        <v>8911</v>
      </c>
      <c r="C242" t="s">
        <v>8910</v>
      </c>
      <c r="D242" t="s">
        <v>8909</v>
      </c>
      <c r="F242" t="s">
        <v>8908</v>
      </c>
      <c r="G242" t="s">
        <v>12</v>
      </c>
      <c r="H242" t="s">
        <v>11</v>
      </c>
      <c r="I242" t="s">
        <v>8907</v>
      </c>
      <c r="J242">
        <v>60025104</v>
      </c>
      <c r="K242" t="s">
        <v>5528</v>
      </c>
      <c r="M242" t="s">
        <v>856</v>
      </c>
      <c r="N242">
        <v>11</v>
      </c>
      <c r="O242" t="s">
        <v>8906</v>
      </c>
      <c r="P242" t="s">
        <v>8905</v>
      </c>
      <c r="Q242" t="s">
        <v>8904</v>
      </c>
      <c r="R242" s="7">
        <v>33604</v>
      </c>
      <c r="S242" s="8">
        <f t="shared" si="32"/>
        <v>1992</v>
      </c>
      <c r="T242" s="8">
        <v>1992</v>
      </c>
      <c r="U242" s="8">
        <f t="shared" si="33"/>
        <v>30</v>
      </c>
      <c r="V242" s="7">
        <v>1992</v>
      </c>
      <c r="W242" t="s">
        <v>516</v>
      </c>
      <c r="X242" s="2">
        <v>1.3280000000000001</v>
      </c>
      <c r="Y242" s="6">
        <f t="shared" si="30"/>
        <v>3.5450201542937994E-2</v>
      </c>
      <c r="AA242">
        <v>7413335</v>
      </c>
      <c r="AB242">
        <v>29251</v>
      </c>
      <c r="AD242" t="s">
        <v>4</v>
      </c>
      <c r="AE242">
        <v>34</v>
      </c>
      <c r="AF242">
        <v>13</v>
      </c>
      <c r="AG242">
        <v>27</v>
      </c>
      <c r="AH242">
        <v>1969</v>
      </c>
      <c r="AI242" t="s">
        <v>8903</v>
      </c>
      <c r="AK242" t="s">
        <v>8902</v>
      </c>
      <c r="AL242">
        <v>0</v>
      </c>
      <c r="AM242" s="5">
        <f t="shared" si="34"/>
        <v>0</v>
      </c>
      <c r="AN242" s="4">
        <f t="shared" si="31"/>
        <v>0</v>
      </c>
      <c r="AO242" s="3"/>
      <c r="AP242">
        <v>0</v>
      </c>
      <c r="AR242" t="s">
        <v>0</v>
      </c>
      <c r="AT242" s="2">
        <v>2.4580000000000002</v>
      </c>
      <c r="AU242" s="1">
        <f t="shared" si="35"/>
        <v>2.4815141080056597</v>
      </c>
      <c r="AV242" s="1">
        <f t="shared" si="36"/>
        <v>1.7725100771468998</v>
      </c>
      <c r="AW242" s="1">
        <f t="shared" si="37"/>
        <v>1.0635060462881398</v>
      </c>
    </row>
    <row r="243" spans="1:49" x14ac:dyDescent="0.2">
      <c r="A243">
        <v>241</v>
      </c>
      <c r="B243" t="s">
        <v>8901</v>
      </c>
      <c r="F243" t="s">
        <v>8900</v>
      </c>
      <c r="G243" t="s">
        <v>12</v>
      </c>
      <c r="H243" t="s">
        <v>11</v>
      </c>
      <c r="I243" t="s">
        <v>8899</v>
      </c>
      <c r="J243">
        <v>60014313</v>
      </c>
      <c r="K243" t="s">
        <v>100</v>
      </c>
      <c r="L243" t="s">
        <v>99</v>
      </c>
      <c r="M243" t="s">
        <v>7</v>
      </c>
      <c r="N243">
        <v>2</v>
      </c>
      <c r="O243" t="s">
        <v>4282</v>
      </c>
      <c r="P243" t="s">
        <v>4281</v>
      </c>
      <c r="Q243" t="s">
        <v>7046</v>
      </c>
      <c r="R243" s="7">
        <v>33604</v>
      </c>
      <c r="S243" s="8">
        <f t="shared" si="32"/>
        <v>1992</v>
      </c>
      <c r="T243" s="8">
        <v>1992</v>
      </c>
      <c r="U243" s="8">
        <f t="shared" si="33"/>
        <v>30</v>
      </c>
      <c r="V243" s="7">
        <v>1992</v>
      </c>
      <c r="W243" t="s">
        <v>97</v>
      </c>
      <c r="X243" s="2">
        <v>1.6519999999999999</v>
      </c>
      <c r="Y243" s="6">
        <f t="shared" si="30"/>
        <v>4.409919649769093E-2</v>
      </c>
      <c r="AA243" t="s">
        <v>96</v>
      </c>
      <c r="AB243">
        <v>17337</v>
      </c>
      <c r="AD243" t="s">
        <v>4</v>
      </c>
      <c r="AE243" t="s">
        <v>8765</v>
      </c>
      <c r="AF243" t="s">
        <v>16</v>
      </c>
      <c r="AH243" t="s">
        <v>8898</v>
      </c>
      <c r="AI243" t="s">
        <v>8897</v>
      </c>
      <c r="AK243" t="s">
        <v>8896</v>
      </c>
      <c r="AL243">
        <v>11</v>
      </c>
      <c r="AM243" s="5">
        <f t="shared" si="34"/>
        <v>0.36666666666666664</v>
      </c>
      <c r="AN243" s="4">
        <f t="shared" si="31"/>
        <v>5.5534519752618958E-4</v>
      </c>
      <c r="AO243" s="3"/>
      <c r="AP243">
        <v>0</v>
      </c>
      <c r="AR243" t="s">
        <v>0</v>
      </c>
      <c r="AT243" s="2" t="s">
        <v>16</v>
      </c>
      <c r="AU243" s="1">
        <f t="shared" si="35"/>
        <v>3.1036041107641505</v>
      </c>
      <c r="AV243" s="1">
        <f t="shared" si="36"/>
        <v>2.2327270847608558</v>
      </c>
      <c r="AW243" s="1">
        <f t="shared" si="37"/>
        <v>1.361850058757561</v>
      </c>
    </row>
    <row r="244" spans="1:49" x14ac:dyDescent="0.2">
      <c r="A244">
        <v>242</v>
      </c>
      <c r="B244" t="s">
        <v>8895</v>
      </c>
      <c r="F244" t="s">
        <v>8894</v>
      </c>
      <c r="G244" t="s">
        <v>12</v>
      </c>
      <c r="H244" t="s">
        <v>11</v>
      </c>
      <c r="I244" t="s">
        <v>8893</v>
      </c>
      <c r="J244">
        <v>60020547</v>
      </c>
      <c r="K244" t="s">
        <v>4980</v>
      </c>
      <c r="L244" t="s">
        <v>4979</v>
      </c>
      <c r="M244" t="s">
        <v>7</v>
      </c>
      <c r="N244">
        <v>3</v>
      </c>
      <c r="O244" t="s">
        <v>8892</v>
      </c>
      <c r="P244" t="s">
        <v>8891</v>
      </c>
      <c r="Q244" t="s">
        <v>5366</v>
      </c>
      <c r="R244" s="7">
        <v>33604</v>
      </c>
      <c r="S244" s="8">
        <f t="shared" si="32"/>
        <v>1992</v>
      </c>
      <c r="T244" s="8">
        <v>1992</v>
      </c>
      <c r="U244" s="8">
        <f t="shared" si="33"/>
        <v>30</v>
      </c>
      <c r="V244" s="7">
        <v>1992</v>
      </c>
      <c r="W244" t="s">
        <v>136</v>
      </c>
      <c r="X244" s="2">
        <v>1.3720000000000001</v>
      </c>
      <c r="Y244" s="6">
        <f t="shared" si="30"/>
        <v>3.662475641333654E-2</v>
      </c>
      <c r="AA244">
        <v>189480</v>
      </c>
      <c r="AB244">
        <v>17366</v>
      </c>
      <c r="AD244" t="s">
        <v>4</v>
      </c>
      <c r="AE244" t="s">
        <v>8765</v>
      </c>
      <c r="AF244" t="s">
        <v>16</v>
      </c>
      <c r="AH244" t="s">
        <v>8890</v>
      </c>
      <c r="AI244" t="s">
        <v>8889</v>
      </c>
      <c r="AK244" t="s">
        <v>8888</v>
      </c>
      <c r="AL244">
        <v>30</v>
      </c>
      <c r="AM244" s="5">
        <f t="shared" si="34"/>
        <v>1</v>
      </c>
      <c r="AN244" s="4">
        <f t="shared" si="31"/>
        <v>1.5145778114350624E-3</v>
      </c>
      <c r="AO244" s="3"/>
      <c r="AP244">
        <v>0</v>
      </c>
      <c r="AR244" t="s">
        <v>0</v>
      </c>
      <c r="AT244" s="2" t="s">
        <v>16</v>
      </c>
      <c r="AU244" s="1">
        <f t="shared" si="35"/>
        <v>2.6091702832766095</v>
      </c>
      <c r="AV244" s="1">
        <f t="shared" si="36"/>
        <v>1.90696671123858</v>
      </c>
      <c r="AW244" s="1">
        <f t="shared" si="37"/>
        <v>1.2047631392005507</v>
      </c>
    </row>
    <row r="245" spans="1:49" x14ac:dyDescent="0.2">
      <c r="A245">
        <v>243</v>
      </c>
      <c r="B245" t="s">
        <v>8887</v>
      </c>
      <c r="F245" t="s">
        <v>8886</v>
      </c>
      <c r="G245" t="s">
        <v>12</v>
      </c>
      <c r="H245" t="s">
        <v>11</v>
      </c>
      <c r="I245" t="s">
        <v>8885</v>
      </c>
      <c r="J245">
        <v>60002286</v>
      </c>
      <c r="K245" t="s">
        <v>5768</v>
      </c>
      <c r="L245" t="s">
        <v>5767</v>
      </c>
      <c r="M245" t="s">
        <v>273</v>
      </c>
      <c r="N245">
        <v>1</v>
      </c>
      <c r="O245" t="s">
        <v>8884</v>
      </c>
      <c r="P245">
        <v>56488904500</v>
      </c>
      <c r="Q245">
        <v>60002286</v>
      </c>
      <c r="R245" s="7">
        <v>33604</v>
      </c>
      <c r="S245" s="8">
        <f t="shared" si="32"/>
        <v>1992</v>
      </c>
      <c r="T245" s="8">
        <v>1992</v>
      </c>
      <c r="U245" s="8">
        <f t="shared" si="33"/>
        <v>30</v>
      </c>
      <c r="V245" s="7">
        <v>1992</v>
      </c>
      <c r="W245" t="s">
        <v>414</v>
      </c>
      <c r="X245" s="2">
        <v>2.141</v>
      </c>
      <c r="Y245" s="6">
        <f t="shared" si="30"/>
        <v>5.7152772216438434E-2</v>
      </c>
      <c r="AA245">
        <v>1962892</v>
      </c>
      <c r="AB245">
        <v>17360</v>
      </c>
      <c r="AD245" t="s">
        <v>4</v>
      </c>
      <c r="AE245" t="s">
        <v>8765</v>
      </c>
      <c r="AF245" t="s">
        <v>16</v>
      </c>
      <c r="AH245" t="s">
        <v>4145</v>
      </c>
      <c r="AI245" t="s">
        <v>8883</v>
      </c>
      <c r="AK245" t="s">
        <v>8882</v>
      </c>
      <c r="AL245">
        <v>0</v>
      </c>
      <c r="AM245" s="5">
        <f t="shared" si="34"/>
        <v>0</v>
      </c>
      <c r="AN245" s="4">
        <f t="shared" si="31"/>
        <v>0</v>
      </c>
      <c r="AO245" s="3"/>
      <c r="AP245">
        <v>0</v>
      </c>
      <c r="AR245" t="s">
        <v>0</v>
      </c>
      <c r="AT245" s="2" t="s">
        <v>16</v>
      </c>
      <c r="AU245" s="1">
        <f t="shared" si="35"/>
        <v>4.0006940551506904</v>
      </c>
      <c r="AV245" s="1">
        <f t="shared" si="36"/>
        <v>2.8576386108219216</v>
      </c>
      <c r="AW245" s="1">
        <f t="shared" si="37"/>
        <v>1.714583166493153</v>
      </c>
    </row>
    <row r="246" spans="1:49" x14ac:dyDescent="0.2">
      <c r="A246">
        <v>244</v>
      </c>
      <c r="B246" t="s">
        <v>8881</v>
      </c>
      <c r="F246" t="s">
        <v>8880</v>
      </c>
      <c r="G246" t="s">
        <v>12</v>
      </c>
      <c r="H246" t="s">
        <v>11</v>
      </c>
      <c r="I246" t="s">
        <v>8879</v>
      </c>
      <c r="J246">
        <v>60022990</v>
      </c>
      <c r="K246" t="s">
        <v>8878</v>
      </c>
      <c r="L246" t="s">
        <v>7107</v>
      </c>
      <c r="M246" t="s">
        <v>151</v>
      </c>
      <c r="N246">
        <v>3</v>
      </c>
      <c r="O246" t="s">
        <v>8877</v>
      </c>
      <c r="P246" t="s">
        <v>8876</v>
      </c>
      <c r="Q246" t="s">
        <v>8875</v>
      </c>
      <c r="R246" s="7">
        <v>33604</v>
      </c>
      <c r="S246" s="8">
        <f t="shared" si="32"/>
        <v>1992</v>
      </c>
      <c r="T246" s="8">
        <v>1992</v>
      </c>
      <c r="U246" s="8">
        <f t="shared" si="33"/>
        <v>30</v>
      </c>
      <c r="V246" s="7">
        <v>1992</v>
      </c>
      <c r="W246" t="s">
        <v>414</v>
      </c>
      <c r="X246" s="2">
        <v>2.141</v>
      </c>
      <c r="Y246" s="6">
        <f t="shared" si="30"/>
        <v>5.7152772216438434E-2</v>
      </c>
      <c r="AA246">
        <v>1962892</v>
      </c>
      <c r="AB246">
        <v>17360</v>
      </c>
      <c r="AD246" t="s">
        <v>4</v>
      </c>
      <c r="AE246" t="s">
        <v>8765</v>
      </c>
      <c r="AF246" t="s">
        <v>16</v>
      </c>
      <c r="AH246" t="s">
        <v>8874</v>
      </c>
      <c r="AI246" t="s">
        <v>8873</v>
      </c>
      <c r="AK246" t="s">
        <v>8872</v>
      </c>
      <c r="AL246">
        <v>5</v>
      </c>
      <c r="AM246" s="5">
        <f t="shared" si="34"/>
        <v>0.16666666666666666</v>
      </c>
      <c r="AN246" s="4">
        <f t="shared" si="31"/>
        <v>2.5242963523917705E-4</v>
      </c>
      <c r="AO246" s="3"/>
      <c r="AP246">
        <v>0</v>
      </c>
      <c r="AR246" t="s">
        <v>0</v>
      </c>
      <c r="AT246" s="2" t="s">
        <v>16</v>
      </c>
      <c r="AU246" s="1">
        <f t="shared" si="35"/>
        <v>4.0082669442078656</v>
      </c>
      <c r="AV246" s="1">
        <f t="shared" si="36"/>
        <v>2.8702600925838806</v>
      </c>
      <c r="AW246" s="1">
        <f t="shared" si="37"/>
        <v>1.7322532409598954</v>
      </c>
    </row>
    <row r="247" spans="1:49" x14ac:dyDescent="0.2">
      <c r="A247">
        <v>245</v>
      </c>
      <c r="B247" t="s">
        <v>8871</v>
      </c>
      <c r="F247" t="s">
        <v>8870</v>
      </c>
      <c r="G247" t="s">
        <v>12</v>
      </c>
      <c r="H247" t="s">
        <v>11</v>
      </c>
      <c r="I247" t="s">
        <v>8869</v>
      </c>
      <c r="J247">
        <v>60019647</v>
      </c>
      <c r="K247" t="s">
        <v>2567</v>
      </c>
      <c r="L247" t="s">
        <v>2566</v>
      </c>
      <c r="M247" t="s">
        <v>7</v>
      </c>
      <c r="N247">
        <v>2</v>
      </c>
      <c r="O247" t="s">
        <v>8868</v>
      </c>
      <c r="P247" t="s">
        <v>8867</v>
      </c>
      <c r="Q247" t="s">
        <v>2563</v>
      </c>
      <c r="R247" s="7">
        <v>33604</v>
      </c>
      <c r="S247" s="8">
        <f t="shared" si="32"/>
        <v>1992</v>
      </c>
      <c r="T247" s="8">
        <v>1992</v>
      </c>
      <c r="U247" s="8">
        <f t="shared" si="33"/>
        <v>30</v>
      </c>
      <c r="V247" s="7">
        <v>1992</v>
      </c>
      <c r="W247" t="s">
        <v>97</v>
      </c>
      <c r="X247" s="2">
        <v>1.6519999999999999</v>
      </c>
      <c r="Y247" s="6">
        <f t="shared" si="30"/>
        <v>4.409919649769093E-2</v>
      </c>
      <c r="AA247" t="s">
        <v>96</v>
      </c>
      <c r="AB247">
        <v>17337</v>
      </c>
      <c r="AD247" t="s">
        <v>4</v>
      </c>
      <c r="AE247" t="s">
        <v>8765</v>
      </c>
      <c r="AF247" t="s">
        <v>16</v>
      </c>
      <c r="AH247" t="s">
        <v>8866</v>
      </c>
      <c r="AI247" t="s">
        <v>8865</v>
      </c>
      <c r="AK247" t="s">
        <v>8864</v>
      </c>
      <c r="AL247">
        <v>23</v>
      </c>
      <c r="AM247" s="5">
        <f t="shared" si="34"/>
        <v>0.76666666666666672</v>
      </c>
      <c r="AN247" s="4">
        <f t="shared" si="31"/>
        <v>1.1611763221002146E-3</v>
      </c>
      <c r="AO247" s="3"/>
      <c r="AP247">
        <v>0</v>
      </c>
      <c r="AR247" t="s">
        <v>0</v>
      </c>
      <c r="AT247" s="2" t="s">
        <v>16</v>
      </c>
      <c r="AU247" s="1">
        <f t="shared" si="35"/>
        <v>3.1217790445013716</v>
      </c>
      <c r="AV247" s="1">
        <f t="shared" si="36"/>
        <v>2.2630186409895572</v>
      </c>
      <c r="AW247" s="1">
        <f t="shared" si="37"/>
        <v>1.4042582374777428</v>
      </c>
    </row>
    <row r="248" spans="1:49" x14ac:dyDescent="0.2">
      <c r="A248">
        <v>246</v>
      </c>
      <c r="B248" t="s">
        <v>8863</v>
      </c>
      <c r="F248" t="s">
        <v>8862</v>
      </c>
      <c r="G248" t="s">
        <v>12</v>
      </c>
      <c r="H248" t="s">
        <v>11</v>
      </c>
      <c r="I248" t="s">
        <v>8861</v>
      </c>
      <c r="J248">
        <v>60072442</v>
      </c>
      <c r="K248" t="s">
        <v>8860</v>
      </c>
      <c r="L248" t="s">
        <v>8859</v>
      </c>
      <c r="M248" t="s">
        <v>1548</v>
      </c>
      <c r="N248">
        <v>4</v>
      </c>
      <c r="O248" t="s">
        <v>8858</v>
      </c>
      <c r="P248" t="s">
        <v>8857</v>
      </c>
      <c r="Q248" t="s">
        <v>8856</v>
      </c>
      <c r="R248" s="7">
        <v>33604</v>
      </c>
      <c r="S248" s="8">
        <f t="shared" si="32"/>
        <v>1992</v>
      </c>
      <c r="T248" s="8">
        <v>1992</v>
      </c>
      <c r="U248" s="8">
        <f t="shared" si="33"/>
        <v>30</v>
      </c>
      <c r="V248" s="7">
        <v>1992</v>
      </c>
      <c r="W248" t="s">
        <v>97</v>
      </c>
      <c r="X248" s="2">
        <v>1.6519999999999999</v>
      </c>
      <c r="Y248" s="6">
        <f t="shared" si="30"/>
        <v>4.409919649769093E-2</v>
      </c>
      <c r="AA248" t="s">
        <v>96</v>
      </c>
      <c r="AB248">
        <v>17337</v>
      </c>
      <c r="AD248" t="s">
        <v>4</v>
      </c>
      <c r="AE248" t="s">
        <v>8765</v>
      </c>
      <c r="AF248" t="s">
        <v>16</v>
      </c>
      <c r="AH248" t="s">
        <v>8855</v>
      </c>
      <c r="AI248" t="s">
        <v>8854</v>
      </c>
      <c r="AK248" t="s">
        <v>8853</v>
      </c>
      <c r="AL248">
        <v>103</v>
      </c>
      <c r="AM248" s="5">
        <f t="shared" si="34"/>
        <v>3.4333333333333331</v>
      </c>
      <c r="AN248" s="4">
        <f t="shared" si="31"/>
        <v>5.2000504859270472E-3</v>
      </c>
      <c r="AO248" s="3"/>
      <c r="AP248">
        <v>0</v>
      </c>
      <c r="AR248" t="s">
        <v>0</v>
      </c>
      <c r="AT248" s="2" t="s">
        <v>16</v>
      </c>
      <c r="AU248" s="1">
        <f t="shared" si="35"/>
        <v>3.2429452694161767</v>
      </c>
      <c r="AV248" s="1">
        <f t="shared" si="36"/>
        <v>2.4649623491808987</v>
      </c>
      <c r="AW248" s="1">
        <f t="shared" si="37"/>
        <v>1.686979428945621</v>
      </c>
    </row>
    <row r="249" spans="1:49" x14ac:dyDescent="0.2">
      <c r="A249">
        <v>247</v>
      </c>
      <c r="B249" t="s">
        <v>8852</v>
      </c>
      <c r="F249" t="s">
        <v>8851</v>
      </c>
      <c r="G249" t="s">
        <v>12</v>
      </c>
      <c r="H249" t="s">
        <v>11</v>
      </c>
      <c r="I249" t="s">
        <v>8850</v>
      </c>
      <c r="J249">
        <v>60009037</v>
      </c>
      <c r="K249" t="s">
        <v>2673</v>
      </c>
      <c r="L249" t="s">
        <v>2672</v>
      </c>
      <c r="M249" t="s">
        <v>7</v>
      </c>
      <c r="N249">
        <v>1</v>
      </c>
      <c r="O249" t="s">
        <v>8849</v>
      </c>
      <c r="P249">
        <v>6701498951</v>
      </c>
      <c r="Q249">
        <v>60009037</v>
      </c>
      <c r="R249" s="7">
        <v>33604</v>
      </c>
      <c r="S249" s="8">
        <f t="shared" si="32"/>
        <v>1992</v>
      </c>
      <c r="T249" s="8">
        <v>1992</v>
      </c>
      <c r="U249" s="8">
        <f t="shared" si="33"/>
        <v>30</v>
      </c>
      <c r="V249" s="7">
        <v>1992</v>
      </c>
      <c r="W249" t="s">
        <v>414</v>
      </c>
      <c r="X249" s="2">
        <v>2.141</v>
      </c>
      <c r="Y249" s="6">
        <f t="shared" si="30"/>
        <v>5.7152772216438434E-2</v>
      </c>
      <c r="AA249">
        <v>1962892</v>
      </c>
      <c r="AB249">
        <v>17360</v>
      </c>
      <c r="AD249" t="s">
        <v>4</v>
      </c>
      <c r="AE249" t="s">
        <v>8765</v>
      </c>
      <c r="AF249" t="s">
        <v>16</v>
      </c>
      <c r="AH249" t="s">
        <v>8848</v>
      </c>
      <c r="AI249" t="s">
        <v>8847</v>
      </c>
      <c r="AK249" t="s">
        <v>8846</v>
      </c>
      <c r="AL249">
        <v>14</v>
      </c>
      <c r="AM249" s="5">
        <f t="shared" si="34"/>
        <v>0.46666666666666667</v>
      </c>
      <c r="AN249" s="4">
        <f t="shared" si="31"/>
        <v>7.0680297866969582E-4</v>
      </c>
      <c r="AO249" s="3"/>
      <c r="AP249">
        <v>0</v>
      </c>
      <c r="AR249" t="s">
        <v>0</v>
      </c>
      <c r="AT249" s="2" t="s">
        <v>16</v>
      </c>
      <c r="AU249" s="1">
        <f t="shared" si="35"/>
        <v>4.0218981445107813</v>
      </c>
      <c r="AV249" s="1">
        <f t="shared" si="36"/>
        <v>2.8929787597554064</v>
      </c>
      <c r="AW249" s="1">
        <f t="shared" si="37"/>
        <v>1.7640593750000317</v>
      </c>
    </row>
    <row r="250" spans="1:49" x14ac:dyDescent="0.2">
      <c r="A250">
        <v>248</v>
      </c>
      <c r="B250" t="s">
        <v>8845</v>
      </c>
      <c r="F250" t="s">
        <v>8844</v>
      </c>
      <c r="G250" t="s">
        <v>12</v>
      </c>
      <c r="H250" t="s">
        <v>11</v>
      </c>
      <c r="I250" t="s">
        <v>8843</v>
      </c>
      <c r="J250">
        <v>60010491</v>
      </c>
      <c r="K250" t="s">
        <v>6819</v>
      </c>
      <c r="L250" t="s">
        <v>6818</v>
      </c>
      <c r="M250" t="s">
        <v>7</v>
      </c>
      <c r="N250">
        <v>2</v>
      </c>
      <c r="O250" t="s">
        <v>8842</v>
      </c>
      <c r="P250" t="s">
        <v>8841</v>
      </c>
      <c r="Q250" t="s">
        <v>8840</v>
      </c>
      <c r="R250" s="7">
        <v>33604</v>
      </c>
      <c r="S250" s="8">
        <f t="shared" si="32"/>
        <v>1992</v>
      </c>
      <c r="T250" s="8">
        <v>1992</v>
      </c>
      <c r="U250" s="8">
        <f t="shared" si="33"/>
        <v>30</v>
      </c>
      <c r="V250" s="7">
        <v>1992</v>
      </c>
      <c r="W250" t="s">
        <v>97</v>
      </c>
      <c r="X250" s="2">
        <v>1.6519999999999999</v>
      </c>
      <c r="Y250" s="6">
        <f t="shared" si="30"/>
        <v>4.409919649769093E-2</v>
      </c>
      <c r="AA250" t="s">
        <v>96</v>
      </c>
      <c r="AB250">
        <v>17337</v>
      </c>
      <c r="AD250" t="s">
        <v>4</v>
      </c>
      <c r="AE250" t="s">
        <v>8765</v>
      </c>
      <c r="AF250" t="s">
        <v>16</v>
      </c>
      <c r="AH250" t="s">
        <v>8839</v>
      </c>
      <c r="AI250" t="s">
        <v>8838</v>
      </c>
      <c r="AK250" t="s">
        <v>8837</v>
      </c>
      <c r="AL250">
        <v>14</v>
      </c>
      <c r="AM250" s="5">
        <f t="shared" si="34"/>
        <v>0.46666666666666667</v>
      </c>
      <c r="AN250" s="4">
        <f t="shared" si="31"/>
        <v>7.0680297866969582E-4</v>
      </c>
      <c r="AO250" s="3"/>
      <c r="AP250">
        <v>0</v>
      </c>
      <c r="AR250" t="s">
        <v>0</v>
      </c>
      <c r="AT250" s="2" t="s">
        <v>16</v>
      </c>
      <c r="AU250" s="1">
        <f t="shared" si="35"/>
        <v>3.1081478441984558</v>
      </c>
      <c r="AV250" s="1">
        <f t="shared" si="36"/>
        <v>2.2402999738180314</v>
      </c>
      <c r="AW250" s="1">
        <f t="shared" si="37"/>
        <v>1.3724521034376065</v>
      </c>
    </row>
    <row r="251" spans="1:49" x14ac:dyDescent="0.2">
      <c r="A251">
        <v>249</v>
      </c>
      <c r="B251" t="s">
        <v>8836</v>
      </c>
      <c r="F251" t="s">
        <v>8835</v>
      </c>
      <c r="G251" t="s">
        <v>12</v>
      </c>
      <c r="H251" t="s">
        <v>11</v>
      </c>
      <c r="I251" t="s">
        <v>8834</v>
      </c>
      <c r="J251">
        <v>60007801</v>
      </c>
      <c r="K251" t="s">
        <v>8833</v>
      </c>
      <c r="L251" t="s">
        <v>8832</v>
      </c>
      <c r="M251" t="s">
        <v>7</v>
      </c>
      <c r="N251">
        <v>2</v>
      </c>
      <c r="O251" t="s">
        <v>8831</v>
      </c>
      <c r="P251" t="s">
        <v>8830</v>
      </c>
      <c r="Q251" t="s">
        <v>8829</v>
      </c>
      <c r="R251" s="7">
        <v>33604</v>
      </c>
      <c r="S251" s="8">
        <f t="shared" si="32"/>
        <v>1992</v>
      </c>
      <c r="T251" s="8">
        <v>1992</v>
      </c>
      <c r="U251" s="8">
        <f t="shared" si="33"/>
        <v>30</v>
      </c>
      <c r="V251" s="7">
        <v>1992</v>
      </c>
      <c r="W251" t="s">
        <v>136</v>
      </c>
      <c r="X251" s="2">
        <v>1.3720000000000001</v>
      </c>
      <c r="Y251" s="6">
        <f t="shared" si="30"/>
        <v>3.662475641333654E-2</v>
      </c>
      <c r="AA251">
        <v>189480</v>
      </c>
      <c r="AB251">
        <v>17366</v>
      </c>
      <c r="AD251" t="s">
        <v>4</v>
      </c>
      <c r="AE251" t="s">
        <v>8765</v>
      </c>
      <c r="AF251" t="s">
        <v>16</v>
      </c>
      <c r="AH251" t="s">
        <v>8828</v>
      </c>
      <c r="AI251" t="s">
        <v>8827</v>
      </c>
      <c r="AK251" t="s">
        <v>8826</v>
      </c>
      <c r="AL251">
        <v>9</v>
      </c>
      <c r="AM251" s="5">
        <f t="shared" si="34"/>
        <v>0.3</v>
      </c>
      <c r="AN251" s="4">
        <f t="shared" si="31"/>
        <v>4.5437334343051872E-4</v>
      </c>
      <c r="AO251" s="3"/>
      <c r="AP251">
        <v>0</v>
      </c>
      <c r="AR251" t="s">
        <v>0</v>
      </c>
      <c r="AT251" s="2" t="s">
        <v>16</v>
      </c>
      <c r="AU251" s="1">
        <f t="shared" si="35"/>
        <v>2.5773641492364732</v>
      </c>
      <c r="AV251" s="1">
        <f t="shared" si="36"/>
        <v>1.853956487838353</v>
      </c>
      <c r="AW251" s="1">
        <f t="shared" si="37"/>
        <v>1.1305488264402326</v>
      </c>
    </row>
    <row r="252" spans="1:49" x14ac:dyDescent="0.2">
      <c r="A252">
        <v>250</v>
      </c>
      <c r="B252" t="s">
        <v>8825</v>
      </c>
      <c r="F252" t="s">
        <v>8824</v>
      </c>
      <c r="G252" t="s">
        <v>12</v>
      </c>
      <c r="H252" t="s">
        <v>11</v>
      </c>
      <c r="I252" t="s">
        <v>8190</v>
      </c>
      <c r="J252">
        <v>60000745</v>
      </c>
      <c r="K252" t="s">
        <v>1235</v>
      </c>
      <c r="L252" t="s">
        <v>1234</v>
      </c>
      <c r="M252" t="s">
        <v>7</v>
      </c>
      <c r="N252">
        <v>2</v>
      </c>
      <c r="O252" t="s">
        <v>8823</v>
      </c>
      <c r="P252" t="s">
        <v>8822</v>
      </c>
      <c r="Q252" t="s">
        <v>2681</v>
      </c>
      <c r="R252" s="7">
        <v>33604</v>
      </c>
      <c r="S252" s="8">
        <f t="shared" si="32"/>
        <v>1992</v>
      </c>
      <c r="T252" s="8">
        <v>1992</v>
      </c>
      <c r="U252" s="8">
        <f t="shared" si="33"/>
        <v>30</v>
      </c>
      <c r="V252" s="7">
        <v>1992</v>
      </c>
      <c r="W252" t="s">
        <v>97</v>
      </c>
      <c r="X252" s="2">
        <v>1.6519999999999999</v>
      </c>
      <c r="Y252" s="6">
        <f t="shared" si="30"/>
        <v>4.409919649769093E-2</v>
      </c>
      <c r="AA252" t="s">
        <v>96</v>
      </c>
      <c r="AB252">
        <v>17337</v>
      </c>
      <c r="AD252" t="s">
        <v>4</v>
      </c>
      <c r="AE252" t="s">
        <v>8765</v>
      </c>
      <c r="AF252" t="s">
        <v>16</v>
      </c>
      <c r="AH252" t="s">
        <v>8821</v>
      </c>
      <c r="AI252" t="s">
        <v>8820</v>
      </c>
      <c r="AK252" t="s">
        <v>8819</v>
      </c>
      <c r="AL252">
        <v>10</v>
      </c>
      <c r="AM252" s="5">
        <f t="shared" si="34"/>
        <v>0.33333333333333331</v>
      </c>
      <c r="AN252" s="4">
        <f t="shared" si="31"/>
        <v>5.048592704783541E-4</v>
      </c>
      <c r="AO252" s="3"/>
      <c r="AP252">
        <v>0</v>
      </c>
      <c r="AR252" t="s">
        <v>0</v>
      </c>
      <c r="AT252" s="2" t="s">
        <v>16</v>
      </c>
      <c r="AU252" s="1">
        <f t="shared" si="35"/>
        <v>3.1020895329527156</v>
      </c>
      <c r="AV252" s="1">
        <f t="shared" si="36"/>
        <v>2.2302027884084641</v>
      </c>
      <c r="AW252" s="1">
        <f t="shared" si="37"/>
        <v>1.3583160438642126</v>
      </c>
    </row>
    <row r="253" spans="1:49" x14ac:dyDescent="0.2">
      <c r="A253">
        <v>251</v>
      </c>
      <c r="B253" t="s">
        <v>8818</v>
      </c>
      <c r="F253" t="s">
        <v>8817</v>
      </c>
      <c r="G253" t="s">
        <v>12</v>
      </c>
      <c r="H253" t="s">
        <v>11</v>
      </c>
      <c r="I253" t="s">
        <v>8816</v>
      </c>
      <c r="J253">
        <v>60026175</v>
      </c>
      <c r="K253" t="s">
        <v>8815</v>
      </c>
      <c r="L253" t="s">
        <v>8814</v>
      </c>
      <c r="M253" t="s">
        <v>7</v>
      </c>
      <c r="N253">
        <v>1</v>
      </c>
      <c r="O253" t="s">
        <v>8813</v>
      </c>
      <c r="P253">
        <v>6701536307</v>
      </c>
      <c r="Q253">
        <v>60026175</v>
      </c>
      <c r="R253" s="7">
        <v>33604</v>
      </c>
      <c r="S253" s="8">
        <f t="shared" si="32"/>
        <v>1992</v>
      </c>
      <c r="T253" s="8">
        <v>1992</v>
      </c>
      <c r="U253" s="8">
        <f t="shared" si="33"/>
        <v>30</v>
      </c>
      <c r="V253" s="7">
        <v>1992</v>
      </c>
      <c r="W253" t="s">
        <v>97</v>
      </c>
      <c r="X253" s="2">
        <v>1.6519999999999999</v>
      </c>
      <c r="Y253" s="6">
        <f t="shared" si="30"/>
        <v>4.409919649769093E-2</v>
      </c>
      <c r="AA253" t="s">
        <v>96</v>
      </c>
      <c r="AB253">
        <v>17337</v>
      </c>
      <c r="AD253" t="s">
        <v>4</v>
      </c>
      <c r="AE253" t="s">
        <v>8765</v>
      </c>
      <c r="AF253" t="s">
        <v>16</v>
      </c>
      <c r="AH253" t="s">
        <v>8812</v>
      </c>
      <c r="AI253" t="s">
        <v>8811</v>
      </c>
      <c r="AK253" t="s">
        <v>8810</v>
      </c>
      <c r="AL253">
        <v>1</v>
      </c>
      <c r="AM253" s="5">
        <f t="shared" si="34"/>
        <v>3.3333333333333333E-2</v>
      </c>
      <c r="AN253" s="4">
        <f t="shared" si="31"/>
        <v>5.0485927047835418E-5</v>
      </c>
      <c r="AO253" s="3"/>
      <c r="AP253">
        <v>0</v>
      </c>
      <c r="AR253" t="s">
        <v>0</v>
      </c>
      <c r="AT253" s="2" t="s">
        <v>16</v>
      </c>
      <c r="AU253" s="1">
        <f t="shared" si="35"/>
        <v>3.0884583326498003</v>
      </c>
      <c r="AV253" s="1">
        <f t="shared" si="36"/>
        <v>2.2074841212369383</v>
      </c>
      <c r="AW253" s="1">
        <f t="shared" si="37"/>
        <v>1.3265099098240762</v>
      </c>
    </row>
    <row r="254" spans="1:49" x14ac:dyDescent="0.2">
      <c r="A254">
        <v>252</v>
      </c>
      <c r="B254" t="s">
        <v>8809</v>
      </c>
      <c r="F254" t="s">
        <v>8808</v>
      </c>
      <c r="G254" t="s">
        <v>12</v>
      </c>
      <c r="H254" t="s">
        <v>11</v>
      </c>
      <c r="I254" t="s">
        <v>8807</v>
      </c>
      <c r="J254">
        <v>60024592</v>
      </c>
      <c r="K254" t="s">
        <v>8806</v>
      </c>
      <c r="L254" t="s">
        <v>8805</v>
      </c>
      <c r="M254" t="s">
        <v>7</v>
      </c>
      <c r="N254">
        <v>1</v>
      </c>
      <c r="O254" t="s">
        <v>8804</v>
      </c>
      <c r="P254">
        <v>36985843100</v>
      </c>
      <c r="Q254">
        <v>60024592</v>
      </c>
      <c r="R254" s="7">
        <v>33604</v>
      </c>
      <c r="S254" s="8">
        <f t="shared" si="32"/>
        <v>1992</v>
      </c>
      <c r="T254" s="8">
        <v>1992</v>
      </c>
      <c r="U254" s="8">
        <f t="shared" si="33"/>
        <v>30</v>
      </c>
      <c r="V254" s="7">
        <v>1992</v>
      </c>
      <c r="W254" t="s">
        <v>1557</v>
      </c>
      <c r="X254" s="2">
        <v>1.137</v>
      </c>
      <c r="Y254" s="6">
        <f t="shared" si="30"/>
        <v>3.0351565628253384E-2</v>
      </c>
      <c r="AA254">
        <v>189251</v>
      </c>
      <c r="AB254">
        <v>17336</v>
      </c>
      <c r="AD254" t="s">
        <v>4</v>
      </c>
      <c r="AE254" t="s">
        <v>8765</v>
      </c>
      <c r="AF254" t="s">
        <v>16</v>
      </c>
      <c r="AH254" t="s">
        <v>8803</v>
      </c>
      <c r="AI254" t="s">
        <v>8802</v>
      </c>
      <c r="AK254" t="s">
        <v>8801</v>
      </c>
      <c r="AL254">
        <v>44</v>
      </c>
      <c r="AM254" s="5">
        <f t="shared" si="34"/>
        <v>1.4666666666666666</v>
      </c>
      <c r="AN254" s="4">
        <f t="shared" si="31"/>
        <v>2.2213807901047583E-3</v>
      </c>
      <c r="AO254" s="3"/>
      <c r="AP254">
        <v>0</v>
      </c>
      <c r="AR254" t="s">
        <v>0</v>
      </c>
      <c r="AT254" s="2" t="s">
        <v>16</v>
      </c>
      <c r="AU254" s="1">
        <f t="shared" si="35"/>
        <v>2.1912510176808793</v>
      </c>
      <c r="AV254" s="1">
        <f t="shared" si="36"/>
        <v>1.6286473209179073</v>
      </c>
      <c r="AW254" s="1">
        <f t="shared" si="37"/>
        <v>1.0660436241549345</v>
      </c>
    </row>
    <row r="255" spans="1:49" x14ac:dyDescent="0.2">
      <c r="A255">
        <v>253</v>
      </c>
      <c r="B255" t="s">
        <v>8800</v>
      </c>
      <c r="F255" t="s">
        <v>8799</v>
      </c>
      <c r="G255" t="s">
        <v>12</v>
      </c>
      <c r="H255" t="s">
        <v>11</v>
      </c>
      <c r="I255" t="s">
        <v>8798</v>
      </c>
      <c r="J255">
        <v>60000221</v>
      </c>
      <c r="K255" t="s">
        <v>6165</v>
      </c>
      <c r="L255" t="s">
        <v>6164</v>
      </c>
      <c r="M255" t="s">
        <v>7</v>
      </c>
      <c r="N255">
        <v>3</v>
      </c>
      <c r="O255" t="s">
        <v>8797</v>
      </c>
      <c r="P255" t="s">
        <v>8796</v>
      </c>
      <c r="Q255" t="s">
        <v>6161</v>
      </c>
      <c r="R255" s="7">
        <v>33604</v>
      </c>
      <c r="S255" s="8">
        <f t="shared" si="32"/>
        <v>1992</v>
      </c>
      <c r="T255" s="8">
        <v>1992</v>
      </c>
      <c r="U255" s="8">
        <f t="shared" si="33"/>
        <v>30</v>
      </c>
      <c r="V255" s="7">
        <v>1992</v>
      </c>
      <c r="W255" t="s">
        <v>97</v>
      </c>
      <c r="X255" s="2">
        <v>1.6519999999999999</v>
      </c>
      <c r="Y255" s="6">
        <f t="shared" si="30"/>
        <v>4.409919649769093E-2</v>
      </c>
      <c r="AA255" t="s">
        <v>96</v>
      </c>
      <c r="AB255">
        <v>17337</v>
      </c>
      <c r="AD255" t="s">
        <v>4</v>
      </c>
      <c r="AE255" t="s">
        <v>8765</v>
      </c>
      <c r="AF255" t="s">
        <v>16</v>
      </c>
      <c r="AH255" t="s">
        <v>8795</v>
      </c>
      <c r="AI255" t="s">
        <v>8794</v>
      </c>
      <c r="AK255" t="s">
        <v>8793</v>
      </c>
      <c r="AL255">
        <v>1</v>
      </c>
      <c r="AM255" s="5">
        <f t="shared" si="34"/>
        <v>3.3333333333333333E-2</v>
      </c>
      <c r="AN255" s="4">
        <f t="shared" si="31"/>
        <v>5.0485927047835418E-5</v>
      </c>
      <c r="AO255" s="3"/>
      <c r="AP255">
        <v>0</v>
      </c>
      <c r="AR255" t="s">
        <v>0</v>
      </c>
      <c r="AT255" s="2" t="s">
        <v>16</v>
      </c>
      <c r="AU255" s="1">
        <f t="shared" si="35"/>
        <v>3.0884583326498003</v>
      </c>
      <c r="AV255" s="1">
        <f t="shared" si="36"/>
        <v>2.2074841212369383</v>
      </c>
      <c r="AW255" s="1">
        <f t="shared" si="37"/>
        <v>1.3265099098240762</v>
      </c>
    </row>
    <row r="256" spans="1:49" x14ac:dyDescent="0.2">
      <c r="A256">
        <v>254</v>
      </c>
      <c r="B256" t="s">
        <v>8792</v>
      </c>
      <c r="F256" t="s">
        <v>8791</v>
      </c>
      <c r="G256" t="s">
        <v>12</v>
      </c>
      <c r="H256" t="s">
        <v>11</v>
      </c>
      <c r="I256" t="s">
        <v>8790</v>
      </c>
      <c r="J256">
        <v>60032587</v>
      </c>
      <c r="K256" t="s">
        <v>303</v>
      </c>
      <c r="L256" t="s">
        <v>302</v>
      </c>
      <c r="M256" t="s">
        <v>301</v>
      </c>
      <c r="N256">
        <v>3</v>
      </c>
      <c r="O256" t="s">
        <v>8789</v>
      </c>
      <c r="P256" t="s">
        <v>8788</v>
      </c>
      <c r="Q256" t="s">
        <v>8787</v>
      </c>
      <c r="R256" s="7">
        <v>33604</v>
      </c>
      <c r="S256" s="8">
        <f t="shared" si="32"/>
        <v>1992</v>
      </c>
      <c r="T256" s="8">
        <v>1992</v>
      </c>
      <c r="U256" s="8">
        <f t="shared" si="33"/>
        <v>30</v>
      </c>
      <c r="V256" s="7">
        <v>1992</v>
      </c>
      <c r="W256" t="s">
        <v>97</v>
      </c>
      <c r="X256" s="2">
        <v>1.6519999999999999</v>
      </c>
      <c r="Y256" s="6">
        <f t="shared" si="30"/>
        <v>4.409919649769093E-2</v>
      </c>
      <c r="AA256" t="s">
        <v>96</v>
      </c>
      <c r="AB256">
        <v>17337</v>
      </c>
      <c r="AD256" t="s">
        <v>4</v>
      </c>
      <c r="AE256" t="s">
        <v>8765</v>
      </c>
      <c r="AF256" t="s">
        <v>16</v>
      </c>
      <c r="AH256" t="s">
        <v>8786</v>
      </c>
      <c r="AI256" t="s">
        <v>8785</v>
      </c>
      <c r="AK256" t="s">
        <v>8784</v>
      </c>
      <c r="AL256">
        <v>4</v>
      </c>
      <c r="AM256" s="5">
        <f t="shared" si="34"/>
        <v>0.13333333333333333</v>
      </c>
      <c r="AN256" s="4">
        <f t="shared" si="31"/>
        <v>2.0194370819134167E-4</v>
      </c>
      <c r="AO256" s="3"/>
      <c r="AP256">
        <v>0</v>
      </c>
      <c r="AR256" t="s">
        <v>0</v>
      </c>
      <c r="AT256" s="2" t="s">
        <v>16</v>
      </c>
      <c r="AU256" s="1">
        <f t="shared" si="35"/>
        <v>3.0930020660841056</v>
      </c>
      <c r="AV256" s="1">
        <f t="shared" si="36"/>
        <v>2.2150570102941138</v>
      </c>
      <c r="AW256" s="1">
        <f t="shared" si="37"/>
        <v>1.3371119545041217</v>
      </c>
    </row>
    <row r="257" spans="1:49" x14ac:dyDescent="0.2">
      <c r="A257">
        <v>255</v>
      </c>
      <c r="B257" t="s">
        <v>8783</v>
      </c>
      <c r="F257" t="s">
        <v>8782</v>
      </c>
      <c r="G257" t="s">
        <v>12</v>
      </c>
      <c r="H257" t="s">
        <v>11</v>
      </c>
      <c r="I257" t="s">
        <v>8781</v>
      </c>
      <c r="J257">
        <v>60003500</v>
      </c>
      <c r="K257" t="s">
        <v>1690</v>
      </c>
      <c r="L257" t="s">
        <v>1689</v>
      </c>
      <c r="M257" t="s">
        <v>7</v>
      </c>
      <c r="N257">
        <v>3</v>
      </c>
      <c r="O257" t="s">
        <v>8780</v>
      </c>
      <c r="P257" t="s">
        <v>8779</v>
      </c>
      <c r="Q257" t="s">
        <v>5466</v>
      </c>
      <c r="R257" s="7">
        <v>33604</v>
      </c>
      <c r="S257" s="8">
        <f t="shared" si="32"/>
        <v>1992</v>
      </c>
      <c r="T257" s="8">
        <v>1992</v>
      </c>
      <c r="U257" s="8">
        <f t="shared" si="33"/>
        <v>30</v>
      </c>
      <c r="V257" s="7">
        <v>1992</v>
      </c>
      <c r="W257" t="s">
        <v>97</v>
      </c>
      <c r="X257" s="2">
        <v>1.6519999999999999</v>
      </c>
      <c r="Y257" s="6">
        <f t="shared" si="30"/>
        <v>4.409919649769093E-2</v>
      </c>
      <c r="AA257" t="s">
        <v>96</v>
      </c>
      <c r="AB257">
        <v>17337</v>
      </c>
      <c r="AD257" t="s">
        <v>4</v>
      </c>
      <c r="AE257" t="s">
        <v>8765</v>
      </c>
      <c r="AF257" t="s">
        <v>16</v>
      </c>
      <c r="AH257" t="s">
        <v>8778</v>
      </c>
      <c r="AI257" t="s">
        <v>8777</v>
      </c>
      <c r="AK257" t="s">
        <v>8776</v>
      </c>
      <c r="AL257">
        <v>9</v>
      </c>
      <c r="AM257" s="5">
        <f t="shared" si="34"/>
        <v>0.3</v>
      </c>
      <c r="AN257" s="4">
        <f t="shared" si="31"/>
        <v>4.5437334343051872E-4</v>
      </c>
      <c r="AO257" s="3"/>
      <c r="AP257">
        <v>0</v>
      </c>
      <c r="AR257" t="s">
        <v>0</v>
      </c>
      <c r="AT257" s="2" t="s">
        <v>16</v>
      </c>
      <c r="AU257" s="1">
        <f t="shared" si="35"/>
        <v>3.1005749551412807</v>
      </c>
      <c r="AV257" s="1">
        <f t="shared" si="36"/>
        <v>2.2276784920560724</v>
      </c>
      <c r="AW257" s="1">
        <f t="shared" si="37"/>
        <v>1.3547820289708641</v>
      </c>
    </row>
    <row r="258" spans="1:49" x14ac:dyDescent="0.2">
      <c r="A258">
        <v>256</v>
      </c>
      <c r="B258" t="s">
        <v>8775</v>
      </c>
      <c r="F258" t="s">
        <v>8774</v>
      </c>
      <c r="G258" t="s">
        <v>12</v>
      </c>
      <c r="H258" t="s">
        <v>11</v>
      </c>
      <c r="I258" t="s">
        <v>8773</v>
      </c>
      <c r="J258">
        <v>60025488</v>
      </c>
      <c r="K258" t="s">
        <v>1678</v>
      </c>
      <c r="L258" t="s">
        <v>1677</v>
      </c>
      <c r="M258" t="s">
        <v>7</v>
      </c>
      <c r="N258">
        <v>2</v>
      </c>
      <c r="O258" t="s">
        <v>8772</v>
      </c>
      <c r="P258" t="s">
        <v>8771</v>
      </c>
      <c r="Q258" t="s">
        <v>3410</v>
      </c>
      <c r="R258" s="7">
        <v>33604</v>
      </c>
      <c r="S258" s="8">
        <f t="shared" si="32"/>
        <v>1992</v>
      </c>
      <c r="T258" s="8">
        <v>1992</v>
      </c>
      <c r="U258" s="8">
        <f t="shared" si="33"/>
        <v>30</v>
      </c>
      <c r="V258" s="7">
        <v>1992</v>
      </c>
      <c r="W258" t="s">
        <v>136</v>
      </c>
      <c r="X258" s="2">
        <v>1.3720000000000001</v>
      </c>
      <c r="Y258" s="6">
        <f t="shared" ref="Y258:Y321" si="38">(X258-$Z$4)/($Z$3-$Z$4)</f>
        <v>3.662475641333654E-2</v>
      </c>
      <c r="AA258">
        <v>189480</v>
      </c>
      <c r="AB258">
        <v>17366</v>
      </c>
      <c r="AD258" t="s">
        <v>4</v>
      </c>
      <c r="AE258" t="s">
        <v>8765</v>
      </c>
      <c r="AF258" t="s">
        <v>16</v>
      </c>
      <c r="AH258" t="s">
        <v>8770</v>
      </c>
      <c r="AI258" t="s">
        <v>8769</v>
      </c>
      <c r="AK258" t="s">
        <v>8768</v>
      </c>
      <c r="AL258">
        <v>22</v>
      </c>
      <c r="AM258" s="5">
        <f t="shared" si="34"/>
        <v>0.73333333333333328</v>
      </c>
      <c r="AN258" s="4">
        <f t="shared" ref="AN258:AN321" si="39">(AM258-$AO$4)/($AO$3-$AO$4)</f>
        <v>1.1106903950523792E-3</v>
      </c>
      <c r="AO258" s="3"/>
      <c r="AP258">
        <v>0</v>
      </c>
      <c r="AR258" t="s">
        <v>0</v>
      </c>
      <c r="AT258" s="2" t="s">
        <v>16</v>
      </c>
      <c r="AU258" s="1">
        <f t="shared" si="35"/>
        <v>2.5970536607851291</v>
      </c>
      <c r="AV258" s="1">
        <f t="shared" si="36"/>
        <v>1.8867723404194459</v>
      </c>
      <c r="AW258" s="1">
        <f t="shared" si="37"/>
        <v>1.1764910200537628</v>
      </c>
    </row>
    <row r="259" spans="1:49" x14ac:dyDescent="0.2">
      <c r="A259">
        <v>257</v>
      </c>
      <c r="B259" t="s">
        <v>8767</v>
      </c>
      <c r="F259" t="s">
        <v>8766</v>
      </c>
      <c r="G259" t="s">
        <v>12</v>
      </c>
      <c r="H259" t="s">
        <v>11</v>
      </c>
      <c r="I259" t="s">
        <v>1440</v>
      </c>
      <c r="J259">
        <v>60014313</v>
      </c>
      <c r="K259" t="s">
        <v>100</v>
      </c>
      <c r="L259" t="s">
        <v>99</v>
      </c>
      <c r="M259" t="s">
        <v>7</v>
      </c>
      <c r="N259">
        <v>1</v>
      </c>
      <c r="O259" t="s">
        <v>98</v>
      </c>
      <c r="P259">
        <v>7006061921</v>
      </c>
      <c r="Q259">
        <v>60014313</v>
      </c>
      <c r="R259" s="7">
        <v>33604</v>
      </c>
      <c r="S259" s="8">
        <f t="shared" si="32"/>
        <v>1992</v>
      </c>
      <c r="T259" s="8">
        <v>1992</v>
      </c>
      <c r="U259" s="8">
        <f t="shared" si="33"/>
        <v>30</v>
      </c>
      <c r="V259" s="7">
        <v>1992</v>
      </c>
      <c r="W259" t="s">
        <v>97</v>
      </c>
      <c r="X259" s="2">
        <v>1.6519999999999999</v>
      </c>
      <c r="Y259" s="6">
        <f t="shared" si="38"/>
        <v>4.409919649769093E-2</v>
      </c>
      <c r="AA259" t="s">
        <v>96</v>
      </c>
      <c r="AB259">
        <v>17337</v>
      </c>
      <c r="AD259" t="s">
        <v>4</v>
      </c>
      <c r="AE259" t="s">
        <v>8765</v>
      </c>
      <c r="AF259" t="s">
        <v>16</v>
      </c>
      <c r="AH259" t="s">
        <v>8764</v>
      </c>
      <c r="AI259" t="s">
        <v>8763</v>
      </c>
      <c r="AK259" t="s">
        <v>8762</v>
      </c>
      <c r="AL259">
        <v>34</v>
      </c>
      <c r="AM259" s="5">
        <f t="shared" si="34"/>
        <v>1.1333333333333333</v>
      </c>
      <c r="AN259" s="4">
        <f t="shared" si="39"/>
        <v>1.7165215196264041E-3</v>
      </c>
      <c r="AO259" s="3"/>
      <c r="AP259">
        <v>0</v>
      </c>
      <c r="AR259" t="s">
        <v>0</v>
      </c>
      <c r="AT259" s="2" t="s">
        <v>16</v>
      </c>
      <c r="AU259" s="1">
        <f t="shared" si="35"/>
        <v>3.1384394004271572</v>
      </c>
      <c r="AV259" s="1">
        <f t="shared" si="36"/>
        <v>2.2907859008658669</v>
      </c>
      <c r="AW259" s="1">
        <f t="shared" si="37"/>
        <v>1.4431324013045761</v>
      </c>
    </row>
    <row r="260" spans="1:49" x14ac:dyDescent="0.2">
      <c r="A260">
        <v>258</v>
      </c>
      <c r="B260" t="s">
        <v>8761</v>
      </c>
      <c r="C260" t="s">
        <v>8760</v>
      </c>
      <c r="D260">
        <v>22236492900286</v>
      </c>
      <c r="F260" t="s">
        <v>8759</v>
      </c>
      <c r="G260" t="s">
        <v>12</v>
      </c>
      <c r="H260" t="s">
        <v>11</v>
      </c>
      <c r="I260" t="s">
        <v>8758</v>
      </c>
      <c r="J260" t="s">
        <v>8757</v>
      </c>
      <c r="K260" t="s">
        <v>8756</v>
      </c>
      <c r="L260" t="s">
        <v>8755</v>
      </c>
      <c r="M260" t="s">
        <v>7395</v>
      </c>
      <c r="N260">
        <v>4</v>
      </c>
      <c r="O260" t="s">
        <v>8754</v>
      </c>
      <c r="P260" t="s">
        <v>8753</v>
      </c>
      <c r="Q260" t="s">
        <v>8752</v>
      </c>
      <c r="R260" s="7">
        <v>33604</v>
      </c>
      <c r="S260" s="8">
        <f t="shared" si="32"/>
        <v>1992</v>
      </c>
      <c r="T260" s="8">
        <v>1992</v>
      </c>
      <c r="U260" s="8">
        <f t="shared" si="33"/>
        <v>30</v>
      </c>
      <c r="V260" s="7">
        <v>33725</v>
      </c>
      <c r="W260" t="s">
        <v>8751</v>
      </c>
      <c r="X260" s="2" t="s">
        <v>16</v>
      </c>
      <c r="Y260" s="6" t="e">
        <f t="shared" si="38"/>
        <v>#VALUE!</v>
      </c>
      <c r="AA260">
        <v>222364</v>
      </c>
      <c r="AB260">
        <v>9800153153</v>
      </c>
      <c r="AD260" t="s">
        <v>4</v>
      </c>
      <c r="AE260">
        <v>97</v>
      </c>
      <c r="AF260">
        <v>3</v>
      </c>
      <c r="AH260" t="s">
        <v>8750</v>
      </c>
      <c r="AI260" t="s">
        <v>8749</v>
      </c>
      <c r="AK260" t="s">
        <v>8748</v>
      </c>
      <c r="AL260">
        <v>174</v>
      </c>
      <c r="AM260" s="5">
        <f t="shared" si="34"/>
        <v>5.8</v>
      </c>
      <c r="AN260" s="4">
        <f t="shared" si="39"/>
        <v>8.7845513063233623E-3</v>
      </c>
      <c r="AO260" s="3"/>
      <c r="AP260">
        <v>0</v>
      </c>
      <c r="AR260" t="s">
        <v>0</v>
      </c>
      <c r="AT260" s="2" t="s">
        <v>16</v>
      </c>
      <c r="AU260" s="1" t="e">
        <f t="shared" si="35"/>
        <v>#VALUE!</v>
      </c>
      <c r="AV260" s="1" t="e">
        <f t="shared" si="36"/>
        <v>#VALUE!</v>
      </c>
      <c r="AW260" s="1" t="e">
        <f t="shared" si="37"/>
        <v>#VALUE!</v>
      </c>
    </row>
    <row r="261" spans="1:49" x14ac:dyDescent="0.2">
      <c r="A261">
        <v>259</v>
      </c>
      <c r="B261" t="s">
        <v>8747</v>
      </c>
      <c r="C261" t="s">
        <v>8746</v>
      </c>
      <c r="D261" t="s">
        <v>8745</v>
      </c>
      <c r="F261" t="s">
        <v>8744</v>
      </c>
      <c r="G261" t="s">
        <v>12</v>
      </c>
      <c r="H261" t="s">
        <v>11</v>
      </c>
      <c r="I261" t="s">
        <v>8743</v>
      </c>
      <c r="J261" t="s">
        <v>8742</v>
      </c>
      <c r="K261" t="s">
        <v>8741</v>
      </c>
      <c r="L261" t="s">
        <v>8740</v>
      </c>
      <c r="M261" t="s">
        <v>8739</v>
      </c>
      <c r="N261">
        <v>4</v>
      </c>
      <c r="O261" t="s">
        <v>8738</v>
      </c>
      <c r="P261" t="s">
        <v>8737</v>
      </c>
      <c r="Q261" t="s">
        <v>8736</v>
      </c>
      <c r="R261" s="7">
        <v>33604</v>
      </c>
      <c r="S261" s="8">
        <f t="shared" si="32"/>
        <v>1992</v>
      </c>
      <c r="T261" s="8">
        <v>1992</v>
      </c>
      <c r="U261" s="8">
        <f t="shared" si="33"/>
        <v>30</v>
      </c>
      <c r="V261" s="7">
        <v>33817</v>
      </c>
      <c r="W261" t="s">
        <v>8735</v>
      </c>
      <c r="X261" s="2">
        <v>0.69599999999999995</v>
      </c>
      <c r="Y261" s="6">
        <f t="shared" si="38"/>
        <v>1.857932249539521E-2</v>
      </c>
      <c r="AA261">
        <v>320633</v>
      </c>
      <c r="AB261">
        <v>27773</v>
      </c>
      <c r="AD261" t="s">
        <v>4</v>
      </c>
      <c r="AE261">
        <v>40</v>
      </c>
      <c r="AF261">
        <v>8</v>
      </c>
      <c r="AH261" t="s">
        <v>8734</v>
      </c>
      <c r="AI261" t="s">
        <v>8733</v>
      </c>
      <c r="AK261" t="s">
        <v>8732</v>
      </c>
      <c r="AL261">
        <v>1</v>
      </c>
      <c r="AM261" s="5">
        <f t="shared" si="34"/>
        <v>3.3333333333333333E-2</v>
      </c>
      <c r="AN261" s="4">
        <f t="shared" si="39"/>
        <v>5.0485927047835418E-5</v>
      </c>
      <c r="AO261" s="3"/>
      <c r="AP261">
        <v>0</v>
      </c>
      <c r="AQ261" t="s">
        <v>8731</v>
      </c>
      <c r="AR261" t="s">
        <v>0</v>
      </c>
      <c r="AS261" t="s">
        <v>8730</v>
      </c>
      <c r="AT261" s="2">
        <v>2.0299999999999998</v>
      </c>
      <c r="AU261" s="1">
        <f t="shared" si="35"/>
        <v>1.3020671524890997</v>
      </c>
      <c r="AV261" s="1">
        <f t="shared" si="36"/>
        <v>0.93149042112215219</v>
      </c>
      <c r="AW261" s="1">
        <f t="shared" si="37"/>
        <v>0.56091368975520473</v>
      </c>
    </row>
    <row r="262" spans="1:49" x14ac:dyDescent="0.2">
      <c r="A262">
        <v>260</v>
      </c>
      <c r="B262" t="s">
        <v>8729</v>
      </c>
      <c r="C262" t="s">
        <v>8728</v>
      </c>
      <c r="F262" t="s">
        <v>8727</v>
      </c>
      <c r="G262" t="s">
        <v>12</v>
      </c>
      <c r="H262" t="s">
        <v>11</v>
      </c>
      <c r="I262" t="s">
        <v>8726</v>
      </c>
      <c r="J262" t="s">
        <v>8725</v>
      </c>
      <c r="K262" t="s">
        <v>8724</v>
      </c>
      <c r="L262" t="s">
        <v>8723</v>
      </c>
      <c r="M262" t="s">
        <v>8722</v>
      </c>
      <c r="N262">
        <v>5</v>
      </c>
      <c r="O262" t="s">
        <v>8721</v>
      </c>
      <c r="P262" t="s">
        <v>8720</v>
      </c>
      <c r="Q262" t="s">
        <v>8719</v>
      </c>
      <c r="R262" s="7">
        <v>33604</v>
      </c>
      <c r="S262" s="8">
        <f t="shared" si="32"/>
        <v>1992</v>
      </c>
      <c r="T262" s="8">
        <v>1992</v>
      </c>
      <c r="U262" s="8">
        <f t="shared" si="33"/>
        <v>30</v>
      </c>
      <c r="V262" s="7">
        <v>33664</v>
      </c>
      <c r="W262" t="s">
        <v>8718</v>
      </c>
      <c r="X262" s="2" t="s">
        <v>16</v>
      </c>
      <c r="Y262" s="6" t="e">
        <f t="shared" si="38"/>
        <v>#VALUE!</v>
      </c>
      <c r="AA262">
        <v>5700833</v>
      </c>
      <c r="AB262">
        <v>22687</v>
      </c>
      <c r="AC262">
        <v>15213773</v>
      </c>
      <c r="AD262" t="s">
        <v>4</v>
      </c>
      <c r="AE262">
        <v>31</v>
      </c>
      <c r="AF262">
        <v>3</v>
      </c>
      <c r="AH262" t="s">
        <v>8717</v>
      </c>
      <c r="AI262" t="s">
        <v>8716</v>
      </c>
      <c r="AK262" t="s">
        <v>8715</v>
      </c>
      <c r="AL262">
        <v>8</v>
      </c>
      <c r="AM262" s="5">
        <f t="shared" si="34"/>
        <v>0.26666666666666666</v>
      </c>
      <c r="AN262" s="4">
        <f t="shared" si="39"/>
        <v>4.0388741638268334E-4</v>
      </c>
      <c r="AO262" s="3"/>
      <c r="AP262">
        <v>0</v>
      </c>
      <c r="AR262" t="s">
        <v>0</v>
      </c>
      <c r="AT262" s="2" t="s">
        <v>16</v>
      </c>
      <c r="AU262" s="1" t="e">
        <f t="shared" si="35"/>
        <v>#VALUE!</v>
      </c>
      <c r="AV262" s="1" t="e">
        <f t="shared" si="36"/>
        <v>#VALUE!</v>
      </c>
      <c r="AW262" s="1" t="e">
        <f t="shared" si="37"/>
        <v>#VALUE!</v>
      </c>
    </row>
    <row r="263" spans="1:49" x14ac:dyDescent="0.2">
      <c r="A263">
        <v>261</v>
      </c>
      <c r="B263" t="s">
        <v>8714</v>
      </c>
      <c r="C263" t="s">
        <v>8713</v>
      </c>
      <c r="F263" t="s">
        <v>8712</v>
      </c>
      <c r="G263" t="s">
        <v>12</v>
      </c>
      <c r="H263" t="s">
        <v>11</v>
      </c>
      <c r="I263" t="s">
        <v>8711</v>
      </c>
      <c r="J263">
        <v>60010065</v>
      </c>
      <c r="K263" t="s">
        <v>2090</v>
      </c>
      <c r="L263" t="s">
        <v>1656</v>
      </c>
      <c r="M263" t="s">
        <v>7</v>
      </c>
      <c r="N263">
        <v>2</v>
      </c>
      <c r="O263" t="s">
        <v>8710</v>
      </c>
      <c r="P263" t="s">
        <v>8709</v>
      </c>
      <c r="Q263" t="s">
        <v>8708</v>
      </c>
      <c r="R263" s="7">
        <v>33604</v>
      </c>
      <c r="S263" s="8">
        <f t="shared" si="32"/>
        <v>1992</v>
      </c>
      <c r="T263" s="8">
        <v>1992</v>
      </c>
      <c r="U263" s="8">
        <f t="shared" si="33"/>
        <v>30</v>
      </c>
      <c r="V263" s="7">
        <v>1992</v>
      </c>
      <c r="W263" t="s">
        <v>321</v>
      </c>
      <c r="X263" s="2">
        <v>0.28599999999999998</v>
      </c>
      <c r="Y263" s="6">
        <f t="shared" si="38"/>
        <v>7.6346066575905605E-3</v>
      </c>
      <c r="AA263">
        <v>9205071</v>
      </c>
      <c r="AB263">
        <v>28139</v>
      </c>
      <c r="AC263">
        <v>15693937</v>
      </c>
      <c r="AD263" t="s">
        <v>4</v>
      </c>
      <c r="AE263">
        <v>6</v>
      </c>
      <c r="AF263">
        <v>11</v>
      </c>
      <c r="AH263" t="s">
        <v>8707</v>
      </c>
      <c r="AI263" t="s">
        <v>8706</v>
      </c>
      <c r="AK263" t="s">
        <v>8705</v>
      </c>
      <c r="AL263">
        <v>3</v>
      </c>
      <c r="AM263" s="5">
        <f t="shared" si="34"/>
        <v>0.1</v>
      </c>
      <c r="AN263" s="4">
        <f t="shared" si="39"/>
        <v>1.5145778114350627E-4</v>
      </c>
      <c r="AO263" s="3"/>
      <c r="AP263">
        <v>0</v>
      </c>
      <c r="AR263" t="s">
        <v>0</v>
      </c>
      <c r="AT263" s="2" t="s">
        <v>16</v>
      </c>
      <c r="AU263" s="1">
        <f t="shared" si="35"/>
        <v>0.5389661994656445</v>
      </c>
      <c r="AV263" s="1">
        <f t="shared" si="36"/>
        <v>0.38930322193670336</v>
      </c>
      <c r="AW263" s="1">
        <f t="shared" si="37"/>
        <v>0.23964024440776224</v>
      </c>
    </row>
    <row r="264" spans="1:49" x14ac:dyDescent="0.2">
      <c r="A264">
        <v>262</v>
      </c>
      <c r="B264" t="s">
        <v>8704</v>
      </c>
      <c r="C264" t="s">
        <v>8703</v>
      </c>
      <c r="F264" t="s">
        <v>8702</v>
      </c>
      <c r="G264" t="s">
        <v>12</v>
      </c>
      <c r="H264" t="s">
        <v>11</v>
      </c>
      <c r="I264" t="s">
        <v>8701</v>
      </c>
      <c r="J264">
        <v>60024185</v>
      </c>
      <c r="K264" t="s">
        <v>8700</v>
      </c>
      <c r="L264" t="s">
        <v>8699</v>
      </c>
      <c r="M264" t="s">
        <v>7</v>
      </c>
      <c r="N264">
        <v>1</v>
      </c>
      <c r="O264" t="s">
        <v>8698</v>
      </c>
      <c r="P264">
        <v>7004510450</v>
      </c>
      <c r="Q264">
        <v>60024185</v>
      </c>
      <c r="R264" s="7">
        <v>33604</v>
      </c>
      <c r="S264" s="8">
        <f t="shared" si="32"/>
        <v>1992</v>
      </c>
      <c r="T264" s="8">
        <v>1992</v>
      </c>
      <c r="U264" s="8">
        <f t="shared" si="33"/>
        <v>30</v>
      </c>
      <c r="V264" s="7">
        <v>1992</v>
      </c>
      <c r="W264" t="s">
        <v>472</v>
      </c>
      <c r="X264" s="2">
        <v>2.3759999999999999</v>
      </c>
      <c r="Y264" s="6">
        <f t="shared" si="38"/>
        <v>6.3425963001521576E-2</v>
      </c>
      <c r="AA264" t="s">
        <v>471</v>
      </c>
      <c r="AB264">
        <v>26765</v>
      </c>
      <c r="AC264">
        <v>15384357</v>
      </c>
      <c r="AD264" t="s">
        <v>4</v>
      </c>
      <c r="AE264">
        <v>390</v>
      </c>
      <c r="AF264">
        <v>1</v>
      </c>
      <c r="AH264" t="s">
        <v>8697</v>
      </c>
      <c r="AI264" t="s">
        <v>8696</v>
      </c>
      <c r="AJ264" t="s">
        <v>8695</v>
      </c>
      <c r="AK264" t="s">
        <v>8694</v>
      </c>
      <c r="AL264">
        <v>6</v>
      </c>
      <c r="AM264" s="5">
        <f t="shared" si="34"/>
        <v>0.2</v>
      </c>
      <c r="AN264" s="4">
        <f t="shared" si="39"/>
        <v>3.0291556228701253E-4</v>
      </c>
      <c r="AO264" s="3"/>
      <c r="AP264">
        <v>0</v>
      </c>
      <c r="AR264" t="s">
        <v>0</v>
      </c>
      <c r="AT264" s="2">
        <v>5.8739999999999997</v>
      </c>
      <c r="AU264" s="1">
        <f t="shared" si="35"/>
        <v>4.4489048769751207</v>
      </c>
      <c r="AV264" s="1">
        <f t="shared" si="36"/>
        <v>3.1864439281904291</v>
      </c>
      <c r="AW264" s="1">
        <f t="shared" si="37"/>
        <v>1.9239829794057381</v>
      </c>
    </row>
    <row r="265" spans="1:49" x14ac:dyDescent="0.2">
      <c r="A265">
        <v>263</v>
      </c>
      <c r="B265" t="s">
        <v>8693</v>
      </c>
      <c r="C265" t="s">
        <v>8692</v>
      </c>
      <c r="F265" t="s">
        <v>8691</v>
      </c>
      <c r="G265" t="s">
        <v>12</v>
      </c>
      <c r="H265" t="s">
        <v>11</v>
      </c>
      <c r="I265" t="s">
        <v>8690</v>
      </c>
      <c r="J265">
        <v>60025352</v>
      </c>
      <c r="K265" t="s">
        <v>8689</v>
      </c>
      <c r="L265" t="s">
        <v>2733</v>
      </c>
      <c r="M265" t="s">
        <v>856</v>
      </c>
      <c r="N265">
        <v>1</v>
      </c>
      <c r="O265" t="s">
        <v>8688</v>
      </c>
      <c r="P265">
        <v>7406548597</v>
      </c>
      <c r="Q265">
        <v>60025352</v>
      </c>
      <c r="R265" s="7">
        <v>33604</v>
      </c>
      <c r="S265" s="8">
        <f t="shared" si="32"/>
        <v>1992</v>
      </c>
      <c r="T265" s="8">
        <v>1992</v>
      </c>
      <c r="U265" s="8">
        <f t="shared" si="33"/>
        <v>30</v>
      </c>
      <c r="V265" s="7" t="s">
        <v>6975</v>
      </c>
      <c r="W265" t="s">
        <v>349</v>
      </c>
      <c r="X265" s="2">
        <v>0.51100000000000001</v>
      </c>
      <c r="Y265" s="6">
        <f t="shared" si="38"/>
        <v>1.3640853153946772E-2</v>
      </c>
      <c r="AA265">
        <v>222933</v>
      </c>
      <c r="AB265">
        <v>29630</v>
      </c>
      <c r="AC265">
        <v>14645262</v>
      </c>
      <c r="AD265" t="s">
        <v>4</v>
      </c>
      <c r="AE265">
        <v>26</v>
      </c>
      <c r="AF265">
        <v>6</v>
      </c>
      <c r="AH265" t="s">
        <v>8687</v>
      </c>
      <c r="AI265" t="s">
        <v>8686</v>
      </c>
      <c r="AJ265" t="s">
        <v>8685</v>
      </c>
      <c r="AK265" t="s">
        <v>8684</v>
      </c>
      <c r="AL265">
        <v>2</v>
      </c>
      <c r="AM265" s="5">
        <f t="shared" si="34"/>
        <v>6.6666666666666666E-2</v>
      </c>
      <c r="AN265" s="4">
        <f t="shared" si="39"/>
        <v>1.0097185409567084E-4</v>
      </c>
      <c r="AO265" s="3"/>
      <c r="AP265">
        <v>0</v>
      </c>
      <c r="AR265" t="s">
        <v>0</v>
      </c>
      <c r="AT265" s="2">
        <v>1.016</v>
      </c>
      <c r="AU265" s="1">
        <f t="shared" si="35"/>
        <v>0.95788887639914422</v>
      </c>
      <c r="AV265" s="1">
        <f t="shared" si="36"/>
        <v>0.68709125040212216</v>
      </c>
      <c r="AW265" s="1">
        <f t="shared" si="37"/>
        <v>0.41629362440510015</v>
      </c>
    </row>
    <row r="266" spans="1:49" x14ac:dyDescent="0.2">
      <c r="A266">
        <v>264</v>
      </c>
      <c r="B266" t="s">
        <v>8683</v>
      </c>
      <c r="C266" t="s">
        <v>8682</v>
      </c>
      <c r="F266" t="s">
        <v>8681</v>
      </c>
      <c r="G266" t="s">
        <v>12</v>
      </c>
      <c r="H266" t="s">
        <v>11</v>
      </c>
      <c r="I266" t="s">
        <v>8680</v>
      </c>
      <c r="J266">
        <v>60009611</v>
      </c>
      <c r="K266" t="s">
        <v>8679</v>
      </c>
      <c r="L266" t="s">
        <v>404</v>
      </c>
      <c r="M266" t="s">
        <v>7</v>
      </c>
      <c r="N266">
        <v>1</v>
      </c>
      <c r="O266" t="s">
        <v>8678</v>
      </c>
      <c r="P266">
        <v>7003789170</v>
      </c>
      <c r="Q266">
        <v>60009611</v>
      </c>
      <c r="R266" s="7">
        <v>33604</v>
      </c>
      <c r="S266" s="8">
        <f t="shared" si="32"/>
        <v>1992</v>
      </c>
      <c r="T266" s="8">
        <v>1992</v>
      </c>
      <c r="U266" s="8">
        <f t="shared" si="33"/>
        <v>30</v>
      </c>
      <c r="V266" s="7" t="s">
        <v>5392</v>
      </c>
      <c r="W266" t="s">
        <v>349</v>
      </c>
      <c r="X266" s="2">
        <v>0.51100000000000001</v>
      </c>
      <c r="Y266" s="6">
        <f t="shared" si="38"/>
        <v>1.3640853153946772E-2</v>
      </c>
      <c r="AA266">
        <v>222933</v>
      </c>
      <c r="AB266">
        <v>29630</v>
      </c>
      <c r="AC266">
        <v>14645262</v>
      </c>
      <c r="AD266" t="s">
        <v>4</v>
      </c>
      <c r="AE266">
        <v>26</v>
      </c>
      <c r="AF266">
        <v>4</v>
      </c>
      <c r="AH266" t="s">
        <v>8677</v>
      </c>
      <c r="AI266" t="s">
        <v>8676</v>
      </c>
      <c r="AJ266" t="s">
        <v>8675</v>
      </c>
      <c r="AK266" t="s">
        <v>8674</v>
      </c>
      <c r="AL266">
        <v>8</v>
      </c>
      <c r="AM266" s="5">
        <f t="shared" si="34"/>
        <v>0.26666666666666666</v>
      </c>
      <c r="AN266" s="4">
        <f t="shared" si="39"/>
        <v>4.0388741638268334E-4</v>
      </c>
      <c r="AO266" s="3"/>
      <c r="AP266">
        <v>0</v>
      </c>
      <c r="AR266" t="s">
        <v>0</v>
      </c>
      <c r="AT266" s="2">
        <v>1.016</v>
      </c>
      <c r="AU266" s="1">
        <f t="shared" si="35"/>
        <v>0.9669763432677545</v>
      </c>
      <c r="AV266" s="1">
        <f t="shared" si="36"/>
        <v>0.70223702851647274</v>
      </c>
      <c r="AW266" s="1">
        <f t="shared" si="37"/>
        <v>0.43749771376519103</v>
      </c>
    </row>
    <row r="267" spans="1:49" x14ac:dyDescent="0.2">
      <c r="A267">
        <v>265</v>
      </c>
      <c r="B267" t="s">
        <v>8673</v>
      </c>
      <c r="C267" t="s">
        <v>8672</v>
      </c>
      <c r="D267" t="s">
        <v>8671</v>
      </c>
      <c r="F267" t="s">
        <v>8670</v>
      </c>
      <c r="G267" t="s">
        <v>12</v>
      </c>
      <c r="H267" t="s">
        <v>11</v>
      </c>
      <c r="I267" t="s">
        <v>8662</v>
      </c>
      <c r="J267" t="s">
        <v>8657</v>
      </c>
      <c r="K267" t="s">
        <v>8661</v>
      </c>
      <c r="L267" t="s">
        <v>8660</v>
      </c>
      <c r="M267" t="s">
        <v>125</v>
      </c>
      <c r="N267">
        <v>2</v>
      </c>
      <c r="O267" t="s">
        <v>8659</v>
      </c>
      <c r="P267" t="s">
        <v>8658</v>
      </c>
      <c r="Q267" t="s">
        <v>8657</v>
      </c>
      <c r="R267" s="7">
        <v>33604</v>
      </c>
      <c r="S267" s="8">
        <f t="shared" si="32"/>
        <v>1992</v>
      </c>
      <c r="T267" s="8">
        <v>1992</v>
      </c>
      <c r="U267" s="8">
        <f t="shared" si="33"/>
        <v>30</v>
      </c>
      <c r="V267" s="7">
        <v>33635</v>
      </c>
      <c r="W267" t="s">
        <v>8656</v>
      </c>
      <c r="X267" s="2">
        <v>1.8819999999999999</v>
      </c>
      <c r="Y267" s="6">
        <f t="shared" si="38"/>
        <v>5.0238915138410611E-2</v>
      </c>
      <c r="AA267">
        <v>219991</v>
      </c>
      <c r="AB267">
        <v>13191</v>
      </c>
      <c r="AC267">
        <v>10902716</v>
      </c>
      <c r="AD267" t="s">
        <v>4</v>
      </c>
      <c r="AE267">
        <v>98</v>
      </c>
      <c r="AF267">
        <v>2</v>
      </c>
      <c r="AH267" t="s">
        <v>8669</v>
      </c>
      <c r="AI267" t="s">
        <v>8668</v>
      </c>
      <c r="AK267" t="s">
        <v>8667</v>
      </c>
      <c r="AL267">
        <v>10</v>
      </c>
      <c r="AM267" s="5">
        <f t="shared" si="34"/>
        <v>0.33333333333333331</v>
      </c>
      <c r="AN267" s="4">
        <f t="shared" si="39"/>
        <v>5.048592704783541E-4</v>
      </c>
      <c r="AO267" s="3"/>
      <c r="AP267">
        <v>0</v>
      </c>
      <c r="AR267" t="s">
        <v>0</v>
      </c>
      <c r="AT267" s="2">
        <v>3.5529999999999999</v>
      </c>
      <c r="AU267" s="1">
        <f t="shared" si="35"/>
        <v>3.531869837803093</v>
      </c>
      <c r="AV267" s="1">
        <f t="shared" si="36"/>
        <v>2.5371887204444481</v>
      </c>
      <c r="AW267" s="1">
        <f t="shared" si="37"/>
        <v>1.5425076030858031</v>
      </c>
    </row>
    <row r="268" spans="1:49" x14ac:dyDescent="0.2">
      <c r="A268">
        <v>266</v>
      </c>
      <c r="B268" t="s">
        <v>8666</v>
      </c>
      <c r="C268" t="s">
        <v>8665</v>
      </c>
      <c r="D268" t="s">
        <v>8664</v>
      </c>
      <c r="F268" t="s">
        <v>8663</v>
      </c>
      <c r="G268" t="s">
        <v>12</v>
      </c>
      <c r="H268" t="s">
        <v>11</v>
      </c>
      <c r="I268" t="s">
        <v>8662</v>
      </c>
      <c r="J268" t="s">
        <v>8657</v>
      </c>
      <c r="K268" t="s">
        <v>8661</v>
      </c>
      <c r="L268" t="s">
        <v>8660</v>
      </c>
      <c r="M268" t="s">
        <v>125</v>
      </c>
      <c r="N268">
        <v>2</v>
      </c>
      <c r="O268" t="s">
        <v>8659</v>
      </c>
      <c r="P268" t="s">
        <v>8658</v>
      </c>
      <c r="Q268" t="s">
        <v>8657</v>
      </c>
      <c r="R268" s="7">
        <v>33604</v>
      </c>
      <c r="S268" s="8">
        <f t="shared" si="32"/>
        <v>1992</v>
      </c>
      <c r="T268" s="8">
        <v>1992</v>
      </c>
      <c r="U268" s="8">
        <f t="shared" si="33"/>
        <v>30</v>
      </c>
      <c r="V268" s="7">
        <v>33635</v>
      </c>
      <c r="W268" t="s">
        <v>8656</v>
      </c>
      <c r="X268" s="2">
        <v>1.8819999999999999</v>
      </c>
      <c r="Y268" s="6">
        <f t="shared" si="38"/>
        <v>5.0238915138410611E-2</v>
      </c>
      <c r="AA268">
        <v>219991</v>
      </c>
      <c r="AB268">
        <v>13191</v>
      </c>
      <c r="AC268">
        <v>10902716</v>
      </c>
      <c r="AD268" t="s">
        <v>4</v>
      </c>
      <c r="AE268">
        <v>98</v>
      </c>
      <c r="AF268">
        <v>2</v>
      </c>
      <c r="AH268" t="s">
        <v>8655</v>
      </c>
      <c r="AI268" t="s">
        <v>8654</v>
      </c>
      <c r="AK268" t="s">
        <v>8653</v>
      </c>
      <c r="AL268">
        <v>10</v>
      </c>
      <c r="AM268" s="5">
        <f t="shared" si="34"/>
        <v>0.33333333333333331</v>
      </c>
      <c r="AN268" s="4">
        <f t="shared" si="39"/>
        <v>5.048592704783541E-4</v>
      </c>
      <c r="AO268" s="3"/>
      <c r="AP268">
        <v>0</v>
      </c>
      <c r="AR268" t="s">
        <v>0</v>
      </c>
      <c r="AT268" s="2">
        <v>3.5529999999999999</v>
      </c>
      <c r="AU268" s="1">
        <f t="shared" si="35"/>
        <v>3.531869837803093</v>
      </c>
      <c r="AV268" s="1">
        <f t="shared" si="36"/>
        <v>2.5371887204444481</v>
      </c>
      <c r="AW268" s="1">
        <f t="shared" si="37"/>
        <v>1.5425076030858031</v>
      </c>
    </row>
    <row r="269" spans="1:49" x14ac:dyDescent="0.2">
      <c r="A269">
        <v>267</v>
      </c>
      <c r="B269" t="s">
        <v>8652</v>
      </c>
      <c r="C269" t="s">
        <v>8651</v>
      </c>
      <c r="F269" t="s">
        <v>8650</v>
      </c>
      <c r="G269" t="s">
        <v>12</v>
      </c>
      <c r="H269" t="s">
        <v>11</v>
      </c>
      <c r="I269" t="s">
        <v>8649</v>
      </c>
      <c r="J269">
        <v>60114686</v>
      </c>
      <c r="K269" t="s">
        <v>8648</v>
      </c>
      <c r="L269" t="s">
        <v>8647</v>
      </c>
      <c r="M269" t="s">
        <v>338</v>
      </c>
      <c r="N269">
        <v>2</v>
      </c>
      <c r="O269" t="s">
        <v>8646</v>
      </c>
      <c r="P269" t="s">
        <v>8645</v>
      </c>
      <c r="Q269" t="s">
        <v>8644</v>
      </c>
      <c r="R269" s="7">
        <v>33604</v>
      </c>
      <c r="S269" s="8">
        <f t="shared" si="32"/>
        <v>1992</v>
      </c>
      <c r="T269" s="8">
        <v>1992</v>
      </c>
      <c r="U269" s="8">
        <f t="shared" si="33"/>
        <v>30</v>
      </c>
      <c r="V269" s="7">
        <v>33817</v>
      </c>
      <c r="W269" t="s">
        <v>529</v>
      </c>
      <c r="X269" s="2">
        <v>0.65500000000000003</v>
      </c>
      <c r="Y269" s="6">
        <f t="shared" si="38"/>
        <v>1.7484850911614749E-2</v>
      </c>
      <c r="AA269">
        <v>189375</v>
      </c>
      <c r="AB269">
        <v>26051</v>
      </c>
      <c r="AC269" t="s">
        <v>528</v>
      </c>
      <c r="AD269" t="s">
        <v>4</v>
      </c>
      <c r="AE269">
        <v>34</v>
      </c>
      <c r="AF269">
        <v>3</v>
      </c>
      <c r="AH269" t="s">
        <v>4862</v>
      </c>
      <c r="AI269" t="s">
        <v>8643</v>
      </c>
      <c r="AK269" t="s">
        <v>8642</v>
      </c>
      <c r="AL269">
        <v>2</v>
      </c>
      <c r="AM269" s="5">
        <f t="shared" si="34"/>
        <v>6.6666666666666666E-2</v>
      </c>
      <c r="AN269" s="4">
        <f t="shared" si="39"/>
        <v>1.0097185409567084E-4</v>
      </c>
      <c r="AO269" s="3"/>
      <c r="AP269">
        <v>0</v>
      </c>
      <c r="AR269" t="s">
        <v>0</v>
      </c>
      <c r="AT269" s="2" t="s">
        <v>16</v>
      </c>
      <c r="AU269" s="1">
        <f t="shared" si="35"/>
        <v>1.2269687194359025</v>
      </c>
      <c r="AV269" s="1">
        <f t="shared" si="36"/>
        <v>0.87929113828552097</v>
      </c>
      <c r="AW269" s="1">
        <f t="shared" si="37"/>
        <v>0.53161355713513947</v>
      </c>
    </row>
    <row r="270" spans="1:49" x14ac:dyDescent="0.2">
      <c r="A270">
        <v>268</v>
      </c>
      <c r="B270" t="s">
        <v>8641</v>
      </c>
      <c r="C270" t="s">
        <v>8640</v>
      </c>
      <c r="F270" t="s">
        <v>8639</v>
      </c>
      <c r="G270" t="s">
        <v>12</v>
      </c>
      <c r="H270" t="s">
        <v>11</v>
      </c>
      <c r="I270" t="s">
        <v>8638</v>
      </c>
      <c r="J270">
        <v>118884774</v>
      </c>
      <c r="K270" t="s">
        <v>8637</v>
      </c>
      <c r="L270" t="s">
        <v>818</v>
      </c>
      <c r="M270" t="s">
        <v>817</v>
      </c>
      <c r="N270">
        <v>4</v>
      </c>
      <c r="O270" t="s">
        <v>8636</v>
      </c>
      <c r="P270" t="s">
        <v>8635</v>
      </c>
      <c r="Q270" t="s">
        <v>8634</v>
      </c>
      <c r="R270" s="7">
        <v>33604</v>
      </c>
      <c r="S270" s="8">
        <f t="shared" si="32"/>
        <v>1992</v>
      </c>
      <c r="T270" s="8">
        <v>1992</v>
      </c>
      <c r="U270" s="8">
        <f t="shared" si="33"/>
        <v>30</v>
      </c>
      <c r="V270" s="7" t="s">
        <v>8373</v>
      </c>
      <c r="W270" t="s">
        <v>8372</v>
      </c>
      <c r="X270" s="2">
        <v>0.79500000000000004</v>
      </c>
      <c r="Y270" s="6">
        <f t="shared" si="38"/>
        <v>2.1222070953791944E-2</v>
      </c>
      <c r="AA270">
        <v>9312048</v>
      </c>
      <c r="AB270">
        <v>20459</v>
      </c>
      <c r="AC270">
        <v>14390418</v>
      </c>
      <c r="AD270" t="s">
        <v>4</v>
      </c>
      <c r="AE270">
        <v>113</v>
      </c>
      <c r="AF270" s="9">
        <v>44317</v>
      </c>
      <c r="AH270" t="s">
        <v>8633</v>
      </c>
      <c r="AI270" t="s">
        <v>8632</v>
      </c>
      <c r="AK270" t="s">
        <v>8631</v>
      </c>
      <c r="AL270">
        <v>1</v>
      </c>
      <c r="AM270" s="5">
        <f t="shared" si="34"/>
        <v>3.3333333333333333E-2</v>
      </c>
      <c r="AN270" s="4">
        <f t="shared" si="39"/>
        <v>5.0485927047835418E-5</v>
      </c>
      <c r="AO270" s="3"/>
      <c r="AP270">
        <v>0</v>
      </c>
      <c r="AR270" t="s">
        <v>0</v>
      </c>
      <c r="AT270" s="2">
        <v>2.6030000000000002</v>
      </c>
      <c r="AU270" s="1">
        <f t="shared" si="35"/>
        <v>1.4870595445768711</v>
      </c>
      <c r="AV270" s="1">
        <f t="shared" si="36"/>
        <v>1.0636278440419888</v>
      </c>
      <c r="AW270" s="1">
        <f t="shared" si="37"/>
        <v>0.64019614350710674</v>
      </c>
    </row>
    <row r="271" spans="1:49" x14ac:dyDescent="0.2">
      <c r="A271">
        <v>269</v>
      </c>
      <c r="B271" t="s">
        <v>8630</v>
      </c>
      <c r="C271" t="s">
        <v>8629</v>
      </c>
      <c r="F271" t="s">
        <v>8628</v>
      </c>
      <c r="G271" t="s">
        <v>12</v>
      </c>
      <c r="H271" t="s">
        <v>11</v>
      </c>
      <c r="I271" t="s">
        <v>8627</v>
      </c>
      <c r="J271">
        <v>60011728</v>
      </c>
      <c r="K271" t="s">
        <v>8626</v>
      </c>
      <c r="L271" t="s">
        <v>3924</v>
      </c>
      <c r="M271" t="s">
        <v>1091</v>
      </c>
      <c r="N271">
        <v>1</v>
      </c>
      <c r="O271" t="s">
        <v>8625</v>
      </c>
      <c r="P271">
        <v>57188535248</v>
      </c>
      <c r="Q271">
        <v>60011728</v>
      </c>
      <c r="R271" s="7">
        <v>33604</v>
      </c>
      <c r="S271" s="8">
        <f t="shared" si="32"/>
        <v>1992</v>
      </c>
      <c r="T271" s="8">
        <v>1992</v>
      </c>
      <c r="U271" s="8">
        <f t="shared" si="33"/>
        <v>30</v>
      </c>
      <c r="V271" s="7">
        <v>33878</v>
      </c>
      <c r="W271" t="s">
        <v>97</v>
      </c>
      <c r="X271" s="2">
        <v>1.6519999999999999</v>
      </c>
      <c r="Y271" s="6">
        <f t="shared" si="38"/>
        <v>4.409919649769093E-2</v>
      </c>
      <c r="AA271" t="s">
        <v>96</v>
      </c>
      <c r="AB271">
        <v>17337</v>
      </c>
      <c r="AC271">
        <v>15582221</v>
      </c>
      <c r="AD271" t="s">
        <v>4</v>
      </c>
      <c r="AE271">
        <v>40</v>
      </c>
      <c r="AF271">
        <v>10</v>
      </c>
      <c r="AH271" t="s">
        <v>8624</v>
      </c>
      <c r="AI271" t="s">
        <v>8623</v>
      </c>
      <c r="AK271" t="s">
        <v>8622</v>
      </c>
      <c r="AL271">
        <v>9</v>
      </c>
      <c r="AM271" s="5">
        <f t="shared" si="34"/>
        <v>0.3</v>
      </c>
      <c r="AN271" s="4">
        <f t="shared" si="39"/>
        <v>4.5437334343051872E-4</v>
      </c>
      <c r="AO271" s="3"/>
      <c r="AP271">
        <v>0</v>
      </c>
      <c r="AR271" t="s">
        <v>0</v>
      </c>
      <c r="AT271" s="2" t="s">
        <v>16</v>
      </c>
      <c r="AU271" s="1">
        <f t="shared" si="35"/>
        <v>3.1005749551412807</v>
      </c>
      <c r="AV271" s="1">
        <f t="shared" si="36"/>
        <v>2.2276784920560724</v>
      </c>
      <c r="AW271" s="1">
        <f t="shared" si="37"/>
        <v>1.3547820289708641</v>
      </c>
    </row>
    <row r="272" spans="1:49" x14ac:dyDescent="0.2">
      <c r="A272">
        <v>270</v>
      </c>
      <c r="B272" t="s">
        <v>8621</v>
      </c>
      <c r="C272" t="s">
        <v>8620</v>
      </c>
      <c r="F272" t="s">
        <v>8619</v>
      </c>
      <c r="G272" t="s">
        <v>12</v>
      </c>
      <c r="H272" t="s">
        <v>11</v>
      </c>
      <c r="I272" t="s">
        <v>8618</v>
      </c>
      <c r="J272">
        <v>60014171</v>
      </c>
      <c r="K272" t="s">
        <v>8617</v>
      </c>
      <c r="L272" t="s">
        <v>8616</v>
      </c>
      <c r="M272" t="s">
        <v>393</v>
      </c>
      <c r="N272">
        <v>2</v>
      </c>
      <c r="O272" t="s">
        <v>8615</v>
      </c>
      <c r="P272" t="s">
        <v>8614</v>
      </c>
      <c r="Q272" t="s">
        <v>8613</v>
      </c>
      <c r="R272" s="7">
        <v>33604</v>
      </c>
      <c r="S272" s="8">
        <f t="shared" si="32"/>
        <v>1992</v>
      </c>
      <c r="T272" s="8">
        <v>1992</v>
      </c>
      <c r="U272" s="8">
        <f t="shared" si="33"/>
        <v>30</v>
      </c>
      <c r="V272" s="7">
        <v>1992</v>
      </c>
      <c r="W272" t="s">
        <v>48</v>
      </c>
      <c r="X272" s="2">
        <v>3.5539999999999998</v>
      </c>
      <c r="Y272" s="6">
        <f t="shared" si="38"/>
        <v>9.4872000213555435E-2</v>
      </c>
      <c r="AA272">
        <v>320889</v>
      </c>
      <c r="AB272">
        <v>16615</v>
      </c>
      <c r="AD272" t="s">
        <v>4</v>
      </c>
      <c r="AE272">
        <v>98</v>
      </c>
      <c r="AF272">
        <v>3</v>
      </c>
      <c r="AH272" t="s">
        <v>8612</v>
      </c>
      <c r="AI272" t="s">
        <v>8611</v>
      </c>
      <c r="AK272" t="s">
        <v>8610</v>
      </c>
      <c r="AL272">
        <v>10</v>
      </c>
      <c r="AM272" s="5">
        <f t="shared" si="34"/>
        <v>0.33333333333333331</v>
      </c>
      <c r="AN272" s="4">
        <f t="shared" si="39"/>
        <v>5.048592704783541E-4</v>
      </c>
      <c r="AO272" s="3"/>
      <c r="AP272">
        <v>1</v>
      </c>
      <c r="AR272" t="s">
        <v>0</v>
      </c>
      <c r="AT272" s="2">
        <v>8.34</v>
      </c>
      <c r="AU272" s="1">
        <f t="shared" si="35"/>
        <v>6.6561857930632309</v>
      </c>
      <c r="AV272" s="1">
        <f t="shared" si="36"/>
        <v>4.7688429742016893</v>
      </c>
      <c r="AW272" s="1">
        <f t="shared" si="37"/>
        <v>2.8815001553401478</v>
      </c>
    </row>
    <row r="273" spans="1:49" x14ac:dyDescent="0.2">
      <c r="A273">
        <v>271</v>
      </c>
      <c r="B273" t="s">
        <v>8609</v>
      </c>
      <c r="C273" t="s">
        <v>8608</v>
      </c>
      <c r="D273" t="s">
        <v>8607</v>
      </c>
      <c r="F273" t="s">
        <v>8606</v>
      </c>
      <c r="G273" t="s">
        <v>12</v>
      </c>
      <c r="H273" t="s">
        <v>11</v>
      </c>
      <c r="I273" t="s">
        <v>8605</v>
      </c>
      <c r="J273">
        <v>60005322</v>
      </c>
      <c r="K273" t="s">
        <v>8604</v>
      </c>
      <c r="L273" t="s">
        <v>8603</v>
      </c>
      <c r="M273" t="s">
        <v>817</v>
      </c>
      <c r="N273">
        <v>2</v>
      </c>
      <c r="O273" t="s">
        <v>8602</v>
      </c>
      <c r="P273" t="s">
        <v>8601</v>
      </c>
      <c r="Q273" t="s">
        <v>8600</v>
      </c>
      <c r="R273" s="7">
        <v>33604</v>
      </c>
      <c r="S273" s="8">
        <f t="shared" si="32"/>
        <v>1992</v>
      </c>
      <c r="T273" s="8">
        <v>1992</v>
      </c>
      <c r="U273" s="8">
        <f t="shared" si="33"/>
        <v>30</v>
      </c>
      <c r="V273" s="7">
        <v>1992</v>
      </c>
      <c r="W273" t="s">
        <v>516</v>
      </c>
      <c r="X273" s="2">
        <v>1.3280000000000001</v>
      </c>
      <c r="Y273" s="6">
        <f t="shared" si="38"/>
        <v>3.5450201542937994E-2</v>
      </c>
      <c r="AA273">
        <v>7413335</v>
      </c>
      <c r="AB273">
        <v>29251</v>
      </c>
      <c r="AD273" t="s">
        <v>4</v>
      </c>
      <c r="AE273">
        <v>34</v>
      </c>
      <c r="AF273">
        <v>9</v>
      </c>
      <c r="AG273">
        <v>2</v>
      </c>
      <c r="AH273" t="s">
        <v>8599</v>
      </c>
      <c r="AI273" t="s">
        <v>8598</v>
      </c>
      <c r="AK273" t="s">
        <v>8597</v>
      </c>
      <c r="AL273">
        <v>2</v>
      </c>
      <c r="AM273" s="5">
        <f t="shared" si="34"/>
        <v>6.6666666666666666E-2</v>
      </c>
      <c r="AN273" s="4">
        <f t="shared" si="39"/>
        <v>1.0097185409567084E-4</v>
      </c>
      <c r="AO273" s="3"/>
      <c r="AP273">
        <v>0</v>
      </c>
      <c r="AR273" t="s">
        <v>0</v>
      </c>
      <c r="AT273" s="2">
        <v>2.4580000000000002</v>
      </c>
      <c r="AU273" s="1">
        <f t="shared" si="35"/>
        <v>2.4845432636285296</v>
      </c>
      <c r="AV273" s="1">
        <f t="shared" si="36"/>
        <v>1.777558669851683</v>
      </c>
      <c r="AW273" s="1">
        <f t="shared" si="37"/>
        <v>1.0705740760748368</v>
      </c>
    </row>
    <row r="274" spans="1:49" x14ac:dyDescent="0.2">
      <c r="A274">
        <v>272</v>
      </c>
      <c r="B274" t="s">
        <v>8596</v>
      </c>
      <c r="C274" t="s">
        <v>8595</v>
      </c>
      <c r="F274" t="s">
        <v>8594</v>
      </c>
      <c r="G274" t="s">
        <v>12</v>
      </c>
      <c r="H274" t="s">
        <v>11</v>
      </c>
      <c r="I274" t="s">
        <v>8593</v>
      </c>
      <c r="J274">
        <v>60018784</v>
      </c>
      <c r="K274" t="s">
        <v>4012</v>
      </c>
      <c r="L274" t="s">
        <v>4011</v>
      </c>
      <c r="M274" t="s">
        <v>7</v>
      </c>
      <c r="N274">
        <v>1</v>
      </c>
      <c r="O274" t="s">
        <v>8592</v>
      </c>
      <c r="P274">
        <v>7202226138</v>
      </c>
      <c r="Q274">
        <v>60018784</v>
      </c>
      <c r="R274" s="7">
        <v>33604</v>
      </c>
      <c r="S274" s="8">
        <f t="shared" ref="S274:S337" si="40">YEAR(R274)</f>
        <v>1992</v>
      </c>
      <c r="T274" s="8">
        <v>1992</v>
      </c>
      <c r="U274" s="8">
        <f t="shared" ref="U274:U337" si="41">2022-T274</f>
        <v>30</v>
      </c>
      <c r="V274" s="7">
        <v>33604</v>
      </c>
      <c r="W274" t="s">
        <v>3522</v>
      </c>
      <c r="X274" s="2">
        <v>0.39600000000000002</v>
      </c>
      <c r="Y274" s="6">
        <f t="shared" si="38"/>
        <v>1.0570993833586931E-2</v>
      </c>
      <c r="AA274">
        <v>8858985</v>
      </c>
      <c r="AB274">
        <v>25993</v>
      </c>
      <c r="AD274" t="s">
        <v>4</v>
      </c>
      <c r="AE274">
        <v>7</v>
      </c>
      <c r="AF274">
        <v>1</v>
      </c>
      <c r="AH274" s="9">
        <v>44503</v>
      </c>
      <c r="AI274" t="s">
        <v>8591</v>
      </c>
      <c r="AK274" t="s">
        <v>8590</v>
      </c>
      <c r="AL274">
        <v>20</v>
      </c>
      <c r="AM274" s="5">
        <f t="shared" ref="AM274:AM337" si="42">AL274/U274</f>
        <v>0.66666666666666663</v>
      </c>
      <c r="AN274" s="4">
        <f t="shared" si="39"/>
        <v>1.0097185409567082E-3</v>
      </c>
      <c r="AO274" s="3"/>
      <c r="AP274">
        <v>0</v>
      </c>
      <c r="AR274" t="s">
        <v>0</v>
      </c>
      <c r="AT274" s="2" t="s">
        <v>16</v>
      </c>
      <c r="AU274" s="1">
        <f t="shared" ref="AU274:AU337" si="43">(Y274*0.7+AN274*0.3)*100</f>
        <v>0.77026112457978635</v>
      </c>
      <c r="AV274" s="1">
        <f t="shared" ref="AV274:AV337" si="44">(Y274*0.5+AN274*0.5)*100</f>
        <v>0.5790356187271819</v>
      </c>
      <c r="AW274" s="1">
        <f t="shared" ref="AW274:AW337" si="45">(Y274*0.3+AN274*0.7)*100</f>
        <v>0.38781011287457745</v>
      </c>
    </row>
    <row r="275" spans="1:49" x14ac:dyDescent="0.2">
      <c r="A275">
        <v>273</v>
      </c>
      <c r="B275" t="s">
        <v>8589</v>
      </c>
      <c r="C275" t="s">
        <v>8588</v>
      </c>
      <c r="D275" t="s">
        <v>8587</v>
      </c>
      <c r="E275">
        <v>11537160</v>
      </c>
      <c r="F275" t="s">
        <v>8586</v>
      </c>
      <c r="G275" t="s">
        <v>12</v>
      </c>
      <c r="H275" t="s">
        <v>11</v>
      </c>
      <c r="I275" t="s">
        <v>8585</v>
      </c>
      <c r="J275">
        <v>60009037</v>
      </c>
      <c r="K275" t="s">
        <v>2673</v>
      </c>
      <c r="L275" t="s">
        <v>2672</v>
      </c>
      <c r="M275" t="s">
        <v>7</v>
      </c>
      <c r="N275">
        <v>10</v>
      </c>
      <c r="O275" t="s">
        <v>8584</v>
      </c>
      <c r="P275" t="s">
        <v>8583</v>
      </c>
      <c r="Q275" t="s">
        <v>8582</v>
      </c>
      <c r="R275" s="7">
        <v>33604</v>
      </c>
      <c r="S275" s="8">
        <f t="shared" si="40"/>
        <v>1992</v>
      </c>
      <c r="T275" s="8">
        <v>1992</v>
      </c>
      <c r="U275" s="8">
        <f t="shared" si="41"/>
        <v>30</v>
      </c>
      <c r="V275" s="7" t="s">
        <v>8581</v>
      </c>
      <c r="W275" t="s">
        <v>8580</v>
      </c>
      <c r="X275" s="2">
        <v>1.1339999999999999</v>
      </c>
      <c r="Y275" s="6">
        <f t="shared" si="38"/>
        <v>3.0271482341635299E-2</v>
      </c>
      <c r="AA275">
        <v>945765</v>
      </c>
      <c r="AB275">
        <v>12372</v>
      </c>
      <c r="AD275" t="s">
        <v>4</v>
      </c>
      <c r="AE275">
        <v>26</v>
      </c>
      <c r="AF275" s="9">
        <v>44289</v>
      </c>
      <c r="AH275" t="s">
        <v>8579</v>
      </c>
      <c r="AI275" t="s">
        <v>8578</v>
      </c>
      <c r="AK275" t="s">
        <v>8577</v>
      </c>
      <c r="AL275">
        <v>2</v>
      </c>
      <c r="AM275" s="5">
        <f t="shared" si="42"/>
        <v>6.6666666666666666E-2</v>
      </c>
      <c r="AN275" s="4">
        <f t="shared" si="39"/>
        <v>1.0097185409567084E-4</v>
      </c>
      <c r="AO275" s="3"/>
      <c r="AP275">
        <v>0</v>
      </c>
      <c r="AR275" t="s">
        <v>0</v>
      </c>
      <c r="AT275" s="2">
        <v>2.4129999999999998</v>
      </c>
      <c r="AU275" s="1">
        <f t="shared" si="43"/>
        <v>2.1220329195373409</v>
      </c>
      <c r="AV275" s="1">
        <f t="shared" si="44"/>
        <v>1.5186227097865486</v>
      </c>
      <c r="AW275" s="1">
        <f t="shared" si="45"/>
        <v>0.91521250003575583</v>
      </c>
    </row>
    <row r="276" spans="1:49" x14ac:dyDescent="0.2">
      <c r="A276">
        <v>274</v>
      </c>
      <c r="B276" t="s">
        <v>8576</v>
      </c>
      <c r="C276" t="s">
        <v>8575</v>
      </c>
      <c r="D276" t="s">
        <v>8574</v>
      </c>
      <c r="F276" t="s">
        <v>8573</v>
      </c>
      <c r="G276" t="s">
        <v>12</v>
      </c>
      <c r="H276" t="s">
        <v>11</v>
      </c>
      <c r="I276" t="s">
        <v>8572</v>
      </c>
      <c r="J276">
        <v>60029284</v>
      </c>
      <c r="K276" t="s">
        <v>5406</v>
      </c>
      <c r="L276" t="s">
        <v>5405</v>
      </c>
      <c r="M276" t="s">
        <v>3937</v>
      </c>
      <c r="N276">
        <v>3</v>
      </c>
      <c r="O276" t="s">
        <v>8571</v>
      </c>
      <c r="P276" t="s">
        <v>8570</v>
      </c>
      <c r="Q276" t="s">
        <v>8569</v>
      </c>
      <c r="R276" s="7">
        <v>33604</v>
      </c>
      <c r="S276" s="8">
        <f t="shared" si="40"/>
        <v>1992</v>
      </c>
      <c r="T276" s="8">
        <v>1992</v>
      </c>
      <c r="U276" s="8">
        <f t="shared" si="41"/>
        <v>30</v>
      </c>
      <c r="V276" s="7">
        <v>33878</v>
      </c>
      <c r="W276" t="s">
        <v>8568</v>
      </c>
      <c r="X276" s="2">
        <v>0.73299999999999998</v>
      </c>
      <c r="Y276" s="6">
        <f t="shared" si="38"/>
        <v>1.9567016363684898E-2</v>
      </c>
      <c r="AA276">
        <v>3043770</v>
      </c>
      <c r="AB276">
        <v>16728</v>
      </c>
      <c r="AD276" t="s">
        <v>4</v>
      </c>
      <c r="AE276">
        <v>43</v>
      </c>
      <c r="AF276">
        <v>3</v>
      </c>
      <c r="AH276" t="s">
        <v>8567</v>
      </c>
      <c r="AI276" t="s">
        <v>8566</v>
      </c>
      <c r="AK276" t="s">
        <v>8565</v>
      </c>
      <c r="AL276">
        <v>4</v>
      </c>
      <c r="AM276" s="5">
        <f t="shared" si="42"/>
        <v>0.13333333333333333</v>
      </c>
      <c r="AN276" s="4">
        <f t="shared" si="39"/>
        <v>2.0194370819134167E-4</v>
      </c>
      <c r="AO276" s="3"/>
      <c r="AP276">
        <v>0</v>
      </c>
      <c r="AR276" t="s">
        <v>0</v>
      </c>
      <c r="AT276" s="2">
        <v>2.4729999999999999</v>
      </c>
      <c r="AU276" s="1">
        <f t="shared" si="43"/>
        <v>1.375749456703683</v>
      </c>
      <c r="AV276" s="1">
        <f t="shared" si="44"/>
        <v>0.98844800359381202</v>
      </c>
      <c r="AW276" s="1">
        <f t="shared" si="45"/>
        <v>0.60114655048394083</v>
      </c>
    </row>
    <row r="277" spans="1:49" x14ac:dyDescent="0.2">
      <c r="A277">
        <v>275</v>
      </c>
      <c r="B277" t="s">
        <v>8564</v>
      </c>
      <c r="C277" t="s">
        <v>8563</v>
      </c>
      <c r="F277" t="s">
        <v>8562</v>
      </c>
      <c r="G277" t="s">
        <v>12</v>
      </c>
      <c r="H277" t="s">
        <v>11</v>
      </c>
      <c r="I277" t="s">
        <v>8561</v>
      </c>
      <c r="J277">
        <v>60027550</v>
      </c>
      <c r="K277" t="s">
        <v>5038</v>
      </c>
      <c r="L277" t="s">
        <v>2073</v>
      </c>
      <c r="M277" t="s">
        <v>7</v>
      </c>
      <c r="N277">
        <v>2</v>
      </c>
      <c r="O277" t="s">
        <v>8560</v>
      </c>
      <c r="P277" t="s">
        <v>8559</v>
      </c>
      <c r="Q277" t="s">
        <v>5035</v>
      </c>
      <c r="R277" s="7">
        <v>33604</v>
      </c>
      <c r="S277" s="8">
        <f t="shared" si="40"/>
        <v>1992</v>
      </c>
      <c r="T277" s="8">
        <v>1992</v>
      </c>
      <c r="U277" s="8">
        <f t="shared" si="41"/>
        <v>30</v>
      </c>
      <c r="V277" s="7">
        <v>1992</v>
      </c>
      <c r="W277" t="s">
        <v>48</v>
      </c>
      <c r="X277" s="2">
        <v>3.5539999999999998</v>
      </c>
      <c r="Y277" s="6">
        <f t="shared" si="38"/>
        <v>9.4872000213555435E-2</v>
      </c>
      <c r="AA277">
        <v>320889</v>
      </c>
      <c r="AB277">
        <v>16615</v>
      </c>
      <c r="AD277" t="s">
        <v>4</v>
      </c>
      <c r="AE277">
        <v>98</v>
      </c>
      <c r="AF277">
        <v>1</v>
      </c>
      <c r="AH277" t="s">
        <v>8558</v>
      </c>
      <c r="AI277" t="s">
        <v>8557</v>
      </c>
      <c r="AK277" t="s">
        <v>8556</v>
      </c>
      <c r="AL277">
        <v>22</v>
      </c>
      <c r="AM277" s="5">
        <f t="shared" si="42"/>
        <v>0.73333333333333328</v>
      </c>
      <c r="AN277" s="4">
        <f t="shared" si="39"/>
        <v>1.1106903950523792E-3</v>
      </c>
      <c r="AO277" s="3"/>
      <c r="AP277">
        <v>1</v>
      </c>
      <c r="AR277" t="s">
        <v>0</v>
      </c>
      <c r="AT277" s="2">
        <v>8.34</v>
      </c>
      <c r="AU277" s="1">
        <f t="shared" si="43"/>
        <v>6.6743607268004519</v>
      </c>
      <c r="AV277" s="1">
        <f t="shared" si="44"/>
        <v>4.7991345304303907</v>
      </c>
      <c r="AW277" s="1">
        <f t="shared" si="45"/>
        <v>2.9239083340603296</v>
      </c>
    </row>
    <row r="278" spans="1:49" x14ac:dyDescent="0.2">
      <c r="A278">
        <v>276</v>
      </c>
      <c r="B278" t="s">
        <v>8555</v>
      </c>
      <c r="C278" t="s">
        <v>8554</v>
      </c>
      <c r="F278" t="s">
        <v>8553</v>
      </c>
      <c r="G278" t="s">
        <v>12</v>
      </c>
      <c r="H278" t="s">
        <v>11</v>
      </c>
      <c r="I278" t="s">
        <v>8552</v>
      </c>
      <c r="J278" t="s">
        <v>8551</v>
      </c>
      <c r="K278" t="s">
        <v>8550</v>
      </c>
      <c r="L278" t="s">
        <v>8549</v>
      </c>
      <c r="M278" t="s">
        <v>8548</v>
      </c>
      <c r="N278">
        <v>3</v>
      </c>
      <c r="O278" t="s">
        <v>8547</v>
      </c>
      <c r="P278" t="s">
        <v>8546</v>
      </c>
      <c r="Q278" t="s">
        <v>8545</v>
      </c>
      <c r="R278" s="7">
        <v>33604</v>
      </c>
      <c r="S278" s="8">
        <f t="shared" si="40"/>
        <v>1992</v>
      </c>
      <c r="T278" s="8">
        <v>1992</v>
      </c>
      <c r="U278" s="8">
        <f t="shared" si="41"/>
        <v>30</v>
      </c>
      <c r="V278" s="7">
        <v>1992</v>
      </c>
      <c r="W278" t="s">
        <v>472</v>
      </c>
      <c r="X278" s="2">
        <v>2.3759999999999999</v>
      </c>
      <c r="Y278" s="6">
        <f t="shared" si="38"/>
        <v>6.3425963001521576E-2</v>
      </c>
      <c r="AA278" t="s">
        <v>471</v>
      </c>
      <c r="AB278">
        <v>26765</v>
      </c>
      <c r="AC278">
        <v>15384357</v>
      </c>
      <c r="AD278" t="s">
        <v>4</v>
      </c>
      <c r="AE278">
        <v>398</v>
      </c>
      <c r="AF278">
        <v>1</v>
      </c>
      <c r="AH278" t="s">
        <v>8544</v>
      </c>
      <c r="AI278" t="s">
        <v>8543</v>
      </c>
      <c r="AJ278" t="s">
        <v>8542</v>
      </c>
      <c r="AK278" t="s">
        <v>8541</v>
      </c>
      <c r="AL278">
        <v>11</v>
      </c>
      <c r="AM278" s="5">
        <f t="shared" si="42"/>
        <v>0.36666666666666664</v>
      </c>
      <c r="AN278" s="4">
        <f t="shared" si="39"/>
        <v>5.5534519752618958E-4</v>
      </c>
      <c r="AO278" s="3"/>
      <c r="AP278">
        <v>0</v>
      </c>
      <c r="AR278" t="s">
        <v>0</v>
      </c>
      <c r="AT278" s="2">
        <v>5.8739999999999997</v>
      </c>
      <c r="AU278" s="1">
        <f t="shared" si="43"/>
        <v>4.4564777660322958</v>
      </c>
      <c r="AV278" s="1">
        <f t="shared" si="44"/>
        <v>3.1990654099523881</v>
      </c>
      <c r="AW278" s="1">
        <f t="shared" si="45"/>
        <v>1.9416530538724805</v>
      </c>
    </row>
    <row r="279" spans="1:49" x14ac:dyDescent="0.2">
      <c r="A279">
        <v>277</v>
      </c>
      <c r="B279" t="s">
        <v>8540</v>
      </c>
      <c r="C279" t="s">
        <v>8539</v>
      </c>
      <c r="F279" t="s">
        <v>8538</v>
      </c>
      <c r="G279" t="s">
        <v>12</v>
      </c>
      <c r="H279" t="s">
        <v>11</v>
      </c>
      <c r="I279" t="s">
        <v>8537</v>
      </c>
      <c r="J279" t="s">
        <v>8536</v>
      </c>
      <c r="K279" t="s">
        <v>8535</v>
      </c>
      <c r="L279" t="s">
        <v>8534</v>
      </c>
      <c r="M279" t="s">
        <v>904</v>
      </c>
      <c r="N279">
        <v>4</v>
      </c>
      <c r="O279" t="s">
        <v>8533</v>
      </c>
      <c r="P279" t="s">
        <v>8532</v>
      </c>
      <c r="Q279" t="s">
        <v>8531</v>
      </c>
      <c r="R279" s="7">
        <v>33604</v>
      </c>
      <c r="S279" s="8">
        <f t="shared" si="40"/>
        <v>1992</v>
      </c>
      <c r="T279" s="8">
        <v>1992</v>
      </c>
      <c r="U279" s="8">
        <f t="shared" si="41"/>
        <v>30</v>
      </c>
      <c r="V279" s="7">
        <v>1992</v>
      </c>
      <c r="W279" t="s">
        <v>472</v>
      </c>
      <c r="X279" s="2">
        <v>2.3759999999999999</v>
      </c>
      <c r="Y279" s="6">
        <f t="shared" si="38"/>
        <v>6.3425963001521576E-2</v>
      </c>
      <c r="AA279" t="s">
        <v>471</v>
      </c>
      <c r="AB279">
        <v>26765</v>
      </c>
      <c r="AC279">
        <v>15384357</v>
      </c>
      <c r="AD279" t="s">
        <v>4</v>
      </c>
      <c r="AE279">
        <v>397</v>
      </c>
      <c r="AF279">
        <v>2</v>
      </c>
      <c r="AH279" t="s">
        <v>8530</v>
      </c>
      <c r="AI279" t="s">
        <v>8529</v>
      </c>
      <c r="AJ279" t="s">
        <v>8528</v>
      </c>
      <c r="AK279" t="s">
        <v>8527</v>
      </c>
      <c r="AL279">
        <v>601</v>
      </c>
      <c r="AM279" s="5">
        <f t="shared" si="42"/>
        <v>20.033333333333335</v>
      </c>
      <c r="AN279" s="4">
        <f t="shared" si="39"/>
        <v>3.0342042155749087E-2</v>
      </c>
      <c r="AO279" s="3"/>
      <c r="AP279">
        <v>0</v>
      </c>
      <c r="AR279" t="s">
        <v>0</v>
      </c>
      <c r="AT279" s="2">
        <v>5.8739999999999997</v>
      </c>
      <c r="AU279" s="1">
        <f t="shared" si="43"/>
        <v>5.3500786747789828</v>
      </c>
      <c r="AV279" s="1">
        <f t="shared" si="44"/>
        <v>4.6884002578635329</v>
      </c>
      <c r="AW279" s="1">
        <f t="shared" si="45"/>
        <v>4.0267218409480829</v>
      </c>
    </row>
    <row r="280" spans="1:49" x14ac:dyDescent="0.2">
      <c r="A280">
        <v>278</v>
      </c>
      <c r="B280" t="s">
        <v>8526</v>
      </c>
      <c r="C280" t="s">
        <v>8525</v>
      </c>
      <c r="D280" t="s">
        <v>8524</v>
      </c>
      <c r="F280" t="s">
        <v>8523</v>
      </c>
      <c r="G280" t="s">
        <v>12</v>
      </c>
      <c r="H280" t="s">
        <v>11</v>
      </c>
      <c r="I280" t="s">
        <v>8522</v>
      </c>
      <c r="J280" t="s">
        <v>8521</v>
      </c>
      <c r="K280" t="s">
        <v>8520</v>
      </c>
      <c r="L280" t="s">
        <v>8519</v>
      </c>
      <c r="M280" t="s">
        <v>8518</v>
      </c>
      <c r="N280">
        <v>7</v>
      </c>
      <c r="O280" t="s">
        <v>8517</v>
      </c>
      <c r="P280" t="s">
        <v>8516</v>
      </c>
      <c r="Q280" t="s">
        <v>8515</v>
      </c>
      <c r="R280" s="7">
        <v>33604</v>
      </c>
      <c r="S280" s="8">
        <f t="shared" si="40"/>
        <v>1992</v>
      </c>
      <c r="T280" s="8">
        <v>1992</v>
      </c>
      <c r="U280" s="8">
        <f t="shared" si="41"/>
        <v>30</v>
      </c>
      <c r="V280" s="7">
        <v>1992</v>
      </c>
      <c r="W280" t="s">
        <v>8486</v>
      </c>
      <c r="X280" s="2">
        <v>0.66900000000000004</v>
      </c>
      <c r="Y280" s="6">
        <f t="shared" si="38"/>
        <v>1.7858572915832469E-2</v>
      </c>
      <c r="AA280">
        <v>112275</v>
      </c>
      <c r="AB280">
        <v>13713</v>
      </c>
      <c r="AD280" t="s">
        <v>4</v>
      </c>
      <c r="AE280">
        <v>32</v>
      </c>
      <c r="AF280" t="s">
        <v>8514</v>
      </c>
      <c r="AH280" t="s">
        <v>8513</v>
      </c>
      <c r="AI280" t="s">
        <v>8512</v>
      </c>
      <c r="AK280" t="s">
        <v>8511</v>
      </c>
      <c r="AL280">
        <v>2</v>
      </c>
      <c r="AM280" s="5">
        <f t="shared" si="42"/>
        <v>6.6666666666666666E-2</v>
      </c>
      <c r="AN280" s="4">
        <f t="shared" si="39"/>
        <v>1.0097185409567084E-4</v>
      </c>
      <c r="AO280" s="3"/>
      <c r="AP280">
        <v>0</v>
      </c>
      <c r="AR280" t="s">
        <v>0</v>
      </c>
      <c r="AT280" s="2">
        <v>2.226</v>
      </c>
      <c r="AU280" s="1">
        <f t="shared" si="43"/>
        <v>1.253129259731143</v>
      </c>
      <c r="AV280" s="1">
        <f t="shared" si="44"/>
        <v>0.89797723849640698</v>
      </c>
      <c r="AW280" s="1">
        <f t="shared" si="45"/>
        <v>0.5428252172616711</v>
      </c>
    </row>
    <row r="281" spans="1:49" x14ac:dyDescent="0.2">
      <c r="A281">
        <v>279</v>
      </c>
      <c r="B281" t="s">
        <v>8510</v>
      </c>
      <c r="C281" t="s">
        <v>8509</v>
      </c>
      <c r="F281" t="s">
        <v>8508</v>
      </c>
      <c r="G281" t="s">
        <v>12</v>
      </c>
      <c r="H281" t="s">
        <v>11</v>
      </c>
      <c r="I281" t="s">
        <v>8507</v>
      </c>
      <c r="J281">
        <v>60012345</v>
      </c>
      <c r="K281" t="s">
        <v>8506</v>
      </c>
      <c r="L281" t="s">
        <v>8505</v>
      </c>
      <c r="M281" t="s">
        <v>817</v>
      </c>
      <c r="N281">
        <v>3</v>
      </c>
      <c r="O281" t="s">
        <v>8504</v>
      </c>
      <c r="P281" t="s">
        <v>8503</v>
      </c>
      <c r="Q281" t="s">
        <v>8502</v>
      </c>
      <c r="R281" s="7">
        <v>33604</v>
      </c>
      <c r="S281" s="8">
        <f t="shared" si="40"/>
        <v>1992</v>
      </c>
      <c r="T281" s="8">
        <v>1992</v>
      </c>
      <c r="U281" s="8">
        <f t="shared" si="41"/>
        <v>30</v>
      </c>
      <c r="V281" s="7">
        <v>1992</v>
      </c>
      <c r="W281" t="s">
        <v>283</v>
      </c>
      <c r="X281" s="2">
        <v>1.1879999999999999</v>
      </c>
      <c r="Y281" s="6">
        <f t="shared" si="38"/>
        <v>3.1712981500760788E-2</v>
      </c>
      <c r="AA281">
        <v>8998221</v>
      </c>
      <c r="AB281">
        <v>8900153323</v>
      </c>
      <c r="AD281" t="s">
        <v>4</v>
      </c>
      <c r="AE281">
        <v>4</v>
      </c>
      <c r="AF281">
        <v>8</v>
      </c>
      <c r="AH281" t="s">
        <v>8501</v>
      </c>
      <c r="AI281" t="s">
        <v>8500</v>
      </c>
      <c r="AK281" t="s">
        <v>8499</v>
      </c>
      <c r="AL281">
        <v>7</v>
      </c>
      <c r="AM281" s="5">
        <f t="shared" si="42"/>
        <v>0.23333333333333334</v>
      </c>
      <c r="AN281" s="4">
        <f t="shared" si="39"/>
        <v>3.5340148933484791E-4</v>
      </c>
      <c r="AO281" s="3"/>
      <c r="AP281">
        <v>0</v>
      </c>
      <c r="AR281" t="s">
        <v>0</v>
      </c>
      <c r="AT281" s="2" t="s">
        <v>16</v>
      </c>
      <c r="AU281" s="1">
        <f t="shared" si="43"/>
        <v>2.2305107497333005</v>
      </c>
      <c r="AV281" s="1">
        <f t="shared" si="44"/>
        <v>1.6033191495047818</v>
      </c>
      <c r="AW281" s="1">
        <f t="shared" si="45"/>
        <v>0.97612754927626311</v>
      </c>
    </row>
    <row r="282" spans="1:49" x14ac:dyDescent="0.2">
      <c r="A282">
        <v>280</v>
      </c>
      <c r="B282" t="s">
        <v>8498</v>
      </c>
      <c r="C282" t="s">
        <v>8497</v>
      </c>
      <c r="D282" t="s">
        <v>8496</v>
      </c>
      <c r="F282" t="s">
        <v>8495</v>
      </c>
      <c r="G282" t="s">
        <v>12</v>
      </c>
      <c r="H282" t="s">
        <v>11</v>
      </c>
      <c r="I282" t="s">
        <v>8494</v>
      </c>
      <c r="J282" t="s">
        <v>8493</v>
      </c>
      <c r="K282" t="s">
        <v>8492</v>
      </c>
      <c r="L282" t="s">
        <v>8491</v>
      </c>
      <c r="M282" t="s">
        <v>8490</v>
      </c>
      <c r="N282">
        <v>13</v>
      </c>
      <c r="O282" t="s">
        <v>8489</v>
      </c>
      <c r="P282" t="s">
        <v>8488</v>
      </c>
      <c r="Q282" t="s">
        <v>8487</v>
      </c>
      <c r="R282" s="7">
        <v>33604</v>
      </c>
      <c r="S282" s="8">
        <f t="shared" si="40"/>
        <v>1992</v>
      </c>
      <c r="T282" s="8">
        <v>1992</v>
      </c>
      <c r="U282" s="8">
        <f t="shared" si="41"/>
        <v>30</v>
      </c>
      <c r="V282" s="7">
        <v>1992</v>
      </c>
      <c r="W282" t="s">
        <v>8486</v>
      </c>
      <c r="X282" s="2">
        <v>0.66900000000000004</v>
      </c>
      <c r="Y282" s="6">
        <f t="shared" si="38"/>
        <v>1.7858572915832469E-2</v>
      </c>
      <c r="AA282">
        <v>112275</v>
      </c>
      <c r="AB282">
        <v>13713</v>
      </c>
      <c r="AD282" t="s">
        <v>4</v>
      </c>
      <c r="AE282">
        <v>32</v>
      </c>
      <c r="AF282">
        <v>7</v>
      </c>
      <c r="AH282" t="s">
        <v>8485</v>
      </c>
      <c r="AI282" t="s">
        <v>8484</v>
      </c>
      <c r="AJ282" t="s">
        <v>8483</v>
      </c>
      <c r="AK282" t="s">
        <v>8482</v>
      </c>
      <c r="AL282">
        <v>5</v>
      </c>
      <c r="AM282" s="5">
        <f t="shared" si="42"/>
        <v>0.16666666666666666</v>
      </c>
      <c r="AN282" s="4">
        <f t="shared" si="39"/>
        <v>2.5242963523917705E-4</v>
      </c>
      <c r="AO282" s="3"/>
      <c r="AP282">
        <v>0</v>
      </c>
      <c r="AR282" t="s">
        <v>0</v>
      </c>
      <c r="AT282" s="2">
        <v>2.226</v>
      </c>
      <c r="AU282" s="1">
        <f t="shared" si="43"/>
        <v>1.257672993165448</v>
      </c>
      <c r="AV282" s="1">
        <f t="shared" si="44"/>
        <v>0.90555012755358222</v>
      </c>
      <c r="AW282" s="1">
        <f t="shared" si="45"/>
        <v>0.55342726194171654</v>
      </c>
    </row>
    <row r="283" spans="1:49" x14ac:dyDescent="0.2">
      <c r="A283">
        <v>281</v>
      </c>
      <c r="B283" t="s">
        <v>8481</v>
      </c>
      <c r="C283" t="s">
        <v>8480</v>
      </c>
      <c r="F283" t="s">
        <v>8479</v>
      </c>
      <c r="G283" t="s">
        <v>12</v>
      </c>
      <c r="H283" t="s">
        <v>11</v>
      </c>
      <c r="I283" t="s">
        <v>8478</v>
      </c>
      <c r="J283" t="s">
        <v>8477</v>
      </c>
      <c r="K283" t="s">
        <v>8476</v>
      </c>
      <c r="L283" t="s">
        <v>8475</v>
      </c>
      <c r="M283" t="s">
        <v>904</v>
      </c>
      <c r="N283">
        <v>2</v>
      </c>
      <c r="O283" t="s">
        <v>8474</v>
      </c>
      <c r="P283" t="s">
        <v>8473</v>
      </c>
      <c r="Q283" t="s">
        <v>8472</v>
      </c>
      <c r="R283" s="7">
        <v>33604</v>
      </c>
      <c r="S283" s="8">
        <f t="shared" si="40"/>
        <v>1992</v>
      </c>
      <c r="T283" s="8">
        <v>1992</v>
      </c>
      <c r="U283" s="8">
        <f t="shared" si="41"/>
        <v>30</v>
      </c>
      <c r="V283" s="7">
        <v>1992</v>
      </c>
      <c r="W283" t="s">
        <v>321</v>
      </c>
      <c r="X283" s="2">
        <v>0.28599999999999998</v>
      </c>
      <c r="Y283" s="6">
        <f t="shared" si="38"/>
        <v>7.6346066575905605E-3</v>
      </c>
      <c r="AA283">
        <v>9205071</v>
      </c>
      <c r="AB283">
        <v>28139</v>
      </c>
      <c r="AC283">
        <v>15693937</v>
      </c>
      <c r="AD283" t="s">
        <v>4</v>
      </c>
      <c r="AE283">
        <v>6</v>
      </c>
      <c r="AF283" s="9">
        <v>44287</v>
      </c>
      <c r="AH283" t="s">
        <v>8471</v>
      </c>
      <c r="AI283" t="s">
        <v>8470</v>
      </c>
      <c r="AK283" t="s">
        <v>8469</v>
      </c>
      <c r="AL283">
        <v>15</v>
      </c>
      <c r="AM283" s="5">
        <f t="shared" si="42"/>
        <v>0.5</v>
      </c>
      <c r="AN283" s="4">
        <f t="shared" si="39"/>
        <v>7.572889057175312E-4</v>
      </c>
      <c r="AO283" s="3"/>
      <c r="AP283">
        <v>0</v>
      </c>
      <c r="AR283" t="s">
        <v>0</v>
      </c>
      <c r="AT283" s="2" t="s">
        <v>16</v>
      </c>
      <c r="AU283" s="1">
        <f t="shared" si="43"/>
        <v>0.55714113320286518</v>
      </c>
      <c r="AV283" s="1">
        <f t="shared" si="44"/>
        <v>0.41959477816540458</v>
      </c>
      <c r="AW283" s="1">
        <f t="shared" si="45"/>
        <v>0.28204842312794398</v>
      </c>
    </row>
    <row r="284" spans="1:49" x14ac:dyDescent="0.2">
      <c r="A284">
        <v>282</v>
      </c>
      <c r="B284" t="s">
        <v>8468</v>
      </c>
      <c r="C284" t="s">
        <v>8467</v>
      </c>
      <c r="F284" t="s">
        <v>8466</v>
      </c>
      <c r="G284" t="s">
        <v>12</v>
      </c>
      <c r="H284" t="s">
        <v>11</v>
      </c>
      <c r="I284" t="s">
        <v>8465</v>
      </c>
      <c r="J284" t="s">
        <v>8464</v>
      </c>
      <c r="K284" t="s">
        <v>8463</v>
      </c>
      <c r="L284" t="s">
        <v>8462</v>
      </c>
      <c r="M284" t="s">
        <v>125</v>
      </c>
      <c r="N284">
        <v>4</v>
      </c>
      <c r="O284" t="s">
        <v>8461</v>
      </c>
      <c r="P284" t="s">
        <v>8460</v>
      </c>
      <c r="Q284" t="s">
        <v>8459</v>
      </c>
      <c r="R284" s="7">
        <v>33604</v>
      </c>
      <c r="S284" s="8">
        <f t="shared" si="40"/>
        <v>1992</v>
      </c>
      <c r="T284" s="8">
        <v>1992</v>
      </c>
      <c r="U284" s="8">
        <f t="shared" si="41"/>
        <v>30</v>
      </c>
      <c r="V284" s="7">
        <v>33939</v>
      </c>
      <c r="W284" t="s">
        <v>8458</v>
      </c>
      <c r="X284" s="2">
        <v>0.53700000000000003</v>
      </c>
      <c r="Y284" s="6">
        <f t="shared" si="38"/>
        <v>1.4334908304636823E-2</v>
      </c>
      <c r="AA284">
        <v>189499</v>
      </c>
      <c r="AB284">
        <v>17368</v>
      </c>
      <c r="AC284">
        <v>15581578</v>
      </c>
      <c r="AD284" t="s">
        <v>4</v>
      </c>
      <c r="AE284">
        <v>39</v>
      </c>
      <c r="AF284">
        <v>6</v>
      </c>
      <c r="AH284" t="s">
        <v>8457</v>
      </c>
      <c r="AI284" t="s">
        <v>8456</v>
      </c>
      <c r="AK284" t="s">
        <v>8455</v>
      </c>
      <c r="AL284">
        <v>7</v>
      </c>
      <c r="AM284" s="5">
        <f t="shared" si="42"/>
        <v>0.23333333333333334</v>
      </c>
      <c r="AN284" s="4">
        <f t="shared" si="39"/>
        <v>3.5340148933484791E-4</v>
      </c>
      <c r="AO284" s="3"/>
      <c r="AP284">
        <v>0</v>
      </c>
      <c r="AR284" t="s">
        <v>0</v>
      </c>
      <c r="AT284" s="2">
        <v>1.679</v>
      </c>
      <c r="AU284" s="1">
        <f t="shared" si="43"/>
        <v>1.0140456260046231</v>
      </c>
      <c r="AV284" s="1">
        <f t="shared" si="44"/>
        <v>0.73441548969858361</v>
      </c>
      <c r="AW284" s="1">
        <f t="shared" si="45"/>
        <v>0.45478535339254395</v>
      </c>
    </row>
    <row r="285" spans="1:49" x14ac:dyDescent="0.2">
      <c r="A285">
        <v>283</v>
      </c>
      <c r="B285" t="s">
        <v>8454</v>
      </c>
      <c r="C285" t="s">
        <v>8453</v>
      </c>
      <c r="F285" t="s">
        <v>8452</v>
      </c>
      <c r="G285" t="s">
        <v>12</v>
      </c>
      <c r="H285" t="s">
        <v>11</v>
      </c>
      <c r="I285" t="s">
        <v>8451</v>
      </c>
      <c r="J285">
        <v>60015916</v>
      </c>
      <c r="K285" t="s">
        <v>8450</v>
      </c>
      <c r="L285" t="s">
        <v>5484</v>
      </c>
      <c r="M285" t="s">
        <v>7</v>
      </c>
      <c r="N285">
        <v>4</v>
      </c>
      <c r="O285" t="s">
        <v>8449</v>
      </c>
      <c r="P285" t="s">
        <v>8448</v>
      </c>
      <c r="Q285" t="s">
        <v>8447</v>
      </c>
      <c r="R285" s="7">
        <v>33604</v>
      </c>
      <c r="S285" s="8">
        <f t="shared" si="40"/>
        <v>1992</v>
      </c>
      <c r="T285" s="8">
        <v>1992</v>
      </c>
      <c r="U285" s="8">
        <f t="shared" si="41"/>
        <v>30</v>
      </c>
      <c r="V285" s="7">
        <v>1992</v>
      </c>
      <c r="W285" t="s">
        <v>283</v>
      </c>
      <c r="X285" s="2">
        <v>1.1879999999999999</v>
      </c>
      <c r="Y285" s="6">
        <f t="shared" si="38"/>
        <v>3.1712981500760788E-2</v>
      </c>
      <c r="AA285">
        <v>8998221</v>
      </c>
      <c r="AB285">
        <v>8900153323</v>
      </c>
      <c r="AD285" t="s">
        <v>4</v>
      </c>
      <c r="AE285">
        <v>4</v>
      </c>
      <c r="AF285">
        <v>10</v>
      </c>
      <c r="AH285" t="s">
        <v>8446</v>
      </c>
      <c r="AI285" t="s">
        <v>8445</v>
      </c>
      <c r="AK285" t="s">
        <v>8444</v>
      </c>
      <c r="AL285">
        <v>5</v>
      </c>
      <c r="AM285" s="5">
        <f t="shared" si="42"/>
        <v>0.16666666666666666</v>
      </c>
      <c r="AN285" s="4">
        <f t="shared" si="39"/>
        <v>2.5242963523917705E-4</v>
      </c>
      <c r="AO285" s="3"/>
      <c r="AP285">
        <v>0</v>
      </c>
      <c r="AR285" t="s">
        <v>0</v>
      </c>
      <c r="AT285" s="2" t="s">
        <v>16</v>
      </c>
      <c r="AU285" s="1">
        <f t="shared" si="43"/>
        <v>2.2274815941104302</v>
      </c>
      <c r="AV285" s="1">
        <f t="shared" si="44"/>
        <v>1.5982705567999984</v>
      </c>
      <c r="AW285" s="1">
        <f t="shared" si="45"/>
        <v>0.96905951948956603</v>
      </c>
    </row>
    <row r="286" spans="1:49" x14ac:dyDescent="0.2">
      <c r="A286">
        <v>284</v>
      </c>
      <c r="B286" t="s">
        <v>8443</v>
      </c>
      <c r="C286" t="s">
        <v>8442</v>
      </c>
      <c r="D286">
        <v>925527392900312</v>
      </c>
      <c r="F286" t="s">
        <v>8441</v>
      </c>
      <c r="G286" t="s">
        <v>12</v>
      </c>
      <c r="H286" t="s">
        <v>11</v>
      </c>
      <c r="I286" t="s">
        <v>8440</v>
      </c>
      <c r="J286" t="s">
        <v>8439</v>
      </c>
      <c r="K286" t="s">
        <v>8438</v>
      </c>
      <c r="L286" t="s">
        <v>8437</v>
      </c>
      <c r="M286" t="s">
        <v>904</v>
      </c>
      <c r="N286">
        <v>3</v>
      </c>
      <c r="O286" t="s">
        <v>8436</v>
      </c>
      <c r="P286" t="s">
        <v>8435</v>
      </c>
      <c r="Q286" t="s">
        <v>8434</v>
      </c>
      <c r="R286" s="7">
        <v>33604</v>
      </c>
      <c r="S286" s="8">
        <f t="shared" si="40"/>
        <v>1992</v>
      </c>
      <c r="T286" s="8">
        <v>1992</v>
      </c>
      <c r="U286" s="8">
        <f t="shared" si="41"/>
        <v>30</v>
      </c>
      <c r="V286" s="7">
        <v>33909</v>
      </c>
      <c r="W286" t="s">
        <v>8433</v>
      </c>
      <c r="X286" s="2">
        <v>2.4060000000000001</v>
      </c>
      <c r="Y286" s="6">
        <f t="shared" si="38"/>
        <v>6.4226795867702413E-2</v>
      </c>
      <c r="AA286">
        <v>9255273</v>
      </c>
      <c r="AB286">
        <v>19165</v>
      </c>
      <c r="AD286" t="s">
        <v>4</v>
      </c>
      <c r="AE286">
        <v>28</v>
      </c>
      <c r="AF286">
        <v>2</v>
      </c>
      <c r="AH286" t="s">
        <v>8432</v>
      </c>
      <c r="AI286" t="s">
        <v>8431</v>
      </c>
      <c r="AK286" t="s">
        <v>8430</v>
      </c>
      <c r="AL286">
        <v>1</v>
      </c>
      <c r="AM286" s="5">
        <f t="shared" si="42"/>
        <v>3.3333333333333333E-2</v>
      </c>
      <c r="AN286" s="4">
        <f t="shared" si="39"/>
        <v>5.0485927047835418E-5</v>
      </c>
      <c r="AO286" s="3"/>
      <c r="AP286">
        <v>0</v>
      </c>
      <c r="AQ286" t="s">
        <v>8429</v>
      </c>
      <c r="AR286" t="s">
        <v>0</v>
      </c>
      <c r="AS286" t="s">
        <v>1374</v>
      </c>
      <c r="AT286" s="2" t="s">
        <v>16</v>
      </c>
      <c r="AU286" s="1">
        <f t="shared" si="43"/>
        <v>4.4973902885506041</v>
      </c>
      <c r="AV286" s="1">
        <f t="shared" si="44"/>
        <v>3.2138640897375121</v>
      </c>
      <c r="AW286" s="1">
        <f t="shared" si="45"/>
        <v>1.9303378909244207</v>
      </c>
    </row>
    <row r="287" spans="1:49" x14ac:dyDescent="0.2">
      <c r="A287">
        <v>285</v>
      </c>
      <c r="B287" t="s">
        <v>8428</v>
      </c>
      <c r="C287" t="s">
        <v>8427</v>
      </c>
      <c r="F287" t="s">
        <v>8426</v>
      </c>
      <c r="G287" t="s">
        <v>12</v>
      </c>
      <c r="H287" t="s">
        <v>11</v>
      </c>
      <c r="I287" t="s">
        <v>7306</v>
      </c>
      <c r="J287">
        <v>60029378</v>
      </c>
      <c r="K287" t="s">
        <v>7305</v>
      </c>
      <c r="L287" t="s">
        <v>7304</v>
      </c>
      <c r="M287" t="s">
        <v>7</v>
      </c>
      <c r="N287">
        <v>1</v>
      </c>
      <c r="O287" t="s">
        <v>8425</v>
      </c>
      <c r="P287">
        <v>57219918924</v>
      </c>
      <c r="Q287">
        <v>60029378</v>
      </c>
      <c r="R287" s="7">
        <v>33604</v>
      </c>
      <c r="S287" s="8">
        <f t="shared" si="40"/>
        <v>1992</v>
      </c>
      <c r="T287" s="8">
        <v>1992</v>
      </c>
      <c r="U287" s="8">
        <f t="shared" si="41"/>
        <v>30</v>
      </c>
      <c r="V287" s="7">
        <v>33909</v>
      </c>
      <c r="W287" t="s">
        <v>33</v>
      </c>
      <c r="X287" s="2">
        <v>1.468</v>
      </c>
      <c r="Y287" s="6">
        <f t="shared" si="38"/>
        <v>3.9187421585115186E-2</v>
      </c>
      <c r="AA287">
        <v>906778</v>
      </c>
      <c r="AB287">
        <v>18931</v>
      </c>
      <c r="AD287" t="s">
        <v>4</v>
      </c>
      <c r="AE287">
        <v>40</v>
      </c>
      <c r="AF287">
        <v>11</v>
      </c>
      <c r="AH287" t="s">
        <v>8424</v>
      </c>
      <c r="AI287" t="s">
        <v>8423</v>
      </c>
      <c r="AK287" t="s">
        <v>8422</v>
      </c>
      <c r="AL287">
        <v>2</v>
      </c>
      <c r="AM287" s="5">
        <f t="shared" si="42"/>
        <v>6.6666666666666666E-2</v>
      </c>
      <c r="AN287" s="4">
        <f t="shared" si="39"/>
        <v>1.0097185409567084E-4</v>
      </c>
      <c r="AO287" s="3"/>
      <c r="AP287">
        <v>0</v>
      </c>
      <c r="AQ287" t="s">
        <v>1376</v>
      </c>
      <c r="AR287" t="s">
        <v>0</v>
      </c>
      <c r="AS287" t="s">
        <v>1374</v>
      </c>
      <c r="AT287" s="2">
        <v>5.0830000000000002</v>
      </c>
      <c r="AU287" s="1">
        <f t="shared" si="43"/>
        <v>2.7461486665809329</v>
      </c>
      <c r="AV287" s="1">
        <f t="shared" si="44"/>
        <v>1.9644196719605427</v>
      </c>
      <c r="AW287" s="1">
        <f t="shared" si="45"/>
        <v>1.1826906773401524</v>
      </c>
    </row>
    <row r="288" spans="1:49" x14ac:dyDescent="0.2">
      <c r="A288">
        <v>286</v>
      </c>
      <c r="B288" t="s">
        <v>8421</v>
      </c>
      <c r="C288" t="s">
        <v>8420</v>
      </c>
      <c r="F288" t="s">
        <v>8419</v>
      </c>
      <c r="G288" t="s">
        <v>12</v>
      </c>
      <c r="H288" t="s">
        <v>11</v>
      </c>
      <c r="I288" t="s">
        <v>8418</v>
      </c>
      <c r="J288" t="s">
        <v>8417</v>
      </c>
      <c r="K288" t="s">
        <v>8416</v>
      </c>
      <c r="L288" t="s">
        <v>8415</v>
      </c>
      <c r="M288" t="s">
        <v>8414</v>
      </c>
      <c r="N288">
        <v>4</v>
      </c>
      <c r="O288" t="s">
        <v>8413</v>
      </c>
      <c r="P288" t="s">
        <v>8412</v>
      </c>
      <c r="Q288" t="s">
        <v>8411</v>
      </c>
      <c r="R288" s="7">
        <v>33604</v>
      </c>
      <c r="S288" s="8">
        <f t="shared" si="40"/>
        <v>1992</v>
      </c>
      <c r="T288" s="8">
        <v>1992</v>
      </c>
      <c r="U288" s="8">
        <f t="shared" si="41"/>
        <v>30</v>
      </c>
      <c r="V288" s="7">
        <v>1992</v>
      </c>
      <c r="W288" t="s">
        <v>8410</v>
      </c>
      <c r="X288" s="2">
        <v>2.0579999999999998</v>
      </c>
      <c r="Y288" s="6">
        <f t="shared" si="38"/>
        <v>5.4937134620004803E-2</v>
      </c>
      <c r="AA288">
        <v>358711</v>
      </c>
      <c r="AB288">
        <v>28218</v>
      </c>
      <c r="AC288">
        <v>13652966</v>
      </c>
      <c r="AD288" t="s">
        <v>4</v>
      </c>
      <c r="AE288">
        <v>258</v>
      </c>
      <c r="AF288">
        <v>2</v>
      </c>
      <c r="AH288" t="s">
        <v>6044</v>
      </c>
      <c r="AI288" t="s">
        <v>8409</v>
      </c>
      <c r="AJ288" t="s">
        <v>8408</v>
      </c>
      <c r="AK288" t="s">
        <v>8407</v>
      </c>
      <c r="AL288">
        <v>10</v>
      </c>
      <c r="AM288" s="5">
        <f t="shared" si="42"/>
        <v>0.33333333333333331</v>
      </c>
      <c r="AN288" s="4">
        <f t="shared" si="39"/>
        <v>5.048592704783541E-4</v>
      </c>
      <c r="AO288" s="3"/>
      <c r="AP288">
        <v>1</v>
      </c>
      <c r="AR288" t="s">
        <v>0</v>
      </c>
      <c r="AT288" s="2" t="s">
        <v>16</v>
      </c>
      <c r="AU288" s="1">
        <f t="shared" si="43"/>
        <v>3.8607452015146864</v>
      </c>
      <c r="AV288" s="1">
        <f t="shared" si="44"/>
        <v>2.7720996945241576</v>
      </c>
      <c r="AW288" s="1">
        <f t="shared" si="45"/>
        <v>1.6834541875336289</v>
      </c>
    </row>
    <row r="289" spans="1:49" x14ac:dyDescent="0.2">
      <c r="A289">
        <v>287</v>
      </c>
      <c r="B289" t="s">
        <v>8406</v>
      </c>
      <c r="C289" t="s">
        <v>8405</v>
      </c>
      <c r="F289" t="s">
        <v>8404</v>
      </c>
      <c r="G289" t="s">
        <v>12</v>
      </c>
      <c r="H289" t="s">
        <v>11</v>
      </c>
      <c r="I289" t="s">
        <v>8403</v>
      </c>
      <c r="J289" t="s">
        <v>8402</v>
      </c>
      <c r="K289" t="s">
        <v>8401</v>
      </c>
      <c r="L289" t="s">
        <v>8400</v>
      </c>
      <c r="M289" t="s">
        <v>6187</v>
      </c>
      <c r="N289">
        <v>3</v>
      </c>
      <c r="O289" t="s">
        <v>8399</v>
      </c>
      <c r="P289" t="s">
        <v>8398</v>
      </c>
      <c r="Q289" t="s">
        <v>8397</v>
      </c>
      <c r="R289" s="7">
        <v>33604</v>
      </c>
      <c r="S289" s="8">
        <f t="shared" si="40"/>
        <v>1992</v>
      </c>
      <c r="T289" s="8">
        <v>1992</v>
      </c>
      <c r="U289" s="8">
        <f t="shared" si="41"/>
        <v>30</v>
      </c>
      <c r="V289" s="7">
        <v>1992</v>
      </c>
      <c r="W289" t="s">
        <v>5</v>
      </c>
      <c r="X289" s="2">
        <v>1.887</v>
      </c>
      <c r="Y289" s="6">
        <f t="shared" si="38"/>
        <v>5.0372387282774087E-2</v>
      </c>
      <c r="AA289">
        <v>5562821</v>
      </c>
      <c r="AB289">
        <v>29459</v>
      </c>
      <c r="AD289" t="s">
        <v>4</v>
      </c>
      <c r="AE289">
        <v>45</v>
      </c>
      <c r="AF289">
        <v>6</v>
      </c>
      <c r="AH289" t="s">
        <v>8396</v>
      </c>
      <c r="AI289" t="s">
        <v>8395</v>
      </c>
      <c r="AK289" t="s">
        <v>8394</v>
      </c>
      <c r="AL289">
        <v>10</v>
      </c>
      <c r="AM289" s="5">
        <f t="shared" si="42"/>
        <v>0.33333333333333331</v>
      </c>
      <c r="AN289" s="4">
        <f t="shared" si="39"/>
        <v>5.048592704783541E-4</v>
      </c>
      <c r="AO289" s="3"/>
      <c r="AP289">
        <v>0</v>
      </c>
      <c r="AR289" t="s">
        <v>0</v>
      </c>
      <c r="AT289" s="2">
        <v>5.2960000000000003</v>
      </c>
      <c r="AU289" s="1">
        <f t="shared" si="43"/>
        <v>3.5412128879085363</v>
      </c>
      <c r="AV289" s="1">
        <f t="shared" si="44"/>
        <v>2.5438623276626218</v>
      </c>
      <c r="AW289" s="1">
        <f t="shared" si="45"/>
        <v>1.5465117674167073</v>
      </c>
    </row>
    <row r="290" spans="1:49" x14ac:dyDescent="0.2">
      <c r="A290">
        <v>288</v>
      </c>
      <c r="B290" t="s">
        <v>8393</v>
      </c>
      <c r="C290" t="s">
        <v>8392</v>
      </c>
      <c r="F290" t="s">
        <v>8391</v>
      </c>
      <c r="G290" t="s">
        <v>12</v>
      </c>
      <c r="H290" t="s">
        <v>11</v>
      </c>
      <c r="I290" t="s">
        <v>8390</v>
      </c>
      <c r="J290" t="s">
        <v>8389</v>
      </c>
      <c r="K290" t="s">
        <v>8388</v>
      </c>
      <c r="L290" t="s">
        <v>8387</v>
      </c>
      <c r="M290" t="s">
        <v>8386</v>
      </c>
      <c r="N290">
        <v>1</v>
      </c>
      <c r="O290" t="s">
        <v>8385</v>
      </c>
      <c r="P290">
        <v>35780746700</v>
      </c>
      <c r="Q290" t="s">
        <v>8384</v>
      </c>
      <c r="R290" s="7">
        <v>33604</v>
      </c>
      <c r="S290" s="8">
        <f t="shared" si="40"/>
        <v>1992</v>
      </c>
      <c r="T290" s="8">
        <v>1992</v>
      </c>
      <c r="U290" s="8">
        <f t="shared" si="41"/>
        <v>30</v>
      </c>
      <c r="V290" s="7">
        <v>1992</v>
      </c>
      <c r="W290" t="s">
        <v>5</v>
      </c>
      <c r="X290" s="2">
        <v>1.887</v>
      </c>
      <c r="Y290" s="6">
        <f t="shared" si="38"/>
        <v>5.0372387282774087E-2</v>
      </c>
      <c r="AA290">
        <v>5562821</v>
      </c>
      <c r="AB290">
        <v>29459</v>
      </c>
      <c r="AD290" t="s">
        <v>4</v>
      </c>
      <c r="AE290">
        <v>45</v>
      </c>
      <c r="AF290">
        <v>8</v>
      </c>
      <c r="AH290" t="s">
        <v>8383</v>
      </c>
      <c r="AI290" t="s">
        <v>8382</v>
      </c>
      <c r="AK290" t="s">
        <v>8381</v>
      </c>
      <c r="AL290">
        <v>6</v>
      </c>
      <c r="AM290" s="5">
        <f t="shared" si="42"/>
        <v>0.2</v>
      </c>
      <c r="AN290" s="4">
        <f t="shared" si="39"/>
        <v>3.0291556228701253E-4</v>
      </c>
      <c r="AO290" s="3"/>
      <c r="AP290">
        <v>0</v>
      </c>
      <c r="AR290" t="s">
        <v>0</v>
      </c>
      <c r="AT290" s="2">
        <v>5.2960000000000003</v>
      </c>
      <c r="AU290" s="1">
        <f t="shared" si="43"/>
        <v>3.5351545766627961</v>
      </c>
      <c r="AV290" s="1">
        <f t="shared" si="44"/>
        <v>2.5337651422530549</v>
      </c>
      <c r="AW290" s="1">
        <f t="shared" si="45"/>
        <v>1.5323757078433133</v>
      </c>
    </row>
    <row r="291" spans="1:49" x14ac:dyDescent="0.2">
      <c r="A291">
        <v>289</v>
      </c>
      <c r="B291" t="s">
        <v>8380</v>
      </c>
      <c r="C291" t="s">
        <v>8379</v>
      </c>
      <c r="F291" t="s">
        <v>8378</v>
      </c>
      <c r="G291" t="s">
        <v>12</v>
      </c>
      <c r="H291" t="s">
        <v>11</v>
      </c>
      <c r="I291" t="s">
        <v>8377</v>
      </c>
      <c r="J291">
        <v>60005460</v>
      </c>
      <c r="K291" t="s">
        <v>1639</v>
      </c>
      <c r="L291" t="s">
        <v>1638</v>
      </c>
      <c r="M291" t="s">
        <v>817</v>
      </c>
      <c r="N291">
        <v>4</v>
      </c>
      <c r="O291" t="s">
        <v>8376</v>
      </c>
      <c r="P291" t="s">
        <v>8375</v>
      </c>
      <c r="Q291" t="s">
        <v>8374</v>
      </c>
      <c r="R291" s="7">
        <v>33604</v>
      </c>
      <c r="S291" s="8">
        <f t="shared" si="40"/>
        <v>1992</v>
      </c>
      <c r="T291" s="8">
        <v>1992</v>
      </c>
      <c r="U291" s="8">
        <f t="shared" si="41"/>
        <v>30</v>
      </c>
      <c r="V291" s="7" t="s">
        <v>8373</v>
      </c>
      <c r="W291" t="s">
        <v>8372</v>
      </c>
      <c r="X291" s="2">
        <v>0.79500000000000004</v>
      </c>
      <c r="Y291" s="6">
        <f t="shared" si="38"/>
        <v>2.1222070953791944E-2</v>
      </c>
      <c r="AA291">
        <v>9312048</v>
      </c>
      <c r="AB291">
        <v>20459</v>
      </c>
      <c r="AC291">
        <v>14390418</v>
      </c>
      <c r="AD291" t="s">
        <v>4</v>
      </c>
      <c r="AE291">
        <v>113</v>
      </c>
      <c r="AF291" s="9">
        <v>44317</v>
      </c>
      <c r="AH291" t="s">
        <v>8371</v>
      </c>
      <c r="AI291" t="s">
        <v>8370</v>
      </c>
      <c r="AK291" t="s">
        <v>8369</v>
      </c>
      <c r="AL291">
        <v>12</v>
      </c>
      <c r="AM291" s="5">
        <f t="shared" si="42"/>
        <v>0.4</v>
      </c>
      <c r="AN291" s="4">
        <f t="shared" si="39"/>
        <v>6.0583112457402507E-4</v>
      </c>
      <c r="AO291" s="3"/>
      <c r="AP291">
        <v>0</v>
      </c>
      <c r="AR291" t="s">
        <v>0</v>
      </c>
      <c r="AT291" s="2">
        <v>2.6030000000000002</v>
      </c>
      <c r="AU291" s="1">
        <f t="shared" si="43"/>
        <v>1.5037199005026567</v>
      </c>
      <c r="AV291" s="1">
        <f t="shared" si="44"/>
        <v>1.0913951039182985</v>
      </c>
      <c r="AW291" s="1">
        <f t="shared" si="45"/>
        <v>0.67907030733394003</v>
      </c>
    </row>
    <row r="292" spans="1:49" x14ac:dyDescent="0.2">
      <c r="A292">
        <v>290</v>
      </c>
      <c r="B292" t="s">
        <v>8368</v>
      </c>
      <c r="C292" t="s">
        <v>8367</v>
      </c>
      <c r="D292" t="s">
        <v>8366</v>
      </c>
      <c r="F292" t="s">
        <v>8365</v>
      </c>
      <c r="G292" t="s">
        <v>12</v>
      </c>
      <c r="H292" t="s">
        <v>11</v>
      </c>
      <c r="I292" t="s">
        <v>8364</v>
      </c>
      <c r="J292">
        <v>60103653</v>
      </c>
      <c r="K292" t="s">
        <v>2662</v>
      </c>
      <c r="L292" t="s">
        <v>657</v>
      </c>
      <c r="M292" t="s">
        <v>656</v>
      </c>
      <c r="N292">
        <v>2</v>
      </c>
      <c r="O292" t="s">
        <v>8363</v>
      </c>
      <c r="P292" t="s">
        <v>8362</v>
      </c>
      <c r="Q292" t="s">
        <v>5537</v>
      </c>
      <c r="R292" s="7">
        <v>33604</v>
      </c>
      <c r="S292" s="8">
        <f t="shared" si="40"/>
        <v>1992</v>
      </c>
      <c r="T292" s="8">
        <v>1992</v>
      </c>
      <c r="U292" s="8">
        <f t="shared" si="41"/>
        <v>30</v>
      </c>
      <c r="V292" s="7">
        <v>1992</v>
      </c>
      <c r="W292" t="s">
        <v>516</v>
      </c>
      <c r="X292" s="2">
        <v>1.3280000000000001</v>
      </c>
      <c r="Y292" s="6">
        <f t="shared" si="38"/>
        <v>3.5450201542937994E-2</v>
      </c>
      <c r="AA292">
        <v>7413335</v>
      </c>
      <c r="AB292">
        <v>29251</v>
      </c>
      <c r="AD292" t="s">
        <v>4</v>
      </c>
      <c r="AE292">
        <v>34</v>
      </c>
      <c r="AF292">
        <v>6</v>
      </c>
      <c r="AG292">
        <v>6</v>
      </c>
      <c r="AH292" t="s">
        <v>8361</v>
      </c>
      <c r="AI292" t="s">
        <v>8360</v>
      </c>
      <c r="AK292" t="s">
        <v>8359</v>
      </c>
      <c r="AL292">
        <v>5</v>
      </c>
      <c r="AM292" s="5">
        <f t="shared" si="42"/>
        <v>0.16666666666666666</v>
      </c>
      <c r="AN292" s="4">
        <f t="shared" si="39"/>
        <v>2.5242963523917705E-4</v>
      </c>
      <c r="AO292" s="3"/>
      <c r="AP292">
        <v>0</v>
      </c>
      <c r="AQ292" t="s">
        <v>8358</v>
      </c>
      <c r="AR292" t="s">
        <v>8357</v>
      </c>
      <c r="AS292" t="s">
        <v>8356</v>
      </c>
      <c r="AT292" s="2">
        <v>2.4580000000000002</v>
      </c>
      <c r="AU292" s="1">
        <f t="shared" si="43"/>
        <v>2.4890869970628349</v>
      </c>
      <c r="AV292" s="1">
        <f t="shared" si="44"/>
        <v>1.7851315589088586</v>
      </c>
      <c r="AW292" s="1">
        <f t="shared" si="45"/>
        <v>1.0811761207548822</v>
      </c>
    </row>
    <row r="293" spans="1:49" x14ac:dyDescent="0.2">
      <c r="A293">
        <v>291</v>
      </c>
      <c r="B293" t="s">
        <v>8355</v>
      </c>
      <c r="C293" t="s">
        <v>8354</v>
      </c>
      <c r="F293" t="s">
        <v>8353</v>
      </c>
      <c r="G293" t="s">
        <v>12</v>
      </c>
      <c r="H293" t="s">
        <v>11</v>
      </c>
      <c r="I293" t="s">
        <v>8352</v>
      </c>
      <c r="J293">
        <v>100362989</v>
      </c>
      <c r="K293" t="s">
        <v>8351</v>
      </c>
      <c r="L293" t="s">
        <v>6966</v>
      </c>
      <c r="M293" t="s">
        <v>856</v>
      </c>
      <c r="N293">
        <v>2</v>
      </c>
      <c r="O293" t="s">
        <v>8350</v>
      </c>
      <c r="P293" t="s">
        <v>8349</v>
      </c>
      <c r="Q293" t="s">
        <v>8348</v>
      </c>
      <c r="R293" s="7">
        <v>33604</v>
      </c>
      <c r="S293" s="8">
        <f t="shared" si="40"/>
        <v>1992</v>
      </c>
      <c r="T293" s="8">
        <v>1992</v>
      </c>
      <c r="U293" s="8">
        <f t="shared" si="41"/>
        <v>30</v>
      </c>
      <c r="V293" s="7">
        <v>33695</v>
      </c>
      <c r="W293" t="s">
        <v>599</v>
      </c>
      <c r="X293" s="2">
        <v>0.375</v>
      </c>
      <c r="Y293" s="6">
        <f t="shared" si="38"/>
        <v>1.0010410827260351E-2</v>
      </c>
      <c r="AA293">
        <v>135194</v>
      </c>
      <c r="AB293">
        <v>24918</v>
      </c>
      <c r="AD293" t="s">
        <v>4</v>
      </c>
      <c r="AE293">
        <v>28</v>
      </c>
      <c r="AF293">
        <v>8</v>
      </c>
      <c r="AH293" t="s">
        <v>8347</v>
      </c>
      <c r="AI293" t="s">
        <v>8346</v>
      </c>
      <c r="AJ293" t="s">
        <v>8345</v>
      </c>
      <c r="AK293" t="s">
        <v>8344</v>
      </c>
      <c r="AL293">
        <v>32</v>
      </c>
      <c r="AM293" s="5">
        <f t="shared" si="42"/>
        <v>1.0666666666666667</v>
      </c>
      <c r="AN293" s="4">
        <f t="shared" si="39"/>
        <v>1.6155496655307334E-3</v>
      </c>
      <c r="AO293" s="3"/>
      <c r="AP293">
        <v>0</v>
      </c>
      <c r="AR293" t="s">
        <v>0</v>
      </c>
      <c r="AT293" s="2">
        <v>1.3140000000000001</v>
      </c>
      <c r="AU293" s="1">
        <f t="shared" si="43"/>
        <v>0.74919524787414649</v>
      </c>
      <c r="AV293" s="1">
        <f t="shared" si="44"/>
        <v>0.58129802463955427</v>
      </c>
      <c r="AW293" s="1">
        <f t="shared" si="45"/>
        <v>0.41340080140496188</v>
      </c>
    </row>
    <row r="294" spans="1:49" x14ac:dyDescent="0.2">
      <c r="A294">
        <v>292</v>
      </c>
      <c r="B294" t="s">
        <v>8343</v>
      </c>
      <c r="C294" t="s">
        <v>8342</v>
      </c>
      <c r="F294" t="s">
        <v>8341</v>
      </c>
      <c r="G294" t="s">
        <v>12</v>
      </c>
      <c r="H294" t="s">
        <v>11</v>
      </c>
      <c r="I294" t="s">
        <v>8340</v>
      </c>
      <c r="J294">
        <v>60024621</v>
      </c>
      <c r="K294" t="s">
        <v>5558</v>
      </c>
      <c r="L294" t="s">
        <v>745</v>
      </c>
      <c r="M294" t="s">
        <v>151</v>
      </c>
      <c r="N294">
        <v>3</v>
      </c>
      <c r="O294" t="s">
        <v>8339</v>
      </c>
      <c r="P294" t="s">
        <v>8338</v>
      </c>
      <c r="Q294" t="s">
        <v>8337</v>
      </c>
      <c r="R294" s="7">
        <v>33604</v>
      </c>
      <c r="S294" s="8">
        <f t="shared" si="40"/>
        <v>1992</v>
      </c>
      <c r="T294" s="8">
        <v>1992</v>
      </c>
      <c r="U294" s="8">
        <f t="shared" si="41"/>
        <v>30</v>
      </c>
      <c r="V294" s="7">
        <v>33695</v>
      </c>
      <c r="W294" t="s">
        <v>599</v>
      </c>
      <c r="X294" s="2">
        <v>0.375</v>
      </c>
      <c r="Y294" s="6">
        <f t="shared" si="38"/>
        <v>1.0010410827260351E-2</v>
      </c>
      <c r="AA294">
        <v>135194</v>
      </c>
      <c r="AB294">
        <v>24918</v>
      </c>
      <c r="AD294" t="s">
        <v>4</v>
      </c>
      <c r="AE294">
        <v>28</v>
      </c>
      <c r="AF294">
        <v>8</v>
      </c>
      <c r="AH294" t="s">
        <v>8336</v>
      </c>
      <c r="AI294" t="s">
        <v>8335</v>
      </c>
      <c r="AJ294" t="s">
        <v>8334</v>
      </c>
      <c r="AK294" t="s">
        <v>8333</v>
      </c>
      <c r="AL294">
        <v>1</v>
      </c>
      <c r="AM294" s="5">
        <f t="shared" si="42"/>
        <v>3.3333333333333333E-2</v>
      </c>
      <c r="AN294" s="4">
        <f t="shared" si="39"/>
        <v>5.0485927047835418E-5</v>
      </c>
      <c r="AO294" s="3"/>
      <c r="AP294">
        <v>0</v>
      </c>
      <c r="AR294" t="s">
        <v>0</v>
      </c>
      <c r="AT294" s="2">
        <v>1.3140000000000001</v>
      </c>
      <c r="AU294" s="1">
        <f t="shared" si="43"/>
        <v>0.70224333571965969</v>
      </c>
      <c r="AV294" s="1">
        <f t="shared" si="44"/>
        <v>0.50304483771540931</v>
      </c>
      <c r="AW294" s="1">
        <f t="shared" si="45"/>
        <v>0.30384633971115899</v>
      </c>
    </row>
    <row r="295" spans="1:49" x14ac:dyDescent="0.2">
      <c r="A295">
        <v>293</v>
      </c>
      <c r="B295" t="s">
        <v>8332</v>
      </c>
      <c r="C295" t="s">
        <v>8331</v>
      </c>
      <c r="F295" t="s">
        <v>8330</v>
      </c>
      <c r="G295" t="s">
        <v>12</v>
      </c>
      <c r="H295" t="s">
        <v>11</v>
      </c>
      <c r="I295" t="s">
        <v>8329</v>
      </c>
      <c r="J295">
        <v>60021902</v>
      </c>
      <c r="K295" t="s">
        <v>4873</v>
      </c>
      <c r="L295" t="s">
        <v>4872</v>
      </c>
      <c r="M295" t="s">
        <v>2540</v>
      </c>
      <c r="N295">
        <v>2</v>
      </c>
      <c r="O295" t="s">
        <v>8328</v>
      </c>
      <c r="P295" t="s">
        <v>8327</v>
      </c>
      <c r="Q295" t="s">
        <v>4869</v>
      </c>
      <c r="R295" s="7">
        <v>33604</v>
      </c>
      <c r="S295" s="8">
        <f t="shared" si="40"/>
        <v>1992</v>
      </c>
      <c r="T295" s="8">
        <v>1992</v>
      </c>
      <c r="U295" s="8">
        <f t="shared" si="41"/>
        <v>30</v>
      </c>
      <c r="V295" s="7">
        <v>33695</v>
      </c>
      <c r="W295" t="s">
        <v>599</v>
      </c>
      <c r="X295" s="2">
        <v>0.375</v>
      </c>
      <c r="Y295" s="6">
        <f t="shared" si="38"/>
        <v>1.0010410827260351E-2</v>
      </c>
      <c r="AA295">
        <v>135194</v>
      </c>
      <c r="AB295">
        <v>24918</v>
      </c>
      <c r="AD295" t="s">
        <v>4</v>
      </c>
      <c r="AE295">
        <v>28</v>
      </c>
      <c r="AF295">
        <v>8</v>
      </c>
      <c r="AH295" t="s">
        <v>8326</v>
      </c>
      <c r="AI295" t="s">
        <v>8325</v>
      </c>
      <c r="AJ295" t="s">
        <v>6559</v>
      </c>
      <c r="AK295" t="s">
        <v>8324</v>
      </c>
      <c r="AL295">
        <v>4</v>
      </c>
      <c r="AM295" s="5">
        <f t="shared" si="42"/>
        <v>0.13333333333333333</v>
      </c>
      <c r="AN295" s="4">
        <f t="shared" si="39"/>
        <v>2.0194370819134167E-4</v>
      </c>
      <c r="AO295" s="3"/>
      <c r="AP295">
        <v>0</v>
      </c>
      <c r="AR295" t="s">
        <v>0</v>
      </c>
      <c r="AT295" s="2">
        <v>1.3140000000000001</v>
      </c>
      <c r="AU295" s="1">
        <f t="shared" si="43"/>
        <v>0.70678706915396483</v>
      </c>
      <c r="AV295" s="1">
        <f t="shared" si="44"/>
        <v>0.51061772677258466</v>
      </c>
      <c r="AW295" s="1">
        <f t="shared" si="45"/>
        <v>0.31444838439120443</v>
      </c>
    </row>
    <row r="296" spans="1:49" x14ac:dyDescent="0.2">
      <c r="A296">
        <v>294</v>
      </c>
      <c r="B296" t="s">
        <v>8323</v>
      </c>
      <c r="C296" t="s">
        <v>8322</v>
      </c>
      <c r="F296" t="s">
        <v>8321</v>
      </c>
      <c r="G296" t="s">
        <v>12</v>
      </c>
      <c r="H296" t="s">
        <v>11</v>
      </c>
      <c r="I296" t="s">
        <v>2865</v>
      </c>
      <c r="J296" t="s">
        <v>2864</v>
      </c>
      <c r="K296" t="s">
        <v>2863</v>
      </c>
      <c r="L296" t="s">
        <v>2862</v>
      </c>
      <c r="M296" t="s">
        <v>2861</v>
      </c>
      <c r="N296">
        <v>3</v>
      </c>
      <c r="O296" t="s">
        <v>8320</v>
      </c>
      <c r="P296" t="s">
        <v>8319</v>
      </c>
      <c r="Q296" t="s">
        <v>2858</v>
      </c>
      <c r="R296" s="7">
        <v>33604</v>
      </c>
      <c r="S296" s="8">
        <f t="shared" si="40"/>
        <v>1992</v>
      </c>
      <c r="T296" s="8">
        <v>1992</v>
      </c>
      <c r="U296" s="8">
        <f t="shared" si="41"/>
        <v>30</v>
      </c>
      <c r="V296" s="7">
        <v>33695</v>
      </c>
      <c r="W296" t="s">
        <v>599</v>
      </c>
      <c r="X296" s="2">
        <v>0.375</v>
      </c>
      <c r="Y296" s="6">
        <f t="shared" si="38"/>
        <v>1.0010410827260351E-2</v>
      </c>
      <c r="AA296">
        <v>135194</v>
      </c>
      <c r="AB296">
        <v>24918</v>
      </c>
      <c r="AD296" t="s">
        <v>4</v>
      </c>
      <c r="AE296">
        <v>28</v>
      </c>
      <c r="AF296">
        <v>8</v>
      </c>
      <c r="AH296" t="s">
        <v>8318</v>
      </c>
      <c r="AI296" t="s">
        <v>8317</v>
      </c>
      <c r="AJ296" t="s">
        <v>8316</v>
      </c>
      <c r="AK296" t="s">
        <v>8315</v>
      </c>
      <c r="AL296">
        <v>4</v>
      </c>
      <c r="AM296" s="5">
        <f t="shared" si="42"/>
        <v>0.13333333333333333</v>
      </c>
      <c r="AN296" s="4">
        <f t="shared" si="39"/>
        <v>2.0194370819134167E-4</v>
      </c>
      <c r="AO296" s="3"/>
      <c r="AP296">
        <v>0</v>
      </c>
      <c r="AR296" t="s">
        <v>0</v>
      </c>
      <c r="AT296" s="2">
        <v>1.3140000000000001</v>
      </c>
      <c r="AU296" s="1">
        <f t="shared" si="43"/>
        <v>0.70678706915396483</v>
      </c>
      <c r="AV296" s="1">
        <f t="shared" si="44"/>
        <v>0.51061772677258466</v>
      </c>
      <c r="AW296" s="1">
        <f t="shared" si="45"/>
        <v>0.31444838439120443</v>
      </c>
    </row>
    <row r="297" spans="1:49" x14ac:dyDescent="0.2">
      <c r="A297">
        <v>295</v>
      </c>
      <c r="B297" t="s">
        <v>8314</v>
      </c>
      <c r="C297" t="s">
        <v>8313</v>
      </c>
      <c r="F297" t="s">
        <v>8312</v>
      </c>
      <c r="G297" t="s">
        <v>12</v>
      </c>
      <c r="H297" t="s">
        <v>11</v>
      </c>
      <c r="I297" t="s">
        <v>8311</v>
      </c>
      <c r="J297" t="s">
        <v>8306</v>
      </c>
      <c r="K297" t="s">
        <v>8310</v>
      </c>
      <c r="L297" t="s">
        <v>8309</v>
      </c>
      <c r="M297" t="s">
        <v>1462</v>
      </c>
      <c r="N297">
        <v>2</v>
      </c>
      <c r="O297" t="s">
        <v>8308</v>
      </c>
      <c r="P297" t="s">
        <v>8307</v>
      </c>
      <c r="Q297" t="s">
        <v>8306</v>
      </c>
      <c r="R297" s="7">
        <v>33604</v>
      </c>
      <c r="S297" s="8">
        <f t="shared" si="40"/>
        <v>1992</v>
      </c>
      <c r="T297" s="8">
        <v>1992</v>
      </c>
      <c r="U297" s="8">
        <f t="shared" si="41"/>
        <v>30</v>
      </c>
      <c r="V297" s="7">
        <v>33878</v>
      </c>
      <c r="W297" t="s">
        <v>599</v>
      </c>
      <c r="X297" s="2">
        <v>0.375</v>
      </c>
      <c r="Y297" s="6">
        <f t="shared" si="38"/>
        <v>1.0010410827260351E-2</v>
      </c>
      <c r="AA297">
        <v>135194</v>
      </c>
      <c r="AB297">
        <v>24918</v>
      </c>
      <c r="AD297" t="s">
        <v>4</v>
      </c>
      <c r="AE297">
        <v>28</v>
      </c>
      <c r="AF297">
        <v>21</v>
      </c>
      <c r="AH297" t="s">
        <v>8305</v>
      </c>
      <c r="AI297" t="s">
        <v>8304</v>
      </c>
      <c r="AJ297" t="s">
        <v>8303</v>
      </c>
      <c r="AK297" t="s">
        <v>8302</v>
      </c>
      <c r="AL297">
        <v>6</v>
      </c>
      <c r="AM297" s="5">
        <f t="shared" si="42"/>
        <v>0.2</v>
      </c>
      <c r="AN297" s="4">
        <f t="shared" si="39"/>
        <v>3.0291556228701253E-4</v>
      </c>
      <c r="AO297" s="3"/>
      <c r="AP297">
        <v>0</v>
      </c>
      <c r="AR297" t="s">
        <v>0</v>
      </c>
      <c r="AT297" s="2">
        <v>1.3140000000000001</v>
      </c>
      <c r="AU297" s="1">
        <f t="shared" si="43"/>
        <v>0.70981622477683493</v>
      </c>
      <c r="AV297" s="1">
        <f t="shared" si="44"/>
        <v>0.51566631947736818</v>
      </c>
      <c r="AW297" s="1">
        <f t="shared" si="45"/>
        <v>0.32151641417790139</v>
      </c>
    </row>
    <row r="298" spans="1:49" x14ac:dyDescent="0.2">
      <c r="A298">
        <v>296</v>
      </c>
      <c r="B298" t="s">
        <v>8301</v>
      </c>
      <c r="C298" t="s">
        <v>8300</v>
      </c>
      <c r="F298" t="s">
        <v>8299</v>
      </c>
      <c r="G298" t="s">
        <v>12</v>
      </c>
      <c r="H298" t="s">
        <v>11</v>
      </c>
      <c r="I298" t="s">
        <v>8298</v>
      </c>
      <c r="J298">
        <v>60000891</v>
      </c>
      <c r="K298" t="s">
        <v>3022</v>
      </c>
      <c r="L298" t="s">
        <v>3021</v>
      </c>
      <c r="M298" t="s">
        <v>856</v>
      </c>
      <c r="N298">
        <v>3</v>
      </c>
      <c r="O298" t="s">
        <v>8297</v>
      </c>
      <c r="P298" t="s">
        <v>8296</v>
      </c>
      <c r="Q298" t="s">
        <v>7505</v>
      </c>
      <c r="R298" s="7">
        <v>33604</v>
      </c>
      <c r="S298" s="8">
        <f t="shared" si="40"/>
        <v>1992</v>
      </c>
      <c r="T298" s="8">
        <v>1992</v>
      </c>
      <c r="U298" s="8">
        <f t="shared" si="41"/>
        <v>30</v>
      </c>
      <c r="V298" s="7">
        <v>33878</v>
      </c>
      <c r="W298" t="s">
        <v>599</v>
      </c>
      <c r="X298" s="2">
        <v>0.375</v>
      </c>
      <c r="Y298" s="6">
        <f t="shared" si="38"/>
        <v>1.0010410827260351E-2</v>
      </c>
      <c r="AA298">
        <v>135194</v>
      </c>
      <c r="AB298">
        <v>24918</v>
      </c>
      <c r="AD298" t="s">
        <v>4</v>
      </c>
      <c r="AE298">
        <v>28</v>
      </c>
      <c r="AF298">
        <v>21</v>
      </c>
      <c r="AH298" t="s">
        <v>8295</v>
      </c>
      <c r="AI298" t="s">
        <v>8294</v>
      </c>
      <c r="AJ298" t="s">
        <v>8293</v>
      </c>
      <c r="AK298" t="s">
        <v>8292</v>
      </c>
      <c r="AL298">
        <v>2</v>
      </c>
      <c r="AM298" s="5">
        <f t="shared" si="42"/>
        <v>6.6666666666666666E-2</v>
      </c>
      <c r="AN298" s="4">
        <f t="shared" si="39"/>
        <v>1.0097185409567084E-4</v>
      </c>
      <c r="AO298" s="3"/>
      <c r="AP298">
        <v>0</v>
      </c>
      <c r="AR298" t="s">
        <v>0</v>
      </c>
      <c r="AT298" s="2">
        <v>1.3140000000000001</v>
      </c>
      <c r="AU298" s="1">
        <f t="shared" si="43"/>
        <v>0.70375791353109474</v>
      </c>
      <c r="AV298" s="1">
        <f t="shared" si="44"/>
        <v>0.50556913406780113</v>
      </c>
      <c r="AW298" s="1">
        <f t="shared" si="45"/>
        <v>0.30738035460450747</v>
      </c>
    </row>
    <row r="299" spans="1:49" x14ac:dyDescent="0.2">
      <c r="A299">
        <v>297</v>
      </c>
      <c r="B299" t="s">
        <v>8291</v>
      </c>
      <c r="C299" t="s">
        <v>8290</v>
      </c>
      <c r="F299" t="s">
        <v>8289</v>
      </c>
      <c r="G299" t="s">
        <v>12</v>
      </c>
      <c r="H299" t="s">
        <v>11</v>
      </c>
      <c r="I299" t="s">
        <v>3559</v>
      </c>
      <c r="J299" t="s">
        <v>3553</v>
      </c>
      <c r="K299" t="s">
        <v>3558</v>
      </c>
      <c r="L299" t="s">
        <v>3557</v>
      </c>
      <c r="M299" t="s">
        <v>3556</v>
      </c>
      <c r="N299">
        <v>2</v>
      </c>
      <c r="O299" t="s">
        <v>8288</v>
      </c>
      <c r="P299" t="s">
        <v>8287</v>
      </c>
      <c r="Q299" t="s">
        <v>3553</v>
      </c>
      <c r="R299" s="7">
        <v>33604</v>
      </c>
      <c r="S299" s="8">
        <f t="shared" si="40"/>
        <v>1992</v>
      </c>
      <c r="T299" s="8">
        <v>1992</v>
      </c>
      <c r="U299" s="8">
        <f t="shared" si="41"/>
        <v>30</v>
      </c>
      <c r="V299" s="7">
        <v>33939</v>
      </c>
      <c r="W299" t="s">
        <v>1458</v>
      </c>
      <c r="X299" s="2">
        <v>0.30399999999999999</v>
      </c>
      <c r="Y299" s="6">
        <f t="shared" si="38"/>
        <v>8.115106377299057E-3</v>
      </c>
      <c r="AA299">
        <v>8952477</v>
      </c>
      <c r="AB299">
        <v>12250</v>
      </c>
      <c r="AC299">
        <v>10982760</v>
      </c>
      <c r="AD299" t="s">
        <v>4</v>
      </c>
      <c r="AE299">
        <v>5</v>
      </c>
      <c r="AF299">
        <v>13</v>
      </c>
      <c r="AH299" t="s">
        <v>8286</v>
      </c>
      <c r="AI299" t="s">
        <v>8285</v>
      </c>
      <c r="AJ299" t="s">
        <v>8284</v>
      </c>
      <c r="AK299" t="s">
        <v>8283</v>
      </c>
      <c r="AL299">
        <v>5</v>
      </c>
      <c r="AM299" s="5">
        <f t="shared" si="42"/>
        <v>0.16666666666666666</v>
      </c>
      <c r="AN299" s="4">
        <f t="shared" si="39"/>
        <v>2.5242963523917705E-4</v>
      </c>
      <c r="AO299" s="3"/>
      <c r="AP299">
        <v>0</v>
      </c>
      <c r="AR299" t="s">
        <v>0</v>
      </c>
      <c r="AT299" s="2" t="s">
        <v>16</v>
      </c>
      <c r="AU299" s="1">
        <f t="shared" si="43"/>
        <v>0.57563033546810927</v>
      </c>
      <c r="AV299" s="1">
        <f t="shared" si="44"/>
        <v>0.41837680062691174</v>
      </c>
      <c r="AW299" s="1">
        <f t="shared" si="45"/>
        <v>0.2611232657857141</v>
      </c>
    </row>
    <row r="300" spans="1:49" x14ac:dyDescent="0.2">
      <c r="A300">
        <v>298</v>
      </c>
      <c r="B300" t="s">
        <v>8282</v>
      </c>
      <c r="C300" t="s">
        <v>8281</v>
      </c>
      <c r="F300" t="s">
        <v>8280</v>
      </c>
      <c r="G300" t="s">
        <v>12</v>
      </c>
      <c r="H300" t="s">
        <v>11</v>
      </c>
      <c r="I300" t="s">
        <v>8279</v>
      </c>
      <c r="J300">
        <v>60031544</v>
      </c>
      <c r="K300" t="s">
        <v>3939</v>
      </c>
      <c r="L300" t="s">
        <v>3938</v>
      </c>
      <c r="M300" t="s">
        <v>3937</v>
      </c>
      <c r="N300">
        <v>5</v>
      </c>
      <c r="O300" t="s">
        <v>8278</v>
      </c>
      <c r="P300" t="s">
        <v>8277</v>
      </c>
      <c r="Q300" t="s">
        <v>3934</v>
      </c>
      <c r="R300" s="7">
        <v>33604</v>
      </c>
      <c r="S300" s="8">
        <f t="shared" si="40"/>
        <v>1992</v>
      </c>
      <c r="T300" s="8">
        <v>1992</v>
      </c>
      <c r="U300" s="8">
        <f t="shared" si="41"/>
        <v>30</v>
      </c>
      <c r="V300" s="7">
        <v>33939</v>
      </c>
      <c r="W300" t="s">
        <v>1458</v>
      </c>
      <c r="X300" s="2">
        <v>0.30399999999999999</v>
      </c>
      <c r="Y300" s="6">
        <f t="shared" si="38"/>
        <v>8.115106377299057E-3</v>
      </c>
      <c r="AA300">
        <v>8952477</v>
      </c>
      <c r="AB300">
        <v>12250</v>
      </c>
      <c r="AC300">
        <v>10982760</v>
      </c>
      <c r="AD300" t="s">
        <v>4</v>
      </c>
      <c r="AE300">
        <v>5</v>
      </c>
      <c r="AF300">
        <v>13</v>
      </c>
      <c r="AH300" t="s">
        <v>8276</v>
      </c>
      <c r="AI300" t="s">
        <v>8275</v>
      </c>
      <c r="AJ300" t="s">
        <v>8274</v>
      </c>
      <c r="AK300" t="s">
        <v>8273</v>
      </c>
      <c r="AL300">
        <v>0</v>
      </c>
      <c r="AM300" s="5">
        <f t="shared" si="42"/>
        <v>0</v>
      </c>
      <c r="AN300" s="4">
        <f t="shared" si="39"/>
        <v>0</v>
      </c>
      <c r="AO300" s="3"/>
      <c r="AP300">
        <v>0</v>
      </c>
      <c r="AR300" t="s">
        <v>0</v>
      </c>
      <c r="AT300" s="2" t="s">
        <v>16</v>
      </c>
      <c r="AU300" s="1">
        <f t="shared" si="43"/>
        <v>0.56805744641093392</v>
      </c>
      <c r="AV300" s="1">
        <f t="shared" si="44"/>
        <v>0.40575531886495286</v>
      </c>
      <c r="AW300" s="1">
        <f t="shared" si="45"/>
        <v>0.24345319131897172</v>
      </c>
    </row>
    <row r="301" spans="1:49" x14ac:dyDescent="0.2">
      <c r="A301">
        <v>299</v>
      </c>
      <c r="B301" t="s">
        <v>8272</v>
      </c>
      <c r="C301" t="s">
        <v>8271</v>
      </c>
      <c r="F301" t="s">
        <v>8270</v>
      </c>
      <c r="G301" t="s">
        <v>12</v>
      </c>
      <c r="H301" t="s">
        <v>11</v>
      </c>
      <c r="I301" t="s">
        <v>8269</v>
      </c>
      <c r="J301">
        <v>60000221</v>
      </c>
      <c r="K301" t="s">
        <v>6165</v>
      </c>
      <c r="L301" t="s">
        <v>6164</v>
      </c>
      <c r="M301" t="s">
        <v>7</v>
      </c>
      <c r="N301">
        <v>1</v>
      </c>
      <c r="O301" t="s">
        <v>8268</v>
      </c>
      <c r="P301">
        <v>36972521000</v>
      </c>
      <c r="Q301">
        <v>60000221</v>
      </c>
      <c r="R301" s="7">
        <v>33604</v>
      </c>
      <c r="S301" s="8">
        <f t="shared" si="40"/>
        <v>1992</v>
      </c>
      <c r="T301" s="8">
        <v>1992</v>
      </c>
      <c r="U301" s="8">
        <f t="shared" si="41"/>
        <v>30</v>
      </c>
      <c r="V301" s="7">
        <v>33939</v>
      </c>
      <c r="W301" t="s">
        <v>1458</v>
      </c>
      <c r="X301" s="2">
        <v>0.30399999999999999</v>
      </c>
      <c r="Y301" s="6">
        <f t="shared" si="38"/>
        <v>8.115106377299057E-3</v>
      </c>
      <c r="AA301">
        <v>8952477</v>
      </c>
      <c r="AB301">
        <v>12250</v>
      </c>
      <c r="AC301">
        <v>10982760</v>
      </c>
      <c r="AD301" t="s">
        <v>4</v>
      </c>
      <c r="AE301">
        <v>5</v>
      </c>
      <c r="AF301">
        <v>13</v>
      </c>
      <c r="AH301" t="s">
        <v>8267</v>
      </c>
      <c r="AI301" t="s">
        <v>8266</v>
      </c>
      <c r="AJ301" t="s">
        <v>8265</v>
      </c>
      <c r="AK301" t="s">
        <v>8264</v>
      </c>
      <c r="AL301">
        <v>0</v>
      </c>
      <c r="AM301" s="5">
        <f t="shared" si="42"/>
        <v>0</v>
      </c>
      <c r="AN301" s="4">
        <f t="shared" si="39"/>
        <v>0</v>
      </c>
      <c r="AO301" s="3"/>
      <c r="AP301">
        <v>0</v>
      </c>
      <c r="AR301" t="s">
        <v>0</v>
      </c>
      <c r="AT301" s="2" t="s">
        <v>16</v>
      </c>
      <c r="AU301" s="1">
        <f t="shared" si="43"/>
        <v>0.56805744641093392</v>
      </c>
      <c r="AV301" s="1">
        <f t="shared" si="44"/>
        <v>0.40575531886495286</v>
      </c>
      <c r="AW301" s="1">
        <f t="shared" si="45"/>
        <v>0.24345319131897172</v>
      </c>
    </row>
    <row r="302" spans="1:49" x14ac:dyDescent="0.2">
      <c r="A302">
        <v>300</v>
      </c>
      <c r="B302" t="s">
        <v>8263</v>
      </c>
      <c r="C302" t="s">
        <v>8262</v>
      </c>
      <c r="F302" t="s">
        <v>8261</v>
      </c>
      <c r="G302" t="s">
        <v>12</v>
      </c>
      <c r="H302" t="s">
        <v>11</v>
      </c>
      <c r="I302" t="s">
        <v>8260</v>
      </c>
      <c r="J302">
        <v>60021902</v>
      </c>
      <c r="K302" t="s">
        <v>4873</v>
      </c>
      <c r="L302" t="s">
        <v>4872</v>
      </c>
      <c r="M302" t="s">
        <v>2540</v>
      </c>
      <c r="N302">
        <v>2</v>
      </c>
      <c r="O302" t="s">
        <v>8259</v>
      </c>
      <c r="P302" t="s">
        <v>8258</v>
      </c>
      <c r="Q302" t="s">
        <v>4869</v>
      </c>
      <c r="R302" s="7">
        <v>33604</v>
      </c>
      <c r="S302" s="8">
        <f t="shared" si="40"/>
        <v>1992</v>
      </c>
      <c r="T302" s="8">
        <v>1992</v>
      </c>
      <c r="U302" s="8">
        <f t="shared" si="41"/>
        <v>30</v>
      </c>
      <c r="V302" s="7">
        <v>33939</v>
      </c>
      <c r="W302" t="s">
        <v>1458</v>
      </c>
      <c r="X302" s="2">
        <v>0.30399999999999999</v>
      </c>
      <c r="Y302" s="6">
        <f t="shared" si="38"/>
        <v>8.115106377299057E-3</v>
      </c>
      <c r="AA302">
        <v>8952477</v>
      </c>
      <c r="AB302">
        <v>12250</v>
      </c>
      <c r="AC302">
        <v>10982760</v>
      </c>
      <c r="AD302" t="s">
        <v>4</v>
      </c>
      <c r="AE302">
        <v>5</v>
      </c>
      <c r="AF302">
        <v>13</v>
      </c>
      <c r="AH302" t="s">
        <v>8257</v>
      </c>
      <c r="AI302" t="s">
        <v>8256</v>
      </c>
      <c r="AJ302" t="s">
        <v>8255</v>
      </c>
      <c r="AK302" t="s">
        <v>8254</v>
      </c>
      <c r="AL302">
        <v>2</v>
      </c>
      <c r="AM302" s="5">
        <f t="shared" si="42"/>
        <v>6.6666666666666666E-2</v>
      </c>
      <c r="AN302" s="4">
        <f t="shared" si="39"/>
        <v>1.0097185409567084E-4</v>
      </c>
      <c r="AO302" s="3"/>
      <c r="AP302">
        <v>0</v>
      </c>
      <c r="AR302" t="s">
        <v>0</v>
      </c>
      <c r="AT302" s="2" t="s">
        <v>16</v>
      </c>
      <c r="AU302" s="1">
        <f t="shared" si="43"/>
        <v>0.57108660203380401</v>
      </c>
      <c r="AV302" s="1">
        <f t="shared" si="44"/>
        <v>0.41080391156973639</v>
      </c>
      <c r="AW302" s="1">
        <f t="shared" si="45"/>
        <v>0.25052122110566866</v>
      </c>
    </row>
    <row r="303" spans="1:49" x14ac:dyDescent="0.2">
      <c r="A303">
        <v>301</v>
      </c>
      <c r="B303" t="s">
        <v>8253</v>
      </c>
      <c r="C303" t="s">
        <v>8252</v>
      </c>
      <c r="F303" t="s">
        <v>8251</v>
      </c>
      <c r="G303" t="s">
        <v>12</v>
      </c>
      <c r="H303" t="s">
        <v>11</v>
      </c>
      <c r="I303" t="s">
        <v>8250</v>
      </c>
      <c r="J303">
        <v>60000891</v>
      </c>
      <c r="K303" t="s">
        <v>3022</v>
      </c>
      <c r="L303" t="s">
        <v>3021</v>
      </c>
      <c r="M303" t="s">
        <v>856</v>
      </c>
      <c r="N303">
        <v>3</v>
      </c>
      <c r="O303" t="s">
        <v>8249</v>
      </c>
      <c r="P303" t="s">
        <v>8248</v>
      </c>
      <c r="Q303" t="s">
        <v>7505</v>
      </c>
      <c r="R303" s="7">
        <v>33604</v>
      </c>
      <c r="S303" s="8">
        <f t="shared" si="40"/>
        <v>1992</v>
      </c>
      <c r="T303" s="8">
        <v>1992</v>
      </c>
      <c r="U303" s="8">
        <f t="shared" si="41"/>
        <v>30</v>
      </c>
      <c r="V303" s="7">
        <v>33909</v>
      </c>
      <c r="W303" t="s">
        <v>599</v>
      </c>
      <c r="X303" s="2">
        <v>0.375</v>
      </c>
      <c r="Y303" s="6">
        <f t="shared" si="38"/>
        <v>1.0010410827260351E-2</v>
      </c>
      <c r="AA303">
        <v>135194</v>
      </c>
      <c r="AB303">
        <v>24918</v>
      </c>
      <c r="AD303" t="s">
        <v>4</v>
      </c>
      <c r="AE303">
        <v>28</v>
      </c>
      <c r="AF303">
        <v>23</v>
      </c>
      <c r="AH303" t="s">
        <v>8247</v>
      </c>
      <c r="AI303" t="s">
        <v>8246</v>
      </c>
      <c r="AJ303" t="s">
        <v>8245</v>
      </c>
      <c r="AK303" t="s">
        <v>8244</v>
      </c>
      <c r="AL303">
        <v>8</v>
      </c>
      <c r="AM303" s="5">
        <f t="shared" si="42"/>
        <v>0.26666666666666666</v>
      </c>
      <c r="AN303" s="4">
        <f t="shared" si="39"/>
        <v>4.0388741638268334E-4</v>
      </c>
      <c r="AO303" s="3"/>
      <c r="AP303">
        <v>0</v>
      </c>
      <c r="AR303" t="s">
        <v>0</v>
      </c>
      <c r="AT303" s="2">
        <v>1.3140000000000001</v>
      </c>
      <c r="AU303" s="1">
        <f t="shared" si="43"/>
        <v>0.71284538039970513</v>
      </c>
      <c r="AV303" s="1">
        <f t="shared" si="44"/>
        <v>0.52071491218215171</v>
      </c>
      <c r="AW303" s="1">
        <f t="shared" si="45"/>
        <v>0.32858444396459835</v>
      </c>
    </row>
    <row r="304" spans="1:49" x14ac:dyDescent="0.2">
      <c r="A304">
        <v>302</v>
      </c>
      <c r="B304" t="s">
        <v>8243</v>
      </c>
      <c r="C304" t="s">
        <v>8242</v>
      </c>
      <c r="F304" t="s">
        <v>8241</v>
      </c>
      <c r="G304" t="s">
        <v>12</v>
      </c>
      <c r="H304" t="s">
        <v>11</v>
      </c>
      <c r="I304" t="s">
        <v>3475</v>
      </c>
      <c r="J304" t="s">
        <v>6681</v>
      </c>
      <c r="K304" t="s">
        <v>6680</v>
      </c>
      <c r="L304" t="s">
        <v>6679</v>
      </c>
      <c r="M304" t="s">
        <v>931</v>
      </c>
      <c r="N304">
        <v>4</v>
      </c>
      <c r="O304" t="s">
        <v>8240</v>
      </c>
      <c r="P304" t="s">
        <v>8239</v>
      </c>
      <c r="Q304" t="s">
        <v>8238</v>
      </c>
      <c r="R304" s="7">
        <v>33604</v>
      </c>
      <c r="S304" s="8">
        <f t="shared" si="40"/>
        <v>1992</v>
      </c>
      <c r="T304" s="8">
        <v>1992</v>
      </c>
      <c r="U304" s="8">
        <f t="shared" si="41"/>
        <v>30</v>
      </c>
      <c r="V304" s="7">
        <v>33909</v>
      </c>
      <c r="W304" t="s">
        <v>599</v>
      </c>
      <c r="X304" s="2">
        <v>0.375</v>
      </c>
      <c r="Y304" s="6">
        <f t="shared" si="38"/>
        <v>1.0010410827260351E-2</v>
      </c>
      <c r="AA304">
        <v>135194</v>
      </c>
      <c r="AB304">
        <v>24918</v>
      </c>
      <c r="AD304" t="s">
        <v>4</v>
      </c>
      <c r="AE304">
        <v>28</v>
      </c>
      <c r="AF304">
        <v>23</v>
      </c>
      <c r="AH304" t="s">
        <v>8237</v>
      </c>
      <c r="AI304" t="s">
        <v>8236</v>
      </c>
      <c r="AJ304" t="s">
        <v>8235</v>
      </c>
      <c r="AK304" t="s">
        <v>8234</v>
      </c>
      <c r="AL304">
        <v>7</v>
      </c>
      <c r="AM304" s="5">
        <f t="shared" si="42"/>
        <v>0.23333333333333334</v>
      </c>
      <c r="AN304" s="4">
        <f t="shared" si="39"/>
        <v>3.5340148933484791E-4</v>
      </c>
      <c r="AO304" s="3"/>
      <c r="AP304">
        <v>0</v>
      </c>
      <c r="AR304" t="s">
        <v>0</v>
      </c>
      <c r="AT304" s="2">
        <v>1.3140000000000001</v>
      </c>
      <c r="AU304" s="1">
        <f t="shared" si="43"/>
        <v>0.71133080258826997</v>
      </c>
      <c r="AV304" s="1">
        <f t="shared" si="44"/>
        <v>0.51819061582976</v>
      </c>
      <c r="AW304" s="1">
        <f t="shared" si="45"/>
        <v>0.32505042907124987</v>
      </c>
    </row>
    <row r="305" spans="1:49" x14ac:dyDescent="0.2">
      <c r="A305">
        <v>303</v>
      </c>
      <c r="B305" t="s">
        <v>8233</v>
      </c>
      <c r="C305" t="s">
        <v>8232</v>
      </c>
      <c r="F305" t="s">
        <v>8231</v>
      </c>
      <c r="G305" t="s">
        <v>12</v>
      </c>
      <c r="H305" t="s">
        <v>11</v>
      </c>
      <c r="I305" t="s">
        <v>8230</v>
      </c>
      <c r="J305">
        <v>60032144</v>
      </c>
      <c r="K305" t="s">
        <v>7765</v>
      </c>
      <c r="L305" t="s">
        <v>7764</v>
      </c>
      <c r="M305" t="s">
        <v>3177</v>
      </c>
      <c r="N305">
        <v>3</v>
      </c>
      <c r="O305" t="s">
        <v>8229</v>
      </c>
      <c r="P305" t="s">
        <v>8228</v>
      </c>
      <c r="Q305" t="s">
        <v>8227</v>
      </c>
      <c r="R305" s="7">
        <v>33604</v>
      </c>
      <c r="S305" s="8">
        <f t="shared" si="40"/>
        <v>1992</v>
      </c>
      <c r="T305" s="8">
        <v>1992</v>
      </c>
      <c r="U305" s="8">
        <f t="shared" si="41"/>
        <v>30</v>
      </c>
      <c r="V305" s="7">
        <v>33909</v>
      </c>
      <c r="W305" t="s">
        <v>599</v>
      </c>
      <c r="X305" s="2">
        <v>0.375</v>
      </c>
      <c r="Y305" s="6">
        <f t="shared" si="38"/>
        <v>1.0010410827260351E-2</v>
      </c>
      <c r="AA305">
        <v>135194</v>
      </c>
      <c r="AB305">
        <v>24918</v>
      </c>
      <c r="AD305" t="s">
        <v>4</v>
      </c>
      <c r="AE305">
        <v>28</v>
      </c>
      <c r="AF305">
        <v>23</v>
      </c>
      <c r="AH305" t="s">
        <v>8226</v>
      </c>
      <c r="AI305" t="s">
        <v>8225</v>
      </c>
      <c r="AJ305" t="s">
        <v>8224</v>
      </c>
      <c r="AK305" t="s">
        <v>8223</v>
      </c>
      <c r="AL305">
        <v>0</v>
      </c>
      <c r="AM305" s="5">
        <f t="shared" si="42"/>
        <v>0</v>
      </c>
      <c r="AN305" s="4">
        <f t="shared" si="39"/>
        <v>0</v>
      </c>
      <c r="AO305" s="3"/>
      <c r="AP305">
        <v>0</v>
      </c>
      <c r="AR305" t="s">
        <v>0</v>
      </c>
      <c r="AT305" s="2">
        <v>1.3140000000000001</v>
      </c>
      <c r="AU305" s="1">
        <f t="shared" si="43"/>
        <v>0.70072875790822453</v>
      </c>
      <c r="AV305" s="1">
        <f t="shared" si="44"/>
        <v>0.5005205413630176</v>
      </c>
      <c r="AW305" s="1">
        <f t="shared" si="45"/>
        <v>0.30031232481781051</v>
      </c>
    </row>
    <row r="306" spans="1:49" x14ac:dyDescent="0.2">
      <c r="A306">
        <v>304</v>
      </c>
      <c r="B306" t="s">
        <v>8222</v>
      </c>
      <c r="C306" t="s">
        <v>8221</v>
      </c>
      <c r="F306" t="s">
        <v>8220</v>
      </c>
      <c r="G306" t="s">
        <v>12</v>
      </c>
      <c r="H306" t="s">
        <v>11</v>
      </c>
      <c r="I306" t="s">
        <v>3251</v>
      </c>
      <c r="J306">
        <v>60032882</v>
      </c>
      <c r="K306" t="s">
        <v>2769</v>
      </c>
      <c r="L306" t="s">
        <v>2768</v>
      </c>
      <c r="M306" t="s">
        <v>273</v>
      </c>
      <c r="N306">
        <v>2</v>
      </c>
      <c r="O306" t="s">
        <v>8219</v>
      </c>
      <c r="P306" t="s">
        <v>8218</v>
      </c>
      <c r="Q306" t="s">
        <v>2765</v>
      </c>
      <c r="R306" s="7">
        <v>33604</v>
      </c>
      <c r="S306" s="8">
        <f t="shared" si="40"/>
        <v>1992</v>
      </c>
      <c r="T306" s="8">
        <v>1992</v>
      </c>
      <c r="U306" s="8">
        <f t="shared" si="41"/>
        <v>30</v>
      </c>
      <c r="V306" s="7">
        <v>33909</v>
      </c>
      <c r="W306" t="s">
        <v>599</v>
      </c>
      <c r="X306" s="2">
        <v>0.375</v>
      </c>
      <c r="Y306" s="6">
        <f t="shared" si="38"/>
        <v>1.0010410827260351E-2</v>
      </c>
      <c r="AA306">
        <v>135194</v>
      </c>
      <c r="AB306">
        <v>24918</v>
      </c>
      <c r="AD306" t="s">
        <v>4</v>
      </c>
      <c r="AE306">
        <v>28</v>
      </c>
      <c r="AF306">
        <v>23</v>
      </c>
      <c r="AH306" t="s">
        <v>8217</v>
      </c>
      <c r="AI306" t="s">
        <v>8216</v>
      </c>
      <c r="AJ306" t="s">
        <v>8215</v>
      </c>
      <c r="AK306" t="s">
        <v>8214</v>
      </c>
      <c r="AL306">
        <v>11</v>
      </c>
      <c r="AM306" s="5">
        <f t="shared" si="42"/>
        <v>0.36666666666666664</v>
      </c>
      <c r="AN306" s="4">
        <f t="shared" si="39"/>
        <v>5.5534519752618958E-4</v>
      </c>
      <c r="AO306" s="3"/>
      <c r="AP306">
        <v>0</v>
      </c>
      <c r="AR306" t="s">
        <v>0</v>
      </c>
      <c r="AT306" s="2">
        <v>1.3140000000000001</v>
      </c>
      <c r="AU306" s="1">
        <f t="shared" si="43"/>
        <v>0.71738911383401027</v>
      </c>
      <c r="AV306" s="1">
        <f t="shared" si="44"/>
        <v>0.52828780123932706</v>
      </c>
      <c r="AW306" s="1">
        <f t="shared" si="45"/>
        <v>0.33918648864464374</v>
      </c>
    </row>
    <row r="307" spans="1:49" x14ac:dyDescent="0.2">
      <c r="A307">
        <v>305</v>
      </c>
      <c r="B307" t="s">
        <v>8213</v>
      </c>
      <c r="C307" t="s">
        <v>8212</v>
      </c>
      <c r="F307" t="s">
        <v>8211</v>
      </c>
      <c r="G307" t="s">
        <v>12</v>
      </c>
      <c r="H307" t="s">
        <v>11</v>
      </c>
      <c r="I307" t="s">
        <v>8210</v>
      </c>
      <c r="J307">
        <v>60001881</v>
      </c>
      <c r="K307" t="s">
        <v>2555</v>
      </c>
      <c r="L307" t="s">
        <v>2554</v>
      </c>
      <c r="M307" t="s">
        <v>856</v>
      </c>
      <c r="N307">
        <v>3</v>
      </c>
      <c r="O307" t="s">
        <v>8209</v>
      </c>
      <c r="P307" t="s">
        <v>8208</v>
      </c>
      <c r="Q307" t="s">
        <v>2551</v>
      </c>
      <c r="R307" s="7">
        <v>33604</v>
      </c>
      <c r="S307" s="8">
        <f t="shared" si="40"/>
        <v>1992</v>
      </c>
      <c r="T307" s="8">
        <v>1992</v>
      </c>
      <c r="U307" s="8">
        <f t="shared" si="41"/>
        <v>30</v>
      </c>
      <c r="V307" s="7">
        <v>33909</v>
      </c>
      <c r="W307" t="s">
        <v>599</v>
      </c>
      <c r="X307" s="2">
        <v>0.375</v>
      </c>
      <c r="Y307" s="6">
        <f t="shared" si="38"/>
        <v>1.0010410827260351E-2</v>
      </c>
      <c r="AA307">
        <v>135194</v>
      </c>
      <c r="AB307">
        <v>24918</v>
      </c>
      <c r="AD307" t="s">
        <v>4</v>
      </c>
      <c r="AE307">
        <v>28</v>
      </c>
      <c r="AF307">
        <v>23</v>
      </c>
      <c r="AH307" t="s">
        <v>8207</v>
      </c>
      <c r="AI307" t="s">
        <v>8206</v>
      </c>
      <c r="AJ307" t="s">
        <v>8205</v>
      </c>
      <c r="AK307" t="s">
        <v>8204</v>
      </c>
      <c r="AL307">
        <v>7</v>
      </c>
      <c r="AM307" s="5">
        <f t="shared" si="42"/>
        <v>0.23333333333333334</v>
      </c>
      <c r="AN307" s="4">
        <f t="shared" si="39"/>
        <v>3.5340148933484791E-4</v>
      </c>
      <c r="AO307" s="3"/>
      <c r="AP307">
        <v>0</v>
      </c>
      <c r="AR307" t="s">
        <v>0</v>
      </c>
      <c r="AT307" s="2">
        <v>1.3140000000000001</v>
      </c>
      <c r="AU307" s="1">
        <f t="shared" si="43"/>
        <v>0.71133080258826997</v>
      </c>
      <c r="AV307" s="1">
        <f t="shared" si="44"/>
        <v>0.51819061582976</v>
      </c>
      <c r="AW307" s="1">
        <f t="shared" si="45"/>
        <v>0.32505042907124987</v>
      </c>
    </row>
    <row r="308" spans="1:49" x14ac:dyDescent="0.2">
      <c r="A308">
        <v>306</v>
      </c>
      <c r="B308" t="s">
        <v>8203</v>
      </c>
      <c r="C308" t="s">
        <v>8202</v>
      </c>
      <c r="F308" t="s">
        <v>8201</v>
      </c>
      <c r="G308" t="s">
        <v>12</v>
      </c>
      <c r="H308" t="s">
        <v>11</v>
      </c>
      <c r="I308" t="s">
        <v>8200</v>
      </c>
      <c r="J308">
        <v>60021902</v>
      </c>
      <c r="K308" t="s">
        <v>4873</v>
      </c>
      <c r="L308" t="s">
        <v>4872</v>
      </c>
      <c r="M308" t="s">
        <v>2540</v>
      </c>
      <c r="N308">
        <v>2</v>
      </c>
      <c r="O308" t="s">
        <v>8199</v>
      </c>
      <c r="P308" t="s">
        <v>8198</v>
      </c>
      <c r="Q308" t="s">
        <v>4869</v>
      </c>
      <c r="R308" s="7">
        <v>33604</v>
      </c>
      <c r="S308" s="8">
        <f t="shared" si="40"/>
        <v>1992</v>
      </c>
      <c r="T308" s="8">
        <v>1992</v>
      </c>
      <c r="U308" s="8">
        <f t="shared" si="41"/>
        <v>30</v>
      </c>
      <c r="V308" s="7">
        <v>33760</v>
      </c>
      <c r="W308" t="s">
        <v>1458</v>
      </c>
      <c r="X308" s="2">
        <v>0.30399999999999999</v>
      </c>
      <c r="Y308" s="6">
        <f t="shared" si="38"/>
        <v>8.115106377299057E-3</v>
      </c>
      <c r="AA308">
        <v>8952477</v>
      </c>
      <c r="AB308">
        <v>12250</v>
      </c>
      <c r="AC308">
        <v>10982760</v>
      </c>
      <c r="AD308" t="s">
        <v>4</v>
      </c>
      <c r="AE308">
        <v>5</v>
      </c>
      <c r="AF308">
        <v>6</v>
      </c>
      <c r="AH308" t="s">
        <v>8197</v>
      </c>
      <c r="AI308" t="s">
        <v>8196</v>
      </c>
      <c r="AJ308" t="s">
        <v>8195</v>
      </c>
      <c r="AK308" t="s">
        <v>8194</v>
      </c>
      <c r="AL308">
        <v>9</v>
      </c>
      <c r="AM308" s="5">
        <f t="shared" si="42"/>
        <v>0.3</v>
      </c>
      <c r="AN308" s="4">
        <f t="shared" si="39"/>
        <v>4.5437334343051872E-4</v>
      </c>
      <c r="AO308" s="3"/>
      <c r="AP308">
        <v>0</v>
      </c>
      <c r="AR308" t="s">
        <v>0</v>
      </c>
      <c r="AT308" s="2" t="s">
        <v>16</v>
      </c>
      <c r="AU308" s="1">
        <f t="shared" si="43"/>
        <v>0.58168864671384946</v>
      </c>
      <c r="AV308" s="1">
        <f t="shared" si="44"/>
        <v>0.42847398603647879</v>
      </c>
      <c r="AW308" s="1">
        <f t="shared" si="45"/>
        <v>0.27525932535910802</v>
      </c>
    </row>
    <row r="309" spans="1:49" x14ac:dyDescent="0.2">
      <c r="A309">
        <v>307</v>
      </c>
      <c r="B309" t="s">
        <v>8193</v>
      </c>
      <c r="C309" t="s">
        <v>8192</v>
      </c>
      <c r="F309" t="s">
        <v>8191</v>
      </c>
      <c r="G309" t="s">
        <v>12</v>
      </c>
      <c r="H309" t="s">
        <v>11</v>
      </c>
      <c r="I309" t="s">
        <v>8190</v>
      </c>
      <c r="J309">
        <v>60000745</v>
      </c>
      <c r="K309" t="s">
        <v>1235</v>
      </c>
      <c r="L309" t="s">
        <v>1234</v>
      </c>
      <c r="M309" t="s">
        <v>7</v>
      </c>
      <c r="N309">
        <v>2</v>
      </c>
      <c r="O309" t="s">
        <v>8189</v>
      </c>
      <c r="P309" t="s">
        <v>8188</v>
      </c>
      <c r="Q309" t="s">
        <v>2681</v>
      </c>
      <c r="R309" s="7">
        <v>33604</v>
      </c>
      <c r="S309" s="8">
        <f t="shared" si="40"/>
        <v>1992</v>
      </c>
      <c r="T309" s="8">
        <v>1992</v>
      </c>
      <c r="U309" s="8">
        <f t="shared" si="41"/>
        <v>30</v>
      </c>
      <c r="V309" s="7">
        <v>33760</v>
      </c>
      <c r="W309" t="s">
        <v>1458</v>
      </c>
      <c r="X309" s="2">
        <v>0.30399999999999999</v>
      </c>
      <c r="Y309" s="6">
        <f t="shared" si="38"/>
        <v>8.115106377299057E-3</v>
      </c>
      <c r="AA309">
        <v>8952477</v>
      </c>
      <c r="AB309">
        <v>12250</v>
      </c>
      <c r="AC309">
        <v>10982760</v>
      </c>
      <c r="AD309" t="s">
        <v>4</v>
      </c>
      <c r="AE309">
        <v>5</v>
      </c>
      <c r="AF309">
        <v>6</v>
      </c>
      <c r="AH309" t="s">
        <v>8187</v>
      </c>
      <c r="AI309" t="s">
        <v>8186</v>
      </c>
      <c r="AJ309" t="s">
        <v>8185</v>
      </c>
      <c r="AK309" t="s">
        <v>8184</v>
      </c>
      <c r="AL309">
        <v>22</v>
      </c>
      <c r="AM309" s="5">
        <f t="shared" si="42"/>
        <v>0.73333333333333328</v>
      </c>
      <c r="AN309" s="4">
        <f t="shared" si="39"/>
        <v>1.1106903950523792E-3</v>
      </c>
      <c r="AO309" s="3"/>
      <c r="AP309">
        <v>0</v>
      </c>
      <c r="AR309" t="s">
        <v>0</v>
      </c>
      <c r="AT309" s="2" t="s">
        <v>16</v>
      </c>
      <c r="AU309" s="1">
        <f t="shared" si="43"/>
        <v>0.60137815826250529</v>
      </c>
      <c r="AV309" s="1">
        <f t="shared" si="44"/>
        <v>0.46128983861757178</v>
      </c>
      <c r="AW309" s="1">
        <f t="shared" si="45"/>
        <v>0.32120151897263827</v>
      </c>
    </row>
    <row r="310" spans="1:49" x14ac:dyDescent="0.2">
      <c r="A310">
        <v>308</v>
      </c>
      <c r="B310" t="s">
        <v>8183</v>
      </c>
      <c r="C310" t="s">
        <v>8182</v>
      </c>
      <c r="F310" t="s">
        <v>8181</v>
      </c>
      <c r="G310" t="s">
        <v>12</v>
      </c>
      <c r="H310" t="s">
        <v>11</v>
      </c>
      <c r="I310" t="s">
        <v>4088</v>
      </c>
      <c r="J310" t="s">
        <v>8180</v>
      </c>
      <c r="K310" t="s">
        <v>8179</v>
      </c>
      <c r="L310" t="s">
        <v>8178</v>
      </c>
      <c r="M310" t="s">
        <v>125</v>
      </c>
      <c r="N310">
        <v>4</v>
      </c>
      <c r="O310" t="s">
        <v>8177</v>
      </c>
      <c r="P310" t="s">
        <v>8176</v>
      </c>
      <c r="Q310" t="s">
        <v>8175</v>
      </c>
      <c r="R310" s="7">
        <v>33604</v>
      </c>
      <c r="S310" s="8">
        <f t="shared" si="40"/>
        <v>1992</v>
      </c>
      <c r="T310" s="8">
        <v>1992</v>
      </c>
      <c r="U310" s="8">
        <f t="shared" si="41"/>
        <v>30</v>
      </c>
      <c r="V310" s="7">
        <v>33760</v>
      </c>
      <c r="W310" t="s">
        <v>1458</v>
      </c>
      <c r="X310" s="2">
        <v>0.30399999999999999</v>
      </c>
      <c r="Y310" s="6">
        <f t="shared" si="38"/>
        <v>8.115106377299057E-3</v>
      </c>
      <c r="AA310">
        <v>8952477</v>
      </c>
      <c r="AB310">
        <v>12250</v>
      </c>
      <c r="AC310">
        <v>10982760</v>
      </c>
      <c r="AD310" t="s">
        <v>4</v>
      </c>
      <c r="AE310">
        <v>5</v>
      </c>
      <c r="AF310">
        <v>6</v>
      </c>
      <c r="AH310" t="s">
        <v>8174</v>
      </c>
      <c r="AL310">
        <v>3</v>
      </c>
      <c r="AM310" s="5">
        <f t="shared" si="42"/>
        <v>0.1</v>
      </c>
      <c r="AN310" s="4">
        <f t="shared" si="39"/>
        <v>1.5145778114350627E-4</v>
      </c>
      <c r="AO310" s="3"/>
      <c r="AP310">
        <v>0</v>
      </c>
      <c r="AR310" t="s">
        <v>0</v>
      </c>
      <c r="AT310" s="2" t="s">
        <v>16</v>
      </c>
      <c r="AU310" s="1">
        <f t="shared" si="43"/>
        <v>0.57260117984523917</v>
      </c>
      <c r="AV310" s="1">
        <f t="shared" si="44"/>
        <v>0.41332820792212815</v>
      </c>
      <c r="AW310" s="1">
        <f t="shared" si="45"/>
        <v>0.25405523599901714</v>
      </c>
    </row>
    <row r="311" spans="1:49" x14ac:dyDescent="0.2">
      <c r="A311">
        <v>309</v>
      </c>
      <c r="B311" t="s">
        <v>8173</v>
      </c>
      <c r="C311" t="s">
        <v>8172</v>
      </c>
      <c r="F311" t="s">
        <v>8171</v>
      </c>
      <c r="G311" t="s">
        <v>12</v>
      </c>
      <c r="H311" t="s">
        <v>11</v>
      </c>
      <c r="I311" t="s">
        <v>8170</v>
      </c>
      <c r="J311">
        <v>60008134</v>
      </c>
      <c r="K311" t="s">
        <v>8169</v>
      </c>
      <c r="L311" t="s">
        <v>618</v>
      </c>
      <c r="M311" t="s">
        <v>617</v>
      </c>
      <c r="N311">
        <v>4</v>
      </c>
      <c r="O311" t="s">
        <v>8168</v>
      </c>
      <c r="P311" t="s">
        <v>8167</v>
      </c>
      <c r="Q311" t="s">
        <v>8166</v>
      </c>
      <c r="R311" s="7">
        <v>33604</v>
      </c>
      <c r="S311" s="8">
        <f t="shared" si="40"/>
        <v>1992</v>
      </c>
      <c r="T311" s="8">
        <v>1992</v>
      </c>
      <c r="U311" s="8">
        <f t="shared" si="41"/>
        <v>30</v>
      </c>
      <c r="V311" s="7">
        <v>33760</v>
      </c>
      <c r="W311" t="s">
        <v>1458</v>
      </c>
      <c r="X311" s="2">
        <v>0.30399999999999999</v>
      </c>
      <c r="Y311" s="6">
        <f t="shared" si="38"/>
        <v>8.115106377299057E-3</v>
      </c>
      <c r="AA311">
        <v>8952477</v>
      </c>
      <c r="AB311">
        <v>12250</v>
      </c>
      <c r="AC311">
        <v>10982760</v>
      </c>
      <c r="AD311" t="s">
        <v>4</v>
      </c>
      <c r="AE311">
        <v>5</v>
      </c>
      <c r="AF311">
        <v>6</v>
      </c>
      <c r="AH311" t="s">
        <v>8165</v>
      </c>
      <c r="AI311" t="s">
        <v>8164</v>
      </c>
      <c r="AJ311" t="s">
        <v>8163</v>
      </c>
      <c r="AK311" t="s">
        <v>8162</v>
      </c>
      <c r="AL311">
        <v>1</v>
      </c>
      <c r="AM311" s="5">
        <f t="shared" si="42"/>
        <v>3.3333333333333333E-2</v>
      </c>
      <c r="AN311" s="4">
        <f t="shared" si="39"/>
        <v>5.0485927047835418E-5</v>
      </c>
      <c r="AO311" s="3"/>
      <c r="AP311">
        <v>0</v>
      </c>
      <c r="AR311" t="s">
        <v>0</v>
      </c>
      <c r="AT311" s="2" t="s">
        <v>16</v>
      </c>
      <c r="AU311" s="1">
        <f t="shared" si="43"/>
        <v>0.56957202422236908</v>
      </c>
      <c r="AV311" s="1">
        <f t="shared" si="44"/>
        <v>0.40827961521734463</v>
      </c>
      <c r="AW311" s="1">
        <f t="shared" si="45"/>
        <v>0.2469872062123202</v>
      </c>
    </row>
    <row r="312" spans="1:49" x14ac:dyDescent="0.2">
      <c r="A312">
        <v>310</v>
      </c>
      <c r="B312" t="s">
        <v>8161</v>
      </c>
      <c r="C312" t="s">
        <v>8160</v>
      </c>
      <c r="F312" t="s">
        <v>8159</v>
      </c>
      <c r="G312" t="s">
        <v>12</v>
      </c>
      <c r="H312" t="s">
        <v>11</v>
      </c>
      <c r="I312" t="s">
        <v>8158</v>
      </c>
      <c r="J312">
        <v>60012564</v>
      </c>
      <c r="K312" t="s">
        <v>5123</v>
      </c>
      <c r="L312" t="s">
        <v>5122</v>
      </c>
      <c r="M312" t="s">
        <v>7</v>
      </c>
      <c r="N312">
        <v>1</v>
      </c>
      <c r="O312" t="s">
        <v>8157</v>
      </c>
      <c r="P312">
        <v>7402253651</v>
      </c>
      <c r="Q312">
        <v>60012564</v>
      </c>
      <c r="R312" s="7">
        <v>33604</v>
      </c>
      <c r="S312" s="8">
        <f t="shared" si="40"/>
        <v>1992</v>
      </c>
      <c r="T312" s="8">
        <v>1992</v>
      </c>
      <c r="U312" s="8">
        <f t="shared" si="41"/>
        <v>30</v>
      </c>
      <c r="V312" s="7">
        <v>33939</v>
      </c>
      <c r="W312" t="s">
        <v>599</v>
      </c>
      <c r="X312" s="2">
        <v>0.375</v>
      </c>
      <c r="Y312" s="6">
        <f t="shared" si="38"/>
        <v>1.0010410827260351E-2</v>
      </c>
      <c r="AA312">
        <v>135194</v>
      </c>
      <c r="AB312">
        <v>24918</v>
      </c>
      <c r="AD312" t="s">
        <v>4</v>
      </c>
      <c r="AE312">
        <v>28</v>
      </c>
      <c r="AF312">
        <v>25</v>
      </c>
      <c r="AH312" t="s">
        <v>8156</v>
      </c>
      <c r="AI312" t="s">
        <v>8155</v>
      </c>
      <c r="AJ312" t="s">
        <v>8154</v>
      </c>
      <c r="AK312" t="s">
        <v>8153</v>
      </c>
      <c r="AL312">
        <v>1</v>
      </c>
      <c r="AM312" s="5">
        <f t="shared" si="42"/>
        <v>3.3333333333333333E-2</v>
      </c>
      <c r="AN312" s="4">
        <f t="shared" si="39"/>
        <v>5.0485927047835418E-5</v>
      </c>
      <c r="AO312" s="3"/>
      <c r="AP312">
        <v>0</v>
      </c>
      <c r="AR312" t="s">
        <v>0</v>
      </c>
      <c r="AT312" s="2">
        <v>1.3140000000000001</v>
      </c>
      <c r="AU312" s="1">
        <f t="shared" si="43"/>
        <v>0.70224333571965969</v>
      </c>
      <c r="AV312" s="1">
        <f t="shared" si="44"/>
        <v>0.50304483771540931</v>
      </c>
      <c r="AW312" s="1">
        <f t="shared" si="45"/>
        <v>0.30384633971115899</v>
      </c>
    </row>
    <row r="313" spans="1:49" x14ac:dyDescent="0.2">
      <c r="A313">
        <v>311</v>
      </c>
      <c r="B313" t="s">
        <v>8152</v>
      </c>
      <c r="C313" t="s">
        <v>8151</v>
      </c>
      <c r="F313" t="s">
        <v>8150</v>
      </c>
      <c r="G313" t="s">
        <v>12</v>
      </c>
      <c r="H313" t="s">
        <v>11</v>
      </c>
      <c r="I313" t="s">
        <v>8149</v>
      </c>
      <c r="J313">
        <v>60006288</v>
      </c>
      <c r="K313" t="s">
        <v>5594</v>
      </c>
      <c r="L313" t="s">
        <v>5593</v>
      </c>
      <c r="M313" t="s">
        <v>273</v>
      </c>
      <c r="N313">
        <v>2</v>
      </c>
      <c r="O313" t="s">
        <v>8148</v>
      </c>
      <c r="P313" t="s">
        <v>8147</v>
      </c>
      <c r="Q313" t="s">
        <v>5590</v>
      </c>
      <c r="R313" s="7">
        <v>33604</v>
      </c>
      <c r="S313" s="8">
        <f t="shared" si="40"/>
        <v>1992</v>
      </c>
      <c r="T313" s="8">
        <v>1992</v>
      </c>
      <c r="U313" s="8">
        <f t="shared" si="41"/>
        <v>30</v>
      </c>
      <c r="V313" s="7">
        <v>33939</v>
      </c>
      <c r="W313" t="s">
        <v>599</v>
      </c>
      <c r="X313" s="2">
        <v>0.375</v>
      </c>
      <c r="Y313" s="6">
        <f t="shared" si="38"/>
        <v>1.0010410827260351E-2</v>
      </c>
      <c r="AA313">
        <v>135194</v>
      </c>
      <c r="AB313">
        <v>24918</v>
      </c>
      <c r="AD313" t="s">
        <v>4</v>
      </c>
      <c r="AE313">
        <v>28</v>
      </c>
      <c r="AF313">
        <v>25</v>
      </c>
      <c r="AH313" t="s">
        <v>8146</v>
      </c>
      <c r="AI313" t="s">
        <v>8145</v>
      </c>
      <c r="AJ313" t="s">
        <v>8144</v>
      </c>
      <c r="AK313" t="s">
        <v>8143</v>
      </c>
      <c r="AL313">
        <v>5</v>
      </c>
      <c r="AM313" s="5">
        <f t="shared" si="42"/>
        <v>0.16666666666666666</v>
      </c>
      <c r="AN313" s="4">
        <f t="shared" si="39"/>
        <v>2.5242963523917705E-4</v>
      </c>
      <c r="AO313" s="3"/>
      <c r="AP313">
        <v>0</v>
      </c>
      <c r="AR313" t="s">
        <v>0</v>
      </c>
      <c r="AT313" s="2">
        <v>1.3140000000000001</v>
      </c>
      <c r="AU313" s="1">
        <f t="shared" si="43"/>
        <v>0.70830164696539988</v>
      </c>
      <c r="AV313" s="1">
        <f t="shared" si="44"/>
        <v>0.51314202312497648</v>
      </c>
      <c r="AW313" s="1">
        <f t="shared" si="45"/>
        <v>0.31798239928455291</v>
      </c>
    </row>
    <row r="314" spans="1:49" x14ac:dyDescent="0.2">
      <c r="A314">
        <v>312</v>
      </c>
      <c r="B314" t="s">
        <v>8142</v>
      </c>
      <c r="C314" t="s">
        <v>8141</v>
      </c>
      <c r="F314" t="s">
        <v>8140</v>
      </c>
      <c r="G314" t="s">
        <v>12</v>
      </c>
      <c r="H314" t="s">
        <v>11</v>
      </c>
      <c r="I314" t="s">
        <v>8139</v>
      </c>
      <c r="J314" t="s">
        <v>8138</v>
      </c>
      <c r="K314" t="s">
        <v>8137</v>
      </c>
      <c r="L314" t="s">
        <v>8136</v>
      </c>
      <c r="M314" t="s">
        <v>8135</v>
      </c>
      <c r="N314">
        <v>3</v>
      </c>
      <c r="O314" t="s">
        <v>8134</v>
      </c>
      <c r="P314" t="s">
        <v>8133</v>
      </c>
      <c r="Q314" t="s">
        <v>8132</v>
      </c>
      <c r="R314" s="7">
        <v>33604</v>
      </c>
      <c r="S314" s="8">
        <f t="shared" si="40"/>
        <v>1992</v>
      </c>
      <c r="T314" s="8">
        <v>1992</v>
      </c>
      <c r="U314" s="8">
        <f t="shared" si="41"/>
        <v>30</v>
      </c>
      <c r="V314" s="7">
        <v>33939</v>
      </c>
      <c r="W314" t="s">
        <v>599</v>
      </c>
      <c r="X314" s="2">
        <v>0.375</v>
      </c>
      <c r="Y314" s="6">
        <f t="shared" si="38"/>
        <v>1.0010410827260351E-2</v>
      </c>
      <c r="AA314">
        <v>135194</v>
      </c>
      <c r="AB314">
        <v>24918</v>
      </c>
      <c r="AD314" t="s">
        <v>4</v>
      </c>
      <c r="AE314">
        <v>28</v>
      </c>
      <c r="AF314">
        <v>25</v>
      </c>
      <c r="AH314" t="s">
        <v>8131</v>
      </c>
      <c r="AI314" t="s">
        <v>8130</v>
      </c>
      <c r="AJ314" t="s">
        <v>8129</v>
      </c>
      <c r="AK314" t="s">
        <v>8128</v>
      </c>
      <c r="AL314">
        <v>6</v>
      </c>
      <c r="AM314" s="5">
        <f t="shared" si="42"/>
        <v>0.2</v>
      </c>
      <c r="AN314" s="4">
        <f t="shared" si="39"/>
        <v>3.0291556228701253E-4</v>
      </c>
      <c r="AO314" s="3"/>
      <c r="AP314">
        <v>0</v>
      </c>
      <c r="AR314" t="s">
        <v>0</v>
      </c>
      <c r="AT314" s="2">
        <v>1.3140000000000001</v>
      </c>
      <c r="AU314" s="1">
        <f t="shared" si="43"/>
        <v>0.70981622477683493</v>
      </c>
      <c r="AV314" s="1">
        <f t="shared" si="44"/>
        <v>0.51566631947736818</v>
      </c>
      <c r="AW314" s="1">
        <f t="shared" si="45"/>
        <v>0.32151641417790139</v>
      </c>
    </row>
    <row r="315" spans="1:49" x14ac:dyDescent="0.2">
      <c r="A315">
        <v>313</v>
      </c>
      <c r="B315" t="s">
        <v>8127</v>
      </c>
      <c r="C315" t="s">
        <v>8126</v>
      </c>
      <c r="F315" t="s">
        <v>8125</v>
      </c>
      <c r="G315" t="s">
        <v>12</v>
      </c>
      <c r="H315" t="s">
        <v>11</v>
      </c>
      <c r="I315" t="s">
        <v>8124</v>
      </c>
      <c r="J315">
        <v>100674781</v>
      </c>
      <c r="K315" t="s">
        <v>8123</v>
      </c>
      <c r="L315" t="s">
        <v>8122</v>
      </c>
      <c r="M315" t="s">
        <v>338</v>
      </c>
      <c r="N315">
        <v>5</v>
      </c>
      <c r="O315" t="s">
        <v>8121</v>
      </c>
      <c r="P315" t="s">
        <v>8120</v>
      </c>
      <c r="Q315" t="s">
        <v>8119</v>
      </c>
      <c r="R315" s="7">
        <v>33604</v>
      </c>
      <c r="S315" s="8">
        <f t="shared" si="40"/>
        <v>1992</v>
      </c>
      <c r="T315" s="8">
        <v>1992</v>
      </c>
      <c r="U315" s="8">
        <f t="shared" si="41"/>
        <v>30</v>
      </c>
      <c r="V315" s="7">
        <v>33939</v>
      </c>
      <c r="W315" t="s">
        <v>599</v>
      </c>
      <c r="X315" s="2">
        <v>0.375</v>
      </c>
      <c r="Y315" s="6">
        <f t="shared" si="38"/>
        <v>1.0010410827260351E-2</v>
      </c>
      <c r="AA315">
        <v>135194</v>
      </c>
      <c r="AB315">
        <v>24918</v>
      </c>
      <c r="AD315" t="s">
        <v>4</v>
      </c>
      <c r="AE315">
        <v>28</v>
      </c>
      <c r="AF315">
        <v>25</v>
      </c>
      <c r="AH315" t="s">
        <v>8118</v>
      </c>
      <c r="AI315" t="s">
        <v>8117</v>
      </c>
      <c r="AJ315" t="s">
        <v>8116</v>
      </c>
      <c r="AK315" t="s">
        <v>8115</v>
      </c>
      <c r="AL315">
        <v>6</v>
      </c>
      <c r="AM315" s="5">
        <f t="shared" si="42"/>
        <v>0.2</v>
      </c>
      <c r="AN315" s="4">
        <f t="shared" si="39"/>
        <v>3.0291556228701253E-4</v>
      </c>
      <c r="AO315" s="3"/>
      <c r="AP315">
        <v>0</v>
      </c>
      <c r="AR315" t="s">
        <v>0</v>
      </c>
      <c r="AT315" s="2">
        <v>1.3140000000000001</v>
      </c>
      <c r="AU315" s="1">
        <f t="shared" si="43"/>
        <v>0.70981622477683493</v>
      </c>
      <c r="AV315" s="1">
        <f t="shared" si="44"/>
        <v>0.51566631947736818</v>
      </c>
      <c r="AW315" s="1">
        <f t="shared" si="45"/>
        <v>0.32151641417790139</v>
      </c>
    </row>
    <row r="316" spans="1:49" x14ac:dyDescent="0.2">
      <c r="A316">
        <v>314</v>
      </c>
      <c r="B316" t="s">
        <v>8114</v>
      </c>
      <c r="C316" t="s">
        <v>8113</v>
      </c>
      <c r="F316" t="s">
        <v>8112</v>
      </c>
      <c r="G316" t="s">
        <v>12</v>
      </c>
      <c r="H316" t="s">
        <v>11</v>
      </c>
      <c r="I316" t="s">
        <v>8111</v>
      </c>
      <c r="J316">
        <v>60005837</v>
      </c>
      <c r="K316" t="s">
        <v>1290</v>
      </c>
      <c r="L316" t="s">
        <v>1289</v>
      </c>
      <c r="M316" t="s">
        <v>7</v>
      </c>
      <c r="N316">
        <v>2</v>
      </c>
      <c r="O316" t="s">
        <v>8110</v>
      </c>
      <c r="P316" t="s">
        <v>8109</v>
      </c>
      <c r="Q316" t="s">
        <v>5794</v>
      </c>
      <c r="R316" s="7">
        <v>33604</v>
      </c>
      <c r="S316" s="8">
        <f t="shared" si="40"/>
        <v>1992</v>
      </c>
      <c r="T316" s="8">
        <v>1992</v>
      </c>
      <c r="U316" s="8">
        <f t="shared" si="41"/>
        <v>30</v>
      </c>
      <c r="V316" s="7">
        <v>33939</v>
      </c>
      <c r="W316" t="s">
        <v>599</v>
      </c>
      <c r="X316" s="2">
        <v>0.375</v>
      </c>
      <c r="Y316" s="6">
        <f t="shared" si="38"/>
        <v>1.0010410827260351E-2</v>
      </c>
      <c r="AA316">
        <v>135194</v>
      </c>
      <c r="AB316">
        <v>24918</v>
      </c>
      <c r="AD316" t="s">
        <v>4</v>
      </c>
      <c r="AE316">
        <v>28</v>
      </c>
      <c r="AF316">
        <v>25</v>
      </c>
      <c r="AH316" t="s">
        <v>8108</v>
      </c>
      <c r="AI316" t="s">
        <v>8107</v>
      </c>
      <c r="AJ316" t="s">
        <v>8106</v>
      </c>
      <c r="AK316" t="s">
        <v>8105</v>
      </c>
      <c r="AL316">
        <v>30</v>
      </c>
      <c r="AM316" s="5">
        <f t="shared" si="42"/>
        <v>1</v>
      </c>
      <c r="AN316" s="4">
        <f t="shared" si="39"/>
        <v>1.5145778114350624E-3</v>
      </c>
      <c r="AO316" s="3"/>
      <c r="AP316">
        <v>0</v>
      </c>
      <c r="AR316" t="s">
        <v>0</v>
      </c>
      <c r="AT316" s="2">
        <v>1.3140000000000001</v>
      </c>
      <c r="AU316" s="1">
        <f t="shared" si="43"/>
        <v>0.74616609225127639</v>
      </c>
      <c r="AV316" s="1">
        <f t="shared" si="44"/>
        <v>0.57624943193477074</v>
      </c>
      <c r="AW316" s="1">
        <f t="shared" si="45"/>
        <v>0.40633277161826492</v>
      </c>
    </row>
    <row r="317" spans="1:49" x14ac:dyDescent="0.2">
      <c r="A317">
        <v>315</v>
      </c>
      <c r="B317" t="s">
        <v>8104</v>
      </c>
      <c r="C317" t="s">
        <v>8103</v>
      </c>
      <c r="F317" t="s">
        <v>8102</v>
      </c>
      <c r="G317" t="s">
        <v>12</v>
      </c>
      <c r="H317" t="s">
        <v>11</v>
      </c>
      <c r="I317" t="s">
        <v>26</v>
      </c>
      <c r="J317">
        <v>60025778</v>
      </c>
      <c r="K317" t="s">
        <v>25</v>
      </c>
      <c r="L317" t="s">
        <v>24</v>
      </c>
      <c r="M317" t="s">
        <v>7</v>
      </c>
      <c r="N317">
        <v>3</v>
      </c>
      <c r="O317" t="s">
        <v>8101</v>
      </c>
      <c r="P317" t="s">
        <v>8100</v>
      </c>
      <c r="Q317" t="s">
        <v>311</v>
      </c>
      <c r="R317" s="7">
        <v>33604</v>
      </c>
      <c r="S317" s="8">
        <f t="shared" si="40"/>
        <v>1992</v>
      </c>
      <c r="T317" s="8">
        <v>1992</v>
      </c>
      <c r="U317" s="8">
        <f t="shared" si="41"/>
        <v>30</v>
      </c>
      <c r="V317" s="7">
        <v>33939</v>
      </c>
      <c r="W317" t="s">
        <v>599</v>
      </c>
      <c r="X317" s="2">
        <v>0.375</v>
      </c>
      <c r="Y317" s="6">
        <f t="shared" si="38"/>
        <v>1.0010410827260351E-2</v>
      </c>
      <c r="AA317">
        <v>135194</v>
      </c>
      <c r="AB317">
        <v>24918</v>
      </c>
      <c r="AD317" t="s">
        <v>4</v>
      </c>
      <c r="AE317">
        <v>28</v>
      </c>
      <c r="AF317">
        <v>25</v>
      </c>
      <c r="AH317" t="s">
        <v>8099</v>
      </c>
      <c r="AI317" t="s">
        <v>8098</v>
      </c>
      <c r="AJ317" t="s">
        <v>8097</v>
      </c>
      <c r="AK317" t="s">
        <v>8096</v>
      </c>
      <c r="AL317">
        <v>77</v>
      </c>
      <c r="AM317" s="5">
        <f t="shared" si="42"/>
        <v>2.5666666666666669</v>
      </c>
      <c r="AN317" s="4">
        <f t="shared" si="39"/>
        <v>3.8874163826833272E-3</v>
      </c>
      <c r="AO317" s="3"/>
      <c r="AP317">
        <v>0</v>
      </c>
      <c r="AR317" t="s">
        <v>0</v>
      </c>
      <c r="AT317" s="2">
        <v>1.3140000000000001</v>
      </c>
      <c r="AU317" s="1">
        <f t="shared" si="43"/>
        <v>0.8173512493887245</v>
      </c>
      <c r="AV317" s="1">
        <f t="shared" si="44"/>
        <v>0.69489136049718392</v>
      </c>
      <c r="AW317" s="1">
        <f t="shared" si="45"/>
        <v>0.57243147160564345</v>
      </c>
    </row>
    <row r="318" spans="1:49" x14ac:dyDescent="0.2">
      <c r="A318">
        <v>316</v>
      </c>
      <c r="B318" t="s">
        <v>8095</v>
      </c>
      <c r="E318">
        <v>11538008</v>
      </c>
      <c r="F318" t="s">
        <v>8094</v>
      </c>
      <c r="G318" t="s">
        <v>12</v>
      </c>
      <c r="H318" t="s">
        <v>11</v>
      </c>
      <c r="I318" t="s">
        <v>8093</v>
      </c>
      <c r="J318">
        <v>60000689</v>
      </c>
      <c r="K318" t="s">
        <v>8092</v>
      </c>
      <c r="L318" t="s">
        <v>8091</v>
      </c>
      <c r="M318" t="s">
        <v>7</v>
      </c>
      <c r="N318">
        <v>4</v>
      </c>
      <c r="O318" t="s">
        <v>8090</v>
      </c>
      <c r="P318" t="s">
        <v>8089</v>
      </c>
      <c r="Q318" t="s">
        <v>8088</v>
      </c>
      <c r="R318" s="7">
        <v>33604</v>
      </c>
      <c r="S318" s="8">
        <f t="shared" si="40"/>
        <v>1992</v>
      </c>
      <c r="T318" s="8">
        <v>1992</v>
      </c>
      <c r="U318" s="8">
        <f t="shared" si="41"/>
        <v>30</v>
      </c>
      <c r="V318" s="7">
        <v>1992</v>
      </c>
      <c r="W318" t="s">
        <v>8087</v>
      </c>
      <c r="X318" s="2">
        <v>1.17</v>
      </c>
      <c r="Y318" s="6">
        <f t="shared" si="38"/>
        <v>3.1232481781052295E-2</v>
      </c>
      <c r="AA318">
        <v>9819428</v>
      </c>
      <c r="AB318">
        <v>16617</v>
      </c>
      <c r="AD318" t="s">
        <v>4</v>
      </c>
      <c r="AE318">
        <v>30</v>
      </c>
      <c r="AF318">
        <v>3</v>
      </c>
      <c r="AH318" t="s">
        <v>8086</v>
      </c>
      <c r="AI318" t="s">
        <v>8085</v>
      </c>
      <c r="AK318" t="s">
        <v>8084</v>
      </c>
      <c r="AL318">
        <v>6</v>
      </c>
      <c r="AM318" s="5">
        <f t="shared" si="42"/>
        <v>0.2</v>
      </c>
      <c r="AN318" s="4">
        <f t="shared" si="39"/>
        <v>3.0291556228701253E-4</v>
      </c>
      <c r="AO318" s="3"/>
      <c r="AP318">
        <v>0</v>
      </c>
      <c r="AR318" t="s">
        <v>0</v>
      </c>
      <c r="AT318" s="2" t="s">
        <v>16</v>
      </c>
      <c r="AU318" s="1">
        <f t="shared" si="43"/>
        <v>2.1953611915422711</v>
      </c>
      <c r="AV318" s="1">
        <f t="shared" si="44"/>
        <v>1.5767698671669654</v>
      </c>
      <c r="AW318" s="1">
        <f t="shared" si="45"/>
        <v>0.9581785427916597</v>
      </c>
    </row>
    <row r="319" spans="1:49" x14ac:dyDescent="0.2">
      <c r="A319">
        <v>317</v>
      </c>
      <c r="B319" t="s">
        <v>8083</v>
      </c>
      <c r="C319" t="s">
        <v>8082</v>
      </c>
      <c r="F319" t="s">
        <v>8081</v>
      </c>
      <c r="G319" t="s">
        <v>12</v>
      </c>
      <c r="H319" t="s">
        <v>11</v>
      </c>
      <c r="I319" t="s">
        <v>8080</v>
      </c>
      <c r="J319">
        <v>60030835</v>
      </c>
      <c r="K319" t="s">
        <v>8079</v>
      </c>
      <c r="L319" t="s">
        <v>5224</v>
      </c>
      <c r="M319" t="s">
        <v>393</v>
      </c>
      <c r="N319">
        <v>2</v>
      </c>
      <c r="O319" t="s">
        <v>8078</v>
      </c>
      <c r="P319" t="s">
        <v>8077</v>
      </c>
      <c r="Q319" t="s">
        <v>8076</v>
      </c>
      <c r="R319" s="7">
        <v>33604</v>
      </c>
      <c r="S319" s="8">
        <f t="shared" si="40"/>
        <v>1992</v>
      </c>
      <c r="T319" s="8">
        <v>1992</v>
      </c>
      <c r="U319" s="8">
        <f t="shared" si="41"/>
        <v>30</v>
      </c>
      <c r="V319" s="7">
        <v>1992</v>
      </c>
      <c r="W319" t="s">
        <v>8075</v>
      </c>
      <c r="X319" s="2" t="s">
        <v>16</v>
      </c>
      <c r="Y319" s="6" t="e">
        <f t="shared" si="38"/>
        <v>#VALUE!</v>
      </c>
      <c r="AB319">
        <v>69352</v>
      </c>
      <c r="AD319" t="s">
        <v>4</v>
      </c>
      <c r="AH319" t="s">
        <v>8074</v>
      </c>
      <c r="AI319" t="s">
        <v>8073</v>
      </c>
      <c r="AK319" t="s">
        <v>8072</v>
      </c>
      <c r="AL319">
        <v>159</v>
      </c>
      <c r="AM319" s="5">
        <f t="shared" si="42"/>
        <v>5.3</v>
      </c>
      <c r="AN319" s="4">
        <f t="shared" si="39"/>
        <v>8.02726240060583E-3</v>
      </c>
      <c r="AO319" s="3"/>
      <c r="AP319">
        <v>0</v>
      </c>
      <c r="AR319" t="s">
        <v>0</v>
      </c>
      <c r="AT319" s="2" t="s">
        <v>16</v>
      </c>
      <c r="AU319" s="1" t="e">
        <f t="shared" si="43"/>
        <v>#VALUE!</v>
      </c>
      <c r="AV319" s="1" t="e">
        <f t="shared" si="44"/>
        <v>#VALUE!</v>
      </c>
      <c r="AW319" s="1" t="e">
        <f t="shared" si="45"/>
        <v>#VALUE!</v>
      </c>
    </row>
    <row r="320" spans="1:49" x14ac:dyDescent="0.2">
      <c r="A320">
        <v>318</v>
      </c>
      <c r="B320" t="s">
        <v>8071</v>
      </c>
      <c r="F320" t="s">
        <v>8070</v>
      </c>
      <c r="G320" t="s">
        <v>12</v>
      </c>
      <c r="H320" t="s">
        <v>11</v>
      </c>
      <c r="I320" t="s">
        <v>8069</v>
      </c>
      <c r="J320">
        <v>100427046</v>
      </c>
      <c r="K320" t="s">
        <v>8068</v>
      </c>
      <c r="L320" t="s">
        <v>8067</v>
      </c>
      <c r="M320" t="s">
        <v>7</v>
      </c>
      <c r="N320">
        <v>1</v>
      </c>
      <c r="O320" t="s">
        <v>8066</v>
      </c>
      <c r="P320">
        <v>55917362000</v>
      </c>
      <c r="Q320">
        <v>100427046</v>
      </c>
      <c r="R320" s="7">
        <v>33604</v>
      </c>
      <c r="S320" s="8">
        <f t="shared" si="40"/>
        <v>1992</v>
      </c>
      <c r="T320" s="8">
        <v>1992</v>
      </c>
      <c r="U320" s="8">
        <f t="shared" si="41"/>
        <v>30</v>
      </c>
      <c r="V320" s="7">
        <v>1992</v>
      </c>
      <c r="W320" t="s">
        <v>7854</v>
      </c>
      <c r="X320" s="2" t="s">
        <v>16</v>
      </c>
      <c r="Y320" s="6" t="e">
        <f t="shared" si="38"/>
        <v>#VALUE!</v>
      </c>
      <c r="AB320">
        <v>26861</v>
      </c>
      <c r="AD320" t="s">
        <v>4</v>
      </c>
      <c r="AE320">
        <v>16</v>
      </c>
      <c r="AH320" t="s">
        <v>8065</v>
      </c>
      <c r="AI320" t="s">
        <v>8064</v>
      </c>
      <c r="AK320" t="s">
        <v>8063</v>
      </c>
      <c r="AL320">
        <v>1</v>
      </c>
      <c r="AM320" s="5">
        <f t="shared" si="42"/>
        <v>3.3333333333333333E-2</v>
      </c>
      <c r="AN320" s="4">
        <f t="shared" si="39"/>
        <v>5.0485927047835418E-5</v>
      </c>
      <c r="AO320" s="3"/>
      <c r="AP320">
        <v>0</v>
      </c>
      <c r="AR320" t="s">
        <v>0</v>
      </c>
      <c r="AT320" s="2" t="s">
        <v>16</v>
      </c>
      <c r="AU320" s="1" t="e">
        <f t="shared" si="43"/>
        <v>#VALUE!</v>
      </c>
      <c r="AV320" s="1" t="e">
        <f t="shared" si="44"/>
        <v>#VALUE!</v>
      </c>
      <c r="AW320" s="1" t="e">
        <f t="shared" si="45"/>
        <v>#VALUE!</v>
      </c>
    </row>
    <row r="321" spans="1:49" x14ac:dyDescent="0.2">
      <c r="A321">
        <v>319</v>
      </c>
      <c r="B321" t="s">
        <v>8062</v>
      </c>
      <c r="F321" t="s">
        <v>8061</v>
      </c>
      <c r="G321" t="s">
        <v>12</v>
      </c>
      <c r="H321" t="s">
        <v>11</v>
      </c>
      <c r="I321" t="s">
        <v>8060</v>
      </c>
      <c r="J321">
        <v>60056249</v>
      </c>
      <c r="K321" t="s">
        <v>8059</v>
      </c>
      <c r="L321" t="s">
        <v>2406</v>
      </c>
      <c r="M321" t="s">
        <v>1091</v>
      </c>
      <c r="N321">
        <v>1</v>
      </c>
      <c r="O321" t="s">
        <v>8058</v>
      </c>
      <c r="P321">
        <v>6506467301</v>
      </c>
      <c r="Q321">
        <v>60056249</v>
      </c>
      <c r="R321" s="7">
        <v>33604</v>
      </c>
      <c r="S321" s="8">
        <f t="shared" si="40"/>
        <v>1992</v>
      </c>
      <c r="T321" s="8">
        <v>1992</v>
      </c>
      <c r="U321" s="8">
        <f t="shared" si="41"/>
        <v>30</v>
      </c>
      <c r="V321" s="7">
        <v>1992</v>
      </c>
      <c r="W321" t="s">
        <v>7854</v>
      </c>
      <c r="X321" s="2" t="s">
        <v>16</v>
      </c>
      <c r="Y321" s="6" t="e">
        <f t="shared" si="38"/>
        <v>#VALUE!</v>
      </c>
      <c r="AB321">
        <v>26861</v>
      </c>
      <c r="AD321" t="s">
        <v>4</v>
      </c>
      <c r="AE321">
        <v>16</v>
      </c>
      <c r="AH321" t="s">
        <v>8057</v>
      </c>
      <c r="AI321" t="s">
        <v>8056</v>
      </c>
      <c r="AK321" t="s">
        <v>8055</v>
      </c>
      <c r="AL321">
        <v>1</v>
      </c>
      <c r="AM321" s="5">
        <f t="shared" si="42"/>
        <v>3.3333333333333333E-2</v>
      </c>
      <c r="AN321" s="4">
        <f t="shared" si="39"/>
        <v>5.0485927047835418E-5</v>
      </c>
      <c r="AO321" s="3"/>
      <c r="AP321">
        <v>0</v>
      </c>
      <c r="AR321" t="s">
        <v>0</v>
      </c>
      <c r="AT321" s="2" t="s">
        <v>16</v>
      </c>
      <c r="AU321" s="1" t="e">
        <f t="shared" si="43"/>
        <v>#VALUE!</v>
      </c>
      <c r="AV321" s="1" t="e">
        <f t="shared" si="44"/>
        <v>#VALUE!</v>
      </c>
      <c r="AW321" s="1" t="e">
        <f t="shared" si="45"/>
        <v>#VALUE!</v>
      </c>
    </row>
    <row r="322" spans="1:49" x14ac:dyDescent="0.2">
      <c r="A322">
        <v>320</v>
      </c>
      <c r="B322" t="s">
        <v>8054</v>
      </c>
      <c r="F322" t="s">
        <v>8053</v>
      </c>
      <c r="G322" t="s">
        <v>12</v>
      </c>
      <c r="H322" t="s">
        <v>11</v>
      </c>
      <c r="I322" t="s">
        <v>8052</v>
      </c>
      <c r="J322">
        <v>60011347</v>
      </c>
      <c r="K322" t="s">
        <v>8051</v>
      </c>
      <c r="L322" t="s">
        <v>8050</v>
      </c>
      <c r="M322" t="s">
        <v>7</v>
      </c>
      <c r="N322">
        <v>3</v>
      </c>
      <c r="O322" t="s">
        <v>8049</v>
      </c>
      <c r="P322" t="s">
        <v>8048</v>
      </c>
      <c r="Q322" t="s">
        <v>8047</v>
      </c>
      <c r="R322" s="7">
        <v>33604</v>
      </c>
      <c r="S322" s="8">
        <f t="shared" si="40"/>
        <v>1992</v>
      </c>
      <c r="T322" s="8">
        <v>1992</v>
      </c>
      <c r="U322" s="8">
        <f t="shared" si="41"/>
        <v>30</v>
      </c>
      <c r="V322" s="7">
        <v>1992</v>
      </c>
      <c r="W322" t="s">
        <v>7854</v>
      </c>
      <c r="X322" s="2" t="s">
        <v>16</v>
      </c>
      <c r="Y322" s="6" t="e">
        <f t="shared" ref="Y322:Y385" si="46">(X322-$Z$4)/($Z$3-$Z$4)</f>
        <v>#VALUE!</v>
      </c>
      <c r="AB322">
        <v>26861</v>
      </c>
      <c r="AD322" t="s">
        <v>4</v>
      </c>
      <c r="AE322">
        <v>16</v>
      </c>
      <c r="AH322" t="s">
        <v>8046</v>
      </c>
      <c r="AI322" t="s">
        <v>8045</v>
      </c>
      <c r="AK322" t="s">
        <v>8044</v>
      </c>
      <c r="AL322">
        <v>4</v>
      </c>
      <c r="AM322" s="5">
        <f t="shared" si="42"/>
        <v>0.13333333333333333</v>
      </c>
      <c r="AN322" s="4">
        <f t="shared" ref="AN322:AN385" si="47">(AM322-$AO$4)/($AO$3-$AO$4)</f>
        <v>2.0194370819134167E-4</v>
      </c>
      <c r="AO322" s="3"/>
      <c r="AP322">
        <v>0</v>
      </c>
      <c r="AR322" t="s">
        <v>0</v>
      </c>
      <c r="AT322" s="2" t="s">
        <v>16</v>
      </c>
      <c r="AU322" s="1" t="e">
        <f t="shared" si="43"/>
        <v>#VALUE!</v>
      </c>
      <c r="AV322" s="1" t="e">
        <f t="shared" si="44"/>
        <v>#VALUE!</v>
      </c>
      <c r="AW322" s="1" t="e">
        <f t="shared" si="45"/>
        <v>#VALUE!</v>
      </c>
    </row>
    <row r="323" spans="1:49" x14ac:dyDescent="0.2">
      <c r="A323">
        <v>321</v>
      </c>
      <c r="B323" t="s">
        <v>8043</v>
      </c>
      <c r="C323" t="s">
        <v>8042</v>
      </c>
      <c r="F323" t="s">
        <v>8041</v>
      </c>
      <c r="G323" t="s">
        <v>12</v>
      </c>
      <c r="H323" t="s">
        <v>11</v>
      </c>
      <c r="I323" t="s">
        <v>8040</v>
      </c>
      <c r="J323">
        <v>60000237</v>
      </c>
      <c r="K323" t="s">
        <v>8039</v>
      </c>
      <c r="L323" t="s">
        <v>8038</v>
      </c>
      <c r="M323" t="s">
        <v>8037</v>
      </c>
      <c r="N323">
        <v>3</v>
      </c>
      <c r="O323" t="s">
        <v>8036</v>
      </c>
      <c r="P323" t="s">
        <v>8035</v>
      </c>
      <c r="Q323" t="s">
        <v>8034</v>
      </c>
      <c r="R323" s="7">
        <v>33604</v>
      </c>
      <c r="S323" s="8">
        <f t="shared" si="40"/>
        <v>1992</v>
      </c>
      <c r="T323" s="8">
        <v>1992</v>
      </c>
      <c r="U323" s="8">
        <f t="shared" si="41"/>
        <v>30</v>
      </c>
      <c r="V323" s="7">
        <v>33958</v>
      </c>
      <c r="W323" t="s">
        <v>1458</v>
      </c>
      <c r="X323" s="2">
        <v>0.30399999999999999</v>
      </c>
      <c r="Y323" s="6">
        <f t="shared" si="46"/>
        <v>8.115106377299057E-3</v>
      </c>
      <c r="AA323">
        <v>8952477</v>
      </c>
      <c r="AB323">
        <v>12250</v>
      </c>
      <c r="AC323">
        <v>10982760</v>
      </c>
      <c r="AD323" t="s">
        <v>4</v>
      </c>
      <c r="AE323">
        <v>5</v>
      </c>
      <c r="AF323">
        <v>14</v>
      </c>
      <c r="AH323" t="s">
        <v>8033</v>
      </c>
      <c r="AI323" t="s">
        <v>8032</v>
      </c>
      <c r="AJ323" t="s">
        <v>8031</v>
      </c>
      <c r="AK323" t="s">
        <v>8030</v>
      </c>
      <c r="AL323">
        <v>1</v>
      </c>
      <c r="AM323" s="5">
        <f t="shared" si="42"/>
        <v>3.3333333333333333E-2</v>
      </c>
      <c r="AN323" s="4">
        <f t="shared" si="47"/>
        <v>5.0485927047835418E-5</v>
      </c>
      <c r="AO323" s="3"/>
      <c r="AP323">
        <v>0</v>
      </c>
      <c r="AR323" t="s">
        <v>0</v>
      </c>
      <c r="AT323" s="2" t="s">
        <v>16</v>
      </c>
      <c r="AU323" s="1">
        <f t="shared" si="43"/>
        <v>0.56957202422236908</v>
      </c>
      <c r="AV323" s="1">
        <f t="shared" si="44"/>
        <v>0.40827961521734463</v>
      </c>
      <c r="AW323" s="1">
        <f t="shared" si="45"/>
        <v>0.2469872062123202</v>
      </c>
    </row>
    <row r="324" spans="1:49" x14ac:dyDescent="0.2">
      <c r="A324">
        <v>322</v>
      </c>
      <c r="B324" t="s">
        <v>8029</v>
      </c>
      <c r="C324" t="s">
        <v>8028</v>
      </c>
      <c r="F324" t="s">
        <v>8027</v>
      </c>
      <c r="G324" t="s">
        <v>12</v>
      </c>
      <c r="H324" t="s">
        <v>11</v>
      </c>
      <c r="I324" t="s">
        <v>8026</v>
      </c>
      <c r="J324">
        <v>60012614</v>
      </c>
      <c r="K324" t="s">
        <v>8025</v>
      </c>
      <c r="L324" t="s">
        <v>8024</v>
      </c>
      <c r="M324" t="s">
        <v>219</v>
      </c>
      <c r="N324">
        <v>2</v>
      </c>
      <c r="O324" t="s">
        <v>8023</v>
      </c>
      <c r="P324" t="s">
        <v>8022</v>
      </c>
      <c r="Q324" t="s">
        <v>8021</v>
      </c>
      <c r="R324" s="7">
        <v>33604</v>
      </c>
      <c r="S324" s="8">
        <f t="shared" si="40"/>
        <v>1992</v>
      </c>
      <c r="T324" s="8">
        <v>1992</v>
      </c>
      <c r="U324" s="8">
        <f t="shared" si="41"/>
        <v>30</v>
      </c>
      <c r="V324" s="7">
        <v>33939</v>
      </c>
      <c r="W324" t="s">
        <v>8020</v>
      </c>
      <c r="X324" s="2">
        <v>1.2969999999999999</v>
      </c>
      <c r="Y324" s="6">
        <f t="shared" si="46"/>
        <v>3.4622674247884469E-2</v>
      </c>
      <c r="AA324">
        <v>9621105</v>
      </c>
      <c r="AB324">
        <v>16005</v>
      </c>
      <c r="AC324">
        <v>13652869</v>
      </c>
      <c r="AD324" t="s">
        <v>4</v>
      </c>
      <c r="AE324">
        <v>1</v>
      </c>
      <c r="AF324">
        <v>4</v>
      </c>
      <c r="AH324" t="s">
        <v>8019</v>
      </c>
      <c r="AI324" t="s">
        <v>8018</v>
      </c>
      <c r="AJ324" t="s">
        <v>8017</v>
      </c>
      <c r="AK324" t="s">
        <v>8016</v>
      </c>
      <c r="AL324">
        <v>73</v>
      </c>
      <c r="AM324" s="5">
        <f t="shared" si="42"/>
        <v>2.4333333333333331</v>
      </c>
      <c r="AN324" s="4">
        <f t="shared" si="47"/>
        <v>3.6854726744919852E-3</v>
      </c>
      <c r="AO324" s="3"/>
      <c r="AP324">
        <v>1</v>
      </c>
      <c r="AR324" t="s">
        <v>0</v>
      </c>
      <c r="AT324" s="2">
        <v>3.9809999999999999</v>
      </c>
      <c r="AU324" s="1">
        <f t="shared" si="43"/>
        <v>2.5341513775866722</v>
      </c>
      <c r="AV324" s="1">
        <f t="shared" si="44"/>
        <v>1.9154073461188228</v>
      </c>
      <c r="AW324" s="1">
        <f t="shared" si="45"/>
        <v>1.296663314650973</v>
      </c>
    </row>
    <row r="325" spans="1:49" x14ac:dyDescent="0.2">
      <c r="A325">
        <v>323</v>
      </c>
      <c r="B325" t="s">
        <v>8015</v>
      </c>
      <c r="F325" t="s">
        <v>8014</v>
      </c>
      <c r="G325" t="s">
        <v>12</v>
      </c>
      <c r="H325" t="s">
        <v>11</v>
      </c>
      <c r="I325" t="s">
        <v>8013</v>
      </c>
      <c r="J325">
        <v>60017787</v>
      </c>
      <c r="K325" t="s">
        <v>8012</v>
      </c>
      <c r="L325" t="s">
        <v>8011</v>
      </c>
      <c r="M325" t="s">
        <v>7</v>
      </c>
      <c r="N325">
        <v>2</v>
      </c>
      <c r="O325" t="s">
        <v>8010</v>
      </c>
      <c r="P325" t="s">
        <v>8009</v>
      </c>
      <c r="Q325" t="s">
        <v>8008</v>
      </c>
      <c r="R325" s="7">
        <v>33604</v>
      </c>
      <c r="S325" s="8">
        <f t="shared" si="40"/>
        <v>1992</v>
      </c>
      <c r="T325" s="8">
        <v>1992</v>
      </c>
      <c r="U325" s="8">
        <f t="shared" si="41"/>
        <v>30</v>
      </c>
      <c r="V325" s="7">
        <v>1992</v>
      </c>
      <c r="W325" t="s">
        <v>7854</v>
      </c>
      <c r="X325" s="2" t="s">
        <v>16</v>
      </c>
      <c r="Y325" s="6" t="e">
        <f t="shared" si="46"/>
        <v>#VALUE!</v>
      </c>
      <c r="AB325">
        <v>26861</v>
      </c>
      <c r="AD325" t="s">
        <v>4</v>
      </c>
      <c r="AE325">
        <v>16</v>
      </c>
      <c r="AH325" t="s">
        <v>8007</v>
      </c>
      <c r="AI325" t="s">
        <v>8006</v>
      </c>
      <c r="AK325" t="s">
        <v>8005</v>
      </c>
      <c r="AL325">
        <v>1</v>
      </c>
      <c r="AM325" s="5">
        <f t="shared" si="42"/>
        <v>3.3333333333333333E-2</v>
      </c>
      <c r="AN325" s="4">
        <f t="shared" si="47"/>
        <v>5.0485927047835418E-5</v>
      </c>
      <c r="AO325" s="3"/>
      <c r="AP325">
        <v>0</v>
      </c>
      <c r="AR325" t="s">
        <v>0</v>
      </c>
      <c r="AT325" s="2" t="s">
        <v>16</v>
      </c>
      <c r="AU325" s="1" t="e">
        <f t="shared" si="43"/>
        <v>#VALUE!</v>
      </c>
      <c r="AV325" s="1" t="e">
        <f t="shared" si="44"/>
        <v>#VALUE!</v>
      </c>
      <c r="AW325" s="1" t="e">
        <f t="shared" si="45"/>
        <v>#VALUE!</v>
      </c>
    </row>
    <row r="326" spans="1:49" x14ac:dyDescent="0.2">
      <c r="A326">
        <v>324</v>
      </c>
      <c r="B326" t="s">
        <v>8004</v>
      </c>
      <c r="C326" t="s">
        <v>8003</v>
      </c>
      <c r="F326" t="s">
        <v>8002</v>
      </c>
      <c r="G326" t="s">
        <v>12</v>
      </c>
      <c r="H326" t="s">
        <v>11</v>
      </c>
      <c r="I326" t="s">
        <v>8001</v>
      </c>
      <c r="J326">
        <v>60012392</v>
      </c>
      <c r="K326" t="s">
        <v>8000</v>
      </c>
      <c r="L326" t="s">
        <v>6096</v>
      </c>
      <c r="M326" t="s">
        <v>3610</v>
      </c>
      <c r="N326">
        <v>1</v>
      </c>
      <c r="O326" t="s">
        <v>7999</v>
      </c>
      <c r="P326">
        <v>23568867200</v>
      </c>
      <c r="Q326">
        <v>60012392</v>
      </c>
      <c r="R326" s="7">
        <v>33604</v>
      </c>
      <c r="S326" s="8">
        <f t="shared" si="40"/>
        <v>1992</v>
      </c>
      <c r="T326" s="8">
        <v>1992</v>
      </c>
      <c r="U326" s="8">
        <f t="shared" si="41"/>
        <v>30</v>
      </c>
      <c r="V326" s="7">
        <v>33958</v>
      </c>
      <c r="W326" t="s">
        <v>1458</v>
      </c>
      <c r="X326" s="2">
        <v>0.30399999999999999</v>
      </c>
      <c r="Y326" s="6">
        <f t="shared" si="46"/>
        <v>8.115106377299057E-3</v>
      </c>
      <c r="AA326">
        <v>8952477</v>
      </c>
      <c r="AB326">
        <v>12250</v>
      </c>
      <c r="AC326">
        <v>10982760</v>
      </c>
      <c r="AD326" t="s">
        <v>4</v>
      </c>
      <c r="AE326">
        <v>5</v>
      </c>
      <c r="AF326">
        <v>14</v>
      </c>
      <c r="AH326" t="s">
        <v>7998</v>
      </c>
      <c r="AI326" t="s">
        <v>7997</v>
      </c>
      <c r="AJ326" t="s">
        <v>7996</v>
      </c>
      <c r="AK326" t="s">
        <v>7995</v>
      </c>
      <c r="AL326">
        <v>0</v>
      </c>
      <c r="AM326" s="5">
        <f t="shared" si="42"/>
        <v>0</v>
      </c>
      <c r="AN326" s="4">
        <f t="shared" si="47"/>
        <v>0</v>
      </c>
      <c r="AO326" s="3"/>
      <c r="AP326">
        <v>0</v>
      </c>
      <c r="AR326" t="s">
        <v>0</v>
      </c>
      <c r="AT326" s="2" t="s">
        <v>16</v>
      </c>
      <c r="AU326" s="1">
        <f t="shared" si="43"/>
        <v>0.56805744641093392</v>
      </c>
      <c r="AV326" s="1">
        <f t="shared" si="44"/>
        <v>0.40575531886495286</v>
      </c>
      <c r="AW326" s="1">
        <f t="shared" si="45"/>
        <v>0.24345319131897172</v>
      </c>
    </row>
    <row r="327" spans="1:49" x14ac:dyDescent="0.2">
      <c r="A327">
        <v>325</v>
      </c>
      <c r="B327" t="s">
        <v>7994</v>
      </c>
      <c r="C327" t="s">
        <v>7993</v>
      </c>
      <c r="F327" t="s">
        <v>7992</v>
      </c>
      <c r="G327" t="s">
        <v>12</v>
      </c>
      <c r="H327" t="s">
        <v>11</v>
      </c>
      <c r="I327" t="s">
        <v>7991</v>
      </c>
      <c r="J327">
        <v>60069038</v>
      </c>
      <c r="K327" t="s">
        <v>1628</v>
      </c>
      <c r="L327" t="s">
        <v>1627</v>
      </c>
      <c r="M327" t="s">
        <v>1626</v>
      </c>
      <c r="N327">
        <v>1</v>
      </c>
      <c r="O327" t="s">
        <v>7990</v>
      </c>
      <c r="P327">
        <v>6602167816</v>
      </c>
      <c r="Q327">
        <v>60069038</v>
      </c>
      <c r="R327" s="7">
        <v>33604</v>
      </c>
      <c r="S327" s="8">
        <f t="shared" si="40"/>
        <v>1992</v>
      </c>
      <c r="T327" s="8">
        <v>1992</v>
      </c>
      <c r="U327" s="8">
        <f t="shared" si="41"/>
        <v>30</v>
      </c>
      <c r="V327" s="7">
        <v>33695</v>
      </c>
      <c r="W327" t="s">
        <v>7989</v>
      </c>
      <c r="X327" s="2">
        <v>1.2969999999999999</v>
      </c>
      <c r="Y327" s="6">
        <f t="shared" si="46"/>
        <v>3.4622674247884469E-2</v>
      </c>
      <c r="AA327">
        <v>465070</v>
      </c>
      <c r="AB327">
        <v>15112</v>
      </c>
      <c r="AC327">
        <v>13652427</v>
      </c>
      <c r="AD327" t="s">
        <v>4</v>
      </c>
      <c r="AE327">
        <v>27</v>
      </c>
      <c r="AF327">
        <v>2</v>
      </c>
      <c r="AH327" t="s">
        <v>7988</v>
      </c>
      <c r="AI327" t="s">
        <v>7987</v>
      </c>
      <c r="AK327" t="s">
        <v>7986</v>
      </c>
      <c r="AL327">
        <v>74</v>
      </c>
      <c r="AM327" s="5">
        <f t="shared" si="42"/>
        <v>2.4666666666666668</v>
      </c>
      <c r="AN327" s="4">
        <f t="shared" si="47"/>
        <v>3.7359586015398212E-3</v>
      </c>
      <c r="AO327" s="3"/>
      <c r="AP327">
        <v>0</v>
      </c>
      <c r="AR327" t="s">
        <v>0</v>
      </c>
      <c r="AT327" s="2">
        <v>3.8090000000000002</v>
      </c>
      <c r="AU327" s="1">
        <f t="shared" si="43"/>
        <v>2.5356659553981071</v>
      </c>
      <c r="AV327" s="1">
        <f t="shared" si="44"/>
        <v>1.9179316424712145</v>
      </c>
      <c r="AW327" s="1">
        <f t="shared" si="45"/>
        <v>1.3001973295443214</v>
      </c>
    </row>
    <row r="328" spans="1:49" x14ac:dyDescent="0.2">
      <c r="A328">
        <v>326</v>
      </c>
      <c r="B328" t="s">
        <v>7985</v>
      </c>
      <c r="F328" t="s">
        <v>7984</v>
      </c>
      <c r="G328" t="s">
        <v>12</v>
      </c>
      <c r="H328" t="s">
        <v>11</v>
      </c>
      <c r="I328" t="s">
        <v>7983</v>
      </c>
      <c r="J328">
        <v>60030710</v>
      </c>
      <c r="K328" t="s">
        <v>7982</v>
      </c>
      <c r="L328" t="s">
        <v>5593</v>
      </c>
      <c r="M328" t="s">
        <v>273</v>
      </c>
      <c r="N328">
        <v>3</v>
      </c>
      <c r="O328" t="s">
        <v>7981</v>
      </c>
      <c r="P328" t="s">
        <v>7980</v>
      </c>
      <c r="Q328" t="s">
        <v>7979</v>
      </c>
      <c r="R328" s="7">
        <v>33604</v>
      </c>
      <c r="S328" s="8">
        <f t="shared" si="40"/>
        <v>1992</v>
      </c>
      <c r="T328" s="8">
        <v>1992</v>
      </c>
      <c r="U328" s="8">
        <f t="shared" si="41"/>
        <v>30</v>
      </c>
      <c r="V328" s="7">
        <v>1992</v>
      </c>
      <c r="W328" t="s">
        <v>7854</v>
      </c>
      <c r="X328" s="2" t="s">
        <v>16</v>
      </c>
      <c r="Y328" s="6" t="e">
        <f t="shared" si="46"/>
        <v>#VALUE!</v>
      </c>
      <c r="AB328">
        <v>26861</v>
      </c>
      <c r="AD328" t="s">
        <v>4</v>
      </c>
      <c r="AE328">
        <v>16</v>
      </c>
      <c r="AH328" t="s">
        <v>7978</v>
      </c>
      <c r="AI328" t="s">
        <v>7977</v>
      </c>
      <c r="AK328" t="s">
        <v>7976</v>
      </c>
      <c r="AL328">
        <v>2</v>
      </c>
      <c r="AM328" s="5">
        <f t="shared" si="42"/>
        <v>6.6666666666666666E-2</v>
      </c>
      <c r="AN328" s="4">
        <f t="shared" si="47"/>
        <v>1.0097185409567084E-4</v>
      </c>
      <c r="AO328" s="3"/>
      <c r="AP328">
        <v>0</v>
      </c>
      <c r="AR328" t="s">
        <v>0</v>
      </c>
      <c r="AT328" s="2" t="s">
        <v>16</v>
      </c>
      <c r="AU328" s="1" t="e">
        <f t="shared" si="43"/>
        <v>#VALUE!</v>
      </c>
      <c r="AV328" s="1" t="e">
        <f t="shared" si="44"/>
        <v>#VALUE!</v>
      </c>
      <c r="AW328" s="1" t="e">
        <f t="shared" si="45"/>
        <v>#VALUE!</v>
      </c>
    </row>
    <row r="329" spans="1:49" x14ac:dyDescent="0.2">
      <c r="A329">
        <v>327</v>
      </c>
      <c r="B329" t="s">
        <v>7975</v>
      </c>
      <c r="F329" t="s">
        <v>7974</v>
      </c>
      <c r="G329" t="s">
        <v>12</v>
      </c>
      <c r="H329" t="s">
        <v>11</v>
      </c>
      <c r="I329" t="s">
        <v>7973</v>
      </c>
      <c r="J329">
        <v>60029398</v>
      </c>
      <c r="K329" t="s">
        <v>7972</v>
      </c>
      <c r="L329" t="s">
        <v>618</v>
      </c>
      <c r="M329" t="s">
        <v>617</v>
      </c>
      <c r="N329">
        <v>3</v>
      </c>
      <c r="O329" t="s">
        <v>7971</v>
      </c>
      <c r="P329" t="s">
        <v>7970</v>
      </c>
      <c r="Q329" t="s">
        <v>7969</v>
      </c>
      <c r="R329" s="7">
        <v>33604</v>
      </c>
      <c r="S329" s="8">
        <f t="shared" si="40"/>
        <v>1992</v>
      </c>
      <c r="T329" s="8">
        <v>1992</v>
      </c>
      <c r="U329" s="8">
        <f t="shared" si="41"/>
        <v>30</v>
      </c>
      <c r="V329" s="7">
        <v>1992</v>
      </c>
      <c r="W329" t="s">
        <v>7968</v>
      </c>
      <c r="X329" s="2" t="s">
        <v>16</v>
      </c>
      <c r="Y329" s="6" t="e">
        <f t="shared" si="46"/>
        <v>#VALUE!</v>
      </c>
      <c r="AB329">
        <v>30113</v>
      </c>
      <c r="AD329" t="s">
        <v>4</v>
      </c>
      <c r="AE329">
        <v>12</v>
      </c>
      <c r="AF329">
        <v>3</v>
      </c>
      <c r="AH329" t="s">
        <v>7967</v>
      </c>
      <c r="AI329" t="s">
        <v>7966</v>
      </c>
      <c r="AK329" t="s">
        <v>7965</v>
      </c>
      <c r="AL329">
        <v>1</v>
      </c>
      <c r="AM329" s="5">
        <f t="shared" si="42"/>
        <v>3.3333333333333333E-2</v>
      </c>
      <c r="AN329" s="4">
        <f t="shared" si="47"/>
        <v>5.0485927047835418E-5</v>
      </c>
      <c r="AO329" s="3"/>
      <c r="AP329">
        <v>0</v>
      </c>
      <c r="AR329" t="s">
        <v>0</v>
      </c>
      <c r="AT329" s="2" t="s">
        <v>16</v>
      </c>
      <c r="AU329" s="1" t="e">
        <f t="shared" si="43"/>
        <v>#VALUE!</v>
      </c>
      <c r="AV329" s="1" t="e">
        <f t="shared" si="44"/>
        <v>#VALUE!</v>
      </c>
      <c r="AW329" s="1" t="e">
        <f t="shared" si="45"/>
        <v>#VALUE!</v>
      </c>
    </row>
    <row r="330" spans="1:49" x14ac:dyDescent="0.2">
      <c r="A330">
        <v>328</v>
      </c>
      <c r="B330" t="s">
        <v>7964</v>
      </c>
      <c r="C330" t="s">
        <v>7963</v>
      </c>
      <c r="D330" t="s">
        <v>7962</v>
      </c>
      <c r="F330" t="s">
        <v>7961</v>
      </c>
      <c r="G330" t="s">
        <v>12</v>
      </c>
      <c r="H330" t="s">
        <v>11</v>
      </c>
      <c r="I330" t="s">
        <v>7960</v>
      </c>
      <c r="J330">
        <v>60007457</v>
      </c>
      <c r="K330" t="s">
        <v>5028</v>
      </c>
      <c r="L330" t="s">
        <v>461</v>
      </c>
      <c r="M330" t="s">
        <v>460</v>
      </c>
      <c r="N330">
        <v>2</v>
      </c>
      <c r="O330" t="s">
        <v>7959</v>
      </c>
      <c r="P330" t="s">
        <v>7958</v>
      </c>
      <c r="Q330" t="s">
        <v>7957</v>
      </c>
      <c r="R330" s="7">
        <v>33604</v>
      </c>
      <c r="S330" s="8">
        <f t="shared" si="40"/>
        <v>1992</v>
      </c>
      <c r="T330" s="8">
        <v>1992</v>
      </c>
      <c r="U330" s="8">
        <f t="shared" si="41"/>
        <v>30</v>
      </c>
      <c r="V330" s="7">
        <v>33786</v>
      </c>
      <c r="W330" t="s">
        <v>7956</v>
      </c>
      <c r="X330" s="2">
        <v>1.204</v>
      </c>
      <c r="Y330" s="6">
        <f t="shared" si="46"/>
        <v>3.2140092362723902E-2</v>
      </c>
      <c r="AA330">
        <v>3003256</v>
      </c>
      <c r="AB330">
        <v>24546</v>
      </c>
      <c r="AC330">
        <v>14636409</v>
      </c>
      <c r="AD330" t="s">
        <v>4</v>
      </c>
      <c r="AE330">
        <v>21</v>
      </c>
      <c r="AF330">
        <v>3</v>
      </c>
      <c r="AH330" t="s">
        <v>7955</v>
      </c>
      <c r="AI330" t="s">
        <v>7954</v>
      </c>
      <c r="AK330" t="s">
        <v>7953</v>
      </c>
      <c r="AL330">
        <v>14</v>
      </c>
      <c r="AM330" s="5">
        <f t="shared" si="42"/>
        <v>0.46666666666666667</v>
      </c>
      <c r="AN330" s="4">
        <f t="shared" si="47"/>
        <v>7.0680297866969582E-4</v>
      </c>
      <c r="AO330" s="3"/>
      <c r="AP330">
        <v>0</v>
      </c>
      <c r="AR330" t="s">
        <v>0</v>
      </c>
      <c r="AT330" s="2">
        <v>3.14</v>
      </c>
      <c r="AU330" s="1">
        <f t="shared" si="43"/>
        <v>2.271010554750764</v>
      </c>
      <c r="AV330" s="1">
        <f t="shared" si="44"/>
        <v>1.6423447670696798</v>
      </c>
      <c r="AW330" s="1">
        <f t="shared" si="45"/>
        <v>1.0136789793885956</v>
      </c>
    </row>
    <row r="331" spans="1:49" x14ac:dyDescent="0.2">
      <c r="A331">
        <v>329</v>
      </c>
      <c r="B331" t="s">
        <v>7952</v>
      </c>
      <c r="F331" t="s">
        <v>7951</v>
      </c>
      <c r="G331" t="s">
        <v>12</v>
      </c>
      <c r="H331" t="s">
        <v>11</v>
      </c>
      <c r="I331" t="s">
        <v>7950</v>
      </c>
      <c r="N331">
        <v>1</v>
      </c>
      <c r="O331" t="s">
        <v>7949</v>
      </c>
      <c r="P331">
        <v>7401956370</v>
      </c>
      <c r="R331" s="7">
        <v>33604</v>
      </c>
      <c r="S331" s="8">
        <f t="shared" si="40"/>
        <v>1992</v>
      </c>
      <c r="T331" s="8">
        <v>1992</v>
      </c>
      <c r="U331" s="8">
        <f t="shared" si="41"/>
        <v>30</v>
      </c>
      <c r="V331" s="7">
        <v>1992</v>
      </c>
      <c r="W331" t="s">
        <v>7845</v>
      </c>
      <c r="X331" s="2" t="s">
        <v>16</v>
      </c>
      <c r="Y331" s="6" t="e">
        <f t="shared" si="46"/>
        <v>#VALUE!</v>
      </c>
      <c r="AA331">
        <v>831093</v>
      </c>
      <c r="AB331">
        <v>26849</v>
      </c>
      <c r="AD331" t="s">
        <v>4</v>
      </c>
      <c r="AE331">
        <v>1966</v>
      </c>
      <c r="AH331" s="10">
        <v>45231</v>
      </c>
      <c r="AI331" t="s">
        <v>7948</v>
      </c>
      <c r="AK331" t="s">
        <v>7947</v>
      </c>
      <c r="AL331">
        <v>0</v>
      </c>
      <c r="AM331" s="5">
        <f t="shared" si="42"/>
        <v>0</v>
      </c>
      <c r="AN331" s="4">
        <f t="shared" si="47"/>
        <v>0</v>
      </c>
      <c r="AO331" s="3"/>
      <c r="AP331">
        <v>0</v>
      </c>
      <c r="AR331" t="s">
        <v>0</v>
      </c>
      <c r="AT331" s="2" t="s">
        <v>16</v>
      </c>
      <c r="AU331" s="1" t="e">
        <f t="shared" si="43"/>
        <v>#VALUE!</v>
      </c>
      <c r="AV331" s="1" t="e">
        <f t="shared" si="44"/>
        <v>#VALUE!</v>
      </c>
      <c r="AW331" s="1" t="e">
        <f t="shared" si="45"/>
        <v>#VALUE!</v>
      </c>
    </row>
    <row r="332" spans="1:49" x14ac:dyDescent="0.2">
      <c r="A332">
        <v>330</v>
      </c>
      <c r="B332" t="s">
        <v>7946</v>
      </c>
      <c r="C332" t="s">
        <v>7945</v>
      </c>
      <c r="F332" t="s">
        <v>7944</v>
      </c>
      <c r="G332" t="s">
        <v>12</v>
      </c>
      <c r="H332" t="s">
        <v>11</v>
      </c>
      <c r="I332" t="s">
        <v>7943</v>
      </c>
      <c r="J332">
        <v>60000990</v>
      </c>
      <c r="K332" t="s">
        <v>1957</v>
      </c>
      <c r="L332" t="s">
        <v>1956</v>
      </c>
      <c r="M332" t="s">
        <v>1091</v>
      </c>
      <c r="N332">
        <v>1</v>
      </c>
      <c r="O332" t="s">
        <v>7942</v>
      </c>
      <c r="P332">
        <v>6507446423</v>
      </c>
      <c r="Q332">
        <v>60000990</v>
      </c>
      <c r="R332" s="7">
        <v>33604</v>
      </c>
      <c r="S332" s="8">
        <f t="shared" si="40"/>
        <v>1992</v>
      </c>
      <c r="T332" s="8">
        <v>1992</v>
      </c>
      <c r="U332" s="8">
        <f t="shared" si="41"/>
        <v>30</v>
      </c>
      <c r="V332" s="7">
        <v>33958</v>
      </c>
      <c r="W332" t="s">
        <v>1458</v>
      </c>
      <c r="X332" s="2">
        <v>0.30399999999999999</v>
      </c>
      <c r="Y332" s="6">
        <f t="shared" si="46"/>
        <v>8.115106377299057E-3</v>
      </c>
      <c r="AA332">
        <v>8952477</v>
      </c>
      <c r="AB332">
        <v>12250</v>
      </c>
      <c r="AC332">
        <v>10982760</v>
      </c>
      <c r="AD332" t="s">
        <v>4</v>
      </c>
      <c r="AE332">
        <v>5</v>
      </c>
      <c r="AF332">
        <v>14</v>
      </c>
      <c r="AH332" t="s">
        <v>7941</v>
      </c>
      <c r="AI332" t="s">
        <v>7940</v>
      </c>
      <c r="AJ332" t="s">
        <v>7939</v>
      </c>
      <c r="AK332" t="s">
        <v>7938</v>
      </c>
      <c r="AL332">
        <v>3</v>
      </c>
      <c r="AM332" s="5">
        <f t="shared" si="42"/>
        <v>0.1</v>
      </c>
      <c r="AN332" s="4">
        <f t="shared" si="47"/>
        <v>1.5145778114350627E-4</v>
      </c>
      <c r="AO332" s="3"/>
      <c r="AP332">
        <v>0</v>
      </c>
      <c r="AR332" t="s">
        <v>0</v>
      </c>
      <c r="AT332" s="2" t="s">
        <v>16</v>
      </c>
      <c r="AU332" s="1">
        <f t="shared" si="43"/>
        <v>0.57260117984523917</v>
      </c>
      <c r="AV332" s="1">
        <f t="shared" si="44"/>
        <v>0.41332820792212815</v>
      </c>
      <c r="AW332" s="1">
        <f t="shared" si="45"/>
        <v>0.25405523599901714</v>
      </c>
    </row>
    <row r="333" spans="1:49" x14ac:dyDescent="0.2">
      <c r="A333">
        <v>331</v>
      </c>
      <c r="B333" t="s">
        <v>7937</v>
      </c>
      <c r="C333" t="s">
        <v>7936</v>
      </c>
      <c r="E333">
        <v>1479205</v>
      </c>
      <c r="F333" t="s">
        <v>7935</v>
      </c>
      <c r="G333" t="s">
        <v>12</v>
      </c>
      <c r="H333" t="s">
        <v>11</v>
      </c>
      <c r="I333" t="s">
        <v>7934</v>
      </c>
      <c r="J333">
        <v>60029311</v>
      </c>
      <c r="K333" t="s">
        <v>2144</v>
      </c>
      <c r="L333" t="s">
        <v>2073</v>
      </c>
      <c r="M333" t="s">
        <v>7</v>
      </c>
      <c r="N333">
        <v>4</v>
      </c>
      <c r="O333" t="s">
        <v>7933</v>
      </c>
      <c r="P333" t="s">
        <v>7932</v>
      </c>
      <c r="Q333" t="s">
        <v>7931</v>
      </c>
      <c r="R333" s="7">
        <v>33604</v>
      </c>
      <c r="S333" s="8">
        <f t="shared" si="40"/>
        <v>1992</v>
      </c>
      <c r="T333" s="8">
        <v>1992</v>
      </c>
      <c r="U333" s="8">
        <f t="shared" si="41"/>
        <v>30</v>
      </c>
      <c r="V333" s="7">
        <v>1992</v>
      </c>
      <c r="W333" t="s">
        <v>900</v>
      </c>
      <c r="X333" s="2">
        <v>0.89600000000000002</v>
      </c>
      <c r="Y333" s="6">
        <f t="shared" si="46"/>
        <v>2.3918208269934065E-2</v>
      </c>
      <c r="AA333">
        <v>2656736</v>
      </c>
      <c r="AB333">
        <v>29901</v>
      </c>
      <c r="AD333" t="s">
        <v>4</v>
      </c>
      <c r="AE333">
        <v>8</v>
      </c>
      <c r="AF333">
        <v>6</v>
      </c>
      <c r="AH333" t="s">
        <v>7930</v>
      </c>
      <c r="AI333" t="s">
        <v>7929</v>
      </c>
      <c r="AJ333" t="s">
        <v>7928</v>
      </c>
      <c r="AK333" t="s">
        <v>7927</v>
      </c>
      <c r="AL333">
        <v>43</v>
      </c>
      <c r="AM333" s="5">
        <f t="shared" si="42"/>
        <v>1.4333333333333333</v>
      </c>
      <c r="AN333" s="4">
        <f t="shared" si="47"/>
        <v>2.1708948630569228E-3</v>
      </c>
      <c r="AO333" s="3"/>
      <c r="AP333">
        <v>0</v>
      </c>
      <c r="AQ333" t="s">
        <v>895</v>
      </c>
      <c r="AR333" t="s">
        <v>7926</v>
      </c>
      <c r="AS333" t="s">
        <v>893</v>
      </c>
      <c r="AT333" s="2">
        <v>3.9140000000000001</v>
      </c>
      <c r="AU333" s="1">
        <f t="shared" si="43"/>
        <v>1.7394014247870921</v>
      </c>
      <c r="AV333" s="1">
        <f t="shared" si="44"/>
        <v>1.3044551566495495</v>
      </c>
      <c r="AW333" s="1">
        <f t="shared" si="45"/>
        <v>0.86950888851200636</v>
      </c>
    </row>
    <row r="334" spans="1:49" x14ac:dyDescent="0.2">
      <c r="A334">
        <v>332</v>
      </c>
      <c r="B334" t="s">
        <v>7925</v>
      </c>
      <c r="C334" t="s">
        <v>7924</v>
      </c>
      <c r="F334" t="s">
        <v>7923</v>
      </c>
      <c r="G334" t="s">
        <v>12</v>
      </c>
      <c r="H334" t="s">
        <v>11</v>
      </c>
      <c r="I334" t="s">
        <v>7922</v>
      </c>
      <c r="N334">
        <v>3</v>
      </c>
      <c r="O334" t="s">
        <v>7921</v>
      </c>
      <c r="P334" t="s">
        <v>7920</v>
      </c>
      <c r="Q334" t="s">
        <v>1191</v>
      </c>
      <c r="R334" s="7">
        <v>33604</v>
      </c>
      <c r="S334" s="8">
        <f t="shared" si="40"/>
        <v>1992</v>
      </c>
      <c r="T334" s="8">
        <v>1992</v>
      </c>
      <c r="U334" s="8">
        <f t="shared" si="41"/>
        <v>30</v>
      </c>
      <c r="V334" s="7">
        <v>33909</v>
      </c>
      <c r="W334" t="s">
        <v>7919</v>
      </c>
      <c r="X334" s="2">
        <v>1.863</v>
      </c>
      <c r="Y334" s="6">
        <f t="shared" si="46"/>
        <v>4.9731720989829427E-2</v>
      </c>
      <c r="AA334">
        <v>431397</v>
      </c>
      <c r="AB334">
        <v>18854</v>
      </c>
      <c r="AC334">
        <v>19447973</v>
      </c>
      <c r="AD334" t="s">
        <v>4</v>
      </c>
      <c r="AE334">
        <v>28</v>
      </c>
      <c r="AF334">
        <v>11</v>
      </c>
      <c r="AH334" t="s">
        <v>7918</v>
      </c>
      <c r="AI334" t="s">
        <v>7917</v>
      </c>
      <c r="AK334" t="s">
        <v>7916</v>
      </c>
      <c r="AL334">
        <v>23</v>
      </c>
      <c r="AM334" s="5">
        <f t="shared" si="42"/>
        <v>0.76666666666666672</v>
      </c>
      <c r="AN334" s="4">
        <f t="shared" si="47"/>
        <v>1.1611763221002146E-3</v>
      </c>
      <c r="AO334" s="3"/>
      <c r="AP334">
        <v>0</v>
      </c>
      <c r="AR334" t="s">
        <v>0</v>
      </c>
      <c r="AT334" s="2">
        <v>5.24</v>
      </c>
      <c r="AU334" s="1">
        <f t="shared" si="43"/>
        <v>3.5160557589510666</v>
      </c>
      <c r="AV334" s="1">
        <f t="shared" si="44"/>
        <v>2.544644865596482</v>
      </c>
      <c r="AW334" s="1">
        <f t="shared" si="45"/>
        <v>1.5732339722418978</v>
      </c>
    </row>
    <row r="335" spans="1:49" x14ac:dyDescent="0.2">
      <c r="A335">
        <v>333</v>
      </c>
      <c r="B335" t="s">
        <v>7915</v>
      </c>
      <c r="C335" t="s">
        <v>7914</v>
      </c>
      <c r="F335" t="s">
        <v>7913</v>
      </c>
      <c r="G335" t="s">
        <v>12</v>
      </c>
      <c r="H335" t="s">
        <v>11</v>
      </c>
      <c r="I335" t="s">
        <v>7912</v>
      </c>
      <c r="N335">
        <v>1</v>
      </c>
      <c r="O335" t="s">
        <v>7911</v>
      </c>
      <c r="P335">
        <v>7006532684</v>
      </c>
      <c r="R335" s="7">
        <v>33604</v>
      </c>
      <c r="S335" s="8">
        <f t="shared" si="40"/>
        <v>1992</v>
      </c>
      <c r="T335" s="8">
        <v>1992</v>
      </c>
      <c r="U335" s="8">
        <f t="shared" si="41"/>
        <v>30</v>
      </c>
      <c r="V335" s="7">
        <v>1992</v>
      </c>
      <c r="W335" t="s">
        <v>828</v>
      </c>
      <c r="X335" s="2">
        <v>1.67</v>
      </c>
      <c r="Y335" s="6">
        <f t="shared" si="46"/>
        <v>4.4579696217399427E-2</v>
      </c>
      <c r="AA335">
        <v>1480227</v>
      </c>
      <c r="AB335">
        <v>28428</v>
      </c>
      <c r="AD335" t="s">
        <v>4</v>
      </c>
      <c r="AE335">
        <v>97</v>
      </c>
      <c r="AF335" t="s">
        <v>7910</v>
      </c>
      <c r="AH335" t="s">
        <v>7909</v>
      </c>
      <c r="AI335" t="s">
        <v>7908</v>
      </c>
      <c r="AK335" t="s">
        <v>7907</v>
      </c>
      <c r="AL335">
        <v>8</v>
      </c>
      <c r="AM335" s="5">
        <f t="shared" si="42"/>
        <v>0.26666666666666666</v>
      </c>
      <c r="AN335" s="4">
        <f t="shared" si="47"/>
        <v>4.0388741638268334E-4</v>
      </c>
      <c r="AO335" s="3"/>
      <c r="AP335">
        <v>0</v>
      </c>
      <c r="AR335" t="s">
        <v>0</v>
      </c>
      <c r="AT335" s="2" t="s">
        <v>16</v>
      </c>
      <c r="AU335" s="1">
        <f t="shared" si="43"/>
        <v>3.1326953577094403</v>
      </c>
      <c r="AV335" s="1">
        <f t="shared" si="44"/>
        <v>2.2491791816891054</v>
      </c>
      <c r="AW335" s="1">
        <f t="shared" si="45"/>
        <v>1.3656630056687706</v>
      </c>
    </row>
    <row r="336" spans="1:49" x14ac:dyDescent="0.2">
      <c r="A336">
        <v>334</v>
      </c>
      <c r="B336" t="s">
        <v>7906</v>
      </c>
      <c r="F336" t="s">
        <v>7905</v>
      </c>
      <c r="G336" t="s">
        <v>12</v>
      </c>
      <c r="H336" t="s">
        <v>11</v>
      </c>
      <c r="I336" t="s">
        <v>7904</v>
      </c>
      <c r="J336">
        <v>60006627</v>
      </c>
      <c r="K336" t="s">
        <v>7903</v>
      </c>
      <c r="L336" t="s">
        <v>7902</v>
      </c>
      <c r="M336" t="s">
        <v>2155</v>
      </c>
      <c r="N336">
        <v>2</v>
      </c>
      <c r="O336" t="s">
        <v>7901</v>
      </c>
      <c r="P336" t="s">
        <v>7900</v>
      </c>
      <c r="Q336" t="s">
        <v>7899</v>
      </c>
      <c r="R336" s="7">
        <v>33604</v>
      </c>
      <c r="S336" s="8">
        <f t="shared" si="40"/>
        <v>1992</v>
      </c>
      <c r="T336" s="8">
        <v>1992</v>
      </c>
      <c r="U336" s="8">
        <f t="shared" si="41"/>
        <v>30</v>
      </c>
      <c r="V336" s="7">
        <v>1992</v>
      </c>
      <c r="W336" t="s">
        <v>7898</v>
      </c>
      <c r="X336" s="2" t="s">
        <v>16</v>
      </c>
      <c r="Y336" s="6" t="e">
        <f t="shared" si="46"/>
        <v>#VALUE!</v>
      </c>
      <c r="AA336">
        <v>3794369</v>
      </c>
      <c r="AB336">
        <v>20353</v>
      </c>
      <c r="AD336" t="s">
        <v>4</v>
      </c>
      <c r="AE336">
        <v>22</v>
      </c>
      <c r="AF336">
        <v>3</v>
      </c>
      <c r="AH336" t="s">
        <v>7897</v>
      </c>
      <c r="AI336" t="s">
        <v>7896</v>
      </c>
      <c r="AK336" t="s">
        <v>7895</v>
      </c>
      <c r="AL336">
        <v>5</v>
      </c>
      <c r="AM336" s="5">
        <f t="shared" si="42"/>
        <v>0.16666666666666666</v>
      </c>
      <c r="AN336" s="4">
        <f t="shared" si="47"/>
        <v>2.5242963523917705E-4</v>
      </c>
      <c r="AO336" s="3"/>
      <c r="AP336">
        <v>0</v>
      </c>
      <c r="AR336" t="s">
        <v>0</v>
      </c>
      <c r="AT336" s="2" t="s">
        <v>16</v>
      </c>
      <c r="AU336" s="1" t="e">
        <f t="shared" si="43"/>
        <v>#VALUE!</v>
      </c>
      <c r="AV336" s="1" t="e">
        <f t="shared" si="44"/>
        <v>#VALUE!</v>
      </c>
      <c r="AW336" s="1" t="e">
        <f t="shared" si="45"/>
        <v>#VALUE!</v>
      </c>
    </row>
    <row r="337" spans="1:49" x14ac:dyDescent="0.2">
      <c r="A337">
        <v>335</v>
      </c>
      <c r="B337" t="s">
        <v>7894</v>
      </c>
      <c r="C337" t="s">
        <v>7893</v>
      </c>
      <c r="F337" t="s">
        <v>7892</v>
      </c>
      <c r="G337" t="s">
        <v>12</v>
      </c>
      <c r="H337" t="s">
        <v>11</v>
      </c>
      <c r="I337" t="s">
        <v>7891</v>
      </c>
      <c r="N337">
        <v>1</v>
      </c>
      <c r="O337" t="s">
        <v>7890</v>
      </c>
      <c r="P337">
        <v>55887806800</v>
      </c>
      <c r="R337" s="7">
        <v>33604</v>
      </c>
      <c r="S337" s="8">
        <f t="shared" si="40"/>
        <v>1992</v>
      </c>
      <c r="T337" s="8">
        <v>1992</v>
      </c>
      <c r="U337" s="8">
        <f t="shared" si="41"/>
        <v>30</v>
      </c>
      <c r="V337" s="7">
        <v>1992</v>
      </c>
      <c r="W337" t="s">
        <v>7889</v>
      </c>
      <c r="X337" s="2">
        <v>0.60699999999999998</v>
      </c>
      <c r="Y337" s="6">
        <f t="shared" si="46"/>
        <v>1.6203518325725422E-2</v>
      </c>
      <c r="AA337">
        <v>84301</v>
      </c>
      <c r="AB337">
        <v>24765</v>
      </c>
      <c r="AD337" t="s">
        <v>4</v>
      </c>
      <c r="AE337">
        <v>70</v>
      </c>
      <c r="AF337">
        <v>11</v>
      </c>
      <c r="AH337" t="s">
        <v>7888</v>
      </c>
      <c r="AI337" t="s">
        <v>7887</v>
      </c>
      <c r="AK337" t="s">
        <v>7886</v>
      </c>
      <c r="AL337">
        <v>81</v>
      </c>
      <c r="AM337" s="5">
        <f t="shared" si="42"/>
        <v>2.7</v>
      </c>
      <c r="AN337" s="4">
        <f t="shared" si="47"/>
        <v>4.0893600908746691E-3</v>
      </c>
      <c r="AO337" s="3"/>
      <c r="AP337">
        <v>0</v>
      </c>
      <c r="AR337" t="s">
        <v>0</v>
      </c>
      <c r="AT337" s="2">
        <v>1.597</v>
      </c>
      <c r="AU337" s="1">
        <f t="shared" si="43"/>
        <v>1.2569270855270196</v>
      </c>
      <c r="AV337" s="1">
        <f t="shared" si="44"/>
        <v>1.0146439208300047</v>
      </c>
      <c r="AW337" s="1">
        <f t="shared" si="45"/>
        <v>0.77236075613298949</v>
      </c>
    </row>
    <row r="338" spans="1:49" x14ac:dyDescent="0.2">
      <c r="A338">
        <v>336</v>
      </c>
      <c r="B338" t="s">
        <v>7885</v>
      </c>
      <c r="F338" t="s">
        <v>7884</v>
      </c>
      <c r="G338" t="s">
        <v>12</v>
      </c>
      <c r="H338" t="s">
        <v>11</v>
      </c>
      <c r="I338" t="s">
        <v>7883</v>
      </c>
      <c r="J338">
        <v>60003500</v>
      </c>
      <c r="K338" t="s">
        <v>1690</v>
      </c>
      <c r="L338" t="s">
        <v>1689</v>
      </c>
      <c r="M338" t="s">
        <v>7</v>
      </c>
      <c r="N338">
        <v>3</v>
      </c>
      <c r="O338" t="s">
        <v>7882</v>
      </c>
      <c r="P338" t="s">
        <v>7881</v>
      </c>
      <c r="Q338" t="s">
        <v>5466</v>
      </c>
      <c r="R338" s="7">
        <v>33604</v>
      </c>
      <c r="S338" s="8">
        <f t="shared" ref="S338:S401" si="48">YEAR(R338)</f>
        <v>1992</v>
      </c>
      <c r="T338" s="8">
        <v>1992</v>
      </c>
      <c r="U338" s="8">
        <f t="shared" ref="U338:U401" si="49">2022-T338</f>
        <v>30</v>
      </c>
      <c r="V338" s="7">
        <v>1992</v>
      </c>
      <c r="W338" t="s">
        <v>7854</v>
      </c>
      <c r="X338" s="2" t="s">
        <v>16</v>
      </c>
      <c r="Y338" s="6" t="e">
        <f t="shared" si="46"/>
        <v>#VALUE!</v>
      </c>
      <c r="AB338">
        <v>26861</v>
      </c>
      <c r="AD338" t="s">
        <v>4</v>
      </c>
      <c r="AE338">
        <v>16</v>
      </c>
      <c r="AH338" s="9">
        <v>44537</v>
      </c>
      <c r="AI338" t="s">
        <v>7880</v>
      </c>
      <c r="AK338" t="s">
        <v>7879</v>
      </c>
      <c r="AL338">
        <v>1</v>
      </c>
      <c r="AM338" s="5">
        <f t="shared" ref="AM338:AM401" si="50">AL338/U338</f>
        <v>3.3333333333333333E-2</v>
      </c>
      <c r="AN338" s="4">
        <f t="shared" si="47"/>
        <v>5.0485927047835418E-5</v>
      </c>
      <c r="AO338" s="3"/>
      <c r="AP338">
        <v>0</v>
      </c>
      <c r="AR338" t="s">
        <v>0</v>
      </c>
      <c r="AT338" s="2" t="s">
        <v>16</v>
      </c>
      <c r="AU338" s="1" t="e">
        <f t="shared" ref="AU338:AU401" si="51">(Y338*0.7+AN338*0.3)*100</f>
        <v>#VALUE!</v>
      </c>
      <c r="AV338" s="1" t="e">
        <f t="shared" ref="AV338:AV401" si="52">(Y338*0.5+AN338*0.5)*100</f>
        <v>#VALUE!</v>
      </c>
      <c r="AW338" s="1" t="e">
        <f t="shared" ref="AW338:AW401" si="53">(Y338*0.3+AN338*0.7)*100</f>
        <v>#VALUE!</v>
      </c>
    </row>
    <row r="339" spans="1:49" x14ac:dyDescent="0.2">
      <c r="A339">
        <v>337</v>
      </c>
      <c r="B339" t="s">
        <v>7878</v>
      </c>
      <c r="F339" t="s">
        <v>7877</v>
      </c>
      <c r="G339" t="s">
        <v>12</v>
      </c>
      <c r="H339" t="s">
        <v>11</v>
      </c>
      <c r="I339" t="s">
        <v>7876</v>
      </c>
      <c r="J339">
        <v>60007333</v>
      </c>
      <c r="K339" t="s">
        <v>7875</v>
      </c>
      <c r="L339" t="s">
        <v>7874</v>
      </c>
      <c r="M339" t="s">
        <v>545</v>
      </c>
      <c r="N339">
        <v>5</v>
      </c>
      <c r="O339" t="s">
        <v>7873</v>
      </c>
      <c r="P339" t="s">
        <v>7872</v>
      </c>
      <c r="Q339" t="s">
        <v>7871</v>
      </c>
      <c r="R339" s="7">
        <v>33604</v>
      </c>
      <c r="S339" s="8">
        <f t="shared" si="48"/>
        <v>1992</v>
      </c>
      <c r="T339" s="8">
        <v>1992</v>
      </c>
      <c r="U339" s="8">
        <f t="shared" si="49"/>
        <v>30</v>
      </c>
      <c r="V339" s="7">
        <v>1992</v>
      </c>
      <c r="W339" t="s">
        <v>7854</v>
      </c>
      <c r="X339" s="2" t="s">
        <v>16</v>
      </c>
      <c r="Y339" s="6" t="e">
        <f t="shared" si="46"/>
        <v>#VALUE!</v>
      </c>
      <c r="AB339">
        <v>26861</v>
      </c>
      <c r="AD339" t="s">
        <v>4</v>
      </c>
      <c r="AE339">
        <v>16</v>
      </c>
      <c r="AH339" t="s">
        <v>7870</v>
      </c>
      <c r="AI339" t="s">
        <v>7869</v>
      </c>
      <c r="AK339" t="s">
        <v>7868</v>
      </c>
      <c r="AL339">
        <v>0</v>
      </c>
      <c r="AM339" s="5">
        <f t="shared" si="50"/>
        <v>0</v>
      </c>
      <c r="AN339" s="4">
        <f t="shared" si="47"/>
        <v>0</v>
      </c>
      <c r="AO339" s="3"/>
      <c r="AP339">
        <v>0</v>
      </c>
      <c r="AR339" t="s">
        <v>0</v>
      </c>
      <c r="AT339" s="2" t="s">
        <v>16</v>
      </c>
      <c r="AU339" s="1" t="e">
        <f t="shared" si="51"/>
        <v>#VALUE!</v>
      </c>
      <c r="AV339" s="1" t="e">
        <f t="shared" si="52"/>
        <v>#VALUE!</v>
      </c>
      <c r="AW339" s="1" t="e">
        <f t="shared" si="53"/>
        <v>#VALUE!</v>
      </c>
    </row>
    <row r="340" spans="1:49" x14ac:dyDescent="0.2">
      <c r="A340">
        <v>338</v>
      </c>
      <c r="B340" t="s">
        <v>7867</v>
      </c>
      <c r="F340" t="s">
        <v>7866</v>
      </c>
      <c r="G340" t="s">
        <v>12</v>
      </c>
      <c r="H340" t="s">
        <v>11</v>
      </c>
      <c r="I340" t="s">
        <v>7865</v>
      </c>
      <c r="N340">
        <v>2</v>
      </c>
      <c r="O340" t="s">
        <v>7864</v>
      </c>
      <c r="P340" t="s">
        <v>7863</v>
      </c>
      <c r="Q340" t="s">
        <v>720</v>
      </c>
      <c r="R340" s="7">
        <v>33604</v>
      </c>
      <c r="S340" s="8">
        <f t="shared" si="48"/>
        <v>1992</v>
      </c>
      <c r="T340" s="8">
        <v>1992</v>
      </c>
      <c r="U340" s="8">
        <f t="shared" si="49"/>
        <v>30</v>
      </c>
      <c r="V340" s="7">
        <v>1992</v>
      </c>
      <c r="W340" t="s">
        <v>7854</v>
      </c>
      <c r="X340" s="2" t="s">
        <v>16</v>
      </c>
      <c r="Y340" s="6" t="e">
        <f t="shared" si="46"/>
        <v>#VALUE!</v>
      </c>
      <c r="AB340">
        <v>26861</v>
      </c>
      <c r="AD340" t="s">
        <v>4</v>
      </c>
      <c r="AE340">
        <v>16</v>
      </c>
      <c r="AH340" t="s">
        <v>7862</v>
      </c>
      <c r="AI340" t="s">
        <v>7861</v>
      </c>
      <c r="AK340" t="s">
        <v>7860</v>
      </c>
      <c r="AL340">
        <v>0</v>
      </c>
      <c r="AM340" s="5">
        <f t="shared" si="50"/>
        <v>0</v>
      </c>
      <c r="AN340" s="4">
        <f t="shared" si="47"/>
        <v>0</v>
      </c>
      <c r="AO340" s="3"/>
      <c r="AP340">
        <v>0</v>
      </c>
      <c r="AR340" t="s">
        <v>0</v>
      </c>
      <c r="AT340" s="2" t="s">
        <v>16</v>
      </c>
      <c r="AU340" s="1" t="e">
        <f t="shared" si="51"/>
        <v>#VALUE!</v>
      </c>
      <c r="AV340" s="1" t="e">
        <f t="shared" si="52"/>
        <v>#VALUE!</v>
      </c>
      <c r="AW340" s="1" t="e">
        <f t="shared" si="53"/>
        <v>#VALUE!</v>
      </c>
    </row>
    <row r="341" spans="1:49" x14ac:dyDescent="0.2">
      <c r="A341">
        <v>339</v>
      </c>
      <c r="B341" t="s">
        <v>7859</v>
      </c>
      <c r="F341" t="s">
        <v>7858</v>
      </c>
      <c r="G341" t="s">
        <v>12</v>
      </c>
      <c r="H341" t="s">
        <v>11</v>
      </c>
      <c r="I341" t="s">
        <v>7857</v>
      </c>
      <c r="N341">
        <v>3</v>
      </c>
      <c r="O341" t="s">
        <v>7856</v>
      </c>
      <c r="P341" t="s">
        <v>7855</v>
      </c>
      <c r="Q341" t="s">
        <v>1191</v>
      </c>
      <c r="R341" s="7">
        <v>33604</v>
      </c>
      <c r="S341" s="8">
        <f t="shared" si="48"/>
        <v>1992</v>
      </c>
      <c r="T341" s="8">
        <v>1992</v>
      </c>
      <c r="U341" s="8">
        <f t="shared" si="49"/>
        <v>30</v>
      </c>
      <c r="V341" s="7">
        <v>1992</v>
      </c>
      <c r="W341" t="s">
        <v>7854</v>
      </c>
      <c r="X341" s="2" t="s">
        <v>16</v>
      </c>
      <c r="Y341" s="6" t="e">
        <f t="shared" si="46"/>
        <v>#VALUE!</v>
      </c>
      <c r="AB341">
        <v>26861</v>
      </c>
      <c r="AD341" t="s">
        <v>4</v>
      </c>
      <c r="AE341">
        <v>16</v>
      </c>
      <c r="AH341" t="s">
        <v>7853</v>
      </c>
      <c r="AI341" t="s">
        <v>7852</v>
      </c>
      <c r="AK341" t="s">
        <v>7851</v>
      </c>
      <c r="AL341">
        <v>7</v>
      </c>
      <c r="AM341" s="5">
        <f t="shared" si="50"/>
        <v>0.23333333333333334</v>
      </c>
      <c r="AN341" s="4">
        <f t="shared" si="47"/>
        <v>3.5340148933484791E-4</v>
      </c>
      <c r="AO341" s="3"/>
      <c r="AP341">
        <v>0</v>
      </c>
      <c r="AR341" t="s">
        <v>0</v>
      </c>
      <c r="AT341" s="2" t="s">
        <v>16</v>
      </c>
      <c r="AU341" s="1" t="e">
        <f t="shared" si="51"/>
        <v>#VALUE!</v>
      </c>
      <c r="AV341" s="1" t="e">
        <f t="shared" si="52"/>
        <v>#VALUE!</v>
      </c>
      <c r="AW341" s="1" t="e">
        <f t="shared" si="53"/>
        <v>#VALUE!</v>
      </c>
    </row>
    <row r="342" spans="1:49" x14ac:dyDescent="0.2">
      <c r="A342">
        <v>340</v>
      </c>
      <c r="B342" t="s">
        <v>7850</v>
      </c>
      <c r="F342" t="s">
        <v>7849</v>
      </c>
      <c r="G342" t="s">
        <v>12</v>
      </c>
      <c r="H342" t="s">
        <v>11</v>
      </c>
      <c r="I342" t="s">
        <v>7848</v>
      </c>
      <c r="N342">
        <v>3</v>
      </c>
      <c r="O342" t="s">
        <v>7847</v>
      </c>
      <c r="P342" t="s">
        <v>7846</v>
      </c>
      <c r="Q342" t="s">
        <v>1191</v>
      </c>
      <c r="R342" s="7">
        <v>33604</v>
      </c>
      <c r="S342" s="8">
        <f t="shared" si="48"/>
        <v>1992</v>
      </c>
      <c r="T342" s="8">
        <v>1992</v>
      </c>
      <c r="U342" s="8">
        <f t="shared" si="49"/>
        <v>30</v>
      </c>
      <c r="V342" s="7">
        <v>1992</v>
      </c>
      <c r="W342" t="s">
        <v>7845</v>
      </c>
      <c r="X342" s="2" t="s">
        <v>16</v>
      </c>
      <c r="Y342" s="6" t="e">
        <f t="shared" si="46"/>
        <v>#VALUE!</v>
      </c>
      <c r="AA342">
        <v>831093</v>
      </c>
      <c r="AB342">
        <v>26849</v>
      </c>
      <c r="AD342" t="s">
        <v>4</v>
      </c>
      <c r="AE342">
        <v>1966</v>
      </c>
      <c r="AH342" t="s">
        <v>7844</v>
      </c>
      <c r="AI342" t="s">
        <v>7843</v>
      </c>
      <c r="AK342" t="s">
        <v>7842</v>
      </c>
      <c r="AL342">
        <v>0</v>
      </c>
      <c r="AM342" s="5">
        <f t="shared" si="50"/>
        <v>0</v>
      </c>
      <c r="AN342" s="4">
        <f t="shared" si="47"/>
        <v>0</v>
      </c>
      <c r="AO342" s="3"/>
      <c r="AP342">
        <v>0</v>
      </c>
      <c r="AR342" t="s">
        <v>0</v>
      </c>
      <c r="AT342" s="2" t="s">
        <v>16</v>
      </c>
      <c r="AU342" s="1" t="e">
        <f t="shared" si="51"/>
        <v>#VALUE!</v>
      </c>
      <c r="AV342" s="1" t="e">
        <f t="shared" si="52"/>
        <v>#VALUE!</v>
      </c>
      <c r="AW342" s="1" t="e">
        <f t="shared" si="53"/>
        <v>#VALUE!</v>
      </c>
    </row>
    <row r="343" spans="1:49" x14ac:dyDescent="0.2">
      <c r="A343">
        <v>341</v>
      </c>
      <c r="B343" t="s">
        <v>7841</v>
      </c>
      <c r="C343" t="s">
        <v>7840</v>
      </c>
      <c r="E343">
        <v>1482416</v>
      </c>
      <c r="F343" t="s">
        <v>7839</v>
      </c>
      <c r="G343" t="s">
        <v>12</v>
      </c>
      <c r="H343" t="s">
        <v>11</v>
      </c>
      <c r="I343" t="s">
        <v>7838</v>
      </c>
      <c r="J343">
        <v>60021378</v>
      </c>
      <c r="K343" t="s">
        <v>2498</v>
      </c>
      <c r="L343" t="s">
        <v>2497</v>
      </c>
      <c r="M343" t="s">
        <v>7</v>
      </c>
      <c r="N343">
        <v>2</v>
      </c>
      <c r="O343" t="s">
        <v>7837</v>
      </c>
      <c r="P343" t="s">
        <v>7836</v>
      </c>
      <c r="Q343" t="s">
        <v>7835</v>
      </c>
      <c r="R343" s="7">
        <v>33604</v>
      </c>
      <c r="S343" s="8">
        <f t="shared" si="48"/>
        <v>1992</v>
      </c>
      <c r="T343" s="8">
        <v>1992</v>
      </c>
      <c r="U343" s="8">
        <f t="shared" si="49"/>
        <v>30</v>
      </c>
      <c r="V343" s="7">
        <v>1992</v>
      </c>
      <c r="W343" t="s">
        <v>7785</v>
      </c>
      <c r="X343" s="2">
        <v>0.435</v>
      </c>
      <c r="Y343" s="6">
        <f t="shared" si="46"/>
        <v>1.1612076559622007E-2</v>
      </c>
      <c r="AA343">
        <v>1978462</v>
      </c>
      <c r="AB343">
        <v>14839</v>
      </c>
      <c r="AC343" t="s">
        <v>7784</v>
      </c>
      <c r="AD343" t="s">
        <v>4</v>
      </c>
      <c r="AE343">
        <v>13</v>
      </c>
      <c r="AF343">
        <v>6</v>
      </c>
      <c r="AH343" t="s">
        <v>7834</v>
      </c>
      <c r="AI343" t="s">
        <v>7833</v>
      </c>
      <c r="AJ343" t="s">
        <v>7832</v>
      </c>
      <c r="AK343" t="s">
        <v>7831</v>
      </c>
      <c r="AL343">
        <v>29</v>
      </c>
      <c r="AM343" s="5">
        <f t="shared" si="50"/>
        <v>0.96666666666666667</v>
      </c>
      <c r="AN343" s="4">
        <f t="shared" si="47"/>
        <v>1.4640918843872271E-3</v>
      </c>
      <c r="AO343" s="3"/>
      <c r="AP343">
        <v>0</v>
      </c>
      <c r="AR343" t="s">
        <v>0</v>
      </c>
      <c r="AT343" s="2">
        <v>2.0099999999999998</v>
      </c>
      <c r="AU343" s="1">
        <f t="shared" si="51"/>
        <v>0.85676811570515721</v>
      </c>
      <c r="AV343" s="1">
        <f t="shared" si="52"/>
        <v>0.65380842220046176</v>
      </c>
      <c r="AW343" s="1">
        <f t="shared" si="53"/>
        <v>0.45084872869576609</v>
      </c>
    </row>
    <row r="344" spans="1:49" x14ac:dyDescent="0.2">
      <c r="A344">
        <v>342</v>
      </c>
      <c r="B344" t="s">
        <v>7830</v>
      </c>
      <c r="C344" t="s">
        <v>7829</v>
      </c>
      <c r="F344" t="s">
        <v>7828</v>
      </c>
      <c r="G344" t="s">
        <v>12</v>
      </c>
      <c r="H344" t="s">
        <v>11</v>
      </c>
      <c r="I344" t="s">
        <v>7827</v>
      </c>
      <c r="J344">
        <v>60002929</v>
      </c>
      <c r="K344" t="s">
        <v>7826</v>
      </c>
      <c r="L344" t="s">
        <v>7825</v>
      </c>
      <c r="M344" t="s">
        <v>393</v>
      </c>
      <c r="N344">
        <v>2</v>
      </c>
      <c r="O344" t="s">
        <v>7824</v>
      </c>
      <c r="P344" t="s">
        <v>7823</v>
      </c>
      <c r="Q344" t="s">
        <v>7822</v>
      </c>
      <c r="R344" s="7">
        <v>33604</v>
      </c>
      <c r="S344" s="8">
        <f t="shared" si="48"/>
        <v>1992</v>
      </c>
      <c r="T344" s="8">
        <v>1992</v>
      </c>
      <c r="U344" s="8">
        <f t="shared" si="49"/>
        <v>30</v>
      </c>
      <c r="V344" s="7">
        <v>33695</v>
      </c>
      <c r="W344" t="s">
        <v>7821</v>
      </c>
      <c r="X344" s="2" t="s">
        <v>16</v>
      </c>
      <c r="Y344" s="6" t="e">
        <f t="shared" si="46"/>
        <v>#VALUE!</v>
      </c>
      <c r="AA344" t="s">
        <v>7820</v>
      </c>
      <c r="AB344">
        <v>19716</v>
      </c>
      <c r="AC344">
        <v>19183240</v>
      </c>
      <c r="AD344" t="s">
        <v>4</v>
      </c>
      <c r="AE344">
        <v>124</v>
      </c>
      <c r="AF344">
        <v>2</v>
      </c>
      <c r="AH344" t="s">
        <v>7819</v>
      </c>
      <c r="AI344" t="s">
        <v>7818</v>
      </c>
      <c r="AK344" t="s">
        <v>7817</v>
      </c>
      <c r="AL344">
        <v>12</v>
      </c>
      <c r="AM344" s="5">
        <f t="shared" si="50"/>
        <v>0.4</v>
      </c>
      <c r="AN344" s="4">
        <f t="shared" si="47"/>
        <v>6.0583112457402507E-4</v>
      </c>
      <c r="AO344" s="3"/>
      <c r="AP344">
        <v>0</v>
      </c>
      <c r="AR344" t="s">
        <v>0</v>
      </c>
      <c r="AT344" s="2" t="s">
        <v>16</v>
      </c>
      <c r="AU344" s="1" t="e">
        <f t="shared" si="51"/>
        <v>#VALUE!</v>
      </c>
      <c r="AV344" s="1" t="e">
        <f t="shared" si="52"/>
        <v>#VALUE!</v>
      </c>
      <c r="AW344" s="1" t="e">
        <f t="shared" si="53"/>
        <v>#VALUE!</v>
      </c>
    </row>
    <row r="345" spans="1:49" x14ac:dyDescent="0.2">
      <c r="A345">
        <v>343</v>
      </c>
      <c r="B345" t="s">
        <v>7816</v>
      </c>
      <c r="C345" t="s">
        <v>7815</v>
      </c>
      <c r="E345">
        <v>1297791</v>
      </c>
      <c r="F345" t="s">
        <v>7814</v>
      </c>
      <c r="G345" t="s">
        <v>12</v>
      </c>
      <c r="H345" t="s">
        <v>11</v>
      </c>
      <c r="I345" t="s">
        <v>7813</v>
      </c>
      <c r="J345">
        <v>60029904</v>
      </c>
      <c r="K345" t="s">
        <v>7812</v>
      </c>
      <c r="L345" t="s">
        <v>7811</v>
      </c>
      <c r="M345" t="s">
        <v>151</v>
      </c>
      <c r="N345">
        <v>1</v>
      </c>
      <c r="O345" t="s">
        <v>7810</v>
      </c>
      <c r="P345">
        <v>7003985511</v>
      </c>
      <c r="Q345">
        <v>60029904</v>
      </c>
      <c r="R345" s="7">
        <v>33604</v>
      </c>
      <c r="S345" s="8">
        <f t="shared" si="48"/>
        <v>1992</v>
      </c>
      <c r="T345" s="8">
        <v>1992</v>
      </c>
      <c r="U345" s="8">
        <f t="shared" si="49"/>
        <v>30</v>
      </c>
      <c r="V345" s="7">
        <v>1992</v>
      </c>
      <c r="W345" t="s">
        <v>7809</v>
      </c>
      <c r="X345" s="2">
        <v>0.41</v>
      </c>
      <c r="Y345" s="6">
        <f t="shared" si="46"/>
        <v>1.0944715837804649E-2</v>
      </c>
      <c r="AA345">
        <v>3014800</v>
      </c>
      <c r="AB345">
        <v>12720</v>
      </c>
      <c r="AC345">
        <v>18817742</v>
      </c>
      <c r="AD345" t="s">
        <v>4</v>
      </c>
      <c r="AE345">
        <v>38</v>
      </c>
      <c r="AH345" t="s">
        <v>7808</v>
      </c>
      <c r="AI345" t="s">
        <v>7807</v>
      </c>
      <c r="AK345" t="s">
        <v>7806</v>
      </c>
      <c r="AL345">
        <v>3</v>
      </c>
      <c r="AM345" s="5">
        <f t="shared" si="50"/>
        <v>0.1</v>
      </c>
      <c r="AN345" s="4">
        <f t="shared" si="47"/>
        <v>1.5145778114350627E-4</v>
      </c>
      <c r="AO345" s="3"/>
      <c r="AP345">
        <v>1</v>
      </c>
      <c r="AR345" t="s">
        <v>0</v>
      </c>
      <c r="AT345" s="2" t="s">
        <v>16</v>
      </c>
      <c r="AU345" s="1">
        <f t="shared" si="51"/>
        <v>0.77067384208063061</v>
      </c>
      <c r="AV345" s="1">
        <f t="shared" si="52"/>
        <v>0.55480868094740776</v>
      </c>
      <c r="AW345" s="1">
        <f t="shared" si="53"/>
        <v>0.33894351981418491</v>
      </c>
    </row>
    <row r="346" spans="1:49" x14ac:dyDescent="0.2">
      <c r="A346">
        <v>344</v>
      </c>
      <c r="B346" t="s">
        <v>7805</v>
      </c>
      <c r="C346" t="s">
        <v>7804</v>
      </c>
      <c r="E346">
        <v>1482414</v>
      </c>
      <c r="F346" t="s">
        <v>7803</v>
      </c>
      <c r="G346" t="s">
        <v>12</v>
      </c>
      <c r="H346" t="s">
        <v>11</v>
      </c>
      <c r="I346" t="s">
        <v>7802</v>
      </c>
      <c r="J346" t="s">
        <v>7801</v>
      </c>
      <c r="K346" t="s">
        <v>7800</v>
      </c>
      <c r="L346" t="s">
        <v>7799</v>
      </c>
      <c r="M346" t="s">
        <v>125</v>
      </c>
      <c r="N346">
        <v>3</v>
      </c>
      <c r="O346" t="s">
        <v>7798</v>
      </c>
      <c r="P346" t="s">
        <v>7797</v>
      </c>
      <c r="Q346" t="s">
        <v>7796</v>
      </c>
      <c r="R346" s="7">
        <v>33604</v>
      </c>
      <c r="S346" s="8">
        <f t="shared" si="48"/>
        <v>1992</v>
      </c>
      <c r="T346" s="8">
        <v>1992</v>
      </c>
      <c r="U346" s="8">
        <f t="shared" si="49"/>
        <v>30</v>
      </c>
      <c r="V346" s="7">
        <v>1992</v>
      </c>
      <c r="W346" t="s">
        <v>7785</v>
      </c>
      <c r="X346" s="2">
        <v>0.435</v>
      </c>
      <c r="Y346" s="6">
        <f t="shared" si="46"/>
        <v>1.1612076559622007E-2</v>
      </c>
      <c r="AA346">
        <v>1978462</v>
      </c>
      <c r="AB346">
        <v>14839</v>
      </c>
      <c r="AC346" t="s">
        <v>7784</v>
      </c>
      <c r="AD346" t="s">
        <v>4</v>
      </c>
      <c r="AE346">
        <v>13</v>
      </c>
      <c r="AF346">
        <v>6</v>
      </c>
      <c r="AH346" t="s">
        <v>7795</v>
      </c>
      <c r="AI346" t="s">
        <v>7794</v>
      </c>
      <c r="AJ346" t="s">
        <v>7793</v>
      </c>
      <c r="AK346" t="s">
        <v>7792</v>
      </c>
      <c r="AL346">
        <v>18</v>
      </c>
      <c r="AM346" s="5">
        <f t="shared" si="50"/>
        <v>0.6</v>
      </c>
      <c r="AN346" s="4">
        <f t="shared" si="47"/>
        <v>9.0874668686103744E-4</v>
      </c>
      <c r="AO346" s="3"/>
      <c r="AP346">
        <v>0</v>
      </c>
      <c r="AR346" t="s">
        <v>0</v>
      </c>
      <c r="AT346" s="2">
        <v>2.0099999999999998</v>
      </c>
      <c r="AU346" s="1">
        <f t="shared" si="51"/>
        <v>0.84010775977937158</v>
      </c>
      <c r="AV346" s="1">
        <f t="shared" si="52"/>
        <v>0.62604116232415219</v>
      </c>
      <c r="AW346" s="1">
        <f t="shared" si="53"/>
        <v>0.4119745648689328</v>
      </c>
    </row>
    <row r="347" spans="1:49" x14ac:dyDescent="0.2">
      <c r="A347">
        <v>345</v>
      </c>
      <c r="B347" t="s">
        <v>7791</v>
      </c>
      <c r="C347" t="s">
        <v>7790</v>
      </c>
      <c r="E347">
        <v>1482418</v>
      </c>
      <c r="F347" t="s">
        <v>7789</v>
      </c>
      <c r="G347" t="s">
        <v>12</v>
      </c>
      <c r="H347" t="s">
        <v>11</v>
      </c>
      <c r="I347" t="s">
        <v>7788</v>
      </c>
      <c r="J347">
        <v>60027561</v>
      </c>
      <c r="K347" t="s">
        <v>7787</v>
      </c>
      <c r="L347" t="s">
        <v>1181</v>
      </c>
      <c r="M347" t="s">
        <v>7</v>
      </c>
      <c r="N347">
        <v>1</v>
      </c>
      <c r="O347" t="s">
        <v>7786</v>
      </c>
      <c r="P347">
        <v>56129745800</v>
      </c>
      <c r="Q347">
        <v>60027561</v>
      </c>
      <c r="R347" s="7">
        <v>33604</v>
      </c>
      <c r="S347" s="8">
        <f t="shared" si="48"/>
        <v>1992</v>
      </c>
      <c r="T347" s="8">
        <v>1992</v>
      </c>
      <c r="U347" s="8">
        <f t="shared" si="49"/>
        <v>30</v>
      </c>
      <c r="V347" s="7">
        <v>1992</v>
      </c>
      <c r="W347" t="s">
        <v>7785</v>
      </c>
      <c r="X347" s="2">
        <v>0.435</v>
      </c>
      <c r="Y347" s="6">
        <f t="shared" si="46"/>
        <v>1.1612076559622007E-2</v>
      </c>
      <c r="AA347">
        <v>1978462</v>
      </c>
      <c r="AB347">
        <v>14839</v>
      </c>
      <c r="AC347" t="s">
        <v>7784</v>
      </c>
      <c r="AD347" t="s">
        <v>4</v>
      </c>
      <c r="AE347">
        <v>13</v>
      </c>
      <c r="AF347">
        <v>6</v>
      </c>
      <c r="AH347" t="s">
        <v>7783</v>
      </c>
      <c r="AI347" t="s">
        <v>7782</v>
      </c>
      <c r="AJ347" t="s">
        <v>7781</v>
      </c>
      <c r="AK347" t="s">
        <v>7780</v>
      </c>
      <c r="AL347">
        <v>231</v>
      </c>
      <c r="AM347" s="5">
        <f t="shared" si="50"/>
        <v>7.7</v>
      </c>
      <c r="AN347" s="4">
        <f t="shared" si="47"/>
        <v>1.1662249148049982E-2</v>
      </c>
      <c r="AO347" s="3"/>
      <c r="AP347">
        <v>0</v>
      </c>
      <c r="AR347" t="s">
        <v>0</v>
      </c>
      <c r="AT347" s="2">
        <v>2.0099999999999998</v>
      </c>
      <c r="AU347" s="1">
        <f t="shared" si="51"/>
        <v>1.1627128336150401</v>
      </c>
      <c r="AV347" s="1">
        <f t="shared" si="52"/>
        <v>1.1637162853835994</v>
      </c>
      <c r="AW347" s="1">
        <f t="shared" si="53"/>
        <v>1.1647197371521589</v>
      </c>
    </row>
    <row r="348" spans="1:49" x14ac:dyDescent="0.2">
      <c r="A348">
        <v>346</v>
      </c>
      <c r="B348" t="s">
        <v>7779</v>
      </c>
      <c r="C348" t="s">
        <v>7778</v>
      </c>
      <c r="F348" t="s">
        <v>7777</v>
      </c>
      <c r="G348" t="s">
        <v>12</v>
      </c>
      <c r="H348" t="s">
        <v>11</v>
      </c>
      <c r="I348" t="s">
        <v>7776</v>
      </c>
      <c r="J348">
        <v>60007776</v>
      </c>
      <c r="K348" t="s">
        <v>2848</v>
      </c>
      <c r="L348" t="s">
        <v>2847</v>
      </c>
      <c r="M348" t="s">
        <v>7</v>
      </c>
      <c r="N348">
        <v>3</v>
      </c>
      <c r="O348" t="s">
        <v>7775</v>
      </c>
      <c r="P348" t="s">
        <v>7774</v>
      </c>
      <c r="Q348" t="s">
        <v>2844</v>
      </c>
      <c r="R348" s="7">
        <v>33604</v>
      </c>
      <c r="S348" s="8">
        <f t="shared" si="48"/>
        <v>1992</v>
      </c>
      <c r="T348" s="8">
        <v>1992</v>
      </c>
      <c r="U348" s="8">
        <f t="shared" si="49"/>
        <v>30</v>
      </c>
      <c r="V348" s="7">
        <v>1992</v>
      </c>
      <c r="W348" t="s">
        <v>7773</v>
      </c>
      <c r="X348" s="2">
        <v>0.81100000000000005</v>
      </c>
      <c r="Y348" s="6">
        <f t="shared" si="46"/>
        <v>2.1649181815755054E-2</v>
      </c>
      <c r="AA348">
        <v>448435</v>
      </c>
      <c r="AB348">
        <v>19137</v>
      </c>
      <c r="AD348" t="s">
        <v>4</v>
      </c>
      <c r="AE348">
        <v>23</v>
      </c>
      <c r="AF348">
        <v>5</v>
      </c>
      <c r="AH348" t="s">
        <v>7772</v>
      </c>
      <c r="AI348" t="s">
        <v>7771</v>
      </c>
      <c r="AK348" t="s">
        <v>7770</v>
      </c>
      <c r="AL348">
        <v>22</v>
      </c>
      <c r="AM348" s="5">
        <f t="shared" si="50"/>
        <v>0.73333333333333328</v>
      </c>
      <c r="AN348" s="4">
        <f t="shared" si="47"/>
        <v>1.1106903950523792E-3</v>
      </c>
      <c r="AO348" s="3"/>
      <c r="AP348">
        <v>1</v>
      </c>
      <c r="AR348" t="s">
        <v>0</v>
      </c>
      <c r="AT348" s="2">
        <v>2.3180000000000001</v>
      </c>
      <c r="AU348" s="1">
        <f t="shared" si="51"/>
        <v>1.5487634389544249</v>
      </c>
      <c r="AV348" s="1">
        <f t="shared" si="52"/>
        <v>1.1379936105403716</v>
      </c>
      <c r="AW348" s="1">
        <f t="shared" si="53"/>
        <v>0.72722378212631811</v>
      </c>
    </row>
    <row r="349" spans="1:49" x14ac:dyDescent="0.2">
      <c r="A349">
        <v>347</v>
      </c>
      <c r="B349" t="s">
        <v>7769</v>
      </c>
      <c r="C349" t="s">
        <v>7768</v>
      </c>
      <c r="F349" t="s">
        <v>7767</v>
      </c>
      <c r="G349" t="s">
        <v>12</v>
      </c>
      <c r="H349" t="s">
        <v>11</v>
      </c>
      <c r="I349" t="s">
        <v>7766</v>
      </c>
      <c r="J349">
        <v>60032144</v>
      </c>
      <c r="K349" t="s">
        <v>7765</v>
      </c>
      <c r="L349" t="s">
        <v>7764</v>
      </c>
      <c r="M349" t="s">
        <v>3177</v>
      </c>
      <c r="N349">
        <v>1</v>
      </c>
      <c r="O349" t="s">
        <v>7763</v>
      </c>
      <c r="P349">
        <v>55112893800</v>
      </c>
      <c r="Q349">
        <v>60032144</v>
      </c>
      <c r="R349" s="7">
        <v>33604</v>
      </c>
      <c r="S349" s="8">
        <f t="shared" si="48"/>
        <v>1992</v>
      </c>
      <c r="T349" s="8">
        <v>1992</v>
      </c>
      <c r="U349" s="8">
        <f t="shared" si="49"/>
        <v>30</v>
      </c>
      <c r="V349" s="7">
        <v>33909</v>
      </c>
      <c r="W349" t="s">
        <v>613</v>
      </c>
      <c r="X349" s="2">
        <v>0.91800000000000004</v>
      </c>
      <c r="Y349" s="6">
        <f t="shared" si="46"/>
        <v>2.4505485705133341E-2</v>
      </c>
      <c r="AA349">
        <v>1431161</v>
      </c>
      <c r="AB349">
        <v>22674</v>
      </c>
      <c r="AC349">
        <v>13665901</v>
      </c>
      <c r="AD349" t="s">
        <v>4</v>
      </c>
      <c r="AE349">
        <v>13</v>
      </c>
      <c r="AF349">
        <v>16</v>
      </c>
      <c r="AH349" t="s">
        <v>7762</v>
      </c>
      <c r="AI349" t="s">
        <v>7761</v>
      </c>
      <c r="AK349" t="s">
        <v>7760</v>
      </c>
      <c r="AL349">
        <v>1</v>
      </c>
      <c r="AM349" s="5">
        <f t="shared" si="50"/>
        <v>3.3333333333333333E-2</v>
      </c>
      <c r="AN349" s="4">
        <f t="shared" si="47"/>
        <v>5.0485927047835418E-5</v>
      </c>
      <c r="AO349" s="3"/>
      <c r="AP349">
        <v>0</v>
      </c>
      <c r="AR349" t="s">
        <v>0</v>
      </c>
      <c r="AT349" s="2" t="s">
        <v>16</v>
      </c>
      <c r="AU349" s="1">
        <f t="shared" si="51"/>
        <v>1.7168985771707688</v>
      </c>
      <c r="AV349" s="1">
        <f t="shared" si="52"/>
        <v>1.2277985816090586</v>
      </c>
      <c r="AW349" s="1">
        <f t="shared" si="53"/>
        <v>0.73869858604734862</v>
      </c>
    </row>
    <row r="350" spans="1:49" x14ac:dyDescent="0.2">
      <c r="A350">
        <v>348</v>
      </c>
      <c r="B350" t="s">
        <v>7759</v>
      </c>
      <c r="C350" t="s">
        <v>7758</v>
      </c>
      <c r="F350" t="s">
        <v>7757</v>
      </c>
      <c r="G350" t="s">
        <v>12</v>
      </c>
      <c r="H350" t="s">
        <v>11</v>
      </c>
      <c r="I350" t="s">
        <v>7756</v>
      </c>
      <c r="J350" t="s">
        <v>7755</v>
      </c>
      <c r="K350" t="s">
        <v>7754</v>
      </c>
      <c r="L350" t="s">
        <v>7753</v>
      </c>
      <c r="M350" t="s">
        <v>7752</v>
      </c>
      <c r="N350">
        <v>3</v>
      </c>
      <c r="O350" t="s">
        <v>7751</v>
      </c>
      <c r="P350" t="s">
        <v>7750</v>
      </c>
      <c r="Q350" t="s">
        <v>7749</v>
      </c>
      <c r="R350" s="7">
        <v>33604</v>
      </c>
      <c r="S350" s="8">
        <f t="shared" si="48"/>
        <v>1992</v>
      </c>
      <c r="T350" s="8">
        <v>1992</v>
      </c>
      <c r="U350" s="8">
        <f t="shared" si="49"/>
        <v>30</v>
      </c>
      <c r="V350" s="7" t="s">
        <v>7748</v>
      </c>
      <c r="W350" t="s">
        <v>7747</v>
      </c>
      <c r="X350" s="2">
        <v>1.744</v>
      </c>
      <c r="Y350" s="6">
        <f t="shared" si="46"/>
        <v>4.655508395397881E-2</v>
      </c>
      <c r="AA350">
        <v>359009</v>
      </c>
      <c r="AB350">
        <v>14082</v>
      </c>
      <c r="AC350" t="s">
        <v>7746</v>
      </c>
      <c r="AD350" t="s">
        <v>4</v>
      </c>
      <c r="AE350">
        <v>118</v>
      </c>
      <c r="AF350">
        <v>506</v>
      </c>
      <c r="AH350" t="s">
        <v>7745</v>
      </c>
      <c r="AI350" t="s">
        <v>7744</v>
      </c>
      <c r="AK350" t="s">
        <v>7743</v>
      </c>
      <c r="AL350">
        <v>29</v>
      </c>
      <c r="AM350" s="5">
        <f t="shared" si="50"/>
        <v>0.96666666666666667</v>
      </c>
      <c r="AN350" s="4">
        <f t="shared" si="47"/>
        <v>1.4640918843872271E-3</v>
      </c>
      <c r="AO350" s="3"/>
      <c r="AP350">
        <v>0</v>
      </c>
      <c r="AR350" t="s">
        <v>0</v>
      </c>
      <c r="AT350" s="2" t="s">
        <v>16</v>
      </c>
      <c r="AU350" s="1">
        <f t="shared" si="51"/>
        <v>3.3027786333101337</v>
      </c>
      <c r="AV350" s="1">
        <f t="shared" si="52"/>
        <v>2.4009587919183017</v>
      </c>
      <c r="AW350" s="1">
        <f t="shared" si="53"/>
        <v>1.4991389505264703</v>
      </c>
    </row>
    <row r="351" spans="1:49" x14ac:dyDescent="0.2">
      <c r="A351">
        <v>349</v>
      </c>
      <c r="B351" t="s">
        <v>7742</v>
      </c>
      <c r="C351" t="s">
        <v>7741</v>
      </c>
      <c r="F351" t="s">
        <v>7740</v>
      </c>
      <c r="G351" t="s">
        <v>12</v>
      </c>
      <c r="H351" t="s">
        <v>11</v>
      </c>
      <c r="I351" t="s">
        <v>7739</v>
      </c>
      <c r="J351" t="s">
        <v>7734</v>
      </c>
      <c r="K351" t="s">
        <v>7738</v>
      </c>
      <c r="L351" t="s">
        <v>7737</v>
      </c>
      <c r="M351" t="s">
        <v>125</v>
      </c>
      <c r="N351">
        <v>2</v>
      </c>
      <c r="O351" t="s">
        <v>7736</v>
      </c>
      <c r="P351" t="s">
        <v>7735</v>
      </c>
      <c r="Q351" t="s">
        <v>7734</v>
      </c>
      <c r="R351" s="7">
        <v>33604</v>
      </c>
      <c r="S351" s="8">
        <f t="shared" si="48"/>
        <v>1992</v>
      </c>
      <c r="T351" s="8">
        <v>1992</v>
      </c>
      <c r="U351" s="8">
        <f t="shared" si="49"/>
        <v>30</v>
      </c>
      <c r="V351" s="7">
        <v>33939</v>
      </c>
      <c r="W351" t="s">
        <v>20</v>
      </c>
      <c r="X351" s="2">
        <v>0.94</v>
      </c>
      <c r="Y351" s="6">
        <f t="shared" si="46"/>
        <v>2.5092763140332611E-2</v>
      </c>
      <c r="AA351">
        <v>10518207</v>
      </c>
      <c r="AB351">
        <v>63372</v>
      </c>
      <c r="AD351" t="s">
        <v>4</v>
      </c>
      <c r="AE351">
        <v>2</v>
      </c>
      <c r="AF351">
        <v>12</v>
      </c>
      <c r="AH351" t="s">
        <v>7733</v>
      </c>
      <c r="AI351" t="s">
        <v>7732</v>
      </c>
      <c r="AK351" t="s">
        <v>7731</v>
      </c>
      <c r="AL351">
        <v>52</v>
      </c>
      <c r="AM351" s="5">
        <f t="shared" si="50"/>
        <v>1.7333333333333334</v>
      </c>
      <c r="AN351" s="4">
        <f t="shared" si="47"/>
        <v>2.6252682064874418E-3</v>
      </c>
      <c r="AO351" s="3"/>
      <c r="AP351">
        <v>0</v>
      </c>
      <c r="AR351" t="s">
        <v>0</v>
      </c>
      <c r="AT351" s="2" t="s">
        <v>16</v>
      </c>
      <c r="AU351" s="1">
        <f t="shared" si="51"/>
        <v>1.8352514660179058</v>
      </c>
      <c r="AV351" s="1">
        <f t="shared" si="52"/>
        <v>1.3859015673410027</v>
      </c>
      <c r="AW351" s="1">
        <f t="shared" si="53"/>
        <v>0.93655166866409911</v>
      </c>
    </row>
    <row r="352" spans="1:49" x14ac:dyDescent="0.2">
      <c r="A352">
        <v>350</v>
      </c>
      <c r="B352" t="s">
        <v>7730</v>
      </c>
      <c r="C352" t="s">
        <v>7729</v>
      </c>
      <c r="F352" t="s">
        <v>7728</v>
      </c>
      <c r="G352" t="s">
        <v>12</v>
      </c>
      <c r="H352" t="s">
        <v>11</v>
      </c>
      <c r="I352" t="s">
        <v>4786</v>
      </c>
      <c r="J352">
        <v>60001271</v>
      </c>
      <c r="K352" t="s">
        <v>4785</v>
      </c>
      <c r="L352" t="s">
        <v>803</v>
      </c>
      <c r="M352" t="s">
        <v>151</v>
      </c>
      <c r="N352">
        <v>4</v>
      </c>
      <c r="O352" t="s">
        <v>7727</v>
      </c>
      <c r="P352" t="s">
        <v>7726</v>
      </c>
      <c r="Q352" t="s">
        <v>7725</v>
      </c>
      <c r="R352" s="7">
        <v>33604</v>
      </c>
      <c r="S352" s="8">
        <f t="shared" si="48"/>
        <v>1992</v>
      </c>
      <c r="T352" s="8">
        <v>1992</v>
      </c>
      <c r="U352" s="8">
        <f t="shared" si="49"/>
        <v>30</v>
      </c>
      <c r="V352" s="7">
        <v>1992</v>
      </c>
      <c r="W352" t="s">
        <v>665</v>
      </c>
      <c r="X352" s="2">
        <v>0.111</v>
      </c>
      <c r="Y352" s="6">
        <f t="shared" si="46"/>
        <v>2.9630816048690639E-3</v>
      </c>
      <c r="AA352">
        <v>87566621</v>
      </c>
      <c r="AB352">
        <v>24890</v>
      </c>
      <c r="AC352">
        <v>15206424</v>
      </c>
      <c r="AD352" t="s">
        <v>4</v>
      </c>
      <c r="AE352">
        <v>75</v>
      </c>
      <c r="AF352">
        <v>12</v>
      </c>
      <c r="AH352" t="s">
        <v>7724</v>
      </c>
      <c r="AI352" t="s">
        <v>7723</v>
      </c>
      <c r="AJ352" t="s">
        <v>7722</v>
      </c>
      <c r="AK352" t="s">
        <v>7721</v>
      </c>
      <c r="AL352">
        <v>1</v>
      </c>
      <c r="AM352" s="5">
        <f t="shared" si="50"/>
        <v>3.3333333333333333E-2</v>
      </c>
      <c r="AN352" s="4">
        <f t="shared" si="47"/>
        <v>5.0485927047835418E-5</v>
      </c>
      <c r="AO352" s="3"/>
      <c r="AP352">
        <v>0</v>
      </c>
      <c r="AR352" t="s">
        <v>0</v>
      </c>
      <c r="AT352" s="2" t="s">
        <v>16</v>
      </c>
      <c r="AU352" s="1">
        <f t="shared" si="51"/>
        <v>0.20893029015226949</v>
      </c>
      <c r="AV352" s="1">
        <f t="shared" si="52"/>
        <v>0.15067837659584496</v>
      </c>
      <c r="AW352" s="1">
        <f t="shared" si="53"/>
        <v>9.2426463039420384E-2</v>
      </c>
    </row>
    <row r="353" spans="1:49" x14ac:dyDescent="0.2">
      <c r="A353">
        <v>351</v>
      </c>
      <c r="B353" t="s">
        <v>7720</v>
      </c>
      <c r="C353" t="s">
        <v>7719</v>
      </c>
      <c r="F353" t="s">
        <v>7718</v>
      </c>
      <c r="G353" t="s">
        <v>12</v>
      </c>
      <c r="H353" t="s">
        <v>11</v>
      </c>
      <c r="I353" t="s">
        <v>7717</v>
      </c>
      <c r="J353">
        <v>60012564</v>
      </c>
      <c r="K353" t="s">
        <v>5123</v>
      </c>
      <c r="L353" t="s">
        <v>5122</v>
      </c>
      <c r="M353" t="s">
        <v>7</v>
      </c>
      <c r="N353">
        <v>1</v>
      </c>
      <c r="O353" t="s">
        <v>7716</v>
      </c>
      <c r="P353">
        <v>7006009447</v>
      </c>
      <c r="Q353">
        <v>60012564</v>
      </c>
      <c r="R353" s="7">
        <v>33604</v>
      </c>
      <c r="S353" s="8">
        <f t="shared" si="48"/>
        <v>1992</v>
      </c>
      <c r="T353" s="8">
        <v>1992</v>
      </c>
      <c r="U353" s="8">
        <f t="shared" si="49"/>
        <v>30</v>
      </c>
      <c r="V353" s="7">
        <v>33939</v>
      </c>
      <c r="W353" t="s">
        <v>97</v>
      </c>
      <c r="X353" s="2">
        <v>1.6519999999999999</v>
      </c>
      <c r="Y353" s="6">
        <f t="shared" si="46"/>
        <v>4.409919649769093E-2</v>
      </c>
      <c r="AA353" t="s">
        <v>96</v>
      </c>
      <c r="AB353">
        <v>17337</v>
      </c>
      <c r="AC353">
        <v>15582221</v>
      </c>
      <c r="AD353" t="s">
        <v>4</v>
      </c>
      <c r="AE353">
        <v>40</v>
      </c>
      <c r="AF353">
        <v>12</v>
      </c>
      <c r="AH353" t="s">
        <v>7715</v>
      </c>
      <c r="AI353" t="s">
        <v>7714</v>
      </c>
      <c r="AK353" t="s">
        <v>7713</v>
      </c>
      <c r="AL353">
        <v>25</v>
      </c>
      <c r="AM353" s="5">
        <f t="shared" si="50"/>
        <v>0.83333333333333337</v>
      </c>
      <c r="AN353" s="4">
        <f t="shared" si="47"/>
        <v>1.2621481761958854E-3</v>
      </c>
      <c r="AO353" s="3"/>
      <c r="AP353">
        <v>0</v>
      </c>
      <c r="AR353" t="s">
        <v>0</v>
      </c>
      <c r="AT353" s="2" t="s">
        <v>16</v>
      </c>
      <c r="AU353" s="1">
        <f t="shared" si="51"/>
        <v>3.1248082001242414</v>
      </c>
      <c r="AV353" s="1">
        <f t="shared" si="52"/>
        <v>2.268067233694341</v>
      </c>
      <c r="AW353" s="1">
        <f t="shared" si="53"/>
        <v>1.4113262672644398</v>
      </c>
    </row>
    <row r="354" spans="1:49" x14ac:dyDescent="0.2">
      <c r="A354">
        <v>352</v>
      </c>
      <c r="B354" t="s">
        <v>7712</v>
      </c>
      <c r="C354" t="s">
        <v>7711</v>
      </c>
      <c r="F354" t="s">
        <v>7710</v>
      </c>
      <c r="G354" t="s">
        <v>12</v>
      </c>
      <c r="H354" t="s">
        <v>11</v>
      </c>
      <c r="I354" t="s">
        <v>7709</v>
      </c>
      <c r="J354">
        <v>60029445</v>
      </c>
      <c r="K354" t="s">
        <v>3752</v>
      </c>
      <c r="L354" t="s">
        <v>3751</v>
      </c>
      <c r="M354" t="s">
        <v>7</v>
      </c>
      <c r="N354">
        <v>1</v>
      </c>
      <c r="O354" t="s">
        <v>7708</v>
      </c>
      <c r="P354">
        <v>8083786100</v>
      </c>
      <c r="Q354">
        <v>60029445</v>
      </c>
      <c r="R354" s="7">
        <v>33604</v>
      </c>
      <c r="S354" s="8">
        <f t="shared" si="48"/>
        <v>1992</v>
      </c>
      <c r="T354" s="8">
        <v>1992</v>
      </c>
      <c r="U354" s="8">
        <f t="shared" si="49"/>
        <v>30</v>
      </c>
      <c r="V354" s="7">
        <v>33939</v>
      </c>
      <c r="W354" t="s">
        <v>20</v>
      </c>
      <c r="X354" s="2">
        <v>0.94</v>
      </c>
      <c r="Y354" s="6">
        <f t="shared" si="46"/>
        <v>2.5092763140332611E-2</v>
      </c>
      <c r="AA354">
        <v>10518207</v>
      </c>
      <c r="AB354">
        <v>63372</v>
      </c>
      <c r="AD354" t="s">
        <v>4</v>
      </c>
      <c r="AE354">
        <v>2</v>
      </c>
      <c r="AF354">
        <v>12</v>
      </c>
      <c r="AH354" t="s">
        <v>7707</v>
      </c>
      <c r="AI354" t="s">
        <v>7706</v>
      </c>
      <c r="AK354" t="s">
        <v>7705</v>
      </c>
      <c r="AL354">
        <v>11</v>
      </c>
      <c r="AM354" s="5">
        <f t="shared" si="50"/>
        <v>0.36666666666666664</v>
      </c>
      <c r="AN354" s="4">
        <f t="shared" si="47"/>
        <v>5.5534519752618958E-4</v>
      </c>
      <c r="AO354" s="3"/>
      <c r="AP354">
        <v>0</v>
      </c>
      <c r="AR354" t="s">
        <v>0</v>
      </c>
      <c r="AT354" s="2" t="s">
        <v>16</v>
      </c>
      <c r="AU354" s="1">
        <f t="shared" si="51"/>
        <v>1.7731537757490683</v>
      </c>
      <c r="AV354" s="1">
        <f t="shared" si="52"/>
        <v>1.28240541689294</v>
      </c>
      <c r="AW354" s="1">
        <f t="shared" si="53"/>
        <v>0.79165705803681163</v>
      </c>
    </row>
    <row r="355" spans="1:49" x14ac:dyDescent="0.2">
      <c r="A355">
        <v>353</v>
      </c>
      <c r="B355" t="s">
        <v>7704</v>
      </c>
      <c r="C355" t="s">
        <v>7703</v>
      </c>
      <c r="F355" t="s">
        <v>7702</v>
      </c>
      <c r="G355" t="s">
        <v>12</v>
      </c>
      <c r="H355" t="s">
        <v>11</v>
      </c>
      <c r="I355" t="s">
        <v>7701</v>
      </c>
      <c r="J355">
        <v>60008524</v>
      </c>
      <c r="K355" t="s">
        <v>7700</v>
      </c>
      <c r="L355" t="s">
        <v>7699</v>
      </c>
      <c r="M355" t="s">
        <v>856</v>
      </c>
      <c r="N355">
        <v>2</v>
      </c>
      <c r="O355" t="s">
        <v>7698</v>
      </c>
      <c r="P355" t="s">
        <v>7697</v>
      </c>
      <c r="Q355" t="s">
        <v>7696</v>
      </c>
      <c r="R355" s="7">
        <v>33604</v>
      </c>
      <c r="S355" s="8">
        <f t="shared" si="48"/>
        <v>1992</v>
      </c>
      <c r="T355" s="8">
        <v>1992</v>
      </c>
      <c r="U355" s="8">
        <f t="shared" si="49"/>
        <v>30</v>
      </c>
      <c r="V355" s="7">
        <v>33939</v>
      </c>
      <c r="W355" t="s">
        <v>20</v>
      </c>
      <c r="X355" s="2">
        <v>0.94</v>
      </c>
      <c r="Y355" s="6">
        <f t="shared" si="46"/>
        <v>2.5092763140332611E-2</v>
      </c>
      <c r="AA355">
        <v>10518207</v>
      </c>
      <c r="AB355">
        <v>63372</v>
      </c>
      <c r="AD355" t="s">
        <v>4</v>
      </c>
      <c r="AE355">
        <v>2</v>
      </c>
      <c r="AF355">
        <v>12</v>
      </c>
      <c r="AH355" t="s">
        <v>7695</v>
      </c>
      <c r="AI355" t="s">
        <v>7694</v>
      </c>
      <c r="AK355" t="s">
        <v>7693</v>
      </c>
      <c r="AL355">
        <v>14</v>
      </c>
      <c r="AM355" s="5">
        <f t="shared" si="50"/>
        <v>0.46666666666666667</v>
      </c>
      <c r="AN355" s="4">
        <f t="shared" si="47"/>
        <v>7.0680297866969582E-4</v>
      </c>
      <c r="AO355" s="3"/>
      <c r="AP355">
        <v>0</v>
      </c>
      <c r="AR355" t="s">
        <v>0</v>
      </c>
      <c r="AT355" s="2" t="s">
        <v>16</v>
      </c>
      <c r="AU355" s="1">
        <f t="shared" si="51"/>
        <v>1.7776975091833735</v>
      </c>
      <c r="AV355" s="1">
        <f t="shared" si="52"/>
        <v>1.2899783059501153</v>
      </c>
      <c r="AW355" s="1">
        <f t="shared" si="53"/>
        <v>0.80225910271685708</v>
      </c>
    </row>
    <row r="356" spans="1:49" x14ac:dyDescent="0.2">
      <c r="A356">
        <v>354</v>
      </c>
      <c r="B356" t="s">
        <v>7692</v>
      </c>
      <c r="C356" t="s">
        <v>7691</v>
      </c>
      <c r="F356" t="s">
        <v>7690</v>
      </c>
      <c r="G356" t="s">
        <v>12</v>
      </c>
      <c r="H356" t="s">
        <v>11</v>
      </c>
      <c r="I356" t="s">
        <v>7689</v>
      </c>
      <c r="J356">
        <v>60021211</v>
      </c>
      <c r="K356" t="s">
        <v>2946</v>
      </c>
      <c r="L356" t="s">
        <v>2945</v>
      </c>
      <c r="M356" t="s">
        <v>7</v>
      </c>
      <c r="N356">
        <v>1</v>
      </c>
      <c r="O356" t="s">
        <v>2944</v>
      </c>
      <c r="P356">
        <v>7103231658</v>
      </c>
      <c r="Q356">
        <v>60021211</v>
      </c>
      <c r="R356" s="7">
        <v>33604</v>
      </c>
      <c r="S356" s="8">
        <f t="shared" si="48"/>
        <v>1992</v>
      </c>
      <c r="T356" s="8">
        <v>1992</v>
      </c>
      <c r="U356" s="8">
        <f t="shared" si="49"/>
        <v>30</v>
      </c>
      <c r="V356" s="7">
        <v>33939</v>
      </c>
      <c r="W356" t="s">
        <v>7688</v>
      </c>
      <c r="X356" s="2">
        <v>1.3460000000000001</v>
      </c>
      <c r="Y356" s="6">
        <f t="shared" si="46"/>
        <v>3.593070126264649E-2</v>
      </c>
      <c r="AA356">
        <v>7338724</v>
      </c>
      <c r="AB356">
        <v>12178</v>
      </c>
      <c r="AC356">
        <v>15582213</v>
      </c>
      <c r="AD356" t="s">
        <v>4</v>
      </c>
      <c r="AE356">
        <v>10</v>
      </c>
      <c r="AF356">
        <v>12</v>
      </c>
      <c r="AG356">
        <v>202805</v>
      </c>
      <c r="AH356" t="s">
        <v>7687</v>
      </c>
      <c r="AI356" t="s">
        <v>7686</v>
      </c>
      <c r="AK356" t="s">
        <v>7685</v>
      </c>
      <c r="AL356">
        <v>36</v>
      </c>
      <c r="AM356" s="5">
        <f t="shared" si="50"/>
        <v>1.2</v>
      </c>
      <c r="AN356" s="4">
        <f t="shared" si="47"/>
        <v>1.8174933737220749E-3</v>
      </c>
      <c r="AO356" s="3"/>
      <c r="AP356">
        <v>0</v>
      </c>
      <c r="AR356" t="s">
        <v>0</v>
      </c>
      <c r="AT356" s="2">
        <v>4.1420000000000003</v>
      </c>
      <c r="AU356" s="1">
        <f t="shared" si="51"/>
        <v>2.5696738895969164</v>
      </c>
      <c r="AV356" s="1">
        <f t="shared" si="52"/>
        <v>1.8874097318184284</v>
      </c>
      <c r="AW356" s="1">
        <f t="shared" si="53"/>
        <v>1.2051455740399399</v>
      </c>
    </row>
    <row r="357" spans="1:49" x14ac:dyDescent="0.2">
      <c r="A357">
        <v>355</v>
      </c>
      <c r="B357" t="s">
        <v>7684</v>
      </c>
      <c r="C357" t="s">
        <v>7683</v>
      </c>
      <c r="F357" t="s">
        <v>7682</v>
      </c>
      <c r="G357" t="s">
        <v>12</v>
      </c>
      <c r="H357" t="s">
        <v>11</v>
      </c>
      <c r="I357" t="s">
        <v>7681</v>
      </c>
      <c r="J357" t="s">
        <v>7680</v>
      </c>
      <c r="K357" t="s">
        <v>7679</v>
      </c>
      <c r="L357" t="s">
        <v>7678</v>
      </c>
      <c r="M357" t="s">
        <v>125</v>
      </c>
      <c r="N357">
        <v>1</v>
      </c>
      <c r="O357" t="s">
        <v>3696</v>
      </c>
      <c r="P357">
        <v>7501734902</v>
      </c>
      <c r="Q357" t="s">
        <v>7677</v>
      </c>
      <c r="R357" s="7">
        <v>33604</v>
      </c>
      <c r="S357" s="8">
        <f t="shared" si="48"/>
        <v>1992</v>
      </c>
      <c r="T357" s="8">
        <v>1992</v>
      </c>
      <c r="U357" s="8">
        <f t="shared" si="49"/>
        <v>30</v>
      </c>
      <c r="V357" s="7">
        <v>33939</v>
      </c>
      <c r="W357" t="s">
        <v>3960</v>
      </c>
      <c r="X357" s="2">
        <v>0.251</v>
      </c>
      <c r="Y357" s="6">
        <f t="shared" si="46"/>
        <v>6.7003016470462617E-3</v>
      </c>
      <c r="AA357">
        <v>207217</v>
      </c>
      <c r="AB357">
        <v>26145</v>
      </c>
      <c r="AC357">
        <v>13623060</v>
      </c>
      <c r="AD357" t="s">
        <v>4</v>
      </c>
      <c r="AE357">
        <v>73</v>
      </c>
      <c r="AF357">
        <v>6</v>
      </c>
      <c r="AH357" t="s">
        <v>7676</v>
      </c>
      <c r="AI357" t="s">
        <v>7675</v>
      </c>
      <c r="AK357" t="s">
        <v>7674</v>
      </c>
      <c r="AL357">
        <v>0</v>
      </c>
      <c r="AM357" s="5">
        <f t="shared" si="50"/>
        <v>0</v>
      </c>
      <c r="AN357" s="4">
        <f t="shared" si="47"/>
        <v>0</v>
      </c>
      <c r="AO357" s="3"/>
      <c r="AP357">
        <v>0</v>
      </c>
      <c r="AR357" t="s">
        <v>0</v>
      </c>
      <c r="AT357" s="2">
        <v>1.3360000000000001</v>
      </c>
      <c r="AU357" s="1">
        <f t="shared" si="51"/>
        <v>0.46902111529323826</v>
      </c>
      <c r="AV357" s="1">
        <f t="shared" si="52"/>
        <v>0.33501508235231309</v>
      </c>
      <c r="AW357" s="1">
        <f t="shared" si="53"/>
        <v>0.20100904941138784</v>
      </c>
    </row>
    <row r="358" spans="1:49" x14ac:dyDescent="0.2">
      <c r="A358">
        <v>356</v>
      </c>
      <c r="B358" t="s">
        <v>7673</v>
      </c>
      <c r="C358" t="s">
        <v>7672</v>
      </c>
      <c r="F358" t="s">
        <v>7671</v>
      </c>
      <c r="G358" t="s">
        <v>12</v>
      </c>
      <c r="H358" t="s">
        <v>11</v>
      </c>
      <c r="I358" t="s">
        <v>7670</v>
      </c>
      <c r="J358">
        <v>60001271</v>
      </c>
      <c r="K358" t="s">
        <v>4785</v>
      </c>
      <c r="L358" t="s">
        <v>803</v>
      </c>
      <c r="M358" t="s">
        <v>151</v>
      </c>
      <c r="N358">
        <v>3</v>
      </c>
      <c r="O358" t="s">
        <v>7669</v>
      </c>
      <c r="P358" t="s">
        <v>7668</v>
      </c>
      <c r="Q358" t="s">
        <v>7667</v>
      </c>
      <c r="R358" s="7">
        <v>33604</v>
      </c>
      <c r="S358" s="8">
        <f t="shared" si="48"/>
        <v>1992</v>
      </c>
      <c r="T358" s="8">
        <v>1992</v>
      </c>
      <c r="U358" s="8">
        <f t="shared" si="49"/>
        <v>30</v>
      </c>
      <c r="V358" s="7">
        <v>33939</v>
      </c>
      <c r="W358" t="s">
        <v>97</v>
      </c>
      <c r="X358" s="2">
        <v>1.6519999999999999</v>
      </c>
      <c r="Y358" s="6">
        <f t="shared" si="46"/>
        <v>4.409919649769093E-2</v>
      </c>
      <c r="AA358" t="s">
        <v>96</v>
      </c>
      <c r="AB358">
        <v>17337</v>
      </c>
      <c r="AC358">
        <v>15582221</v>
      </c>
      <c r="AD358" t="s">
        <v>4</v>
      </c>
      <c r="AE358">
        <v>40</v>
      </c>
      <c r="AF358">
        <v>12</v>
      </c>
      <c r="AH358" t="s">
        <v>7666</v>
      </c>
      <c r="AI358" t="s">
        <v>7665</v>
      </c>
      <c r="AK358" t="s">
        <v>7664</v>
      </c>
      <c r="AL358">
        <v>22</v>
      </c>
      <c r="AM358" s="5">
        <f t="shared" si="50"/>
        <v>0.73333333333333328</v>
      </c>
      <c r="AN358" s="4">
        <f t="shared" si="47"/>
        <v>1.1106903950523792E-3</v>
      </c>
      <c r="AO358" s="3"/>
      <c r="AP358">
        <v>0</v>
      </c>
      <c r="AR358" t="s">
        <v>0</v>
      </c>
      <c r="AT358" s="2" t="s">
        <v>16</v>
      </c>
      <c r="AU358" s="1">
        <f t="shared" si="51"/>
        <v>3.1202644666899362</v>
      </c>
      <c r="AV358" s="1">
        <f t="shared" si="52"/>
        <v>2.2604943446371655</v>
      </c>
      <c r="AW358" s="1">
        <f t="shared" si="53"/>
        <v>1.4007242225843943</v>
      </c>
    </row>
    <row r="359" spans="1:49" x14ac:dyDescent="0.2">
      <c r="A359">
        <v>357</v>
      </c>
      <c r="B359" t="s">
        <v>7663</v>
      </c>
      <c r="C359" t="s">
        <v>7662</v>
      </c>
      <c r="F359" t="s">
        <v>7661</v>
      </c>
      <c r="G359" t="s">
        <v>12</v>
      </c>
      <c r="H359" t="s">
        <v>11</v>
      </c>
      <c r="I359" t="s">
        <v>7660</v>
      </c>
      <c r="J359">
        <v>60102562</v>
      </c>
      <c r="K359" t="s">
        <v>1358</v>
      </c>
      <c r="L359" t="s">
        <v>1357</v>
      </c>
      <c r="M359" t="s">
        <v>7</v>
      </c>
      <c r="N359">
        <v>1</v>
      </c>
      <c r="O359" t="s">
        <v>7659</v>
      </c>
      <c r="P359">
        <v>7102870158</v>
      </c>
      <c r="Q359">
        <v>60102562</v>
      </c>
      <c r="R359" s="7">
        <v>33604</v>
      </c>
      <c r="S359" s="8">
        <f t="shared" si="48"/>
        <v>1992</v>
      </c>
      <c r="T359" s="8">
        <v>1992</v>
      </c>
      <c r="U359" s="8">
        <f t="shared" si="49"/>
        <v>30</v>
      </c>
      <c r="V359" s="7" t="s">
        <v>7658</v>
      </c>
      <c r="W359" t="s">
        <v>7657</v>
      </c>
      <c r="X359" s="2">
        <v>0.35899999999999999</v>
      </c>
      <c r="Y359" s="6">
        <f t="shared" si="46"/>
        <v>9.5832999652972432E-3</v>
      </c>
      <c r="AA359">
        <v>8999457</v>
      </c>
      <c r="AB359">
        <v>35932</v>
      </c>
      <c r="AC359">
        <v>10981098</v>
      </c>
      <c r="AD359" t="s">
        <v>4</v>
      </c>
      <c r="AE359">
        <v>4</v>
      </c>
      <c r="AF359">
        <v>4</v>
      </c>
      <c r="AH359" t="s">
        <v>7656</v>
      </c>
      <c r="AI359" t="s">
        <v>7655</v>
      </c>
      <c r="AK359" t="s">
        <v>7654</v>
      </c>
      <c r="AL359">
        <v>1</v>
      </c>
      <c r="AM359" s="5">
        <f t="shared" si="50"/>
        <v>3.3333333333333333E-2</v>
      </c>
      <c r="AN359" s="4">
        <f t="shared" si="47"/>
        <v>5.0485927047835418E-5</v>
      </c>
      <c r="AO359" s="3"/>
      <c r="AP359">
        <v>0</v>
      </c>
      <c r="AR359" t="s">
        <v>0</v>
      </c>
      <c r="AT359" s="2" t="s">
        <v>16</v>
      </c>
      <c r="AU359" s="1">
        <f t="shared" si="51"/>
        <v>0.67234557538224204</v>
      </c>
      <c r="AV359" s="1">
        <f t="shared" si="52"/>
        <v>0.48168929461725396</v>
      </c>
      <c r="AW359" s="1">
        <f t="shared" si="53"/>
        <v>0.29103301385226577</v>
      </c>
    </row>
    <row r="360" spans="1:49" x14ac:dyDescent="0.2">
      <c r="A360">
        <v>358</v>
      </c>
      <c r="B360" t="s">
        <v>7653</v>
      </c>
      <c r="C360" t="s">
        <v>7652</v>
      </c>
      <c r="F360" t="s">
        <v>7651</v>
      </c>
      <c r="G360" t="s">
        <v>12</v>
      </c>
      <c r="H360" t="s">
        <v>11</v>
      </c>
      <c r="I360" t="s">
        <v>7650</v>
      </c>
      <c r="J360">
        <v>60019722</v>
      </c>
      <c r="K360" t="s">
        <v>7649</v>
      </c>
      <c r="L360" t="s">
        <v>5831</v>
      </c>
      <c r="M360" t="s">
        <v>817</v>
      </c>
      <c r="N360">
        <v>2</v>
      </c>
      <c r="O360" t="s">
        <v>7648</v>
      </c>
      <c r="P360" t="s">
        <v>7647</v>
      </c>
      <c r="Q360" t="s">
        <v>7646</v>
      </c>
      <c r="R360" s="7">
        <v>33604</v>
      </c>
      <c r="S360" s="8">
        <f t="shared" si="48"/>
        <v>1992</v>
      </c>
      <c r="T360" s="8">
        <v>1992</v>
      </c>
      <c r="U360" s="8">
        <f t="shared" si="49"/>
        <v>30</v>
      </c>
      <c r="V360" s="7">
        <v>33939</v>
      </c>
      <c r="W360" t="s">
        <v>2743</v>
      </c>
      <c r="X360" s="2">
        <v>1.6379999999999999</v>
      </c>
      <c r="Y360" s="6">
        <f t="shared" si="46"/>
        <v>4.3725474493473214E-2</v>
      </c>
      <c r="AA360" t="s">
        <v>2742</v>
      </c>
      <c r="AB360">
        <v>17391</v>
      </c>
      <c r="AC360">
        <v>19410476</v>
      </c>
      <c r="AD360" t="s">
        <v>4</v>
      </c>
      <c r="AE360">
        <v>40</v>
      </c>
      <c r="AF360">
        <v>12</v>
      </c>
      <c r="AH360" t="s">
        <v>7645</v>
      </c>
      <c r="AI360" t="s">
        <v>7644</v>
      </c>
      <c r="AK360" t="s">
        <v>7643</v>
      </c>
      <c r="AL360">
        <v>21</v>
      </c>
      <c r="AM360" s="5">
        <f t="shared" si="50"/>
        <v>0.7</v>
      </c>
      <c r="AN360" s="4">
        <f t="shared" si="47"/>
        <v>1.0602044680045437E-3</v>
      </c>
      <c r="AO360" s="3"/>
      <c r="AP360">
        <v>0</v>
      </c>
      <c r="AR360" t="s">
        <v>0</v>
      </c>
      <c r="AT360" s="2">
        <v>4.931</v>
      </c>
      <c r="AU360" s="1">
        <f t="shared" si="51"/>
        <v>3.0925893485832612</v>
      </c>
      <c r="AV360" s="1">
        <f t="shared" si="52"/>
        <v>2.2392839480738882</v>
      </c>
      <c r="AW360" s="1">
        <f t="shared" si="53"/>
        <v>1.3859785475645143</v>
      </c>
    </row>
    <row r="361" spans="1:49" x14ac:dyDescent="0.2">
      <c r="A361">
        <v>359</v>
      </c>
      <c r="B361" t="s">
        <v>7642</v>
      </c>
      <c r="C361" t="s">
        <v>7641</v>
      </c>
      <c r="F361" t="s">
        <v>7640</v>
      </c>
      <c r="G361" t="s">
        <v>12</v>
      </c>
      <c r="H361" t="s">
        <v>11</v>
      </c>
      <c r="I361" t="s">
        <v>7499</v>
      </c>
      <c r="J361">
        <v>60022148</v>
      </c>
      <c r="K361" t="s">
        <v>5874</v>
      </c>
      <c r="L361" t="s">
        <v>2733</v>
      </c>
      <c r="M361" t="s">
        <v>856</v>
      </c>
      <c r="N361">
        <v>2</v>
      </c>
      <c r="O361" t="s">
        <v>7639</v>
      </c>
      <c r="P361" t="s">
        <v>7638</v>
      </c>
      <c r="Q361" t="s">
        <v>5871</v>
      </c>
      <c r="R361" s="7">
        <v>33604</v>
      </c>
      <c r="S361" s="8">
        <f t="shared" si="48"/>
        <v>1992</v>
      </c>
      <c r="T361" s="8">
        <v>1992</v>
      </c>
      <c r="U361" s="8">
        <f t="shared" si="49"/>
        <v>30</v>
      </c>
      <c r="V361" s="7" t="s">
        <v>7405</v>
      </c>
      <c r="W361" s="11" t="s">
        <v>2692</v>
      </c>
      <c r="X361" s="2">
        <v>2.383</v>
      </c>
      <c r="Y361" s="6">
        <f t="shared" si="46"/>
        <v>6.3612824003630442E-2</v>
      </c>
      <c r="AA361" t="s">
        <v>2691</v>
      </c>
      <c r="AB361">
        <v>101151</v>
      </c>
      <c r="AD361" t="s">
        <v>4</v>
      </c>
      <c r="AE361">
        <v>139</v>
      </c>
      <c r="AF361">
        <v>6</v>
      </c>
      <c r="AH361" t="s">
        <v>4504</v>
      </c>
      <c r="AI361" t="s">
        <v>7637</v>
      </c>
      <c r="AK361" t="s">
        <v>7636</v>
      </c>
      <c r="AL361">
        <v>13</v>
      </c>
      <c r="AM361" s="5">
        <f t="shared" si="50"/>
        <v>0.43333333333333335</v>
      </c>
      <c r="AN361" s="4">
        <f t="shared" si="47"/>
        <v>6.5631705162186044E-4</v>
      </c>
      <c r="AO361" s="3"/>
      <c r="AP361">
        <v>0</v>
      </c>
      <c r="AR361" t="s">
        <v>0</v>
      </c>
      <c r="AT361" s="2" t="s">
        <v>16</v>
      </c>
      <c r="AU361" s="1">
        <f t="shared" si="51"/>
        <v>4.4725871918027869</v>
      </c>
      <c r="AV361" s="1">
        <f t="shared" si="52"/>
        <v>3.2134570527626152</v>
      </c>
      <c r="AW361" s="1">
        <f t="shared" si="53"/>
        <v>1.9543269137224435</v>
      </c>
    </row>
    <row r="362" spans="1:49" x14ac:dyDescent="0.2">
      <c r="A362">
        <v>360</v>
      </c>
      <c r="B362" t="s">
        <v>7635</v>
      </c>
      <c r="C362" t="s">
        <v>7634</v>
      </c>
      <c r="F362" t="s">
        <v>7633</v>
      </c>
      <c r="G362" t="s">
        <v>12</v>
      </c>
      <c r="H362" t="s">
        <v>11</v>
      </c>
      <c r="I362" t="s">
        <v>7632</v>
      </c>
      <c r="J362">
        <v>60121438</v>
      </c>
      <c r="K362" t="s">
        <v>7631</v>
      </c>
      <c r="L362" t="s">
        <v>7630</v>
      </c>
      <c r="M362" t="s">
        <v>7</v>
      </c>
      <c r="N362">
        <v>2</v>
      </c>
      <c r="O362" t="s">
        <v>7629</v>
      </c>
      <c r="P362" t="s">
        <v>7628</v>
      </c>
      <c r="Q362" t="s">
        <v>7627</v>
      </c>
      <c r="R362" s="7">
        <v>33604</v>
      </c>
      <c r="S362" s="8">
        <f t="shared" si="48"/>
        <v>1992</v>
      </c>
      <c r="T362" s="8">
        <v>1992</v>
      </c>
      <c r="U362" s="8">
        <f t="shared" si="49"/>
        <v>30</v>
      </c>
      <c r="V362" s="7">
        <v>33939</v>
      </c>
      <c r="W362" t="s">
        <v>4424</v>
      </c>
      <c r="X362" s="2">
        <v>1.337</v>
      </c>
      <c r="Y362" s="6">
        <f t="shared" si="46"/>
        <v>3.5690451402792235E-2</v>
      </c>
      <c r="AA362">
        <v>7413106</v>
      </c>
      <c r="AB362">
        <v>26005</v>
      </c>
      <c r="AC362">
        <v>15580563</v>
      </c>
      <c r="AD362" t="s">
        <v>4</v>
      </c>
      <c r="AE362">
        <v>13</v>
      </c>
      <c r="AF362">
        <v>12</v>
      </c>
      <c r="AH362" t="s">
        <v>7626</v>
      </c>
      <c r="AI362" t="s">
        <v>7625</v>
      </c>
      <c r="AK362" t="s">
        <v>7624</v>
      </c>
      <c r="AL362">
        <v>41</v>
      </c>
      <c r="AM362" s="5">
        <f t="shared" si="50"/>
        <v>1.3666666666666667</v>
      </c>
      <c r="AN362" s="4">
        <f t="shared" si="47"/>
        <v>2.0699230089612523E-3</v>
      </c>
      <c r="AO362" s="3"/>
      <c r="AP362">
        <v>0</v>
      </c>
      <c r="AQ362" t="s">
        <v>190</v>
      </c>
      <c r="AR362" t="s">
        <v>7623</v>
      </c>
      <c r="AS362" t="s">
        <v>188</v>
      </c>
      <c r="AT362" s="2">
        <v>4.1870000000000003</v>
      </c>
      <c r="AU362" s="1">
        <f t="shared" si="51"/>
        <v>2.5604292884642934</v>
      </c>
      <c r="AV362" s="1">
        <f t="shared" si="52"/>
        <v>1.8880187205876742</v>
      </c>
      <c r="AW362" s="1">
        <f t="shared" si="53"/>
        <v>1.2156081527110547</v>
      </c>
    </row>
    <row r="363" spans="1:49" x14ac:dyDescent="0.2">
      <c r="A363">
        <v>361</v>
      </c>
      <c r="B363" t="s">
        <v>7622</v>
      </c>
      <c r="C363" t="s">
        <v>7621</v>
      </c>
      <c r="F363" t="s">
        <v>7620</v>
      </c>
      <c r="G363" t="s">
        <v>12</v>
      </c>
      <c r="H363" t="s">
        <v>11</v>
      </c>
      <c r="I363" t="s">
        <v>6539</v>
      </c>
      <c r="J363">
        <v>60019102</v>
      </c>
      <c r="K363" t="s">
        <v>6538</v>
      </c>
      <c r="L363" t="s">
        <v>2593</v>
      </c>
      <c r="M363" t="s">
        <v>2592</v>
      </c>
      <c r="N363">
        <v>1</v>
      </c>
      <c r="O363" t="s">
        <v>7619</v>
      </c>
      <c r="P363">
        <v>24341657200</v>
      </c>
      <c r="Q363">
        <v>60019102</v>
      </c>
      <c r="R363" s="7">
        <v>33604</v>
      </c>
      <c r="S363" s="8">
        <f t="shared" si="48"/>
        <v>1992</v>
      </c>
      <c r="T363" s="8">
        <v>1992</v>
      </c>
      <c r="U363" s="8">
        <f t="shared" si="49"/>
        <v>30</v>
      </c>
      <c r="V363" s="7" t="s">
        <v>7405</v>
      </c>
      <c r="W363" s="11" t="s">
        <v>2692</v>
      </c>
      <c r="X363" s="2">
        <v>2.383</v>
      </c>
      <c r="Y363" s="6">
        <f t="shared" si="46"/>
        <v>6.3612824003630442E-2</v>
      </c>
      <c r="AA363" t="s">
        <v>2691</v>
      </c>
      <c r="AB363">
        <v>101151</v>
      </c>
      <c r="AD363" t="s">
        <v>4</v>
      </c>
      <c r="AE363">
        <v>139</v>
      </c>
      <c r="AF363">
        <v>6</v>
      </c>
      <c r="AH363" t="s">
        <v>7618</v>
      </c>
      <c r="AI363" t="s">
        <v>7617</v>
      </c>
      <c r="AK363" t="s">
        <v>7616</v>
      </c>
      <c r="AL363">
        <v>5</v>
      </c>
      <c r="AM363" s="5">
        <f t="shared" si="50"/>
        <v>0.16666666666666666</v>
      </c>
      <c r="AN363" s="4">
        <f t="shared" si="47"/>
        <v>2.5242963523917705E-4</v>
      </c>
      <c r="AO363" s="3"/>
      <c r="AP363">
        <v>0</v>
      </c>
      <c r="AR363" t="s">
        <v>0</v>
      </c>
      <c r="AT363" s="2" t="s">
        <v>16</v>
      </c>
      <c r="AU363" s="1">
        <f t="shared" si="51"/>
        <v>4.4604705693113065</v>
      </c>
      <c r="AV363" s="1">
        <f t="shared" si="52"/>
        <v>3.1932626819434811</v>
      </c>
      <c r="AW363" s="1">
        <f t="shared" si="53"/>
        <v>1.9260547945756556</v>
      </c>
    </row>
    <row r="364" spans="1:49" x14ac:dyDescent="0.2">
      <c r="A364">
        <v>362</v>
      </c>
      <c r="B364" t="s">
        <v>7615</v>
      </c>
      <c r="C364" t="s">
        <v>7614</v>
      </c>
      <c r="F364" t="s">
        <v>7613</v>
      </c>
      <c r="G364" t="s">
        <v>12</v>
      </c>
      <c r="H364" t="s">
        <v>11</v>
      </c>
      <c r="I364" t="s">
        <v>7612</v>
      </c>
      <c r="J364">
        <v>60028333</v>
      </c>
      <c r="K364" t="s">
        <v>5899</v>
      </c>
      <c r="L364" t="s">
        <v>5898</v>
      </c>
      <c r="M364" t="s">
        <v>2620</v>
      </c>
      <c r="N364">
        <v>2</v>
      </c>
      <c r="O364" t="s">
        <v>7611</v>
      </c>
      <c r="P364" t="s">
        <v>7610</v>
      </c>
      <c r="Q364" t="s">
        <v>7609</v>
      </c>
      <c r="R364" s="7">
        <v>33604</v>
      </c>
      <c r="S364" s="8">
        <f t="shared" si="48"/>
        <v>1992</v>
      </c>
      <c r="T364" s="8">
        <v>1992</v>
      </c>
      <c r="U364" s="8">
        <f t="shared" si="49"/>
        <v>30</v>
      </c>
      <c r="V364" s="7">
        <v>33939</v>
      </c>
      <c r="W364" t="s">
        <v>3960</v>
      </c>
      <c r="X364" s="2">
        <v>0.251</v>
      </c>
      <c r="Y364" s="6">
        <f t="shared" si="46"/>
        <v>6.7003016470462617E-3</v>
      </c>
      <c r="AA364">
        <v>207217</v>
      </c>
      <c r="AB364">
        <v>26145</v>
      </c>
      <c r="AC364">
        <v>13623060</v>
      </c>
      <c r="AD364" t="s">
        <v>4</v>
      </c>
      <c r="AE364">
        <v>73</v>
      </c>
      <c r="AF364">
        <v>6</v>
      </c>
      <c r="AH364" t="s">
        <v>7608</v>
      </c>
      <c r="AI364" t="s">
        <v>7607</v>
      </c>
      <c r="AK364" t="s">
        <v>7606</v>
      </c>
      <c r="AL364">
        <v>2</v>
      </c>
      <c r="AM364" s="5">
        <f t="shared" si="50"/>
        <v>6.6666666666666666E-2</v>
      </c>
      <c r="AN364" s="4">
        <f t="shared" si="47"/>
        <v>1.0097185409567084E-4</v>
      </c>
      <c r="AO364" s="3"/>
      <c r="AP364">
        <v>0</v>
      </c>
      <c r="AQ364" t="s">
        <v>7605</v>
      </c>
      <c r="AR364" t="s">
        <v>0</v>
      </c>
      <c r="AS364" t="s">
        <v>7604</v>
      </c>
      <c r="AT364" s="2">
        <v>1.3360000000000001</v>
      </c>
      <c r="AU364" s="1">
        <f t="shared" si="51"/>
        <v>0.47205027091610835</v>
      </c>
      <c r="AV364" s="1">
        <f t="shared" si="52"/>
        <v>0.34006367505709661</v>
      </c>
      <c r="AW364" s="1">
        <f t="shared" si="53"/>
        <v>0.20807707919808477</v>
      </c>
    </row>
    <row r="365" spans="1:49" x14ac:dyDescent="0.2">
      <c r="A365">
        <v>363</v>
      </c>
      <c r="B365" t="s">
        <v>7603</v>
      </c>
      <c r="C365" t="s">
        <v>7602</v>
      </c>
      <c r="F365" t="s">
        <v>7601</v>
      </c>
      <c r="G365" t="s">
        <v>12</v>
      </c>
      <c r="H365" t="s">
        <v>11</v>
      </c>
      <c r="I365" t="s">
        <v>7600</v>
      </c>
      <c r="J365">
        <v>60003821</v>
      </c>
      <c r="K365" t="s">
        <v>7599</v>
      </c>
      <c r="L365" t="s">
        <v>1656</v>
      </c>
      <c r="M365" t="s">
        <v>7</v>
      </c>
      <c r="N365">
        <v>1</v>
      </c>
      <c r="O365" t="s">
        <v>7598</v>
      </c>
      <c r="P365">
        <v>7201524785</v>
      </c>
      <c r="Q365">
        <v>60003821</v>
      </c>
      <c r="R365" s="7">
        <v>33604</v>
      </c>
      <c r="S365" s="8">
        <f t="shared" si="48"/>
        <v>1992</v>
      </c>
      <c r="T365" s="8">
        <v>1992</v>
      </c>
      <c r="U365" s="8">
        <f t="shared" si="49"/>
        <v>30</v>
      </c>
      <c r="V365" s="7" t="s">
        <v>7405</v>
      </c>
      <c r="W365" s="11" t="s">
        <v>2692</v>
      </c>
      <c r="X365" s="2">
        <v>2.383</v>
      </c>
      <c r="Y365" s="6">
        <f t="shared" si="46"/>
        <v>6.3612824003630442E-2</v>
      </c>
      <c r="AA365" t="s">
        <v>2691</v>
      </c>
      <c r="AB365">
        <v>101151</v>
      </c>
      <c r="AD365" t="s">
        <v>4</v>
      </c>
      <c r="AE365">
        <v>139</v>
      </c>
      <c r="AF365">
        <v>6</v>
      </c>
      <c r="AH365" t="s">
        <v>7597</v>
      </c>
      <c r="AI365" t="s">
        <v>7596</v>
      </c>
      <c r="AK365" t="s">
        <v>7595</v>
      </c>
      <c r="AL365">
        <v>2</v>
      </c>
      <c r="AM365" s="5">
        <f t="shared" si="50"/>
        <v>6.6666666666666666E-2</v>
      </c>
      <c r="AN365" s="4">
        <f t="shared" si="47"/>
        <v>1.0097185409567084E-4</v>
      </c>
      <c r="AO365" s="3"/>
      <c r="AP365">
        <v>0</v>
      </c>
      <c r="AR365" t="s">
        <v>0</v>
      </c>
      <c r="AT365" s="2" t="s">
        <v>16</v>
      </c>
      <c r="AU365" s="1">
        <f t="shared" si="51"/>
        <v>4.4559268358770012</v>
      </c>
      <c r="AV365" s="1">
        <f t="shared" si="52"/>
        <v>3.1856897928863059</v>
      </c>
      <c r="AW365" s="1">
        <f t="shared" si="53"/>
        <v>1.9154527498956102</v>
      </c>
    </row>
    <row r="366" spans="1:49" x14ac:dyDescent="0.2">
      <c r="A366">
        <v>364</v>
      </c>
      <c r="B366" t="s">
        <v>7594</v>
      </c>
      <c r="C366" t="s">
        <v>7593</v>
      </c>
      <c r="F366" t="s">
        <v>7592</v>
      </c>
      <c r="G366" t="s">
        <v>12</v>
      </c>
      <c r="H366" t="s">
        <v>11</v>
      </c>
      <c r="I366" t="s">
        <v>7591</v>
      </c>
      <c r="J366">
        <v>60103680</v>
      </c>
      <c r="K366" t="s">
        <v>7590</v>
      </c>
      <c r="L366" t="s">
        <v>7589</v>
      </c>
      <c r="M366" t="s">
        <v>151</v>
      </c>
      <c r="N366">
        <v>1</v>
      </c>
      <c r="O366" t="s">
        <v>7588</v>
      </c>
      <c r="P366">
        <v>6603663221</v>
      </c>
      <c r="Q366">
        <v>60103680</v>
      </c>
      <c r="R366" s="7">
        <v>33604</v>
      </c>
      <c r="S366" s="8">
        <f t="shared" si="48"/>
        <v>1992</v>
      </c>
      <c r="T366" s="8">
        <v>1992</v>
      </c>
      <c r="U366" s="8">
        <f t="shared" si="49"/>
        <v>30</v>
      </c>
      <c r="V366" s="7">
        <v>33939</v>
      </c>
      <c r="W366" t="s">
        <v>7487</v>
      </c>
      <c r="X366" s="2">
        <v>0.46</v>
      </c>
      <c r="Y366" s="6">
        <f t="shared" si="46"/>
        <v>1.2279437281439364E-2</v>
      </c>
      <c r="AA366">
        <v>933813</v>
      </c>
      <c r="AB366">
        <v>28031</v>
      </c>
      <c r="AC366">
        <v>19399375</v>
      </c>
      <c r="AD366" t="s">
        <v>4</v>
      </c>
      <c r="AE366">
        <v>20</v>
      </c>
      <c r="AF366">
        <v>6</v>
      </c>
      <c r="AH366" t="s">
        <v>7587</v>
      </c>
      <c r="AI366" t="s">
        <v>7586</v>
      </c>
      <c r="AK366" t="s">
        <v>7585</v>
      </c>
      <c r="AL366">
        <v>4</v>
      </c>
      <c r="AM366" s="5">
        <f t="shared" si="50"/>
        <v>0.13333333333333333</v>
      </c>
      <c r="AN366" s="4">
        <f t="shared" si="47"/>
        <v>2.0194370819134167E-4</v>
      </c>
      <c r="AO366" s="3"/>
      <c r="AP366">
        <v>0</v>
      </c>
      <c r="AR366" t="s">
        <v>0</v>
      </c>
      <c r="AT366" s="2">
        <v>1.222</v>
      </c>
      <c r="AU366" s="1">
        <f t="shared" si="51"/>
        <v>0.86561892094649562</v>
      </c>
      <c r="AV366" s="1">
        <f t="shared" si="52"/>
        <v>0.6240690494815353</v>
      </c>
      <c r="AW366" s="1">
        <f t="shared" si="53"/>
        <v>0.38251917801657481</v>
      </c>
    </row>
    <row r="367" spans="1:49" x14ac:dyDescent="0.2">
      <c r="A367">
        <v>365</v>
      </c>
      <c r="B367" t="s">
        <v>7584</v>
      </c>
      <c r="C367" t="s">
        <v>7583</v>
      </c>
      <c r="F367" t="s">
        <v>7582</v>
      </c>
      <c r="G367" t="s">
        <v>12</v>
      </c>
      <c r="H367" t="s">
        <v>11</v>
      </c>
      <c r="I367" t="s">
        <v>314</v>
      </c>
      <c r="J367">
        <v>60025778</v>
      </c>
      <c r="K367" t="s">
        <v>25</v>
      </c>
      <c r="L367" t="s">
        <v>24</v>
      </c>
      <c r="M367" t="s">
        <v>7</v>
      </c>
      <c r="N367">
        <v>3</v>
      </c>
      <c r="O367" t="s">
        <v>313</v>
      </c>
      <c r="P367" t="s">
        <v>312</v>
      </c>
      <c r="Q367" t="s">
        <v>311</v>
      </c>
      <c r="R367" s="7">
        <v>33604</v>
      </c>
      <c r="S367" s="8">
        <f t="shared" si="48"/>
        <v>1992</v>
      </c>
      <c r="T367" s="8">
        <v>1992</v>
      </c>
      <c r="U367" s="8">
        <f t="shared" si="49"/>
        <v>30</v>
      </c>
      <c r="V367" s="7">
        <v>33939</v>
      </c>
      <c r="W367" t="s">
        <v>97</v>
      </c>
      <c r="X367" s="2">
        <v>1.6519999999999999</v>
      </c>
      <c r="Y367" s="6">
        <f t="shared" si="46"/>
        <v>4.409919649769093E-2</v>
      </c>
      <c r="AA367" t="s">
        <v>96</v>
      </c>
      <c r="AB367">
        <v>17337</v>
      </c>
      <c r="AC367">
        <v>15582221</v>
      </c>
      <c r="AD367" t="s">
        <v>4</v>
      </c>
      <c r="AE367">
        <v>40</v>
      </c>
      <c r="AF367">
        <v>12</v>
      </c>
      <c r="AH367" t="s">
        <v>7581</v>
      </c>
      <c r="AI367" t="s">
        <v>7580</v>
      </c>
      <c r="AK367" t="s">
        <v>7579</v>
      </c>
      <c r="AL367">
        <v>34</v>
      </c>
      <c r="AM367" s="5">
        <f t="shared" si="50"/>
        <v>1.1333333333333333</v>
      </c>
      <c r="AN367" s="4">
        <f t="shared" si="47"/>
        <v>1.7165215196264041E-3</v>
      </c>
      <c r="AO367" s="3"/>
      <c r="AP367">
        <v>0</v>
      </c>
      <c r="AR367" t="s">
        <v>0</v>
      </c>
      <c r="AT367" s="2" t="s">
        <v>16</v>
      </c>
      <c r="AU367" s="1">
        <f t="shared" si="51"/>
        <v>3.1384394004271572</v>
      </c>
      <c r="AV367" s="1">
        <f t="shared" si="52"/>
        <v>2.2907859008658669</v>
      </c>
      <c r="AW367" s="1">
        <f t="shared" si="53"/>
        <v>1.4431324013045761</v>
      </c>
    </row>
    <row r="368" spans="1:49" x14ac:dyDescent="0.2">
      <c r="A368">
        <v>366</v>
      </c>
      <c r="B368" t="s">
        <v>7578</v>
      </c>
      <c r="C368" t="s">
        <v>7577</v>
      </c>
      <c r="F368" t="s">
        <v>7576</v>
      </c>
      <c r="G368" t="s">
        <v>12</v>
      </c>
      <c r="H368" t="s">
        <v>11</v>
      </c>
      <c r="I368" t="s">
        <v>7575</v>
      </c>
      <c r="J368" t="s">
        <v>7574</v>
      </c>
      <c r="K368" t="s">
        <v>7573</v>
      </c>
      <c r="L368" t="s">
        <v>3443</v>
      </c>
      <c r="M368" t="s">
        <v>3442</v>
      </c>
      <c r="N368">
        <v>3</v>
      </c>
      <c r="O368" t="s">
        <v>7572</v>
      </c>
      <c r="P368" t="s">
        <v>7571</v>
      </c>
      <c r="Q368" t="s">
        <v>7570</v>
      </c>
      <c r="R368" s="7">
        <v>33604</v>
      </c>
      <c r="S368" s="8">
        <f t="shared" si="48"/>
        <v>1992</v>
      </c>
      <c r="T368" s="8">
        <v>1992</v>
      </c>
      <c r="U368" s="8">
        <f t="shared" si="49"/>
        <v>30</v>
      </c>
      <c r="V368" s="7">
        <v>33939</v>
      </c>
      <c r="W368" t="s">
        <v>97</v>
      </c>
      <c r="X368" s="2">
        <v>1.6519999999999999</v>
      </c>
      <c r="Y368" s="6">
        <f t="shared" si="46"/>
        <v>4.409919649769093E-2</v>
      </c>
      <c r="AA368" t="s">
        <v>96</v>
      </c>
      <c r="AB368">
        <v>17337</v>
      </c>
      <c r="AC368">
        <v>15582221</v>
      </c>
      <c r="AD368" t="s">
        <v>4</v>
      </c>
      <c r="AE368">
        <v>40</v>
      </c>
      <c r="AF368">
        <v>12</v>
      </c>
      <c r="AH368" t="s">
        <v>7569</v>
      </c>
      <c r="AI368" t="s">
        <v>7568</v>
      </c>
      <c r="AK368" t="s">
        <v>7567</v>
      </c>
      <c r="AL368">
        <v>9</v>
      </c>
      <c r="AM368" s="5">
        <f t="shared" si="50"/>
        <v>0.3</v>
      </c>
      <c r="AN368" s="4">
        <f t="shared" si="47"/>
        <v>4.5437334343051872E-4</v>
      </c>
      <c r="AO368" s="3"/>
      <c r="AP368">
        <v>0</v>
      </c>
      <c r="AR368" t="s">
        <v>0</v>
      </c>
      <c r="AT368" s="2" t="s">
        <v>16</v>
      </c>
      <c r="AU368" s="1">
        <f t="shared" si="51"/>
        <v>3.1005749551412807</v>
      </c>
      <c r="AV368" s="1">
        <f t="shared" si="52"/>
        <v>2.2276784920560724</v>
      </c>
      <c r="AW368" s="1">
        <f t="shared" si="53"/>
        <v>1.3547820289708641</v>
      </c>
    </row>
    <row r="369" spans="1:49" x14ac:dyDescent="0.2">
      <c r="A369">
        <v>367</v>
      </c>
      <c r="B369" t="s">
        <v>7566</v>
      </c>
      <c r="C369" t="s">
        <v>7565</v>
      </c>
      <c r="D369" t="s">
        <v>7564</v>
      </c>
      <c r="F369" t="s">
        <v>7563</v>
      </c>
      <c r="G369" t="s">
        <v>12</v>
      </c>
      <c r="H369" t="s">
        <v>11</v>
      </c>
      <c r="I369" t="s">
        <v>7562</v>
      </c>
      <c r="J369" t="s">
        <v>7561</v>
      </c>
      <c r="K369" t="s">
        <v>7560</v>
      </c>
      <c r="L369" t="s">
        <v>7559</v>
      </c>
      <c r="M369" t="s">
        <v>969</v>
      </c>
      <c r="N369">
        <v>17</v>
      </c>
      <c r="O369" t="s">
        <v>7558</v>
      </c>
      <c r="P369" t="s">
        <v>7557</v>
      </c>
      <c r="Q369" t="s">
        <v>7556</v>
      </c>
      <c r="R369" s="7">
        <v>33604</v>
      </c>
      <c r="S369" s="8">
        <f t="shared" si="48"/>
        <v>1992</v>
      </c>
      <c r="T369" s="8">
        <v>1992</v>
      </c>
      <c r="U369" s="8">
        <f t="shared" si="49"/>
        <v>30</v>
      </c>
      <c r="V369" s="7">
        <v>33939</v>
      </c>
      <c r="W369" t="s">
        <v>7555</v>
      </c>
      <c r="X369" s="2">
        <v>1.319</v>
      </c>
      <c r="Y369" s="6">
        <f t="shared" si="46"/>
        <v>3.5209951683083739E-2</v>
      </c>
      <c r="AA369">
        <v>104655</v>
      </c>
      <c r="AB369">
        <v>13184</v>
      </c>
      <c r="AD369" t="s">
        <v>4</v>
      </c>
      <c r="AE369">
        <v>73</v>
      </c>
      <c r="AF369" s="9">
        <v>44256</v>
      </c>
      <c r="AH369" t="s">
        <v>7554</v>
      </c>
      <c r="AI369" t="s">
        <v>7553</v>
      </c>
      <c r="AK369" t="s">
        <v>7552</v>
      </c>
      <c r="AL369">
        <v>30</v>
      </c>
      <c r="AM369" s="5">
        <f t="shared" si="50"/>
        <v>1</v>
      </c>
      <c r="AN369" s="4">
        <f t="shared" si="47"/>
        <v>1.5145778114350624E-3</v>
      </c>
      <c r="AO369" s="3"/>
      <c r="AP369">
        <v>0</v>
      </c>
      <c r="AR369" t="s">
        <v>0</v>
      </c>
      <c r="AT369" s="2">
        <v>4.3899999999999997</v>
      </c>
      <c r="AU369" s="1">
        <f t="shared" si="51"/>
        <v>2.5101339521589132</v>
      </c>
      <c r="AV369" s="1">
        <f t="shared" si="52"/>
        <v>1.83622647472594</v>
      </c>
      <c r="AW369" s="1">
        <f t="shared" si="53"/>
        <v>1.1623189972929664</v>
      </c>
    </row>
    <row r="370" spans="1:49" x14ac:dyDescent="0.2">
      <c r="A370">
        <v>368</v>
      </c>
      <c r="B370" t="s">
        <v>7551</v>
      </c>
      <c r="C370" t="s">
        <v>7550</v>
      </c>
      <c r="F370" t="s">
        <v>7549</v>
      </c>
      <c r="G370" t="s">
        <v>12</v>
      </c>
      <c r="H370" t="s">
        <v>11</v>
      </c>
      <c r="I370" t="s">
        <v>7548</v>
      </c>
      <c r="J370" t="s">
        <v>7547</v>
      </c>
      <c r="K370" t="s">
        <v>7546</v>
      </c>
      <c r="L370" t="s">
        <v>7545</v>
      </c>
      <c r="M370" t="s">
        <v>7544</v>
      </c>
      <c r="N370">
        <v>1</v>
      </c>
      <c r="O370" t="s">
        <v>7543</v>
      </c>
      <c r="P370">
        <v>6602791540</v>
      </c>
      <c r="Q370" t="s">
        <v>7542</v>
      </c>
      <c r="R370" s="7">
        <v>33604</v>
      </c>
      <c r="S370" s="8">
        <f t="shared" si="48"/>
        <v>1992</v>
      </c>
      <c r="T370" s="8">
        <v>1992</v>
      </c>
      <c r="U370" s="8">
        <f t="shared" si="49"/>
        <v>30</v>
      </c>
      <c r="V370" s="7">
        <v>33939</v>
      </c>
      <c r="W370" t="s">
        <v>6881</v>
      </c>
      <c r="X370" s="2">
        <v>2.5710000000000002</v>
      </c>
      <c r="Y370" s="6">
        <f t="shared" si="46"/>
        <v>6.8631376631696966E-2</v>
      </c>
      <c r="AA370">
        <v>189200</v>
      </c>
      <c r="AB370">
        <v>17278</v>
      </c>
      <c r="AC370" t="s">
        <v>6880</v>
      </c>
      <c r="AD370" t="s">
        <v>4</v>
      </c>
      <c r="AE370">
        <v>27</v>
      </c>
      <c r="AF370">
        <v>12</v>
      </c>
      <c r="AH370" t="s">
        <v>7541</v>
      </c>
      <c r="AI370" t="s">
        <v>7540</v>
      </c>
      <c r="AK370" t="s">
        <v>7539</v>
      </c>
      <c r="AL370">
        <v>4</v>
      </c>
      <c r="AM370" s="5">
        <f t="shared" si="50"/>
        <v>0.13333333333333333</v>
      </c>
      <c r="AN370" s="4">
        <f t="shared" si="47"/>
        <v>2.0194370819134167E-4</v>
      </c>
      <c r="AO370" s="3"/>
      <c r="AP370">
        <v>0</v>
      </c>
      <c r="AR370" t="s">
        <v>0</v>
      </c>
      <c r="AT370" s="2">
        <v>5.0129999999999999</v>
      </c>
      <c r="AU370" s="1">
        <f t="shared" si="51"/>
        <v>4.8102546754645275</v>
      </c>
      <c r="AV370" s="1">
        <f t="shared" si="52"/>
        <v>3.4416660169944149</v>
      </c>
      <c r="AW370" s="1">
        <f t="shared" si="53"/>
        <v>2.0730773585243027</v>
      </c>
    </row>
    <row r="371" spans="1:49" x14ac:dyDescent="0.2">
      <c r="A371">
        <v>369</v>
      </c>
      <c r="B371" t="s">
        <v>7538</v>
      </c>
      <c r="C371" t="s">
        <v>7537</v>
      </c>
      <c r="F371" t="s">
        <v>7536</v>
      </c>
      <c r="G371" t="s">
        <v>12</v>
      </c>
      <c r="H371" t="s">
        <v>11</v>
      </c>
      <c r="I371" t="s">
        <v>7535</v>
      </c>
      <c r="J371">
        <v>60027090</v>
      </c>
      <c r="K371" t="s">
        <v>2475</v>
      </c>
      <c r="L371" t="s">
        <v>2474</v>
      </c>
      <c r="M371" t="s">
        <v>7</v>
      </c>
      <c r="N371">
        <v>2</v>
      </c>
      <c r="O371" t="s">
        <v>7534</v>
      </c>
      <c r="P371" t="s">
        <v>7533</v>
      </c>
      <c r="Q371" t="s">
        <v>2471</v>
      </c>
      <c r="R371" s="7">
        <v>33604</v>
      </c>
      <c r="S371" s="8">
        <f t="shared" si="48"/>
        <v>1992</v>
      </c>
      <c r="T371" s="8">
        <v>1992</v>
      </c>
      <c r="U371" s="8">
        <f t="shared" si="49"/>
        <v>30</v>
      </c>
      <c r="V371" s="7">
        <v>33939</v>
      </c>
      <c r="W371" t="s">
        <v>97</v>
      </c>
      <c r="X371" s="2">
        <v>1.6519999999999999</v>
      </c>
      <c r="Y371" s="6">
        <f t="shared" si="46"/>
        <v>4.409919649769093E-2</v>
      </c>
      <c r="AA371" t="s">
        <v>96</v>
      </c>
      <c r="AB371">
        <v>17337</v>
      </c>
      <c r="AC371">
        <v>15582221</v>
      </c>
      <c r="AD371" t="s">
        <v>4</v>
      </c>
      <c r="AE371">
        <v>40</v>
      </c>
      <c r="AF371">
        <v>12</v>
      </c>
      <c r="AH371" t="s">
        <v>7532</v>
      </c>
      <c r="AI371" t="s">
        <v>7531</v>
      </c>
      <c r="AK371" t="s">
        <v>7530</v>
      </c>
      <c r="AL371">
        <v>12</v>
      </c>
      <c r="AM371" s="5">
        <f t="shared" si="50"/>
        <v>0.4</v>
      </c>
      <c r="AN371" s="4">
        <f t="shared" si="47"/>
        <v>6.0583112457402507E-4</v>
      </c>
      <c r="AO371" s="3"/>
      <c r="AP371">
        <v>0</v>
      </c>
      <c r="AR371" t="s">
        <v>0</v>
      </c>
      <c r="AT371" s="2" t="s">
        <v>16</v>
      </c>
      <c r="AU371" s="1">
        <f t="shared" si="51"/>
        <v>3.1051186885755859</v>
      </c>
      <c r="AV371" s="1">
        <f t="shared" si="52"/>
        <v>2.2352513811132479</v>
      </c>
      <c r="AW371" s="1">
        <f t="shared" si="53"/>
        <v>1.3653840736509095</v>
      </c>
    </row>
    <row r="372" spans="1:49" x14ac:dyDescent="0.2">
      <c r="A372">
        <v>370</v>
      </c>
      <c r="B372" t="s">
        <v>7529</v>
      </c>
      <c r="C372" t="s">
        <v>7528</v>
      </c>
      <c r="F372" t="s">
        <v>7527</v>
      </c>
      <c r="G372" t="s">
        <v>12</v>
      </c>
      <c r="H372" t="s">
        <v>11</v>
      </c>
      <c r="I372" t="s">
        <v>7526</v>
      </c>
      <c r="N372">
        <v>1</v>
      </c>
      <c r="O372" t="s">
        <v>7525</v>
      </c>
      <c r="P372">
        <v>7006668624</v>
      </c>
      <c r="R372" s="7">
        <v>33604</v>
      </c>
      <c r="S372" s="8">
        <f t="shared" si="48"/>
        <v>1992</v>
      </c>
      <c r="T372" s="8">
        <v>1992</v>
      </c>
      <c r="U372" s="8">
        <f t="shared" si="49"/>
        <v>30</v>
      </c>
      <c r="V372" s="7">
        <v>33939</v>
      </c>
      <c r="W372" t="s">
        <v>97</v>
      </c>
      <c r="X372" s="2">
        <v>1.6519999999999999</v>
      </c>
      <c r="Y372" s="6">
        <f t="shared" si="46"/>
        <v>4.409919649769093E-2</v>
      </c>
      <c r="AA372" t="s">
        <v>96</v>
      </c>
      <c r="AB372">
        <v>17337</v>
      </c>
      <c r="AC372">
        <v>15582221</v>
      </c>
      <c r="AD372" t="s">
        <v>4</v>
      </c>
      <c r="AE372">
        <v>40</v>
      </c>
      <c r="AF372">
        <v>12</v>
      </c>
      <c r="AH372" t="s">
        <v>7524</v>
      </c>
      <c r="AI372" t="s">
        <v>7523</v>
      </c>
      <c r="AK372" t="s">
        <v>7522</v>
      </c>
      <c r="AL372">
        <v>30</v>
      </c>
      <c r="AM372" s="5">
        <f t="shared" si="50"/>
        <v>1</v>
      </c>
      <c r="AN372" s="4">
        <f t="shared" si="47"/>
        <v>1.5145778114350624E-3</v>
      </c>
      <c r="AO372" s="3"/>
      <c r="AP372">
        <v>0</v>
      </c>
      <c r="AR372" t="s">
        <v>0</v>
      </c>
      <c r="AT372" s="2" t="s">
        <v>16</v>
      </c>
      <c r="AU372" s="1">
        <f t="shared" si="51"/>
        <v>3.132381089181417</v>
      </c>
      <c r="AV372" s="1">
        <f t="shared" si="52"/>
        <v>2.2806887154562996</v>
      </c>
      <c r="AW372" s="1">
        <f t="shared" si="53"/>
        <v>1.4289963417311822</v>
      </c>
    </row>
    <row r="373" spans="1:49" x14ac:dyDescent="0.2">
      <c r="A373">
        <v>371</v>
      </c>
      <c r="B373" t="s">
        <v>7521</v>
      </c>
      <c r="C373" t="s">
        <v>7520</v>
      </c>
      <c r="D373" t="s">
        <v>7519</v>
      </c>
      <c r="F373" t="s">
        <v>7518</v>
      </c>
      <c r="G373" t="s">
        <v>12</v>
      </c>
      <c r="H373" t="s">
        <v>11</v>
      </c>
      <c r="I373" t="s">
        <v>7517</v>
      </c>
      <c r="J373">
        <v>60012708</v>
      </c>
      <c r="K373" t="s">
        <v>4428</v>
      </c>
      <c r="L373" t="s">
        <v>1500</v>
      </c>
      <c r="M373" t="s">
        <v>7</v>
      </c>
      <c r="N373">
        <v>1</v>
      </c>
      <c r="O373" t="s">
        <v>7516</v>
      </c>
      <c r="P373">
        <v>35227229000</v>
      </c>
      <c r="Q373">
        <v>60012708</v>
      </c>
      <c r="R373" s="7">
        <v>33604</v>
      </c>
      <c r="S373" s="8">
        <f t="shared" si="48"/>
        <v>1992</v>
      </c>
      <c r="T373" s="8">
        <v>1992</v>
      </c>
      <c r="U373" s="8">
        <f t="shared" si="49"/>
        <v>30</v>
      </c>
      <c r="V373" s="7">
        <v>1992</v>
      </c>
      <c r="W373" t="s">
        <v>7515</v>
      </c>
      <c r="X373" s="2">
        <v>2.37</v>
      </c>
      <c r="Y373" s="6">
        <f t="shared" si="46"/>
        <v>6.326579642828542E-2</v>
      </c>
      <c r="AA373">
        <v>78506</v>
      </c>
      <c r="AB373">
        <v>19804</v>
      </c>
      <c r="AC373">
        <v>17260604</v>
      </c>
      <c r="AD373" t="s">
        <v>4</v>
      </c>
      <c r="AE373">
        <v>41</v>
      </c>
      <c r="AF373">
        <v>2</v>
      </c>
      <c r="AH373" t="s">
        <v>7514</v>
      </c>
      <c r="AI373" t="s">
        <v>7513</v>
      </c>
      <c r="AJ373" t="s">
        <v>7512</v>
      </c>
      <c r="AK373" t="s">
        <v>7511</v>
      </c>
      <c r="AL373">
        <v>47</v>
      </c>
      <c r="AM373" s="5">
        <f t="shared" si="50"/>
        <v>1.5666666666666667</v>
      </c>
      <c r="AN373" s="4">
        <f t="shared" si="47"/>
        <v>2.3728385712482643E-3</v>
      </c>
      <c r="AO373" s="3"/>
      <c r="AP373">
        <v>0</v>
      </c>
      <c r="AR373" t="s">
        <v>0</v>
      </c>
      <c r="AT373" s="2" t="s">
        <v>16</v>
      </c>
      <c r="AU373" s="1">
        <f t="shared" si="51"/>
        <v>4.4997909071174274</v>
      </c>
      <c r="AV373" s="1">
        <f t="shared" si="52"/>
        <v>3.281931749976684</v>
      </c>
      <c r="AW373" s="1">
        <f t="shared" si="53"/>
        <v>2.0640725928359407</v>
      </c>
    </row>
    <row r="374" spans="1:49" x14ac:dyDescent="0.2">
      <c r="A374">
        <v>372</v>
      </c>
      <c r="B374" t="s">
        <v>7510</v>
      </c>
      <c r="C374" t="s">
        <v>7509</v>
      </c>
      <c r="F374" t="s">
        <v>7508</v>
      </c>
      <c r="G374" t="s">
        <v>12</v>
      </c>
      <c r="H374" t="s">
        <v>11</v>
      </c>
      <c r="I374" t="s">
        <v>3023</v>
      </c>
      <c r="J374">
        <v>60000891</v>
      </c>
      <c r="K374" t="s">
        <v>3022</v>
      </c>
      <c r="L374" t="s">
        <v>3021</v>
      </c>
      <c r="M374" t="s">
        <v>856</v>
      </c>
      <c r="N374">
        <v>3</v>
      </c>
      <c r="O374" t="s">
        <v>7507</v>
      </c>
      <c r="P374" t="s">
        <v>7506</v>
      </c>
      <c r="Q374" t="s">
        <v>7505</v>
      </c>
      <c r="R374" s="7">
        <v>33604</v>
      </c>
      <c r="S374" s="8">
        <f t="shared" si="48"/>
        <v>1992</v>
      </c>
      <c r="T374" s="8">
        <v>1992</v>
      </c>
      <c r="U374" s="8">
        <f t="shared" si="49"/>
        <v>30</v>
      </c>
      <c r="V374" s="7" t="s">
        <v>7405</v>
      </c>
      <c r="W374" s="11" t="s">
        <v>2692</v>
      </c>
      <c r="X374" s="2">
        <v>2.383</v>
      </c>
      <c r="Y374" s="6">
        <f t="shared" si="46"/>
        <v>6.3612824003630442E-2</v>
      </c>
      <c r="AA374" t="s">
        <v>2691</v>
      </c>
      <c r="AB374">
        <v>101151</v>
      </c>
      <c r="AD374" t="s">
        <v>4</v>
      </c>
      <c r="AE374">
        <v>139</v>
      </c>
      <c r="AF374">
        <v>6</v>
      </c>
      <c r="AH374" t="s">
        <v>4578</v>
      </c>
      <c r="AI374" t="s">
        <v>7504</v>
      </c>
      <c r="AK374" t="s">
        <v>7503</v>
      </c>
      <c r="AL374">
        <v>7</v>
      </c>
      <c r="AM374" s="5">
        <f t="shared" si="50"/>
        <v>0.23333333333333334</v>
      </c>
      <c r="AN374" s="4">
        <f t="shared" si="47"/>
        <v>3.5340148933484791E-4</v>
      </c>
      <c r="AO374" s="3"/>
      <c r="AP374">
        <v>0</v>
      </c>
      <c r="AR374" t="s">
        <v>0</v>
      </c>
      <c r="AT374" s="2" t="s">
        <v>16</v>
      </c>
      <c r="AU374" s="1">
        <f t="shared" si="51"/>
        <v>4.4634997249341763</v>
      </c>
      <c r="AV374" s="1">
        <f t="shared" si="52"/>
        <v>3.1983112746482649</v>
      </c>
      <c r="AW374" s="1">
        <f t="shared" si="53"/>
        <v>1.9331228243623526</v>
      </c>
    </row>
    <row r="375" spans="1:49" x14ac:dyDescent="0.2">
      <c r="A375">
        <v>373</v>
      </c>
      <c r="B375" t="s">
        <v>7502</v>
      </c>
      <c r="C375" t="s">
        <v>7501</v>
      </c>
      <c r="F375" t="s">
        <v>7500</v>
      </c>
      <c r="G375" t="s">
        <v>12</v>
      </c>
      <c r="H375" t="s">
        <v>11</v>
      </c>
      <c r="I375" t="s">
        <v>7499</v>
      </c>
      <c r="N375">
        <v>1</v>
      </c>
      <c r="O375" t="s">
        <v>7498</v>
      </c>
      <c r="P375">
        <v>7202211079</v>
      </c>
      <c r="R375" s="7">
        <v>33604</v>
      </c>
      <c r="S375" s="8">
        <f t="shared" si="48"/>
        <v>1992</v>
      </c>
      <c r="T375" s="8">
        <v>1992</v>
      </c>
      <c r="U375" s="8">
        <f t="shared" si="49"/>
        <v>30</v>
      </c>
      <c r="V375" s="7">
        <v>33939</v>
      </c>
      <c r="W375" t="s">
        <v>2731</v>
      </c>
      <c r="X375" s="2">
        <v>0.312</v>
      </c>
      <c r="Y375" s="6">
        <f t="shared" si="46"/>
        <v>8.3286618082806119E-3</v>
      </c>
      <c r="AA375">
        <v>9540695</v>
      </c>
      <c r="AB375">
        <v>61637</v>
      </c>
      <c r="AD375" t="s">
        <v>4</v>
      </c>
      <c r="AE375">
        <v>4</v>
      </c>
      <c r="AF375">
        <v>6</v>
      </c>
      <c r="AH375" t="s">
        <v>7497</v>
      </c>
      <c r="AI375" t="s">
        <v>7496</v>
      </c>
      <c r="AK375" t="s">
        <v>7495</v>
      </c>
      <c r="AL375">
        <v>0</v>
      </c>
      <c r="AM375" s="5">
        <f t="shared" si="50"/>
        <v>0</v>
      </c>
      <c r="AN375" s="4">
        <f t="shared" si="47"/>
        <v>0</v>
      </c>
      <c r="AO375" s="3"/>
      <c r="AP375">
        <v>0</v>
      </c>
      <c r="AR375" t="s">
        <v>0</v>
      </c>
      <c r="AT375" s="2" t="s">
        <v>16</v>
      </c>
      <c r="AU375" s="1">
        <f t="shared" si="51"/>
        <v>0.5830063265796428</v>
      </c>
      <c r="AV375" s="1">
        <f t="shared" si="52"/>
        <v>0.41643309041403059</v>
      </c>
      <c r="AW375" s="1">
        <f t="shared" si="53"/>
        <v>0.24985985424841833</v>
      </c>
    </row>
    <row r="376" spans="1:49" x14ac:dyDescent="0.2">
      <c r="A376">
        <v>374</v>
      </c>
      <c r="B376" t="s">
        <v>7494</v>
      </c>
      <c r="C376" t="s">
        <v>7493</v>
      </c>
      <c r="F376" t="s">
        <v>7492</v>
      </c>
      <c r="G376" t="s">
        <v>12</v>
      </c>
      <c r="H376" t="s">
        <v>11</v>
      </c>
      <c r="I376" t="s">
        <v>7491</v>
      </c>
      <c r="J376">
        <v>60027550</v>
      </c>
      <c r="K376" t="s">
        <v>5038</v>
      </c>
      <c r="L376" t="s">
        <v>2073</v>
      </c>
      <c r="M376" t="s">
        <v>7</v>
      </c>
      <c r="N376">
        <v>3</v>
      </c>
      <c r="O376" t="s">
        <v>7490</v>
      </c>
      <c r="P376" t="s">
        <v>7489</v>
      </c>
      <c r="Q376" t="s">
        <v>7488</v>
      </c>
      <c r="R376" s="7">
        <v>33604</v>
      </c>
      <c r="S376" s="8">
        <f t="shared" si="48"/>
        <v>1992</v>
      </c>
      <c r="T376" s="8">
        <v>1992</v>
      </c>
      <c r="U376" s="8">
        <f t="shared" si="49"/>
        <v>30</v>
      </c>
      <c r="V376" s="7">
        <v>33939</v>
      </c>
      <c r="W376" t="s">
        <v>7487</v>
      </c>
      <c r="X376" s="2">
        <v>0.46</v>
      </c>
      <c r="Y376" s="6">
        <f t="shared" si="46"/>
        <v>1.2279437281439364E-2</v>
      </c>
      <c r="AA376">
        <v>933813</v>
      </c>
      <c r="AB376">
        <v>28031</v>
      </c>
      <c r="AC376">
        <v>19399375</v>
      </c>
      <c r="AD376" t="s">
        <v>4</v>
      </c>
      <c r="AE376">
        <v>20</v>
      </c>
      <c r="AF376">
        <v>6</v>
      </c>
      <c r="AH376" t="s">
        <v>7486</v>
      </c>
      <c r="AI376" t="s">
        <v>7485</v>
      </c>
      <c r="AK376" t="s">
        <v>7484</v>
      </c>
      <c r="AL376">
        <v>3</v>
      </c>
      <c r="AM376" s="5">
        <f t="shared" si="50"/>
        <v>0.1</v>
      </c>
      <c r="AN376" s="4">
        <f t="shared" si="47"/>
        <v>1.5145778114350627E-4</v>
      </c>
      <c r="AO376" s="3"/>
      <c r="AP376">
        <v>0</v>
      </c>
      <c r="AQ376" t="s">
        <v>2118</v>
      </c>
      <c r="AR376" t="s">
        <v>7483</v>
      </c>
      <c r="AS376" t="s">
        <v>2117</v>
      </c>
      <c r="AT376" s="2">
        <v>1.222</v>
      </c>
      <c r="AU376" s="1">
        <f t="shared" si="51"/>
        <v>0.86410434313506057</v>
      </c>
      <c r="AV376" s="1">
        <f t="shared" si="52"/>
        <v>0.62154475312914348</v>
      </c>
      <c r="AW376" s="1">
        <f t="shared" si="53"/>
        <v>0.37898516312322633</v>
      </c>
    </row>
    <row r="377" spans="1:49" x14ac:dyDescent="0.2">
      <c r="A377">
        <v>375</v>
      </c>
      <c r="B377" t="s">
        <v>7482</v>
      </c>
      <c r="C377" t="s">
        <v>7481</v>
      </c>
      <c r="D377" t="s">
        <v>7480</v>
      </c>
      <c r="F377" t="s">
        <v>7479</v>
      </c>
      <c r="G377" t="s">
        <v>12</v>
      </c>
      <c r="H377" t="s">
        <v>11</v>
      </c>
      <c r="I377" t="s">
        <v>7478</v>
      </c>
      <c r="J377" t="s">
        <v>7477</v>
      </c>
      <c r="K377" t="s">
        <v>7476</v>
      </c>
      <c r="L377" t="s">
        <v>7475</v>
      </c>
      <c r="M377" t="s">
        <v>7474</v>
      </c>
      <c r="N377">
        <v>2</v>
      </c>
      <c r="O377" t="s">
        <v>7473</v>
      </c>
      <c r="P377" t="s">
        <v>7472</v>
      </c>
      <c r="Q377" t="s">
        <v>7471</v>
      </c>
      <c r="R377" s="7">
        <v>33604</v>
      </c>
      <c r="S377" s="8">
        <f t="shared" si="48"/>
        <v>1992</v>
      </c>
      <c r="T377" s="8">
        <v>1992</v>
      </c>
      <c r="U377" s="8">
        <f t="shared" si="49"/>
        <v>30</v>
      </c>
      <c r="V377" s="7">
        <v>33939</v>
      </c>
      <c r="W377" t="s">
        <v>2955</v>
      </c>
      <c r="X377" s="2">
        <v>0.90700000000000003</v>
      </c>
      <c r="Y377" s="6">
        <f t="shared" si="46"/>
        <v>2.4211846987533703E-2</v>
      </c>
      <c r="AA377">
        <v>1651684</v>
      </c>
      <c r="AB377">
        <v>25548</v>
      </c>
      <c r="AD377" t="s">
        <v>4</v>
      </c>
      <c r="AE377">
        <v>29</v>
      </c>
      <c r="AF377">
        <v>3</v>
      </c>
      <c r="AH377" t="s">
        <v>7470</v>
      </c>
      <c r="AI377" t="s">
        <v>7469</v>
      </c>
      <c r="AJ377" t="s">
        <v>7468</v>
      </c>
      <c r="AK377" t="s">
        <v>7467</v>
      </c>
      <c r="AL377">
        <v>13</v>
      </c>
      <c r="AM377" s="5">
        <f t="shared" si="50"/>
        <v>0.43333333333333335</v>
      </c>
      <c r="AN377" s="4">
        <f t="shared" si="47"/>
        <v>6.5631705162186044E-4</v>
      </c>
      <c r="AO377" s="3"/>
      <c r="AP377">
        <v>0</v>
      </c>
      <c r="AR377" t="s">
        <v>0</v>
      </c>
      <c r="AT377" s="2">
        <v>4.6619999999999999</v>
      </c>
      <c r="AU377" s="1">
        <f t="shared" si="51"/>
        <v>1.7145188006760146</v>
      </c>
      <c r="AV377" s="1">
        <f t="shared" si="52"/>
        <v>1.2434082019577781</v>
      </c>
      <c r="AW377" s="1">
        <f t="shared" si="53"/>
        <v>0.77229760323954122</v>
      </c>
    </row>
    <row r="378" spans="1:49" x14ac:dyDescent="0.2">
      <c r="A378">
        <v>376</v>
      </c>
      <c r="B378" t="s">
        <v>7466</v>
      </c>
      <c r="C378" t="s">
        <v>7465</v>
      </c>
      <c r="F378" t="s">
        <v>7464</v>
      </c>
      <c r="G378" t="s">
        <v>12</v>
      </c>
      <c r="H378" t="s">
        <v>11</v>
      </c>
      <c r="I378" t="s">
        <v>7463</v>
      </c>
      <c r="J378">
        <v>60009697</v>
      </c>
      <c r="K378" t="s">
        <v>5346</v>
      </c>
      <c r="L378" t="s">
        <v>5345</v>
      </c>
      <c r="M378" t="s">
        <v>393</v>
      </c>
      <c r="N378">
        <v>2</v>
      </c>
      <c r="O378" t="s">
        <v>7462</v>
      </c>
      <c r="P378" t="s">
        <v>7461</v>
      </c>
      <c r="Q378" t="s">
        <v>5382</v>
      </c>
      <c r="R378" s="7">
        <v>33604</v>
      </c>
      <c r="S378" s="8">
        <f t="shared" si="48"/>
        <v>1992</v>
      </c>
      <c r="T378" s="8">
        <v>1992</v>
      </c>
      <c r="U378" s="8">
        <f t="shared" si="49"/>
        <v>30</v>
      </c>
      <c r="V378" s="7" t="s">
        <v>7405</v>
      </c>
      <c r="W378" s="11" t="s">
        <v>2692</v>
      </c>
      <c r="X378" s="2">
        <v>2.383</v>
      </c>
      <c r="Y378" s="6">
        <f t="shared" si="46"/>
        <v>6.3612824003630442E-2</v>
      </c>
      <c r="AA378" t="s">
        <v>2691</v>
      </c>
      <c r="AB378">
        <v>101151</v>
      </c>
      <c r="AD378" t="s">
        <v>4</v>
      </c>
      <c r="AE378">
        <v>139</v>
      </c>
      <c r="AF378">
        <v>6</v>
      </c>
      <c r="AH378" t="s">
        <v>7460</v>
      </c>
      <c r="AI378" t="s">
        <v>7459</v>
      </c>
      <c r="AK378" t="s">
        <v>7458</v>
      </c>
      <c r="AL378">
        <v>6</v>
      </c>
      <c r="AM378" s="5">
        <f t="shared" si="50"/>
        <v>0.2</v>
      </c>
      <c r="AN378" s="4">
        <f t="shared" si="47"/>
        <v>3.0291556228701253E-4</v>
      </c>
      <c r="AO378" s="3"/>
      <c r="AP378">
        <v>0</v>
      </c>
      <c r="AR378" t="s">
        <v>0</v>
      </c>
      <c r="AT378" s="2" t="s">
        <v>16</v>
      </c>
      <c r="AU378" s="1">
        <f t="shared" si="51"/>
        <v>4.461985147122741</v>
      </c>
      <c r="AV378" s="1">
        <f t="shared" si="52"/>
        <v>3.1957869782958728</v>
      </c>
      <c r="AW378" s="1">
        <f t="shared" si="53"/>
        <v>1.9295888094690041</v>
      </c>
    </row>
    <row r="379" spans="1:49" x14ac:dyDescent="0.2">
      <c r="A379">
        <v>377</v>
      </c>
      <c r="B379" t="s">
        <v>7457</v>
      </c>
      <c r="C379" t="s">
        <v>7456</v>
      </c>
      <c r="F379" t="s">
        <v>7455</v>
      </c>
      <c r="G379" t="s">
        <v>12</v>
      </c>
      <c r="H379" t="s">
        <v>11</v>
      </c>
      <c r="I379" t="s">
        <v>7454</v>
      </c>
      <c r="J379">
        <v>60005304</v>
      </c>
      <c r="K379" t="s">
        <v>1244</v>
      </c>
      <c r="L379" t="s">
        <v>1243</v>
      </c>
      <c r="M379" t="s">
        <v>7</v>
      </c>
      <c r="N379">
        <v>2</v>
      </c>
      <c r="O379" t="s">
        <v>7453</v>
      </c>
      <c r="P379" t="s">
        <v>7452</v>
      </c>
      <c r="Q379" t="s">
        <v>1447</v>
      </c>
      <c r="R379" s="7">
        <v>33604</v>
      </c>
      <c r="S379" s="8">
        <f t="shared" si="48"/>
        <v>1992</v>
      </c>
      <c r="T379" s="8">
        <v>1992</v>
      </c>
      <c r="U379" s="8">
        <f t="shared" si="49"/>
        <v>30</v>
      </c>
      <c r="V379" s="7">
        <v>33939</v>
      </c>
      <c r="W379" t="s">
        <v>4664</v>
      </c>
      <c r="X379" s="2">
        <v>0.82</v>
      </c>
      <c r="Y379" s="6">
        <f t="shared" si="46"/>
        <v>2.1889431675609299E-2</v>
      </c>
      <c r="AA379">
        <v>189456</v>
      </c>
      <c r="AB379">
        <v>15361</v>
      </c>
      <c r="AC379">
        <v>15579662</v>
      </c>
      <c r="AD379" t="s">
        <v>4</v>
      </c>
      <c r="AE379">
        <v>41</v>
      </c>
      <c r="AF379">
        <v>6</v>
      </c>
      <c r="AH379" t="s">
        <v>7451</v>
      </c>
      <c r="AI379" t="s">
        <v>7450</v>
      </c>
      <c r="AK379" t="s">
        <v>7449</v>
      </c>
      <c r="AL379">
        <v>4</v>
      </c>
      <c r="AM379" s="5">
        <f t="shared" si="50"/>
        <v>0.13333333333333333</v>
      </c>
      <c r="AN379" s="4">
        <f t="shared" si="47"/>
        <v>2.0194370819134167E-4</v>
      </c>
      <c r="AO379" s="3"/>
      <c r="AP379">
        <v>0</v>
      </c>
      <c r="AR379" t="s">
        <v>0</v>
      </c>
      <c r="AT379" s="2" t="s">
        <v>16</v>
      </c>
      <c r="AU379" s="1">
        <f t="shared" si="51"/>
        <v>1.5383185285383909</v>
      </c>
      <c r="AV379" s="1">
        <f t="shared" si="52"/>
        <v>1.1045687691900321</v>
      </c>
      <c r="AW379" s="1">
        <f t="shared" si="53"/>
        <v>0.67081900984167275</v>
      </c>
    </row>
    <row r="380" spans="1:49" x14ac:dyDescent="0.2">
      <c r="A380">
        <v>378</v>
      </c>
      <c r="B380" t="s">
        <v>7448</v>
      </c>
      <c r="C380" t="s">
        <v>7447</v>
      </c>
      <c r="F380" t="s">
        <v>7446</v>
      </c>
      <c r="G380" t="s">
        <v>12</v>
      </c>
      <c r="H380" t="s">
        <v>11</v>
      </c>
      <c r="I380" t="s">
        <v>7445</v>
      </c>
      <c r="J380">
        <v>100337120</v>
      </c>
      <c r="K380" t="s">
        <v>7444</v>
      </c>
      <c r="L380" t="s">
        <v>745</v>
      </c>
      <c r="M380" t="s">
        <v>151</v>
      </c>
      <c r="N380">
        <v>1</v>
      </c>
      <c r="O380" t="s">
        <v>7443</v>
      </c>
      <c r="P380">
        <v>7403577519</v>
      </c>
      <c r="Q380">
        <v>100337120</v>
      </c>
      <c r="R380" s="7">
        <v>33604</v>
      </c>
      <c r="S380" s="8">
        <f t="shared" si="48"/>
        <v>1992</v>
      </c>
      <c r="T380" s="8">
        <v>1992</v>
      </c>
      <c r="U380" s="8">
        <f t="shared" si="49"/>
        <v>30</v>
      </c>
      <c r="V380" s="7">
        <v>33939</v>
      </c>
      <c r="W380" t="s">
        <v>4664</v>
      </c>
      <c r="X380" s="2">
        <v>0.82</v>
      </c>
      <c r="Y380" s="6">
        <f t="shared" si="46"/>
        <v>2.1889431675609299E-2</v>
      </c>
      <c r="AA380">
        <v>189456</v>
      </c>
      <c r="AB380">
        <v>15361</v>
      </c>
      <c r="AC380">
        <v>15579662</v>
      </c>
      <c r="AD380" t="s">
        <v>4</v>
      </c>
      <c r="AE380">
        <v>41</v>
      </c>
      <c r="AF380">
        <v>6</v>
      </c>
      <c r="AH380" t="s">
        <v>7442</v>
      </c>
      <c r="AI380" t="s">
        <v>7441</v>
      </c>
      <c r="AK380" t="s">
        <v>7440</v>
      </c>
      <c r="AL380">
        <v>2</v>
      </c>
      <c r="AM380" s="5">
        <f t="shared" si="50"/>
        <v>6.6666666666666666E-2</v>
      </c>
      <c r="AN380" s="4">
        <f t="shared" si="47"/>
        <v>1.0097185409567084E-4</v>
      </c>
      <c r="AO380" s="3"/>
      <c r="AP380">
        <v>0</v>
      </c>
      <c r="AR380" t="s">
        <v>0</v>
      </c>
      <c r="AT380" s="2" t="s">
        <v>16</v>
      </c>
      <c r="AU380" s="1">
        <f t="shared" si="51"/>
        <v>1.535289372915521</v>
      </c>
      <c r="AV380" s="1">
        <f t="shared" si="52"/>
        <v>1.0995201764852485</v>
      </c>
      <c r="AW380" s="1">
        <f t="shared" si="53"/>
        <v>0.6637509800549759</v>
      </c>
    </row>
    <row r="381" spans="1:49" x14ac:dyDescent="0.2">
      <c r="A381">
        <v>379</v>
      </c>
      <c r="B381" t="s">
        <v>7439</v>
      </c>
      <c r="C381" t="s">
        <v>7438</v>
      </c>
      <c r="F381" t="s">
        <v>7437</v>
      </c>
      <c r="G381" t="s">
        <v>12</v>
      </c>
      <c r="H381" t="s">
        <v>11</v>
      </c>
      <c r="I381" t="s">
        <v>7436</v>
      </c>
      <c r="J381">
        <v>60032315</v>
      </c>
      <c r="K381" t="s">
        <v>7435</v>
      </c>
      <c r="L381" t="s">
        <v>7107</v>
      </c>
      <c r="M381" t="s">
        <v>151</v>
      </c>
      <c r="N381">
        <v>2</v>
      </c>
      <c r="O381" t="s">
        <v>7434</v>
      </c>
      <c r="P381" t="s">
        <v>7433</v>
      </c>
      <c r="Q381" t="s">
        <v>7432</v>
      </c>
      <c r="R381" s="7">
        <v>33604</v>
      </c>
      <c r="S381" s="8">
        <f t="shared" si="48"/>
        <v>1992</v>
      </c>
      <c r="T381" s="8">
        <v>1992</v>
      </c>
      <c r="U381" s="8">
        <f t="shared" si="49"/>
        <v>30</v>
      </c>
      <c r="V381" s="7">
        <v>33939</v>
      </c>
      <c r="W381" t="s">
        <v>20</v>
      </c>
      <c r="X381" s="2">
        <v>0.94</v>
      </c>
      <c r="Y381" s="6">
        <f t="shared" si="46"/>
        <v>2.5092763140332611E-2</v>
      </c>
      <c r="AA381">
        <v>10518207</v>
      </c>
      <c r="AB381">
        <v>63372</v>
      </c>
      <c r="AD381" t="s">
        <v>4</v>
      </c>
      <c r="AE381">
        <v>2</v>
      </c>
      <c r="AF381">
        <v>12</v>
      </c>
      <c r="AH381" t="s">
        <v>7431</v>
      </c>
      <c r="AI381" t="s">
        <v>7430</v>
      </c>
      <c r="AK381" t="s">
        <v>7429</v>
      </c>
      <c r="AL381">
        <v>5</v>
      </c>
      <c r="AM381" s="5">
        <f t="shared" si="50"/>
        <v>0.16666666666666666</v>
      </c>
      <c r="AN381" s="4">
        <f t="shared" si="47"/>
        <v>2.5242963523917705E-4</v>
      </c>
      <c r="AO381" s="3"/>
      <c r="AP381">
        <v>0</v>
      </c>
      <c r="AR381" t="s">
        <v>0</v>
      </c>
      <c r="AT381" s="2" t="s">
        <v>16</v>
      </c>
      <c r="AU381" s="1">
        <f t="shared" si="51"/>
        <v>1.764066308880458</v>
      </c>
      <c r="AV381" s="1">
        <f t="shared" si="52"/>
        <v>1.2672596387785893</v>
      </c>
      <c r="AW381" s="1">
        <f t="shared" si="53"/>
        <v>0.77045296867672075</v>
      </c>
    </row>
    <row r="382" spans="1:49" x14ac:dyDescent="0.2">
      <c r="A382">
        <v>380</v>
      </c>
      <c r="B382" t="s">
        <v>7428</v>
      </c>
      <c r="C382" t="s">
        <v>7427</v>
      </c>
      <c r="F382" t="s">
        <v>7426</v>
      </c>
      <c r="G382" t="s">
        <v>12</v>
      </c>
      <c r="H382" t="s">
        <v>11</v>
      </c>
      <c r="I382" t="s">
        <v>3421</v>
      </c>
      <c r="J382">
        <v>60029311</v>
      </c>
      <c r="K382" t="s">
        <v>2144</v>
      </c>
      <c r="L382" t="s">
        <v>2073</v>
      </c>
      <c r="M382" t="s">
        <v>7</v>
      </c>
      <c r="N382">
        <v>2</v>
      </c>
      <c r="O382" t="s">
        <v>7039</v>
      </c>
      <c r="P382" t="s">
        <v>7038</v>
      </c>
      <c r="Q382" t="s">
        <v>7037</v>
      </c>
      <c r="R382" s="7">
        <v>33604</v>
      </c>
      <c r="S382" s="8">
        <f t="shared" si="48"/>
        <v>1992</v>
      </c>
      <c r="T382" s="8">
        <v>1992</v>
      </c>
      <c r="U382" s="8">
        <f t="shared" si="49"/>
        <v>30</v>
      </c>
      <c r="V382" s="7">
        <v>33939</v>
      </c>
      <c r="W382" t="s">
        <v>97</v>
      </c>
      <c r="X382" s="2">
        <v>1.6519999999999999</v>
      </c>
      <c r="Y382" s="6">
        <f t="shared" si="46"/>
        <v>4.409919649769093E-2</v>
      </c>
      <c r="AA382" t="s">
        <v>96</v>
      </c>
      <c r="AB382">
        <v>17337</v>
      </c>
      <c r="AC382">
        <v>15582221</v>
      </c>
      <c r="AD382" t="s">
        <v>4</v>
      </c>
      <c r="AE382">
        <v>40</v>
      </c>
      <c r="AF382">
        <v>12</v>
      </c>
      <c r="AH382" t="s">
        <v>7425</v>
      </c>
      <c r="AI382" t="s">
        <v>7424</v>
      </c>
      <c r="AK382" t="s">
        <v>7423</v>
      </c>
      <c r="AL382">
        <v>75</v>
      </c>
      <c r="AM382" s="5">
        <f t="shared" si="50"/>
        <v>2.5</v>
      </c>
      <c r="AN382" s="4">
        <f t="shared" si="47"/>
        <v>3.7864445285876562E-3</v>
      </c>
      <c r="AO382" s="3"/>
      <c r="AP382">
        <v>0</v>
      </c>
      <c r="AR382" t="s">
        <v>0</v>
      </c>
      <c r="AT382" s="2" t="s">
        <v>16</v>
      </c>
      <c r="AU382" s="1">
        <f t="shared" si="51"/>
        <v>3.2005370906959949</v>
      </c>
      <c r="AV382" s="1">
        <f t="shared" si="52"/>
        <v>2.3942820513139291</v>
      </c>
      <c r="AW382" s="1">
        <f t="shared" si="53"/>
        <v>1.5880270119318636</v>
      </c>
    </row>
    <row r="383" spans="1:49" x14ac:dyDescent="0.2">
      <c r="A383">
        <v>381</v>
      </c>
      <c r="B383" t="s">
        <v>7422</v>
      </c>
      <c r="C383" t="s">
        <v>7421</v>
      </c>
      <c r="F383" t="s">
        <v>7420</v>
      </c>
      <c r="G383" t="s">
        <v>12</v>
      </c>
      <c r="H383" t="s">
        <v>11</v>
      </c>
      <c r="I383" t="s">
        <v>7419</v>
      </c>
      <c r="J383">
        <v>60017161</v>
      </c>
      <c r="K383" t="s">
        <v>2594</v>
      </c>
      <c r="L383" t="s">
        <v>2593</v>
      </c>
      <c r="M383" t="s">
        <v>2592</v>
      </c>
      <c r="N383">
        <v>3</v>
      </c>
      <c r="O383" t="s">
        <v>7418</v>
      </c>
      <c r="P383" t="s">
        <v>7417</v>
      </c>
      <c r="Q383" t="s">
        <v>3543</v>
      </c>
      <c r="R383" s="7">
        <v>33604</v>
      </c>
      <c r="S383" s="8">
        <f t="shared" si="48"/>
        <v>1992</v>
      </c>
      <c r="T383" s="8">
        <v>1992</v>
      </c>
      <c r="U383" s="8">
        <f t="shared" si="49"/>
        <v>30</v>
      </c>
      <c r="V383" s="7" t="s">
        <v>7405</v>
      </c>
      <c r="W383" s="11" t="s">
        <v>2692</v>
      </c>
      <c r="X383" s="2">
        <v>2.383</v>
      </c>
      <c r="Y383" s="6">
        <f t="shared" si="46"/>
        <v>6.3612824003630442E-2</v>
      </c>
      <c r="AA383" t="s">
        <v>2691</v>
      </c>
      <c r="AB383">
        <v>101151</v>
      </c>
      <c r="AD383" t="s">
        <v>4</v>
      </c>
      <c r="AE383">
        <v>139</v>
      </c>
      <c r="AF383">
        <v>6</v>
      </c>
      <c r="AH383" t="s">
        <v>7416</v>
      </c>
      <c r="AI383" t="s">
        <v>7415</v>
      </c>
      <c r="AK383" t="s">
        <v>7414</v>
      </c>
      <c r="AL383">
        <v>5</v>
      </c>
      <c r="AM383" s="5">
        <f t="shared" si="50"/>
        <v>0.16666666666666666</v>
      </c>
      <c r="AN383" s="4">
        <f t="shared" si="47"/>
        <v>2.5242963523917705E-4</v>
      </c>
      <c r="AO383" s="3"/>
      <c r="AP383">
        <v>0</v>
      </c>
      <c r="AR383" t="s">
        <v>0</v>
      </c>
      <c r="AT383" s="2" t="s">
        <v>16</v>
      </c>
      <c r="AU383" s="1">
        <f t="shared" si="51"/>
        <v>4.4604705693113065</v>
      </c>
      <c r="AV383" s="1">
        <f t="shared" si="52"/>
        <v>3.1932626819434811</v>
      </c>
      <c r="AW383" s="1">
        <f t="shared" si="53"/>
        <v>1.9260547945756556</v>
      </c>
    </row>
    <row r="384" spans="1:49" x14ac:dyDescent="0.2">
      <c r="A384">
        <v>382</v>
      </c>
      <c r="B384" t="s">
        <v>7413</v>
      </c>
      <c r="C384" t="s">
        <v>7412</v>
      </c>
      <c r="F384" t="s">
        <v>7411</v>
      </c>
      <c r="G384" t="s">
        <v>12</v>
      </c>
      <c r="H384" t="s">
        <v>11</v>
      </c>
      <c r="I384" t="s">
        <v>7410</v>
      </c>
      <c r="J384">
        <v>60079715</v>
      </c>
      <c r="K384" t="s">
        <v>7409</v>
      </c>
      <c r="L384" t="s">
        <v>6096</v>
      </c>
      <c r="M384" t="s">
        <v>3610</v>
      </c>
      <c r="N384">
        <v>2</v>
      </c>
      <c r="O384" t="s">
        <v>7408</v>
      </c>
      <c r="P384" t="s">
        <v>7407</v>
      </c>
      <c r="Q384" t="s">
        <v>7406</v>
      </c>
      <c r="R384" s="7">
        <v>33604</v>
      </c>
      <c r="S384" s="8">
        <f t="shared" si="48"/>
        <v>1992</v>
      </c>
      <c r="T384" s="8">
        <v>1992</v>
      </c>
      <c r="U384" s="8">
        <f t="shared" si="49"/>
        <v>30</v>
      </c>
      <c r="V384" s="7" t="s">
        <v>7405</v>
      </c>
      <c r="W384" s="11" t="s">
        <v>2692</v>
      </c>
      <c r="X384" s="2">
        <v>2.383</v>
      </c>
      <c r="Y384" s="6">
        <f t="shared" si="46"/>
        <v>6.3612824003630442E-2</v>
      </c>
      <c r="AA384" t="s">
        <v>2691</v>
      </c>
      <c r="AB384">
        <v>101151</v>
      </c>
      <c r="AD384" t="s">
        <v>4</v>
      </c>
      <c r="AE384">
        <v>139</v>
      </c>
      <c r="AF384">
        <v>6</v>
      </c>
      <c r="AH384" t="s">
        <v>7404</v>
      </c>
      <c r="AI384" t="s">
        <v>7403</v>
      </c>
      <c r="AK384" t="s">
        <v>7402</v>
      </c>
      <c r="AL384">
        <v>0</v>
      </c>
      <c r="AM384" s="5">
        <f t="shared" si="50"/>
        <v>0</v>
      </c>
      <c r="AN384" s="4">
        <f t="shared" si="47"/>
        <v>0</v>
      </c>
      <c r="AO384" s="3"/>
      <c r="AP384">
        <v>0</v>
      </c>
      <c r="AR384" t="s">
        <v>0</v>
      </c>
      <c r="AT384" s="2" t="s">
        <v>16</v>
      </c>
      <c r="AU384" s="1">
        <f t="shared" si="51"/>
        <v>4.4528976802541305</v>
      </c>
      <c r="AV384" s="1">
        <f t="shared" si="52"/>
        <v>3.1806412001815221</v>
      </c>
      <c r="AW384" s="1">
        <f t="shared" si="53"/>
        <v>1.9083847201089132</v>
      </c>
    </row>
    <row r="385" spans="1:49" x14ac:dyDescent="0.2">
      <c r="A385">
        <v>383</v>
      </c>
      <c r="B385" t="s">
        <v>7401</v>
      </c>
      <c r="C385" t="s">
        <v>7400</v>
      </c>
      <c r="F385" t="s">
        <v>7399</v>
      </c>
      <c r="G385" t="s">
        <v>12</v>
      </c>
      <c r="H385" t="s">
        <v>11</v>
      </c>
      <c r="I385" t="s">
        <v>535</v>
      </c>
      <c r="J385" t="s">
        <v>7398</v>
      </c>
      <c r="K385" t="s">
        <v>7397</v>
      </c>
      <c r="L385" t="s">
        <v>7396</v>
      </c>
      <c r="M385" t="s">
        <v>7395</v>
      </c>
      <c r="N385">
        <v>4</v>
      </c>
      <c r="O385" t="s">
        <v>7394</v>
      </c>
      <c r="P385" t="s">
        <v>7393</v>
      </c>
      <c r="Q385" t="s">
        <v>7392</v>
      </c>
      <c r="R385" s="7">
        <v>33604</v>
      </c>
      <c r="S385" s="8">
        <f t="shared" si="48"/>
        <v>1992</v>
      </c>
      <c r="T385" s="8">
        <v>1992</v>
      </c>
      <c r="U385" s="8">
        <f t="shared" si="49"/>
        <v>30</v>
      </c>
      <c r="V385" s="7">
        <v>33939</v>
      </c>
      <c r="W385" t="s">
        <v>97</v>
      </c>
      <c r="X385" s="2">
        <v>1.6519999999999999</v>
      </c>
      <c r="Y385" s="6">
        <f t="shared" si="46"/>
        <v>4.409919649769093E-2</v>
      </c>
      <c r="AA385" t="s">
        <v>96</v>
      </c>
      <c r="AB385">
        <v>17337</v>
      </c>
      <c r="AC385">
        <v>15582221</v>
      </c>
      <c r="AD385" t="s">
        <v>4</v>
      </c>
      <c r="AE385">
        <v>40</v>
      </c>
      <c r="AF385">
        <v>12</v>
      </c>
      <c r="AH385" t="s">
        <v>7391</v>
      </c>
      <c r="AI385" t="s">
        <v>7390</v>
      </c>
      <c r="AK385" t="s">
        <v>7389</v>
      </c>
      <c r="AL385">
        <v>100</v>
      </c>
      <c r="AM385" s="5">
        <f t="shared" si="50"/>
        <v>3.3333333333333335</v>
      </c>
      <c r="AN385" s="4">
        <f t="shared" si="47"/>
        <v>5.0485927047835416E-3</v>
      </c>
      <c r="AO385" s="3"/>
      <c r="AP385">
        <v>0</v>
      </c>
      <c r="AR385" t="s">
        <v>0</v>
      </c>
      <c r="AT385" s="2" t="s">
        <v>16</v>
      </c>
      <c r="AU385" s="1">
        <f t="shared" si="51"/>
        <v>3.238401535981871</v>
      </c>
      <c r="AV385" s="1">
        <f t="shared" si="52"/>
        <v>2.4573894601237236</v>
      </c>
      <c r="AW385" s="1">
        <f t="shared" si="53"/>
        <v>1.6763773842655756</v>
      </c>
    </row>
    <row r="386" spans="1:49" x14ac:dyDescent="0.2">
      <c r="A386">
        <v>384</v>
      </c>
      <c r="B386" t="s">
        <v>7388</v>
      </c>
      <c r="C386" t="s">
        <v>7387</v>
      </c>
      <c r="F386" t="s">
        <v>7386</v>
      </c>
      <c r="G386" t="s">
        <v>12</v>
      </c>
      <c r="H386" t="s">
        <v>11</v>
      </c>
      <c r="I386" t="s">
        <v>7385</v>
      </c>
      <c r="J386">
        <v>60025555</v>
      </c>
      <c r="K386" t="s">
        <v>2889</v>
      </c>
      <c r="L386" t="s">
        <v>667</v>
      </c>
      <c r="M386" t="s">
        <v>151</v>
      </c>
      <c r="N386">
        <v>2</v>
      </c>
      <c r="O386" t="s">
        <v>7384</v>
      </c>
      <c r="P386" t="s">
        <v>7383</v>
      </c>
      <c r="Q386" t="s">
        <v>7382</v>
      </c>
      <c r="R386" s="7">
        <v>33604</v>
      </c>
      <c r="S386" s="8">
        <f t="shared" si="48"/>
        <v>1992</v>
      </c>
      <c r="T386" s="8">
        <v>1992</v>
      </c>
      <c r="U386" s="8">
        <f t="shared" si="49"/>
        <v>30</v>
      </c>
      <c r="V386" s="7">
        <v>33909</v>
      </c>
      <c r="W386" t="s">
        <v>599</v>
      </c>
      <c r="X386" s="2">
        <v>0.375</v>
      </c>
      <c r="Y386" s="6">
        <f t="shared" ref="Y386:Y449" si="54">(X386-$Z$4)/($Z$3-$Z$4)</f>
        <v>1.0010410827260351E-2</v>
      </c>
      <c r="AA386">
        <v>135194</v>
      </c>
      <c r="AB386">
        <v>24918</v>
      </c>
      <c r="AD386" t="s">
        <v>4</v>
      </c>
      <c r="AE386">
        <v>28</v>
      </c>
      <c r="AF386">
        <v>24</v>
      </c>
      <c r="AH386" t="s">
        <v>7381</v>
      </c>
      <c r="AI386" t="s">
        <v>7380</v>
      </c>
      <c r="AJ386" t="s">
        <v>7379</v>
      </c>
      <c r="AK386" t="s">
        <v>7378</v>
      </c>
      <c r="AL386">
        <v>1</v>
      </c>
      <c r="AM386" s="5">
        <f t="shared" si="50"/>
        <v>3.3333333333333333E-2</v>
      </c>
      <c r="AN386" s="4">
        <f t="shared" ref="AN386:AN449" si="55">(AM386-$AO$4)/($AO$3-$AO$4)</f>
        <v>5.0485927047835418E-5</v>
      </c>
      <c r="AO386" s="3"/>
      <c r="AP386">
        <v>0</v>
      </c>
      <c r="AR386" t="s">
        <v>0</v>
      </c>
      <c r="AT386" s="2">
        <v>1.3140000000000001</v>
      </c>
      <c r="AU386" s="1">
        <f t="shared" si="51"/>
        <v>0.70224333571965969</v>
      </c>
      <c r="AV386" s="1">
        <f t="shared" si="52"/>
        <v>0.50304483771540931</v>
      </c>
      <c r="AW386" s="1">
        <f t="shared" si="53"/>
        <v>0.30384633971115899</v>
      </c>
    </row>
    <row r="387" spans="1:49" x14ac:dyDescent="0.2">
      <c r="A387">
        <v>385</v>
      </c>
      <c r="B387" t="s">
        <v>7377</v>
      </c>
      <c r="C387" t="s">
        <v>7376</v>
      </c>
      <c r="D387">
        <v>17931092903018</v>
      </c>
      <c r="F387" t="s">
        <v>7375</v>
      </c>
      <c r="G387" t="s">
        <v>12</v>
      </c>
      <c r="H387" t="s">
        <v>11</v>
      </c>
      <c r="I387" t="s">
        <v>7374</v>
      </c>
      <c r="J387">
        <v>60105314</v>
      </c>
      <c r="K387" t="s">
        <v>7373</v>
      </c>
      <c r="L387" t="s">
        <v>461</v>
      </c>
      <c r="M387" t="s">
        <v>460</v>
      </c>
      <c r="N387">
        <v>2</v>
      </c>
      <c r="O387" t="s">
        <v>7372</v>
      </c>
      <c r="P387" t="s">
        <v>7371</v>
      </c>
      <c r="Q387" t="s">
        <v>7370</v>
      </c>
      <c r="R387" s="7">
        <v>33604</v>
      </c>
      <c r="S387" s="8">
        <f t="shared" si="48"/>
        <v>1992</v>
      </c>
      <c r="T387" s="8">
        <v>1992</v>
      </c>
      <c r="U387" s="8">
        <f t="shared" si="49"/>
        <v>30</v>
      </c>
      <c r="V387" s="7">
        <v>33909</v>
      </c>
      <c r="W387" t="s">
        <v>7369</v>
      </c>
      <c r="X387" s="2">
        <v>1.7130000000000001</v>
      </c>
      <c r="Y387" s="6">
        <f t="shared" si="54"/>
        <v>4.5727556658925285E-2</v>
      </c>
      <c r="AA387">
        <v>179310</v>
      </c>
      <c r="AB387">
        <v>20448</v>
      </c>
      <c r="AD387" t="s">
        <v>4</v>
      </c>
      <c r="AE387">
        <v>35</v>
      </c>
      <c r="AF387">
        <v>11</v>
      </c>
      <c r="AH387" t="s">
        <v>7368</v>
      </c>
      <c r="AI387" t="s">
        <v>7367</v>
      </c>
      <c r="AK387" t="s">
        <v>7366</v>
      </c>
      <c r="AL387">
        <v>0</v>
      </c>
      <c r="AM387" s="5">
        <f t="shared" si="50"/>
        <v>0</v>
      </c>
      <c r="AN387" s="4">
        <f t="shared" si="55"/>
        <v>0</v>
      </c>
      <c r="AO387" s="3"/>
      <c r="AP387">
        <v>0</v>
      </c>
      <c r="AR387" t="s">
        <v>0</v>
      </c>
      <c r="AT387" s="2" t="s">
        <v>16</v>
      </c>
      <c r="AU387" s="1">
        <f t="shared" si="51"/>
        <v>3.2009289661247697</v>
      </c>
      <c r="AV387" s="1">
        <f t="shared" si="52"/>
        <v>2.2863778329462643</v>
      </c>
      <c r="AW387" s="1">
        <f t="shared" si="53"/>
        <v>1.3718266997677584</v>
      </c>
    </row>
    <row r="388" spans="1:49" x14ac:dyDescent="0.2">
      <c r="A388">
        <v>386</v>
      </c>
      <c r="B388" t="s">
        <v>7365</v>
      </c>
      <c r="C388" t="s">
        <v>7364</v>
      </c>
      <c r="F388" t="s">
        <v>7363</v>
      </c>
      <c r="G388" t="s">
        <v>12</v>
      </c>
      <c r="H388" t="s">
        <v>11</v>
      </c>
      <c r="I388" t="s">
        <v>7362</v>
      </c>
      <c r="J388" t="s">
        <v>7357</v>
      </c>
      <c r="K388" t="s">
        <v>7361</v>
      </c>
      <c r="L388" t="s">
        <v>7360</v>
      </c>
      <c r="M388" t="s">
        <v>246</v>
      </c>
      <c r="N388">
        <v>2</v>
      </c>
      <c r="O388" t="s">
        <v>7359</v>
      </c>
      <c r="P388" t="s">
        <v>7358</v>
      </c>
      <c r="Q388" t="s">
        <v>7357</v>
      </c>
      <c r="R388" s="7">
        <v>33604</v>
      </c>
      <c r="S388" s="8">
        <f t="shared" si="48"/>
        <v>1992</v>
      </c>
      <c r="T388" s="8">
        <v>1992</v>
      </c>
      <c r="U388" s="8">
        <f t="shared" si="49"/>
        <v>30</v>
      </c>
      <c r="V388" s="7">
        <v>33909</v>
      </c>
      <c r="W388" t="s">
        <v>1458</v>
      </c>
      <c r="X388" s="2">
        <v>0.30399999999999999</v>
      </c>
      <c r="Y388" s="6">
        <f t="shared" si="54"/>
        <v>8.115106377299057E-3</v>
      </c>
      <c r="AA388">
        <v>8952477</v>
      </c>
      <c r="AB388">
        <v>12250</v>
      </c>
      <c r="AC388">
        <v>10982760</v>
      </c>
      <c r="AD388" t="s">
        <v>4</v>
      </c>
      <c r="AE388">
        <v>5</v>
      </c>
      <c r="AF388">
        <v>12</v>
      </c>
      <c r="AH388" t="s">
        <v>7356</v>
      </c>
      <c r="AI388" t="s">
        <v>7355</v>
      </c>
      <c r="AJ388" t="s">
        <v>7354</v>
      </c>
      <c r="AK388" t="s">
        <v>7353</v>
      </c>
      <c r="AL388">
        <v>1</v>
      </c>
      <c r="AM388" s="5">
        <f t="shared" si="50"/>
        <v>3.3333333333333333E-2</v>
      </c>
      <c r="AN388" s="4">
        <f t="shared" si="55"/>
        <v>5.0485927047835418E-5</v>
      </c>
      <c r="AO388" s="3"/>
      <c r="AP388">
        <v>0</v>
      </c>
      <c r="AR388" t="s">
        <v>0</v>
      </c>
      <c r="AT388" s="2" t="s">
        <v>16</v>
      </c>
      <c r="AU388" s="1">
        <f t="shared" si="51"/>
        <v>0.56957202422236908</v>
      </c>
      <c r="AV388" s="1">
        <f t="shared" si="52"/>
        <v>0.40827961521734463</v>
      </c>
      <c r="AW388" s="1">
        <f t="shared" si="53"/>
        <v>0.2469872062123202</v>
      </c>
    </row>
    <row r="389" spans="1:49" x14ac:dyDescent="0.2">
      <c r="A389">
        <v>387</v>
      </c>
      <c r="B389" t="s">
        <v>7352</v>
      </c>
      <c r="C389" t="s">
        <v>7351</v>
      </c>
      <c r="F389" t="s">
        <v>7350</v>
      </c>
      <c r="G389" t="s">
        <v>12</v>
      </c>
      <c r="H389" t="s">
        <v>11</v>
      </c>
      <c r="I389" t="s">
        <v>7349</v>
      </c>
      <c r="J389">
        <v>60020547</v>
      </c>
      <c r="K389" t="s">
        <v>4980</v>
      </c>
      <c r="L389" t="s">
        <v>4979</v>
      </c>
      <c r="M389" t="s">
        <v>7</v>
      </c>
      <c r="N389">
        <v>3</v>
      </c>
      <c r="O389" t="s">
        <v>7348</v>
      </c>
      <c r="P389" t="s">
        <v>7347</v>
      </c>
      <c r="Q389" t="s">
        <v>5366</v>
      </c>
      <c r="R389" s="7">
        <v>33604</v>
      </c>
      <c r="S389" s="8">
        <f t="shared" si="48"/>
        <v>1992</v>
      </c>
      <c r="T389" s="8">
        <v>1992</v>
      </c>
      <c r="U389" s="8">
        <f t="shared" si="49"/>
        <v>30</v>
      </c>
      <c r="V389" s="7">
        <v>33909</v>
      </c>
      <c r="W389" t="s">
        <v>599</v>
      </c>
      <c r="X389" s="2">
        <v>0.375</v>
      </c>
      <c r="Y389" s="6">
        <f t="shared" si="54"/>
        <v>1.0010410827260351E-2</v>
      </c>
      <c r="AA389">
        <v>135194</v>
      </c>
      <c r="AB389">
        <v>24918</v>
      </c>
      <c r="AD389" t="s">
        <v>4</v>
      </c>
      <c r="AE389">
        <v>28</v>
      </c>
      <c r="AF389">
        <v>24</v>
      </c>
      <c r="AH389" t="s">
        <v>7346</v>
      </c>
      <c r="AI389" t="s">
        <v>7345</v>
      </c>
      <c r="AJ389" t="s">
        <v>7344</v>
      </c>
      <c r="AK389" t="s">
        <v>7343</v>
      </c>
      <c r="AL389">
        <v>6</v>
      </c>
      <c r="AM389" s="5">
        <f t="shared" si="50"/>
        <v>0.2</v>
      </c>
      <c r="AN389" s="4">
        <f t="shared" si="55"/>
        <v>3.0291556228701253E-4</v>
      </c>
      <c r="AO389" s="3"/>
      <c r="AP389">
        <v>0</v>
      </c>
      <c r="AR389" t="s">
        <v>0</v>
      </c>
      <c r="AT389" s="2">
        <v>1.3140000000000001</v>
      </c>
      <c r="AU389" s="1">
        <f t="shared" si="51"/>
        <v>0.70981622477683493</v>
      </c>
      <c r="AV389" s="1">
        <f t="shared" si="52"/>
        <v>0.51566631947736818</v>
      </c>
      <c r="AW389" s="1">
        <f t="shared" si="53"/>
        <v>0.32151641417790139</v>
      </c>
    </row>
    <row r="390" spans="1:49" x14ac:dyDescent="0.2">
      <c r="A390">
        <v>388</v>
      </c>
      <c r="B390" t="s">
        <v>7342</v>
      </c>
      <c r="C390" t="s">
        <v>7341</v>
      </c>
      <c r="E390">
        <v>1460634</v>
      </c>
      <c r="F390" t="s">
        <v>7340</v>
      </c>
      <c r="G390" t="s">
        <v>12</v>
      </c>
      <c r="H390" t="s">
        <v>11</v>
      </c>
      <c r="I390" t="s">
        <v>7339</v>
      </c>
      <c r="J390">
        <v>60020585</v>
      </c>
      <c r="K390" t="s">
        <v>7338</v>
      </c>
      <c r="L390" t="s">
        <v>7337</v>
      </c>
      <c r="M390" t="s">
        <v>7336</v>
      </c>
      <c r="N390">
        <v>1</v>
      </c>
      <c r="O390" t="s">
        <v>7335</v>
      </c>
      <c r="P390">
        <v>7004256819</v>
      </c>
      <c r="Q390">
        <v>60020585</v>
      </c>
      <c r="R390" s="7">
        <v>33604</v>
      </c>
      <c r="S390" s="8">
        <f t="shared" si="48"/>
        <v>1992</v>
      </c>
      <c r="T390" s="8">
        <v>1992</v>
      </c>
      <c r="U390" s="8">
        <f t="shared" si="49"/>
        <v>30</v>
      </c>
      <c r="V390" s="7">
        <v>33909</v>
      </c>
      <c r="W390" t="s">
        <v>5298</v>
      </c>
      <c r="X390" s="2" t="s">
        <v>16</v>
      </c>
      <c r="Y390" s="6" t="e">
        <f t="shared" si="54"/>
        <v>#VALUE!</v>
      </c>
      <c r="AA390">
        <v>222585</v>
      </c>
      <c r="AB390">
        <v>20491</v>
      </c>
      <c r="AD390" t="s">
        <v>4</v>
      </c>
      <c r="AE390">
        <v>29</v>
      </c>
      <c r="AF390">
        <v>6</v>
      </c>
      <c r="AH390" t="s">
        <v>7334</v>
      </c>
      <c r="AI390" t="s">
        <v>7333</v>
      </c>
      <c r="AK390" t="s">
        <v>7332</v>
      </c>
      <c r="AL390">
        <v>10</v>
      </c>
      <c r="AM390" s="5">
        <f t="shared" si="50"/>
        <v>0.33333333333333331</v>
      </c>
      <c r="AN390" s="4">
        <f t="shared" si="55"/>
        <v>5.048592704783541E-4</v>
      </c>
      <c r="AO390" s="3"/>
      <c r="AP390">
        <v>0</v>
      </c>
      <c r="AR390" t="s">
        <v>0</v>
      </c>
      <c r="AT390" s="2">
        <v>2.278</v>
      </c>
      <c r="AU390" s="1" t="e">
        <f t="shared" si="51"/>
        <v>#VALUE!</v>
      </c>
      <c r="AV390" s="1" t="e">
        <f t="shared" si="52"/>
        <v>#VALUE!</v>
      </c>
      <c r="AW390" s="1" t="e">
        <f t="shared" si="53"/>
        <v>#VALUE!</v>
      </c>
    </row>
    <row r="391" spans="1:49" x14ac:dyDescent="0.2">
      <c r="A391">
        <v>389</v>
      </c>
      <c r="B391" t="s">
        <v>7331</v>
      </c>
      <c r="C391" t="s">
        <v>7330</v>
      </c>
      <c r="F391" t="s">
        <v>7329</v>
      </c>
      <c r="G391" t="s">
        <v>12</v>
      </c>
      <c r="H391" t="s">
        <v>11</v>
      </c>
      <c r="I391" t="s">
        <v>7328</v>
      </c>
      <c r="J391" t="s">
        <v>7327</v>
      </c>
      <c r="K391" t="s">
        <v>7326</v>
      </c>
      <c r="L391" t="s">
        <v>7325</v>
      </c>
      <c r="M391" t="s">
        <v>125</v>
      </c>
      <c r="N391">
        <v>3</v>
      </c>
      <c r="O391" t="s">
        <v>7324</v>
      </c>
      <c r="P391" t="s">
        <v>7323</v>
      </c>
      <c r="Q391" t="s">
        <v>7322</v>
      </c>
      <c r="R391" s="7">
        <v>33604</v>
      </c>
      <c r="S391" s="8">
        <f t="shared" si="48"/>
        <v>1992</v>
      </c>
      <c r="T391" s="8">
        <v>1992</v>
      </c>
      <c r="U391" s="8">
        <f t="shared" si="49"/>
        <v>30</v>
      </c>
      <c r="V391" s="7">
        <v>33909</v>
      </c>
      <c r="W391" t="s">
        <v>529</v>
      </c>
      <c r="X391" s="2">
        <v>0.65500000000000003</v>
      </c>
      <c r="Y391" s="6">
        <f t="shared" si="54"/>
        <v>1.7484850911614749E-2</v>
      </c>
      <c r="AA391">
        <v>189375</v>
      </c>
      <c r="AB391">
        <v>26051</v>
      </c>
      <c r="AC391" t="s">
        <v>528</v>
      </c>
      <c r="AD391" t="s">
        <v>4</v>
      </c>
      <c r="AE391">
        <v>34</v>
      </c>
      <c r="AF391">
        <v>4</v>
      </c>
      <c r="AH391" t="s">
        <v>7321</v>
      </c>
      <c r="AI391" t="s">
        <v>7320</v>
      </c>
      <c r="AK391" t="s">
        <v>7319</v>
      </c>
      <c r="AL391">
        <v>7</v>
      </c>
      <c r="AM391" s="5">
        <f t="shared" si="50"/>
        <v>0.23333333333333334</v>
      </c>
      <c r="AN391" s="4">
        <f t="shared" si="55"/>
        <v>3.5340148933484791E-4</v>
      </c>
      <c r="AO391" s="3"/>
      <c r="AP391">
        <v>0</v>
      </c>
      <c r="AR391" t="s">
        <v>0</v>
      </c>
      <c r="AT391" s="2" t="s">
        <v>16</v>
      </c>
      <c r="AU391" s="1">
        <f t="shared" si="51"/>
        <v>1.2345416084930778</v>
      </c>
      <c r="AV391" s="1">
        <f t="shared" si="52"/>
        <v>0.89191262004747973</v>
      </c>
      <c r="AW391" s="1">
        <f t="shared" si="53"/>
        <v>0.54928363160188176</v>
      </c>
    </row>
    <row r="392" spans="1:49" x14ac:dyDescent="0.2">
      <c r="A392">
        <v>390</v>
      </c>
      <c r="B392" t="s">
        <v>7318</v>
      </c>
      <c r="C392" t="s">
        <v>7317</v>
      </c>
      <c r="F392" t="s">
        <v>7316</v>
      </c>
      <c r="G392" t="s">
        <v>12</v>
      </c>
      <c r="H392" t="s">
        <v>11</v>
      </c>
      <c r="I392" t="s">
        <v>7315</v>
      </c>
      <c r="J392">
        <v>60003480</v>
      </c>
      <c r="K392" t="s">
        <v>7314</v>
      </c>
      <c r="L392" t="s">
        <v>6766</v>
      </c>
      <c r="M392" t="s">
        <v>2620</v>
      </c>
      <c r="N392">
        <v>1</v>
      </c>
      <c r="O392" t="s">
        <v>7313</v>
      </c>
      <c r="P392">
        <v>35561247100</v>
      </c>
      <c r="Q392">
        <v>60003480</v>
      </c>
      <c r="R392" s="7">
        <v>33604</v>
      </c>
      <c r="S392" s="8">
        <f t="shared" si="48"/>
        <v>1992</v>
      </c>
      <c r="T392" s="8">
        <v>1992</v>
      </c>
      <c r="U392" s="8">
        <f t="shared" si="49"/>
        <v>30</v>
      </c>
      <c r="V392" s="7">
        <v>33909</v>
      </c>
      <c r="W392" t="s">
        <v>2743</v>
      </c>
      <c r="X392" s="2">
        <v>1.6379999999999999</v>
      </c>
      <c r="Y392" s="6">
        <f t="shared" si="54"/>
        <v>4.3725474493473214E-2</v>
      </c>
      <c r="AA392" t="s">
        <v>2742</v>
      </c>
      <c r="AB392">
        <v>17391</v>
      </c>
      <c r="AC392">
        <v>19410476</v>
      </c>
      <c r="AD392" t="s">
        <v>4</v>
      </c>
      <c r="AE392">
        <v>40</v>
      </c>
      <c r="AF392">
        <v>11</v>
      </c>
      <c r="AH392" t="s">
        <v>7312</v>
      </c>
      <c r="AI392" t="s">
        <v>7311</v>
      </c>
      <c r="AK392" t="s">
        <v>7310</v>
      </c>
      <c r="AL392">
        <v>0</v>
      </c>
      <c r="AM392" s="5">
        <f t="shared" si="50"/>
        <v>0</v>
      </c>
      <c r="AN392" s="4">
        <f t="shared" si="55"/>
        <v>0</v>
      </c>
      <c r="AO392" s="3"/>
      <c r="AP392">
        <v>0</v>
      </c>
      <c r="AR392" t="s">
        <v>0</v>
      </c>
      <c r="AT392" s="2">
        <v>4.931</v>
      </c>
      <c r="AU392" s="1">
        <f t="shared" si="51"/>
        <v>3.0607832145431249</v>
      </c>
      <c r="AV392" s="1">
        <f t="shared" si="52"/>
        <v>2.1862737246736605</v>
      </c>
      <c r="AW392" s="1">
        <f t="shared" si="53"/>
        <v>1.3117642348041965</v>
      </c>
    </row>
    <row r="393" spans="1:49" x14ac:dyDescent="0.2">
      <c r="A393">
        <v>391</v>
      </c>
      <c r="B393" t="s">
        <v>7309</v>
      </c>
      <c r="C393" t="s">
        <v>7308</v>
      </c>
      <c r="F393" t="s">
        <v>7307</v>
      </c>
      <c r="G393" t="s">
        <v>12</v>
      </c>
      <c r="H393" t="s">
        <v>11</v>
      </c>
      <c r="I393" t="s">
        <v>7306</v>
      </c>
      <c r="J393">
        <v>60029378</v>
      </c>
      <c r="K393" t="s">
        <v>7305</v>
      </c>
      <c r="L393" t="s">
        <v>7304</v>
      </c>
      <c r="M393" t="s">
        <v>7</v>
      </c>
      <c r="N393">
        <v>1</v>
      </c>
      <c r="O393" t="s">
        <v>7303</v>
      </c>
      <c r="P393">
        <v>57219918924</v>
      </c>
      <c r="Q393">
        <v>60029378</v>
      </c>
      <c r="R393" s="7">
        <v>33604</v>
      </c>
      <c r="S393" s="8">
        <f t="shared" si="48"/>
        <v>1992</v>
      </c>
      <c r="T393" s="8">
        <v>1992</v>
      </c>
      <c r="U393" s="8">
        <f t="shared" si="49"/>
        <v>30</v>
      </c>
      <c r="V393" s="7">
        <v>33909</v>
      </c>
      <c r="W393" t="s">
        <v>7302</v>
      </c>
      <c r="X393" s="2">
        <v>0.73</v>
      </c>
      <c r="Y393" s="6">
        <f t="shared" si="54"/>
        <v>1.9486933077066816E-2</v>
      </c>
      <c r="AA393">
        <v>8906327</v>
      </c>
      <c r="AB393">
        <v>17960</v>
      </c>
      <c r="AC393">
        <v>10991115</v>
      </c>
      <c r="AD393" t="s">
        <v>4</v>
      </c>
      <c r="AE393">
        <v>6</v>
      </c>
      <c r="AF393">
        <v>6</v>
      </c>
      <c r="AH393" t="s">
        <v>7301</v>
      </c>
      <c r="AI393" t="s">
        <v>7300</v>
      </c>
      <c r="AJ393" t="s">
        <v>7299</v>
      </c>
      <c r="AK393" t="s">
        <v>7298</v>
      </c>
      <c r="AL393">
        <v>0</v>
      </c>
      <c r="AM393" s="5">
        <f t="shared" si="50"/>
        <v>0</v>
      </c>
      <c r="AN393" s="4">
        <f t="shared" si="55"/>
        <v>0</v>
      </c>
      <c r="AO393" s="3"/>
      <c r="AP393">
        <v>0</v>
      </c>
      <c r="AR393" t="s">
        <v>0</v>
      </c>
      <c r="AT393" s="2">
        <v>3.637</v>
      </c>
      <c r="AU393" s="1">
        <f t="shared" si="51"/>
        <v>1.364085315394677</v>
      </c>
      <c r="AV393" s="1">
        <f t="shared" si="52"/>
        <v>0.97434665385334085</v>
      </c>
      <c r="AW393" s="1">
        <f t="shared" si="53"/>
        <v>0.58460799231200444</v>
      </c>
    </row>
    <row r="394" spans="1:49" x14ac:dyDescent="0.2">
      <c r="A394">
        <v>392</v>
      </c>
      <c r="B394" t="s">
        <v>7297</v>
      </c>
      <c r="C394" t="s">
        <v>7296</v>
      </c>
      <c r="F394" t="s">
        <v>7295</v>
      </c>
      <c r="G394" t="s">
        <v>12</v>
      </c>
      <c r="H394" t="s">
        <v>11</v>
      </c>
      <c r="I394" t="s">
        <v>7294</v>
      </c>
      <c r="J394">
        <v>60007843</v>
      </c>
      <c r="K394" t="s">
        <v>5417</v>
      </c>
      <c r="L394" t="s">
        <v>182</v>
      </c>
      <c r="M394" t="s">
        <v>7</v>
      </c>
      <c r="N394">
        <v>2</v>
      </c>
      <c r="O394" t="s">
        <v>7293</v>
      </c>
      <c r="P394" t="s">
        <v>7292</v>
      </c>
      <c r="Q394" t="s">
        <v>5414</v>
      </c>
      <c r="R394" s="7">
        <v>33604</v>
      </c>
      <c r="S394" s="8">
        <f t="shared" si="48"/>
        <v>1992</v>
      </c>
      <c r="T394" s="8">
        <v>1992</v>
      </c>
      <c r="U394" s="8">
        <f t="shared" si="49"/>
        <v>30</v>
      </c>
      <c r="V394" s="7">
        <v>33909</v>
      </c>
      <c r="W394" t="s">
        <v>97</v>
      </c>
      <c r="X394" s="2">
        <v>1.6519999999999999</v>
      </c>
      <c r="Y394" s="6">
        <f t="shared" si="54"/>
        <v>4.409919649769093E-2</v>
      </c>
      <c r="AA394" t="s">
        <v>96</v>
      </c>
      <c r="AB394">
        <v>17337</v>
      </c>
      <c r="AC394">
        <v>15582221</v>
      </c>
      <c r="AD394" t="s">
        <v>4</v>
      </c>
      <c r="AE394">
        <v>40</v>
      </c>
      <c r="AF394">
        <v>11</v>
      </c>
      <c r="AH394" t="s">
        <v>7291</v>
      </c>
      <c r="AI394" t="s">
        <v>7290</v>
      </c>
      <c r="AK394" t="s">
        <v>7289</v>
      </c>
      <c r="AL394">
        <v>9</v>
      </c>
      <c r="AM394" s="5">
        <f t="shared" si="50"/>
        <v>0.3</v>
      </c>
      <c r="AN394" s="4">
        <f t="shared" si="55"/>
        <v>4.5437334343051872E-4</v>
      </c>
      <c r="AO394" s="3"/>
      <c r="AP394">
        <v>0</v>
      </c>
      <c r="AR394" t="s">
        <v>0</v>
      </c>
      <c r="AT394" s="2" t="s">
        <v>16</v>
      </c>
      <c r="AU394" s="1">
        <f t="shared" si="51"/>
        <v>3.1005749551412807</v>
      </c>
      <c r="AV394" s="1">
        <f t="shared" si="52"/>
        <v>2.2276784920560724</v>
      </c>
      <c r="AW394" s="1">
        <f t="shared" si="53"/>
        <v>1.3547820289708641</v>
      </c>
    </row>
    <row r="395" spans="1:49" x14ac:dyDescent="0.2">
      <c r="A395">
        <v>393</v>
      </c>
      <c r="B395" t="s">
        <v>7288</v>
      </c>
      <c r="C395" t="s">
        <v>7287</v>
      </c>
      <c r="F395" t="s">
        <v>7286</v>
      </c>
      <c r="G395" t="s">
        <v>12</v>
      </c>
      <c r="H395" t="s">
        <v>11</v>
      </c>
      <c r="I395" t="s">
        <v>7285</v>
      </c>
      <c r="N395">
        <v>3</v>
      </c>
      <c r="O395" t="s">
        <v>7284</v>
      </c>
      <c r="P395" t="s">
        <v>7283</v>
      </c>
      <c r="Q395" t="s">
        <v>1191</v>
      </c>
      <c r="R395" s="7">
        <v>33604</v>
      </c>
      <c r="S395" s="8">
        <f t="shared" si="48"/>
        <v>1992</v>
      </c>
      <c r="T395" s="8">
        <v>1992</v>
      </c>
      <c r="U395" s="8">
        <f t="shared" si="49"/>
        <v>30</v>
      </c>
      <c r="V395" s="7" t="s">
        <v>6975</v>
      </c>
      <c r="W395" t="s">
        <v>1367</v>
      </c>
      <c r="X395" s="2">
        <v>0.371</v>
      </c>
      <c r="Y395" s="6">
        <f t="shared" si="54"/>
        <v>9.9036331117695747E-3</v>
      </c>
      <c r="AA395">
        <v>486604</v>
      </c>
      <c r="AB395">
        <v>28580</v>
      </c>
      <c r="AC395" t="s">
        <v>1366</v>
      </c>
      <c r="AD395" t="s">
        <v>4</v>
      </c>
      <c r="AE395">
        <v>27</v>
      </c>
      <c r="AF395">
        <v>6</v>
      </c>
      <c r="AH395" t="s">
        <v>7282</v>
      </c>
      <c r="AI395" t="s">
        <v>7281</v>
      </c>
      <c r="AK395" t="s">
        <v>7280</v>
      </c>
      <c r="AL395">
        <v>2</v>
      </c>
      <c r="AM395" s="5">
        <f t="shared" si="50"/>
        <v>6.6666666666666666E-2</v>
      </c>
      <c r="AN395" s="4">
        <f t="shared" si="55"/>
        <v>1.0097185409567084E-4</v>
      </c>
      <c r="AO395" s="3"/>
      <c r="AP395">
        <v>0</v>
      </c>
      <c r="AR395" t="s">
        <v>0</v>
      </c>
      <c r="AT395" s="2">
        <v>1.431</v>
      </c>
      <c r="AU395" s="1">
        <f t="shared" si="51"/>
        <v>0.69628347344674024</v>
      </c>
      <c r="AV395" s="1">
        <f t="shared" si="52"/>
        <v>0.50023024829326224</v>
      </c>
      <c r="AW395" s="1">
        <f t="shared" si="53"/>
        <v>0.30417702313978418</v>
      </c>
    </row>
    <row r="396" spans="1:49" x14ac:dyDescent="0.2">
      <c r="A396">
        <v>394</v>
      </c>
      <c r="B396" t="s">
        <v>7279</v>
      </c>
      <c r="C396" t="s">
        <v>7278</v>
      </c>
      <c r="F396" t="s">
        <v>7277</v>
      </c>
      <c r="G396" t="s">
        <v>12</v>
      </c>
      <c r="H396" t="s">
        <v>11</v>
      </c>
      <c r="I396" t="s">
        <v>7276</v>
      </c>
      <c r="J396" t="s">
        <v>7271</v>
      </c>
      <c r="K396" t="s">
        <v>7275</v>
      </c>
      <c r="L396" t="s">
        <v>7274</v>
      </c>
      <c r="M396" t="s">
        <v>125</v>
      </c>
      <c r="N396">
        <v>2</v>
      </c>
      <c r="O396" t="s">
        <v>7273</v>
      </c>
      <c r="P396" t="s">
        <v>7272</v>
      </c>
      <c r="Q396" t="s">
        <v>7271</v>
      </c>
      <c r="R396" s="7">
        <v>33604</v>
      </c>
      <c r="S396" s="8">
        <f t="shared" si="48"/>
        <v>1992</v>
      </c>
      <c r="T396" s="8">
        <v>1992</v>
      </c>
      <c r="U396" s="8">
        <f t="shared" si="49"/>
        <v>30</v>
      </c>
      <c r="V396" s="7">
        <v>33909</v>
      </c>
      <c r="W396" t="s">
        <v>97</v>
      </c>
      <c r="X396" s="2">
        <v>1.6519999999999999</v>
      </c>
      <c r="Y396" s="6">
        <f t="shared" si="54"/>
        <v>4.409919649769093E-2</v>
      </c>
      <c r="AA396" t="s">
        <v>96</v>
      </c>
      <c r="AB396">
        <v>17337</v>
      </c>
      <c r="AC396">
        <v>15582221</v>
      </c>
      <c r="AD396" t="s">
        <v>4</v>
      </c>
      <c r="AE396">
        <v>40</v>
      </c>
      <c r="AF396">
        <v>11</v>
      </c>
      <c r="AH396" t="s">
        <v>7270</v>
      </c>
      <c r="AI396" t="s">
        <v>7269</v>
      </c>
      <c r="AK396" t="s">
        <v>7268</v>
      </c>
      <c r="AL396">
        <v>9</v>
      </c>
      <c r="AM396" s="5">
        <f t="shared" si="50"/>
        <v>0.3</v>
      </c>
      <c r="AN396" s="4">
        <f t="shared" si="55"/>
        <v>4.5437334343051872E-4</v>
      </c>
      <c r="AO396" s="3"/>
      <c r="AP396">
        <v>0</v>
      </c>
      <c r="AR396" t="s">
        <v>0</v>
      </c>
      <c r="AT396" s="2" t="s">
        <v>16</v>
      </c>
      <c r="AU396" s="1">
        <f t="shared" si="51"/>
        <v>3.1005749551412807</v>
      </c>
      <c r="AV396" s="1">
        <f t="shared" si="52"/>
        <v>2.2276784920560724</v>
      </c>
      <c r="AW396" s="1">
        <f t="shared" si="53"/>
        <v>1.3547820289708641</v>
      </c>
    </row>
    <row r="397" spans="1:49" x14ac:dyDescent="0.2">
      <c r="A397">
        <v>395</v>
      </c>
      <c r="B397" t="s">
        <v>7267</v>
      </c>
      <c r="C397" t="s">
        <v>7266</v>
      </c>
      <c r="F397" t="s">
        <v>7265</v>
      </c>
      <c r="G397" t="s">
        <v>12</v>
      </c>
      <c r="H397" t="s">
        <v>11</v>
      </c>
      <c r="I397" t="s">
        <v>7264</v>
      </c>
      <c r="J397" t="s">
        <v>7263</v>
      </c>
      <c r="K397" t="s">
        <v>7262</v>
      </c>
      <c r="L397" t="s">
        <v>3210</v>
      </c>
      <c r="M397" t="s">
        <v>931</v>
      </c>
      <c r="N397">
        <v>2</v>
      </c>
      <c r="O397" t="s">
        <v>7261</v>
      </c>
      <c r="P397" t="s">
        <v>7260</v>
      </c>
      <c r="Q397" t="s">
        <v>7259</v>
      </c>
      <c r="R397" s="7">
        <v>33604</v>
      </c>
      <c r="S397" s="8">
        <f t="shared" si="48"/>
        <v>1992</v>
      </c>
      <c r="T397" s="8">
        <v>1992</v>
      </c>
      <c r="U397" s="8">
        <f t="shared" si="49"/>
        <v>30</v>
      </c>
      <c r="V397" s="7" t="s">
        <v>6975</v>
      </c>
      <c r="W397" t="s">
        <v>1330</v>
      </c>
      <c r="X397" s="2">
        <v>0.75800000000000001</v>
      </c>
      <c r="Y397" s="6">
        <f t="shared" si="54"/>
        <v>2.0234377085502256E-2</v>
      </c>
      <c r="AA397">
        <v>224650</v>
      </c>
      <c r="AB397">
        <v>29589</v>
      </c>
      <c r="AD397" t="s">
        <v>4</v>
      </c>
      <c r="AE397">
        <v>29</v>
      </c>
      <c r="AF397">
        <v>6</v>
      </c>
      <c r="AH397" t="s">
        <v>7258</v>
      </c>
      <c r="AI397" t="s">
        <v>7257</v>
      </c>
      <c r="AK397" t="s">
        <v>7256</v>
      </c>
      <c r="AL397">
        <v>14</v>
      </c>
      <c r="AM397" s="5">
        <f t="shared" si="50"/>
        <v>0.46666666666666667</v>
      </c>
      <c r="AN397" s="4">
        <f t="shared" si="55"/>
        <v>7.0680297866969582E-4</v>
      </c>
      <c r="AO397" s="3"/>
      <c r="AP397">
        <v>0</v>
      </c>
      <c r="AR397" t="s">
        <v>0</v>
      </c>
      <c r="AT397" s="2">
        <v>1.282</v>
      </c>
      <c r="AU397" s="1">
        <f t="shared" si="51"/>
        <v>1.4376104853452487</v>
      </c>
      <c r="AV397" s="1">
        <f t="shared" si="52"/>
        <v>1.0470590032085976</v>
      </c>
      <c r="AW397" s="1">
        <f t="shared" si="53"/>
        <v>0.65650752107194632</v>
      </c>
    </row>
    <row r="398" spans="1:49" x14ac:dyDescent="0.2">
      <c r="A398">
        <v>396</v>
      </c>
      <c r="B398" t="s">
        <v>7255</v>
      </c>
      <c r="C398" t="s">
        <v>7254</v>
      </c>
      <c r="F398" t="s">
        <v>7253</v>
      </c>
      <c r="G398" t="s">
        <v>12</v>
      </c>
      <c r="H398" t="s">
        <v>11</v>
      </c>
      <c r="I398" t="s">
        <v>7252</v>
      </c>
      <c r="J398" t="s">
        <v>7251</v>
      </c>
      <c r="K398" t="s">
        <v>7250</v>
      </c>
      <c r="L398" t="s">
        <v>7249</v>
      </c>
      <c r="M398" t="s">
        <v>125</v>
      </c>
      <c r="N398">
        <v>8</v>
      </c>
      <c r="O398" t="s">
        <v>7248</v>
      </c>
      <c r="P398" t="s">
        <v>7247</v>
      </c>
      <c r="Q398" t="s">
        <v>7246</v>
      </c>
      <c r="R398" s="7">
        <v>33604</v>
      </c>
      <c r="S398" s="8">
        <f t="shared" si="48"/>
        <v>1992</v>
      </c>
      <c r="T398" s="8">
        <v>1992</v>
      </c>
      <c r="U398" s="8">
        <f t="shared" si="49"/>
        <v>30</v>
      </c>
      <c r="V398" s="7">
        <v>33909</v>
      </c>
      <c r="W398" t="s">
        <v>136</v>
      </c>
      <c r="X398" s="2">
        <v>1.3720000000000001</v>
      </c>
      <c r="Y398" s="6">
        <f t="shared" si="54"/>
        <v>3.662475641333654E-2</v>
      </c>
      <c r="AA398">
        <v>189480</v>
      </c>
      <c r="AB398">
        <v>17366</v>
      </c>
      <c r="AC398">
        <v>15579670</v>
      </c>
      <c r="AD398" t="s">
        <v>4</v>
      </c>
      <c r="AE398">
        <v>40</v>
      </c>
      <c r="AF398">
        <v>11</v>
      </c>
      <c r="AH398" t="s">
        <v>7245</v>
      </c>
      <c r="AI398" t="s">
        <v>7244</v>
      </c>
      <c r="AK398" t="s">
        <v>7243</v>
      </c>
      <c r="AL398">
        <v>59</v>
      </c>
      <c r="AM398" s="5">
        <f t="shared" si="50"/>
        <v>1.9666666666666666</v>
      </c>
      <c r="AN398" s="4">
        <f t="shared" si="55"/>
        <v>2.9786696958222893E-3</v>
      </c>
      <c r="AO398" s="3"/>
      <c r="AP398">
        <v>0</v>
      </c>
      <c r="AQ398" t="s">
        <v>1971</v>
      </c>
      <c r="AR398" t="s">
        <v>0</v>
      </c>
      <c r="AS398" t="s">
        <v>1970</v>
      </c>
      <c r="AT398" s="2" t="s">
        <v>16</v>
      </c>
      <c r="AU398" s="1">
        <f t="shared" si="51"/>
        <v>2.6530930398082262</v>
      </c>
      <c r="AV398" s="1">
        <f t="shared" si="52"/>
        <v>1.9801713054579415</v>
      </c>
      <c r="AW398" s="1">
        <f t="shared" si="53"/>
        <v>1.3072495711076566</v>
      </c>
    </row>
    <row r="399" spans="1:49" x14ac:dyDescent="0.2">
      <c r="A399">
        <v>397</v>
      </c>
      <c r="B399" t="s">
        <v>7242</v>
      </c>
      <c r="C399" t="s">
        <v>7241</v>
      </c>
      <c r="F399" t="s">
        <v>7240</v>
      </c>
      <c r="G399" t="s">
        <v>12</v>
      </c>
      <c r="H399" t="s">
        <v>11</v>
      </c>
      <c r="I399" t="s">
        <v>7239</v>
      </c>
      <c r="J399" t="s">
        <v>7238</v>
      </c>
      <c r="K399" t="s">
        <v>7237</v>
      </c>
      <c r="L399" t="s">
        <v>7236</v>
      </c>
      <c r="M399" t="s">
        <v>1462</v>
      </c>
      <c r="N399">
        <v>3</v>
      </c>
      <c r="O399" t="s">
        <v>7235</v>
      </c>
      <c r="P399" t="s">
        <v>7234</v>
      </c>
      <c r="Q399" t="s">
        <v>7233</v>
      </c>
      <c r="R399" s="7">
        <v>33604</v>
      </c>
      <c r="S399" s="8">
        <f t="shared" si="48"/>
        <v>1992</v>
      </c>
      <c r="T399" s="8">
        <v>1992</v>
      </c>
      <c r="U399" s="8">
        <f t="shared" si="49"/>
        <v>30</v>
      </c>
      <c r="V399" s="7">
        <v>33909</v>
      </c>
      <c r="W399" t="s">
        <v>97</v>
      </c>
      <c r="X399" s="2">
        <v>1.6519999999999999</v>
      </c>
      <c r="Y399" s="6">
        <f t="shared" si="54"/>
        <v>4.409919649769093E-2</v>
      </c>
      <c r="AA399" t="s">
        <v>96</v>
      </c>
      <c r="AB399">
        <v>17337</v>
      </c>
      <c r="AC399">
        <v>15582221</v>
      </c>
      <c r="AD399" t="s">
        <v>4</v>
      </c>
      <c r="AE399">
        <v>40</v>
      </c>
      <c r="AF399">
        <v>11</v>
      </c>
      <c r="AH399" t="s">
        <v>7232</v>
      </c>
      <c r="AI399" t="s">
        <v>7231</v>
      </c>
      <c r="AK399" t="s">
        <v>7230</v>
      </c>
      <c r="AL399">
        <v>12</v>
      </c>
      <c r="AM399" s="5">
        <f t="shared" si="50"/>
        <v>0.4</v>
      </c>
      <c r="AN399" s="4">
        <f t="shared" si="55"/>
        <v>6.0583112457402507E-4</v>
      </c>
      <c r="AO399" s="3"/>
      <c r="AP399">
        <v>0</v>
      </c>
      <c r="AR399" t="s">
        <v>0</v>
      </c>
      <c r="AT399" s="2" t="s">
        <v>16</v>
      </c>
      <c r="AU399" s="1">
        <f t="shared" si="51"/>
        <v>3.1051186885755859</v>
      </c>
      <c r="AV399" s="1">
        <f t="shared" si="52"/>
        <v>2.2352513811132479</v>
      </c>
      <c r="AW399" s="1">
        <f t="shared" si="53"/>
        <v>1.3653840736509095</v>
      </c>
    </row>
    <row r="400" spans="1:49" x14ac:dyDescent="0.2">
      <c r="A400">
        <v>398</v>
      </c>
      <c r="B400" t="s">
        <v>7229</v>
      </c>
      <c r="C400" t="s">
        <v>7228</v>
      </c>
      <c r="F400" t="s">
        <v>7227</v>
      </c>
      <c r="G400" t="s">
        <v>12</v>
      </c>
      <c r="H400" t="s">
        <v>11</v>
      </c>
      <c r="I400" t="s">
        <v>7226</v>
      </c>
      <c r="J400">
        <v>60018429</v>
      </c>
      <c r="K400" t="s">
        <v>7225</v>
      </c>
      <c r="L400" t="s">
        <v>7224</v>
      </c>
      <c r="M400" t="s">
        <v>151</v>
      </c>
      <c r="N400">
        <v>3</v>
      </c>
      <c r="O400" t="s">
        <v>7223</v>
      </c>
      <c r="P400" t="s">
        <v>7222</v>
      </c>
      <c r="Q400" t="s">
        <v>7221</v>
      </c>
      <c r="R400" s="7">
        <v>33604</v>
      </c>
      <c r="S400" s="8">
        <f t="shared" si="48"/>
        <v>1992</v>
      </c>
      <c r="T400" s="8">
        <v>1992</v>
      </c>
      <c r="U400" s="8">
        <f t="shared" si="49"/>
        <v>30</v>
      </c>
      <c r="V400" s="7">
        <v>1992</v>
      </c>
      <c r="W400" t="s">
        <v>665</v>
      </c>
      <c r="X400" s="2">
        <v>0.111</v>
      </c>
      <c r="Y400" s="6">
        <f t="shared" si="54"/>
        <v>2.9630816048690639E-3</v>
      </c>
      <c r="AA400">
        <v>87566621</v>
      </c>
      <c r="AB400">
        <v>24890</v>
      </c>
      <c r="AC400">
        <v>15206424</v>
      </c>
      <c r="AD400" t="s">
        <v>4</v>
      </c>
      <c r="AE400">
        <v>75</v>
      </c>
      <c r="AF400">
        <v>11</v>
      </c>
      <c r="AH400" t="s">
        <v>7220</v>
      </c>
      <c r="AI400" t="s">
        <v>7219</v>
      </c>
      <c r="AJ400" t="s">
        <v>7218</v>
      </c>
      <c r="AK400" t="s">
        <v>7217</v>
      </c>
      <c r="AL400">
        <v>0</v>
      </c>
      <c r="AM400" s="5">
        <f t="shared" si="50"/>
        <v>0</v>
      </c>
      <c r="AN400" s="4">
        <f t="shared" si="55"/>
        <v>0</v>
      </c>
      <c r="AO400" s="3"/>
      <c r="AP400">
        <v>0</v>
      </c>
      <c r="AR400" t="s">
        <v>0</v>
      </c>
      <c r="AT400" s="2" t="s">
        <v>16</v>
      </c>
      <c r="AU400" s="1">
        <f t="shared" si="51"/>
        <v>0.20741571234083445</v>
      </c>
      <c r="AV400" s="1">
        <f t="shared" si="52"/>
        <v>0.1481540802434532</v>
      </c>
      <c r="AW400" s="1">
        <f t="shared" si="53"/>
        <v>8.8892448146071903E-2</v>
      </c>
    </row>
    <row r="401" spans="1:49" x14ac:dyDescent="0.2">
      <c r="A401">
        <v>399</v>
      </c>
      <c r="B401" t="s">
        <v>7216</v>
      </c>
      <c r="C401" t="s">
        <v>7215</v>
      </c>
      <c r="F401" t="s">
        <v>7214</v>
      </c>
      <c r="G401" t="s">
        <v>12</v>
      </c>
      <c r="H401" t="s">
        <v>11</v>
      </c>
      <c r="I401" t="s">
        <v>7213</v>
      </c>
      <c r="J401" t="s">
        <v>7212</v>
      </c>
      <c r="K401" t="s">
        <v>7211</v>
      </c>
      <c r="L401" t="s">
        <v>7210</v>
      </c>
      <c r="M401" t="s">
        <v>7209</v>
      </c>
      <c r="N401">
        <v>9</v>
      </c>
      <c r="O401" t="s">
        <v>7208</v>
      </c>
      <c r="P401" t="s">
        <v>7207</v>
      </c>
      <c r="Q401" t="s">
        <v>7206</v>
      </c>
      <c r="R401" s="7">
        <v>33604</v>
      </c>
      <c r="S401" s="8">
        <f t="shared" si="48"/>
        <v>1992</v>
      </c>
      <c r="T401" s="8">
        <v>1992</v>
      </c>
      <c r="U401" s="8">
        <f t="shared" si="49"/>
        <v>30</v>
      </c>
      <c r="V401" s="7">
        <v>1992</v>
      </c>
      <c r="W401" t="s">
        <v>665</v>
      </c>
      <c r="X401" s="2">
        <v>0.111</v>
      </c>
      <c r="Y401" s="6">
        <f t="shared" si="54"/>
        <v>2.9630816048690639E-3</v>
      </c>
      <c r="AA401">
        <v>87566621</v>
      </c>
      <c r="AB401">
        <v>24890</v>
      </c>
      <c r="AC401">
        <v>15206424</v>
      </c>
      <c r="AD401" t="s">
        <v>4</v>
      </c>
      <c r="AE401">
        <v>75</v>
      </c>
      <c r="AF401">
        <v>11</v>
      </c>
      <c r="AH401" t="s">
        <v>7205</v>
      </c>
      <c r="AI401" t="s">
        <v>7204</v>
      </c>
      <c r="AJ401" t="s">
        <v>7203</v>
      </c>
      <c r="AK401" t="s">
        <v>7202</v>
      </c>
      <c r="AL401">
        <v>0</v>
      </c>
      <c r="AM401" s="5">
        <f t="shared" si="50"/>
        <v>0</v>
      </c>
      <c r="AN401" s="4">
        <f t="shared" si="55"/>
        <v>0</v>
      </c>
      <c r="AO401" s="3"/>
      <c r="AP401">
        <v>0</v>
      </c>
      <c r="AR401" t="s">
        <v>0</v>
      </c>
      <c r="AT401" s="2" t="s">
        <v>16</v>
      </c>
      <c r="AU401" s="1">
        <f t="shared" si="51"/>
        <v>0.20741571234083445</v>
      </c>
      <c r="AV401" s="1">
        <f t="shared" si="52"/>
        <v>0.1481540802434532</v>
      </c>
      <c r="AW401" s="1">
        <f t="shared" si="53"/>
        <v>8.8892448146071903E-2</v>
      </c>
    </row>
    <row r="402" spans="1:49" x14ac:dyDescent="0.2">
      <c r="A402">
        <v>400</v>
      </c>
      <c r="B402" t="s">
        <v>7201</v>
      </c>
      <c r="C402" t="s">
        <v>7200</v>
      </c>
      <c r="F402" t="s">
        <v>7199</v>
      </c>
      <c r="G402" t="s">
        <v>12</v>
      </c>
      <c r="H402" t="s">
        <v>11</v>
      </c>
      <c r="I402" t="s">
        <v>4915</v>
      </c>
      <c r="J402">
        <v>60014097</v>
      </c>
      <c r="K402" t="s">
        <v>4914</v>
      </c>
      <c r="L402" t="s">
        <v>4913</v>
      </c>
      <c r="M402" t="s">
        <v>3937</v>
      </c>
      <c r="N402">
        <v>2</v>
      </c>
      <c r="O402" t="s">
        <v>7198</v>
      </c>
      <c r="P402" t="s">
        <v>4911</v>
      </c>
      <c r="Q402" t="s">
        <v>4910</v>
      </c>
      <c r="R402" s="7">
        <v>33604</v>
      </c>
      <c r="S402" s="8">
        <f t="shared" ref="S402:S465" si="56">YEAR(R402)</f>
        <v>1992</v>
      </c>
      <c r="T402" s="8">
        <v>1992</v>
      </c>
      <c r="U402" s="8">
        <f t="shared" ref="U402:U465" si="57">2022-T402</f>
        <v>30</v>
      </c>
      <c r="V402" s="7">
        <v>33909</v>
      </c>
      <c r="W402" t="s">
        <v>2743</v>
      </c>
      <c r="X402" s="2">
        <v>1.6379999999999999</v>
      </c>
      <c r="Y402" s="6">
        <f t="shared" si="54"/>
        <v>4.3725474493473214E-2</v>
      </c>
      <c r="AA402" t="s">
        <v>2742</v>
      </c>
      <c r="AB402">
        <v>17391</v>
      </c>
      <c r="AC402">
        <v>19410476</v>
      </c>
      <c r="AD402" t="s">
        <v>4</v>
      </c>
      <c r="AE402">
        <v>40</v>
      </c>
      <c r="AF402">
        <v>11</v>
      </c>
      <c r="AH402" t="s">
        <v>7197</v>
      </c>
      <c r="AI402" t="s">
        <v>7196</v>
      </c>
      <c r="AK402" t="s">
        <v>7195</v>
      </c>
      <c r="AL402">
        <v>22</v>
      </c>
      <c r="AM402" s="5">
        <f t="shared" ref="AM402:AM465" si="58">AL402/U402</f>
        <v>0.73333333333333328</v>
      </c>
      <c r="AN402" s="4">
        <f t="shared" si="55"/>
        <v>1.1106903950523792E-3</v>
      </c>
      <c r="AO402" s="3"/>
      <c r="AP402">
        <v>0</v>
      </c>
      <c r="AR402" t="s">
        <v>0</v>
      </c>
      <c r="AT402" s="2">
        <v>4.931</v>
      </c>
      <c r="AU402" s="1">
        <f t="shared" ref="AU402:AU465" si="59">(Y402*0.7+AN402*0.3)*100</f>
        <v>3.0941039263946961</v>
      </c>
      <c r="AV402" s="1">
        <f t="shared" ref="AV402:AV465" si="60">(Y402*0.5+AN402*0.5)*100</f>
        <v>2.2418082444262795</v>
      </c>
      <c r="AW402" s="1">
        <f t="shared" ref="AW402:AW465" si="61">(Y402*0.3+AN402*0.7)*100</f>
        <v>1.389512562457863</v>
      </c>
    </row>
    <row r="403" spans="1:49" x14ac:dyDescent="0.2">
      <c r="A403">
        <v>401</v>
      </c>
      <c r="B403" t="s">
        <v>7194</v>
      </c>
      <c r="C403" t="s">
        <v>7193</v>
      </c>
      <c r="F403" t="s">
        <v>7192</v>
      </c>
      <c r="G403" t="s">
        <v>12</v>
      </c>
      <c r="H403" t="s">
        <v>11</v>
      </c>
      <c r="I403" t="s">
        <v>4066</v>
      </c>
      <c r="N403">
        <v>2</v>
      </c>
      <c r="O403" t="s">
        <v>4063</v>
      </c>
      <c r="P403" t="s">
        <v>4062</v>
      </c>
      <c r="Q403" t="s">
        <v>720</v>
      </c>
      <c r="R403" s="7">
        <v>33604</v>
      </c>
      <c r="S403" s="8">
        <f t="shared" si="56"/>
        <v>1992</v>
      </c>
      <c r="T403" s="8">
        <v>1992</v>
      </c>
      <c r="U403" s="8">
        <f t="shared" si="57"/>
        <v>30</v>
      </c>
      <c r="V403" s="7" t="s">
        <v>6975</v>
      </c>
      <c r="W403" t="s">
        <v>1367</v>
      </c>
      <c r="X403" s="2">
        <v>0.371</v>
      </c>
      <c r="Y403" s="6">
        <f t="shared" si="54"/>
        <v>9.9036331117695747E-3</v>
      </c>
      <c r="AA403">
        <v>486604</v>
      </c>
      <c r="AB403">
        <v>28580</v>
      </c>
      <c r="AC403" t="s">
        <v>1366</v>
      </c>
      <c r="AD403" t="s">
        <v>4</v>
      </c>
      <c r="AE403">
        <v>27</v>
      </c>
      <c r="AF403">
        <v>6</v>
      </c>
      <c r="AH403" t="s">
        <v>612</v>
      </c>
      <c r="AI403" t="s">
        <v>7191</v>
      </c>
      <c r="AK403" t="s">
        <v>7190</v>
      </c>
      <c r="AL403">
        <v>6</v>
      </c>
      <c r="AM403" s="5">
        <f t="shared" si="58"/>
        <v>0.2</v>
      </c>
      <c r="AN403" s="4">
        <f t="shared" si="55"/>
        <v>3.0291556228701253E-4</v>
      </c>
      <c r="AO403" s="3"/>
      <c r="AP403">
        <v>0</v>
      </c>
      <c r="AR403" t="s">
        <v>0</v>
      </c>
      <c r="AT403" s="2">
        <v>1.431</v>
      </c>
      <c r="AU403" s="1">
        <f t="shared" si="59"/>
        <v>0.70234178469248054</v>
      </c>
      <c r="AV403" s="1">
        <f t="shared" si="60"/>
        <v>0.5103274337028294</v>
      </c>
      <c r="AW403" s="1">
        <f t="shared" si="61"/>
        <v>0.3183130827131781</v>
      </c>
    </row>
    <row r="404" spans="1:49" x14ac:dyDescent="0.2">
      <c r="A404">
        <v>402</v>
      </c>
      <c r="B404" t="s">
        <v>7189</v>
      </c>
      <c r="C404" t="s">
        <v>7188</v>
      </c>
      <c r="F404" t="s">
        <v>7187</v>
      </c>
      <c r="G404" t="s">
        <v>12</v>
      </c>
      <c r="H404" t="s">
        <v>11</v>
      </c>
      <c r="I404" t="s">
        <v>7186</v>
      </c>
      <c r="J404">
        <v>60001439</v>
      </c>
      <c r="K404" t="s">
        <v>534</v>
      </c>
      <c r="L404" t="s">
        <v>533</v>
      </c>
      <c r="M404" t="s">
        <v>7</v>
      </c>
      <c r="N404">
        <v>2</v>
      </c>
      <c r="O404" t="s">
        <v>7185</v>
      </c>
      <c r="P404" t="s">
        <v>7184</v>
      </c>
      <c r="Q404" t="s">
        <v>530</v>
      </c>
      <c r="R404" s="7">
        <v>33604</v>
      </c>
      <c r="S404" s="8">
        <f t="shared" si="56"/>
        <v>1992</v>
      </c>
      <c r="T404" s="8">
        <v>1992</v>
      </c>
      <c r="U404" s="8">
        <f t="shared" si="57"/>
        <v>30</v>
      </c>
      <c r="V404" s="7">
        <v>33909</v>
      </c>
      <c r="W404" t="s">
        <v>97</v>
      </c>
      <c r="X404" s="2">
        <v>1.6519999999999999</v>
      </c>
      <c r="Y404" s="6">
        <f t="shared" si="54"/>
        <v>4.409919649769093E-2</v>
      </c>
      <c r="AA404" t="s">
        <v>96</v>
      </c>
      <c r="AB404">
        <v>17337</v>
      </c>
      <c r="AC404">
        <v>15582221</v>
      </c>
      <c r="AD404" t="s">
        <v>4</v>
      </c>
      <c r="AE404">
        <v>40</v>
      </c>
      <c r="AF404">
        <v>11</v>
      </c>
      <c r="AH404" t="s">
        <v>7183</v>
      </c>
      <c r="AI404" t="s">
        <v>7182</v>
      </c>
      <c r="AK404" t="s">
        <v>7181</v>
      </c>
      <c r="AL404">
        <v>34</v>
      </c>
      <c r="AM404" s="5">
        <f t="shared" si="58"/>
        <v>1.1333333333333333</v>
      </c>
      <c r="AN404" s="4">
        <f t="shared" si="55"/>
        <v>1.7165215196264041E-3</v>
      </c>
      <c r="AO404" s="3"/>
      <c r="AP404">
        <v>0</v>
      </c>
      <c r="AR404" t="s">
        <v>0</v>
      </c>
      <c r="AT404" s="2" t="s">
        <v>16</v>
      </c>
      <c r="AU404" s="1">
        <f t="shared" si="59"/>
        <v>3.1384394004271572</v>
      </c>
      <c r="AV404" s="1">
        <f t="shared" si="60"/>
        <v>2.2907859008658669</v>
      </c>
      <c r="AW404" s="1">
        <f t="shared" si="61"/>
        <v>1.4431324013045761</v>
      </c>
    </row>
    <row r="405" spans="1:49" x14ac:dyDescent="0.2">
      <c r="A405">
        <v>403</v>
      </c>
      <c r="B405" t="s">
        <v>7180</v>
      </c>
      <c r="C405" t="s">
        <v>7179</v>
      </c>
      <c r="F405" t="s">
        <v>7178</v>
      </c>
      <c r="G405" t="s">
        <v>12</v>
      </c>
      <c r="H405" t="s">
        <v>11</v>
      </c>
      <c r="I405" t="s">
        <v>7177</v>
      </c>
      <c r="J405">
        <v>60009514</v>
      </c>
      <c r="K405" t="s">
        <v>7108</v>
      </c>
      <c r="L405" t="s">
        <v>7107</v>
      </c>
      <c r="M405" t="s">
        <v>151</v>
      </c>
      <c r="N405">
        <v>1</v>
      </c>
      <c r="O405" t="s">
        <v>7176</v>
      </c>
      <c r="P405">
        <v>6507834492</v>
      </c>
      <c r="Q405">
        <v>60009514</v>
      </c>
      <c r="R405" s="7">
        <v>33604</v>
      </c>
      <c r="S405" s="8">
        <f t="shared" si="56"/>
        <v>1992</v>
      </c>
      <c r="T405" s="8">
        <v>1992</v>
      </c>
      <c r="U405" s="8">
        <f t="shared" si="57"/>
        <v>30</v>
      </c>
      <c r="V405" s="7">
        <v>1992</v>
      </c>
      <c r="W405" t="s">
        <v>665</v>
      </c>
      <c r="X405" s="2">
        <v>0.111</v>
      </c>
      <c r="Y405" s="6">
        <f t="shared" si="54"/>
        <v>2.9630816048690639E-3</v>
      </c>
      <c r="AA405">
        <v>87566621</v>
      </c>
      <c r="AB405">
        <v>24890</v>
      </c>
      <c r="AC405">
        <v>15206424</v>
      </c>
      <c r="AD405" t="s">
        <v>4</v>
      </c>
      <c r="AE405">
        <v>75</v>
      </c>
      <c r="AF405">
        <v>11</v>
      </c>
      <c r="AH405" t="s">
        <v>7175</v>
      </c>
      <c r="AI405" t="s">
        <v>7174</v>
      </c>
      <c r="AJ405" t="s">
        <v>7173</v>
      </c>
      <c r="AK405" t="s">
        <v>7172</v>
      </c>
      <c r="AL405">
        <v>0</v>
      </c>
      <c r="AM405" s="5">
        <f t="shared" si="58"/>
        <v>0</v>
      </c>
      <c r="AN405" s="4">
        <f t="shared" si="55"/>
        <v>0</v>
      </c>
      <c r="AO405" s="3"/>
      <c r="AP405">
        <v>0</v>
      </c>
      <c r="AR405" t="s">
        <v>0</v>
      </c>
      <c r="AT405" s="2" t="s">
        <v>16</v>
      </c>
      <c r="AU405" s="1">
        <f t="shared" si="59"/>
        <v>0.20741571234083445</v>
      </c>
      <c r="AV405" s="1">
        <f t="shared" si="60"/>
        <v>0.1481540802434532</v>
      </c>
      <c r="AW405" s="1">
        <f t="shared" si="61"/>
        <v>8.8892448146071903E-2</v>
      </c>
    </row>
    <row r="406" spans="1:49" x14ac:dyDescent="0.2">
      <c r="A406">
        <v>404</v>
      </c>
      <c r="B406" t="s">
        <v>7171</v>
      </c>
      <c r="C406" t="s">
        <v>7170</v>
      </c>
      <c r="F406" t="s">
        <v>7169</v>
      </c>
      <c r="G406" t="s">
        <v>12</v>
      </c>
      <c r="H406" t="s">
        <v>11</v>
      </c>
      <c r="I406" t="s">
        <v>7168</v>
      </c>
      <c r="J406">
        <v>60102562</v>
      </c>
      <c r="K406" t="s">
        <v>1358</v>
      </c>
      <c r="L406" t="s">
        <v>1357</v>
      </c>
      <c r="M406" t="s">
        <v>7</v>
      </c>
      <c r="N406">
        <v>4</v>
      </c>
      <c r="O406" t="s">
        <v>7167</v>
      </c>
      <c r="P406" t="s">
        <v>7166</v>
      </c>
      <c r="Q406" t="s">
        <v>7165</v>
      </c>
      <c r="R406" s="7">
        <v>33604</v>
      </c>
      <c r="S406" s="8">
        <f t="shared" si="56"/>
        <v>1992</v>
      </c>
      <c r="T406" s="8">
        <v>1992</v>
      </c>
      <c r="U406" s="8">
        <f t="shared" si="57"/>
        <v>30</v>
      </c>
      <c r="V406" s="7">
        <v>33909</v>
      </c>
      <c r="W406" t="s">
        <v>97</v>
      </c>
      <c r="X406" s="2">
        <v>1.6519999999999999</v>
      </c>
      <c r="Y406" s="6">
        <f t="shared" si="54"/>
        <v>4.409919649769093E-2</v>
      </c>
      <c r="AA406" t="s">
        <v>96</v>
      </c>
      <c r="AB406">
        <v>17337</v>
      </c>
      <c r="AC406">
        <v>15582221</v>
      </c>
      <c r="AD406" t="s">
        <v>4</v>
      </c>
      <c r="AE406">
        <v>40</v>
      </c>
      <c r="AF406">
        <v>11</v>
      </c>
      <c r="AH406" t="s">
        <v>7164</v>
      </c>
      <c r="AI406" t="s">
        <v>7163</v>
      </c>
      <c r="AK406" t="s">
        <v>7162</v>
      </c>
      <c r="AL406">
        <v>16</v>
      </c>
      <c r="AM406" s="5">
        <f t="shared" si="58"/>
        <v>0.53333333333333333</v>
      </c>
      <c r="AN406" s="4">
        <f t="shared" si="55"/>
        <v>8.0777483276536668E-4</v>
      </c>
      <c r="AO406" s="3"/>
      <c r="AP406">
        <v>0</v>
      </c>
      <c r="AR406" t="s">
        <v>0</v>
      </c>
      <c r="AT406" s="2" t="s">
        <v>16</v>
      </c>
      <c r="AU406" s="1">
        <f t="shared" si="59"/>
        <v>3.1111769998213261</v>
      </c>
      <c r="AV406" s="1">
        <f t="shared" si="60"/>
        <v>2.2453485665228148</v>
      </c>
      <c r="AW406" s="1">
        <f t="shared" si="61"/>
        <v>1.3795201332243034</v>
      </c>
    </row>
    <row r="407" spans="1:49" x14ac:dyDescent="0.2">
      <c r="A407">
        <v>405</v>
      </c>
      <c r="B407" t="s">
        <v>7161</v>
      </c>
      <c r="C407" t="s">
        <v>7160</v>
      </c>
      <c r="F407" t="s">
        <v>7159</v>
      </c>
      <c r="G407" t="s">
        <v>12</v>
      </c>
      <c r="H407" t="s">
        <v>11</v>
      </c>
      <c r="I407" t="s">
        <v>7158</v>
      </c>
      <c r="J407">
        <v>60091855</v>
      </c>
      <c r="K407" t="s">
        <v>7157</v>
      </c>
      <c r="L407" t="s">
        <v>7156</v>
      </c>
      <c r="M407" t="s">
        <v>151</v>
      </c>
      <c r="N407">
        <v>1</v>
      </c>
      <c r="O407" t="s">
        <v>7155</v>
      </c>
      <c r="P407">
        <v>7103309096</v>
      </c>
      <c r="Q407">
        <v>60091855</v>
      </c>
      <c r="R407" s="7">
        <v>33604</v>
      </c>
      <c r="S407" s="8">
        <f t="shared" si="56"/>
        <v>1992</v>
      </c>
      <c r="T407" s="8">
        <v>1992</v>
      </c>
      <c r="U407" s="8">
        <f t="shared" si="57"/>
        <v>30</v>
      </c>
      <c r="V407" s="7">
        <v>33909</v>
      </c>
      <c r="W407" t="s">
        <v>2873</v>
      </c>
      <c r="X407" s="2">
        <v>1.365</v>
      </c>
      <c r="Y407" s="6">
        <f t="shared" si="54"/>
        <v>3.6437895411227675E-2</v>
      </c>
      <c r="AA407">
        <v>189545</v>
      </c>
      <c r="AB407">
        <v>17393</v>
      </c>
      <c r="AC407">
        <v>19399359</v>
      </c>
      <c r="AD407" t="s">
        <v>4</v>
      </c>
      <c r="AE407">
        <v>41</v>
      </c>
      <c r="AF407">
        <v>4</v>
      </c>
      <c r="AH407" t="s">
        <v>7154</v>
      </c>
      <c r="AI407" t="s">
        <v>7153</v>
      </c>
      <c r="AK407" t="s">
        <v>7152</v>
      </c>
      <c r="AL407">
        <v>7</v>
      </c>
      <c r="AM407" s="5">
        <f t="shared" si="58"/>
        <v>0.23333333333333334</v>
      </c>
      <c r="AN407" s="4">
        <f t="shared" si="55"/>
        <v>3.5340148933484791E-4</v>
      </c>
      <c r="AO407" s="3"/>
      <c r="AP407">
        <v>0</v>
      </c>
      <c r="AR407" t="s">
        <v>0</v>
      </c>
      <c r="AT407" s="2" t="s">
        <v>16</v>
      </c>
      <c r="AU407" s="1">
        <f t="shared" si="59"/>
        <v>2.5612547234659826</v>
      </c>
      <c r="AV407" s="1">
        <f t="shared" si="60"/>
        <v>1.8395648450281261</v>
      </c>
      <c r="AW407" s="1">
        <f t="shared" si="61"/>
        <v>1.1178749665902696</v>
      </c>
    </row>
    <row r="408" spans="1:49" x14ac:dyDescent="0.2">
      <c r="A408">
        <v>406</v>
      </c>
      <c r="B408" t="s">
        <v>7151</v>
      </c>
      <c r="C408" t="s">
        <v>7150</v>
      </c>
      <c r="F408" t="s">
        <v>7149</v>
      </c>
      <c r="G408" t="s">
        <v>12</v>
      </c>
      <c r="H408" t="s">
        <v>11</v>
      </c>
      <c r="I408" t="s">
        <v>7148</v>
      </c>
      <c r="J408">
        <v>60005429</v>
      </c>
      <c r="K408" t="s">
        <v>6097</v>
      </c>
      <c r="L408" t="s">
        <v>6096</v>
      </c>
      <c r="M408" t="s">
        <v>3610</v>
      </c>
      <c r="N408">
        <v>2</v>
      </c>
      <c r="O408" t="s">
        <v>7147</v>
      </c>
      <c r="P408" t="s">
        <v>7146</v>
      </c>
      <c r="Q408" t="s">
        <v>6093</v>
      </c>
      <c r="R408" s="7">
        <v>33604</v>
      </c>
      <c r="S408" s="8">
        <f t="shared" si="56"/>
        <v>1992</v>
      </c>
      <c r="T408" s="8">
        <v>1992</v>
      </c>
      <c r="U408" s="8">
        <f t="shared" si="57"/>
        <v>30</v>
      </c>
      <c r="V408" s="7">
        <v>33909</v>
      </c>
      <c r="W408" t="s">
        <v>97</v>
      </c>
      <c r="X408" s="2">
        <v>1.6519999999999999</v>
      </c>
      <c r="Y408" s="6">
        <f t="shared" si="54"/>
        <v>4.409919649769093E-2</v>
      </c>
      <c r="AA408" t="s">
        <v>96</v>
      </c>
      <c r="AB408">
        <v>17337</v>
      </c>
      <c r="AC408">
        <v>15582221</v>
      </c>
      <c r="AD408" t="s">
        <v>4</v>
      </c>
      <c r="AE408">
        <v>40</v>
      </c>
      <c r="AF408">
        <v>11</v>
      </c>
      <c r="AH408" t="s">
        <v>7145</v>
      </c>
      <c r="AI408" t="s">
        <v>7144</v>
      </c>
      <c r="AK408" t="s">
        <v>7143</v>
      </c>
      <c r="AL408">
        <v>252</v>
      </c>
      <c r="AM408" s="5">
        <f t="shared" si="58"/>
        <v>8.4</v>
      </c>
      <c r="AN408" s="4">
        <f t="shared" si="55"/>
        <v>1.2722453616054525E-2</v>
      </c>
      <c r="AO408" s="3"/>
      <c r="AP408">
        <v>0</v>
      </c>
      <c r="AR408" t="s">
        <v>0</v>
      </c>
      <c r="AT408" s="2" t="s">
        <v>16</v>
      </c>
      <c r="AU408" s="1">
        <f t="shared" si="59"/>
        <v>3.4686173633200008</v>
      </c>
      <c r="AV408" s="1">
        <f t="shared" si="60"/>
        <v>2.8410825056872731</v>
      </c>
      <c r="AW408" s="1">
        <f t="shared" si="61"/>
        <v>2.2135476480545444</v>
      </c>
    </row>
    <row r="409" spans="1:49" x14ac:dyDescent="0.2">
      <c r="A409">
        <v>407</v>
      </c>
      <c r="B409" t="s">
        <v>7142</v>
      </c>
      <c r="C409" t="s">
        <v>7141</v>
      </c>
      <c r="F409" t="s">
        <v>7140</v>
      </c>
      <c r="G409" t="s">
        <v>12</v>
      </c>
      <c r="H409" t="s">
        <v>11</v>
      </c>
      <c r="I409" t="s">
        <v>7139</v>
      </c>
      <c r="J409">
        <v>60017592</v>
      </c>
      <c r="K409" t="s">
        <v>5820</v>
      </c>
      <c r="L409" t="s">
        <v>2169</v>
      </c>
      <c r="M409" t="s">
        <v>393</v>
      </c>
      <c r="N409">
        <v>2</v>
      </c>
      <c r="O409" t="s">
        <v>7138</v>
      </c>
      <c r="P409" t="s">
        <v>7137</v>
      </c>
      <c r="Q409" t="s">
        <v>7136</v>
      </c>
      <c r="R409" s="7">
        <v>33604</v>
      </c>
      <c r="S409" s="8">
        <f t="shared" si="56"/>
        <v>1992</v>
      </c>
      <c r="T409" s="8">
        <v>1992</v>
      </c>
      <c r="U409" s="8">
        <f t="shared" si="57"/>
        <v>30</v>
      </c>
      <c r="V409" s="7">
        <v>33909</v>
      </c>
      <c r="W409" t="s">
        <v>2873</v>
      </c>
      <c r="X409" s="2">
        <v>1.365</v>
      </c>
      <c r="Y409" s="6">
        <f t="shared" si="54"/>
        <v>3.6437895411227675E-2</v>
      </c>
      <c r="AA409">
        <v>189545</v>
      </c>
      <c r="AB409">
        <v>17393</v>
      </c>
      <c r="AC409">
        <v>19399359</v>
      </c>
      <c r="AD409" t="s">
        <v>4</v>
      </c>
      <c r="AE409">
        <v>41</v>
      </c>
      <c r="AF409">
        <v>4</v>
      </c>
      <c r="AH409" t="s">
        <v>5921</v>
      </c>
      <c r="AI409" t="s">
        <v>7135</v>
      </c>
      <c r="AK409" t="s">
        <v>7134</v>
      </c>
      <c r="AL409">
        <v>2</v>
      </c>
      <c r="AM409" s="5">
        <f t="shared" si="58"/>
        <v>6.6666666666666666E-2</v>
      </c>
      <c r="AN409" s="4">
        <f t="shared" si="55"/>
        <v>1.0097185409567084E-4</v>
      </c>
      <c r="AO409" s="3"/>
      <c r="AP409">
        <v>0</v>
      </c>
      <c r="AR409" t="s">
        <v>0</v>
      </c>
      <c r="AT409" s="2" t="s">
        <v>16</v>
      </c>
      <c r="AU409" s="1">
        <f t="shared" si="59"/>
        <v>2.553681834408807</v>
      </c>
      <c r="AV409" s="1">
        <f t="shared" si="60"/>
        <v>1.8269433632661671</v>
      </c>
      <c r="AW409" s="1">
        <f t="shared" si="61"/>
        <v>1.100204892123527</v>
      </c>
    </row>
    <row r="410" spans="1:49" x14ac:dyDescent="0.2">
      <c r="A410">
        <v>408</v>
      </c>
      <c r="B410" t="s">
        <v>7133</v>
      </c>
      <c r="C410" t="s">
        <v>7132</v>
      </c>
      <c r="F410" t="s">
        <v>7131</v>
      </c>
      <c r="G410" t="s">
        <v>12</v>
      </c>
      <c r="H410" t="s">
        <v>11</v>
      </c>
      <c r="I410" t="s">
        <v>7130</v>
      </c>
      <c r="J410">
        <v>60122606</v>
      </c>
      <c r="K410" t="s">
        <v>7129</v>
      </c>
      <c r="L410" t="s">
        <v>7128</v>
      </c>
      <c r="M410" t="s">
        <v>7</v>
      </c>
      <c r="N410">
        <v>1</v>
      </c>
      <c r="O410" t="s">
        <v>7127</v>
      </c>
      <c r="P410">
        <v>6603118277</v>
      </c>
      <c r="Q410">
        <v>60122606</v>
      </c>
      <c r="R410" s="7">
        <v>33604</v>
      </c>
      <c r="S410" s="8">
        <f t="shared" si="56"/>
        <v>1992</v>
      </c>
      <c r="T410" s="8">
        <v>1992</v>
      </c>
      <c r="U410" s="8">
        <f t="shared" si="57"/>
        <v>30</v>
      </c>
      <c r="V410" s="7">
        <v>33909</v>
      </c>
      <c r="W410" t="s">
        <v>97</v>
      </c>
      <c r="X410" s="2">
        <v>1.6519999999999999</v>
      </c>
      <c r="Y410" s="6">
        <f t="shared" si="54"/>
        <v>4.409919649769093E-2</v>
      </c>
      <c r="AA410" t="s">
        <v>96</v>
      </c>
      <c r="AB410">
        <v>17337</v>
      </c>
      <c r="AC410">
        <v>15582221</v>
      </c>
      <c r="AD410" t="s">
        <v>4</v>
      </c>
      <c r="AE410">
        <v>40</v>
      </c>
      <c r="AF410">
        <v>11</v>
      </c>
      <c r="AH410" t="s">
        <v>7126</v>
      </c>
      <c r="AI410" t="s">
        <v>7125</v>
      </c>
      <c r="AK410" t="s">
        <v>7124</v>
      </c>
      <c r="AL410">
        <v>0</v>
      </c>
      <c r="AM410" s="5">
        <f t="shared" si="58"/>
        <v>0</v>
      </c>
      <c r="AN410" s="4">
        <f t="shared" si="55"/>
        <v>0</v>
      </c>
      <c r="AO410" s="3"/>
      <c r="AP410">
        <v>0</v>
      </c>
      <c r="AR410" t="s">
        <v>0</v>
      </c>
      <c r="AT410" s="2" t="s">
        <v>16</v>
      </c>
      <c r="AU410" s="1">
        <f t="shared" si="59"/>
        <v>3.0869437548383649</v>
      </c>
      <c r="AV410" s="1">
        <f t="shared" si="60"/>
        <v>2.2049598248845466</v>
      </c>
      <c r="AW410" s="1">
        <f t="shared" si="61"/>
        <v>1.3229758949307278</v>
      </c>
    </row>
    <row r="411" spans="1:49" x14ac:dyDescent="0.2">
      <c r="A411">
        <v>409</v>
      </c>
      <c r="B411" t="s">
        <v>7123</v>
      </c>
      <c r="C411" t="s">
        <v>7122</v>
      </c>
      <c r="F411" t="s">
        <v>7121</v>
      </c>
      <c r="G411" t="s">
        <v>12</v>
      </c>
      <c r="H411" t="s">
        <v>11</v>
      </c>
      <c r="I411" t="s">
        <v>1994</v>
      </c>
      <c r="J411">
        <v>60030480</v>
      </c>
      <c r="K411" t="s">
        <v>7120</v>
      </c>
      <c r="L411" t="s">
        <v>7119</v>
      </c>
      <c r="M411" t="s">
        <v>856</v>
      </c>
      <c r="N411">
        <v>2</v>
      </c>
      <c r="O411" t="s">
        <v>7118</v>
      </c>
      <c r="P411" t="s">
        <v>7117</v>
      </c>
      <c r="Q411" t="s">
        <v>7116</v>
      </c>
      <c r="R411" s="7">
        <v>33604</v>
      </c>
      <c r="S411" s="8">
        <f t="shared" si="56"/>
        <v>1992</v>
      </c>
      <c r="T411" s="8">
        <v>1992</v>
      </c>
      <c r="U411" s="8">
        <f t="shared" si="57"/>
        <v>30</v>
      </c>
      <c r="V411" s="7">
        <v>33909</v>
      </c>
      <c r="W411" t="s">
        <v>97</v>
      </c>
      <c r="X411" s="2">
        <v>1.6519999999999999</v>
      </c>
      <c r="Y411" s="6">
        <f t="shared" si="54"/>
        <v>4.409919649769093E-2</v>
      </c>
      <c r="AA411" t="s">
        <v>96</v>
      </c>
      <c r="AB411">
        <v>17337</v>
      </c>
      <c r="AC411">
        <v>15582221</v>
      </c>
      <c r="AD411" t="s">
        <v>4</v>
      </c>
      <c r="AE411">
        <v>40</v>
      </c>
      <c r="AF411">
        <v>11</v>
      </c>
      <c r="AH411" t="s">
        <v>7115</v>
      </c>
      <c r="AI411" t="s">
        <v>7114</v>
      </c>
      <c r="AK411" t="s">
        <v>7113</v>
      </c>
      <c r="AL411">
        <v>8</v>
      </c>
      <c r="AM411" s="5">
        <f t="shared" si="58"/>
        <v>0.26666666666666666</v>
      </c>
      <c r="AN411" s="4">
        <f t="shared" si="55"/>
        <v>4.0388741638268334E-4</v>
      </c>
      <c r="AO411" s="3"/>
      <c r="AP411">
        <v>0</v>
      </c>
      <c r="AR411" t="s">
        <v>0</v>
      </c>
      <c r="AT411" s="2" t="s">
        <v>16</v>
      </c>
      <c r="AU411" s="1">
        <f t="shared" si="59"/>
        <v>3.0990603773298453</v>
      </c>
      <c r="AV411" s="1">
        <f t="shared" si="60"/>
        <v>2.2251541957036807</v>
      </c>
      <c r="AW411" s="1">
        <f t="shared" si="61"/>
        <v>1.3512480140775156</v>
      </c>
    </row>
    <row r="412" spans="1:49" x14ac:dyDescent="0.2">
      <c r="A412">
        <v>410</v>
      </c>
      <c r="B412" t="s">
        <v>7112</v>
      </c>
      <c r="C412" t="s">
        <v>7111</v>
      </c>
      <c r="F412" t="s">
        <v>7110</v>
      </c>
      <c r="G412" t="s">
        <v>12</v>
      </c>
      <c r="H412" t="s">
        <v>11</v>
      </c>
      <c r="I412" t="s">
        <v>7109</v>
      </c>
      <c r="J412">
        <v>60009514</v>
      </c>
      <c r="K412" t="s">
        <v>7108</v>
      </c>
      <c r="L412" t="s">
        <v>7107</v>
      </c>
      <c r="M412" t="s">
        <v>151</v>
      </c>
      <c r="N412">
        <v>1</v>
      </c>
      <c r="O412" t="s">
        <v>7106</v>
      </c>
      <c r="P412">
        <v>57206812983</v>
      </c>
      <c r="Q412">
        <v>60009514</v>
      </c>
      <c r="R412" s="7">
        <v>33604</v>
      </c>
      <c r="S412" s="8">
        <f t="shared" si="56"/>
        <v>1992</v>
      </c>
      <c r="T412" s="8">
        <v>1992</v>
      </c>
      <c r="U412" s="8">
        <f t="shared" si="57"/>
        <v>30</v>
      </c>
      <c r="V412" s="7">
        <v>1992</v>
      </c>
      <c r="W412" t="s">
        <v>665</v>
      </c>
      <c r="X412" s="2">
        <v>0.111</v>
      </c>
      <c r="Y412" s="6">
        <f t="shared" si="54"/>
        <v>2.9630816048690639E-3</v>
      </c>
      <c r="AA412">
        <v>87566621</v>
      </c>
      <c r="AB412">
        <v>24890</v>
      </c>
      <c r="AC412">
        <v>15206424</v>
      </c>
      <c r="AD412" t="s">
        <v>4</v>
      </c>
      <c r="AE412">
        <v>75</v>
      </c>
      <c r="AF412">
        <v>11</v>
      </c>
      <c r="AH412" t="s">
        <v>7105</v>
      </c>
      <c r="AI412" t="s">
        <v>7104</v>
      </c>
      <c r="AJ412" t="s">
        <v>7103</v>
      </c>
      <c r="AK412" t="s">
        <v>7102</v>
      </c>
      <c r="AL412">
        <v>0</v>
      </c>
      <c r="AM412" s="5">
        <f t="shared" si="58"/>
        <v>0</v>
      </c>
      <c r="AN412" s="4">
        <f t="shared" si="55"/>
        <v>0</v>
      </c>
      <c r="AO412" s="3"/>
      <c r="AP412">
        <v>0</v>
      </c>
      <c r="AR412" t="s">
        <v>0</v>
      </c>
      <c r="AT412" s="2" t="s">
        <v>16</v>
      </c>
      <c r="AU412" s="1">
        <f t="shared" si="59"/>
        <v>0.20741571234083445</v>
      </c>
      <c r="AV412" s="1">
        <f t="shared" si="60"/>
        <v>0.1481540802434532</v>
      </c>
      <c r="AW412" s="1">
        <f t="shared" si="61"/>
        <v>8.8892448146071903E-2</v>
      </c>
    </row>
    <row r="413" spans="1:49" x14ac:dyDescent="0.2">
      <c r="A413">
        <v>411</v>
      </c>
      <c r="B413" t="s">
        <v>7101</v>
      </c>
      <c r="C413" t="s">
        <v>7100</v>
      </c>
      <c r="F413" t="s">
        <v>7099</v>
      </c>
      <c r="G413" t="s">
        <v>12</v>
      </c>
      <c r="H413" t="s">
        <v>11</v>
      </c>
      <c r="I413" t="s">
        <v>7058</v>
      </c>
      <c r="J413">
        <v>60021378</v>
      </c>
      <c r="K413" t="s">
        <v>2498</v>
      </c>
      <c r="L413" t="s">
        <v>2497</v>
      </c>
      <c r="M413" t="s">
        <v>7</v>
      </c>
      <c r="N413">
        <v>1</v>
      </c>
      <c r="O413" t="s">
        <v>7098</v>
      </c>
      <c r="P413">
        <v>7003808036</v>
      </c>
      <c r="Q413">
        <v>60021378</v>
      </c>
      <c r="R413" s="7">
        <v>33604</v>
      </c>
      <c r="S413" s="8">
        <f t="shared" si="56"/>
        <v>1992</v>
      </c>
      <c r="T413" s="8">
        <v>1992</v>
      </c>
      <c r="U413" s="8">
        <f t="shared" si="57"/>
        <v>30</v>
      </c>
      <c r="V413" s="7">
        <v>33909</v>
      </c>
      <c r="W413" t="s">
        <v>2873</v>
      </c>
      <c r="X413" s="2">
        <v>1.365</v>
      </c>
      <c r="Y413" s="6">
        <f t="shared" si="54"/>
        <v>3.6437895411227675E-2</v>
      </c>
      <c r="AA413">
        <v>189545</v>
      </c>
      <c r="AB413">
        <v>17393</v>
      </c>
      <c r="AC413">
        <v>19399359</v>
      </c>
      <c r="AD413" t="s">
        <v>4</v>
      </c>
      <c r="AE413">
        <v>41</v>
      </c>
      <c r="AF413">
        <v>4</v>
      </c>
      <c r="AH413" t="s">
        <v>7097</v>
      </c>
      <c r="AI413" t="s">
        <v>7096</v>
      </c>
      <c r="AK413" t="s">
        <v>7095</v>
      </c>
      <c r="AL413">
        <v>44</v>
      </c>
      <c r="AM413" s="5">
        <f t="shared" si="58"/>
        <v>1.4666666666666666</v>
      </c>
      <c r="AN413" s="4">
        <f t="shared" si="55"/>
        <v>2.2213807901047583E-3</v>
      </c>
      <c r="AO413" s="3"/>
      <c r="AP413">
        <v>0</v>
      </c>
      <c r="AR413" t="s">
        <v>0</v>
      </c>
      <c r="AT413" s="2" t="s">
        <v>16</v>
      </c>
      <c r="AU413" s="1">
        <f t="shared" si="59"/>
        <v>2.6172941024890797</v>
      </c>
      <c r="AV413" s="1">
        <f t="shared" si="60"/>
        <v>1.9329638100666218</v>
      </c>
      <c r="AW413" s="1">
        <f t="shared" si="61"/>
        <v>1.2486335176441634</v>
      </c>
    </row>
    <row r="414" spans="1:49" x14ac:dyDescent="0.2">
      <c r="A414">
        <v>412</v>
      </c>
      <c r="B414" t="s">
        <v>7094</v>
      </c>
      <c r="C414" t="s">
        <v>7093</v>
      </c>
      <c r="F414" t="s">
        <v>7092</v>
      </c>
      <c r="G414" t="s">
        <v>12</v>
      </c>
      <c r="H414" t="s">
        <v>11</v>
      </c>
      <c r="I414" t="s">
        <v>7091</v>
      </c>
      <c r="N414">
        <v>3</v>
      </c>
      <c r="O414" t="s">
        <v>7090</v>
      </c>
      <c r="P414" t="s">
        <v>7089</v>
      </c>
      <c r="Q414" t="s">
        <v>1191</v>
      </c>
      <c r="R414" s="7">
        <v>33604</v>
      </c>
      <c r="S414" s="8">
        <f t="shared" si="56"/>
        <v>1992</v>
      </c>
      <c r="T414" s="8">
        <v>1992</v>
      </c>
      <c r="U414" s="8">
        <f t="shared" si="57"/>
        <v>30</v>
      </c>
      <c r="V414" s="7" t="s">
        <v>6975</v>
      </c>
      <c r="W414" t="s">
        <v>1367</v>
      </c>
      <c r="X414" s="2">
        <v>0.371</v>
      </c>
      <c r="Y414" s="6">
        <f t="shared" si="54"/>
        <v>9.9036331117695747E-3</v>
      </c>
      <c r="AA414">
        <v>486604</v>
      </c>
      <c r="AB414">
        <v>28580</v>
      </c>
      <c r="AC414" t="s">
        <v>1366</v>
      </c>
      <c r="AD414" t="s">
        <v>4</v>
      </c>
      <c r="AE414">
        <v>27</v>
      </c>
      <c r="AF414">
        <v>6</v>
      </c>
      <c r="AH414" t="s">
        <v>7088</v>
      </c>
      <c r="AI414" t="s">
        <v>7087</v>
      </c>
      <c r="AK414" t="s">
        <v>7086</v>
      </c>
      <c r="AL414">
        <v>9</v>
      </c>
      <c r="AM414" s="5">
        <f t="shared" si="58"/>
        <v>0.3</v>
      </c>
      <c r="AN414" s="4">
        <f t="shared" si="55"/>
        <v>4.5437334343051872E-4</v>
      </c>
      <c r="AO414" s="3"/>
      <c r="AP414">
        <v>0</v>
      </c>
      <c r="AR414" t="s">
        <v>0</v>
      </c>
      <c r="AT414" s="2">
        <v>1.431</v>
      </c>
      <c r="AU414" s="1">
        <f t="shared" si="59"/>
        <v>0.70688551812678568</v>
      </c>
      <c r="AV414" s="1">
        <f t="shared" si="60"/>
        <v>0.51790032276000475</v>
      </c>
      <c r="AW414" s="1">
        <f t="shared" si="61"/>
        <v>0.32891512739322354</v>
      </c>
    </row>
    <row r="415" spans="1:49" x14ac:dyDescent="0.2">
      <c r="A415">
        <v>413</v>
      </c>
      <c r="B415" t="s">
        <v>7085</v>
      </c>
      <c r="C415" t="s">
        <v>7084</v>
      </c>
      <c r="F415" t="s">
        <v>7083</v>
      </c>
      <c r="G415" t="s">
        <v>12</v>
      </c>
      <c r="H415" t="s">
        <v>11</v>
      </c>
      <c r="I415" t="s">
        <v>7082</v>
      </c>
      <c r="J415">
        <v>60000009</v>
      </c>
      <c r="K415" t="s">
        <v>7081</v>
      </c>
      <c r="L415" t="s">
        <v>7080</v>
      </c>
      <c r="M415" t="s">
        <v>7</v>
      </c>
      <c r="N415">
        <v>1</v>
      </c>
      <c r="O415" t="s">
        <v>7079</v>
      </c>
      <c r="P415">
        <v>35242065300</v>
      </c>
      <c r="Q415">
        <v>60000009</v>
      </c>
      <c r="R415" s="7">
        <v>33604</v>
      </c>
      <c r="S415" s="8">
        <f t="shared" si="56"/>
        <v>1992</v>
      </c>
      <c r="T415" s="8">
        <v>1992</v>
      </c>
      <c r="U415" s="8">
        <f t="shared" si="57"/>
        <v>30</v>
      </c>
      <c r="V415" s="7">
        <v>33909</v>
      </c>
      <c r="W415" t="s">
        <v>2743</v>
      </c>
      <c r="X415" s="2">
        <v>1.6379999999999999</v>
      </c>
      <c r="Y415" s="6">
        <f t="shared" si="54"/>
        <v>4.3725474493473214E-2</v>
      </c>
      <c r="AA415" t="s">
        <v>2742</v>
      </c>
      <c r="AB415">
        <v>17391</v>
      </c>
      <c r="AC415">
        <v>19410476</v>
      </c>
      <c r="AD415" t="s">
        <v>4</v>
      </c>
      <c r="AE415">
        <v>40</v>
      </c>
      <c r="AF415">
        <v>11</v>
      </c>
      <c r="AH415" t="s">
        <v>7078</v>
      </c>
      <c r="AI415" t="s">
        <v>7077</v>
      </c>
      <c r="AK415" t="s">
        <v>7076</v>
      </c>
      <c r="AL415">
        <v>20</v>
      </c>
      <c r="AM415" s="5">
        <f t="shared" si="58"/>
        <v>0.66666666666666663</v>
      </c>
      <c r="AN415" s="4">
        <f t="shared" si="55"/>
        <v>1.0097185409567082E-3</v>
      </c>
      <c r="AO415" s="3"/>
      <c r="AP415">
        <v>0</v>
      </c>
      <c r="AR415" t="s">
        <v>0</v>
      </c>
      <c r="AT415" s="2">
        <v>4.931</v>
      </c>
      <c r="AU415" s="1">
        <f t="shared" si="59"/>
        <v>3.0910747707718262</v>
      </c>
      <c r="AV415" s="1">
        <f t="shared" si="60"/>
        <v>2.236759651721496</v>
      </c>
      <c r="AW415" s="1">
        <f t="shared" si="61"/>
        <v>1.3824445326711658</v>
      </c>
    </row>
    <row r="416" spans="1:49" x14ac:dyDescent="0.2">
      <c r="A416">
        <v>414</v>
      </c>
      <c r="B416" t="s">
        <v>7075</v>
      </c>
      <c r="C416" t="s">
        <v>7074</v>
      </c>
      <c r="F416" t="s">
        <v>7073</v>
      </c>
      <c r="G416" t="s">
        <v>12</v>
      </c>
      <c r="H416" t="s">
        <v>11</v>
      </c>
      <c r="I416" t="s">
        <v>7072</v>
      </c>
      <c r="J416" t="s">
        <v>7071</v>
      </c>
      <c r="K416" t="s">
        <v>7070</v>
      </c>
      <c r="L416" t="s">
        <v>7069</v>
      </c>
      <c r="M416" t="s">
        <v>7068</v>
      </c>
      <c r="N416">
        <v>2</v>
      </c>
      <c r="O416" t="s">
        <v>7067</v>
      </c>
      <c r="P416" t="s">
        <v>7066</v>
      </c>
      <c r="Q416" t="s">
        <v>7065</v>
      </c>
      <c r="R416" s="7">
        <v>33604</v>
      </c>
      <c r="S416" s="8">
        <f t="shared" si="56"/>
        <v>1992</v>
      </c>
      <c r="T416" s="8">
        <v>1992</v>
      </c>
      <c r="U416" s="8">
        <f t="shared" si="57"/>
        <v>30</v>
      </c>
      <c r="V416" s="7">
        <v>33909</v>
      </c>
      <c r="W416" t="s">
        <v>2873</v>
      </c>
      <c r="X416" s="2">
        <v>1.365</v>
      </c>
      <c r="Y416" s="6">
        <f t="shared" si="54"/>
        <v>3.6437895411227675E-2</v>
      </c>
      <c r="AA416">
        <v>189545</v>
      </c>
      <c r="AB416">
        <v>17393</v>
      </c>
      <c r="AC416">
        <v>19399359</v>
      </c>
      <c r="AD416" t="s">
        <v>4</v>
      </c>
      <c r="AE416">
        <v>41</v>
      </c>
      <c r="AF416">
        <v>4</v>
      </c>
      <c r="AH416" t="s">
        <v>7064</v>
      </c>
      <c r="AI416" t="s">
        <v>7063</v>
      </c>
      <c r="AK416" t="s">
        <v>7062</v>
      </c>
      <c r="AL416">
        <v>73</v>
      </c>
      <c r="AM416" s="5">
        <f t="shared" si="58"/>
        <v>2.4333333333333331</v>
      </c>
      <c r="AN416" s="4">
        <f t="shared" si="55"/>
        <v>3.6854726744919852E-3</v>
      </c>
      <c r="AO416" s="3"/>
      <c r="AP416">
        <v>0</v>
      </c>
      <c r="AR416" t="s">
        <v>0</v>
      </c>
      <c r="AT416" s="2" t="s">
        <v>16</v>
      </c>
      <c r="AU416" s="1">
        <f t="shared" si="59"/>
        <v>2.6612168590206964</v>
      </c>
      <c r="AV416" s="1">
        <f t="shared" si="60"/>
        <v>2.0061684042859831</v>
      </c>
      <c r="AW416" s="1">
        <f t="shared" si="61"/>
        <v>1.3511199495512691</v>
      </c>
    </row>
    <row r="417" spans="1:49" x14ac:dyDescent="0.2">
      <c r="A417">
        <v>415</v>
      </c>
      <c r="B417" t="s">
        <v>7061</v>
      </c>
      <c r="C417" t="s">
        <v>7060</v>
      </c>
      <c r="F417" t="s">
        <v>7059</v>
      </c>
      <c r="G417" t="s">
        <v>12</v>
      </c>
      <c r="H417" t="s">
        <v>11</v>
      </c>
      <c r="I417" t="s">
        <v>7058</v>
      </c>
      <c r="J417">
        <v>60021378</v>
      </c>
      <c r="K417" t="s">
        <v>2498</v>
      </c>
      <c r="L417" t="s">
        <v>2497</v>
      </c>
      <c r="M417" t="s">
        <v>7</v>
      </c>
      <c r="N417">
        <v>3</v>
      </c>
      <c r="O417" t="s">
        <v>7057</v>
      </c>
      <c r="P417" t="s">
        <v>7056</v>
      </c>
      <c r="Q417" t="s">
        <v>2494</v>
      </c>
      <c r="R417" s="7">
        <v>33604</v>
      </c>
      <c r="S417" s="8">
        <f t="shared" si="56"/>
        <v>1992</v>
      </c>
      <c r="T417" s="8">
        <v>1992</v>
      </c>
      <c r="U417" s="8">
        <f t="shared" si="57"/>
        <v>30</v>
      </c>
      <c r="V417" s="7">
        <v>33909</v>
      </c>
      <c r="W417" t="s">
        <v>2873</v>
      </c>
      <c r="X417" s="2">
        <v>1.365</v>
      </c>
      <c r="Y417" s="6">
        <f t="shared" si="54"/>
        <v>3.6437895411227675E-2</v>
      </c>
      <c r="AA417">
        <v>189545</v>
      </c>
      <c r="AB417">
        <v>17393</v>
      </c>
      <c r="AC417">
        <v>19399359</v>
      </c>
      <c r="AD417" t="s">
        <v>4</v>
      </c>
      <c r="AE417">
        <v>41</v>
      </c>
      <c r="AF417">
        <v>4</v>
      </c>
      <c r="AH417" t="s">
        <v>7055</v>
      </c>
      <c r="AI417" t="s">
        <v>7054</v>
      </c>
      <c r="AK417" t="s">
        <v>7053</v>
      </c>
      <c r="AL417">
        <v>11</v>
      </c>
      <c r="AM417" s="5">
        <f t="shared" si="58"/>
        <v>0.36666666666666664</v>
      </c>
      <c r="AN417" s="4">
        <f t="shared" si="55"/>
        <v>5.5534519752618958E-4</v>
      </c>
      <c r="AO417" s="3"/>
      <c r="AP417">
        <v>0</v>
      </c>
      <c r="AR417" t="s">
        <v>0</v>
      </c>
      <c r="AT417" s="2" t="s">
        <v>16</v>
      </c>
      <c r="AU417" s="1">
        <f t="shared" si="59"/>
        <v>2.5673130347117228</v>
      </c>
      <c r="AV417" s="1">
        <f t="shared" si="60"/>
        <v>1.8496620304376932</v>
      </c>
      <c r="AW417" s="1">
        <f t="shared" si="61"/>
        <v>1.1320110261636633</v>
      </c>
    </row>
    <row r="418" spans="1:49" x14ac:dyDescent="0.2">
      <c r="A418">
        <v>416</v>
      </c>
      <c r="B418" t="s">
        <v>7052</v>
      </c>
      <c r="C418" t="s">
        <v>7051</v>
      </c>
      <c r="F418" t="s">
        <v>7050</v>
      </c>
      <c r="G418" t="s">
        <v>12</v>
      </c>
      <c r="H418" t="s">
        <v>11</v>
      </c>
      <c r="I418" t="s">
        <v>7049</v>
      </c>
      <c r="J418">
        <v>60014313</v>
      </c>
      <c r="K418" t="s">
        <v>100</v>
      </c>
      <c r="L418" t="s">
        <v>99</v>
      </c>
      <c r="M418" t="s">
        <v>7</v>
      </c>
      <c r="N418">
        <v>2</v>
      </c>
      <c r="O418" t="s">
        <v>7048</v>
      </c>
      <c r="P418" t="s">
        <v>7047</v>
      </c>
      <c r="Q418" t="s">
        <v>7046</v>
      </c>
      <c r="R418" s="7">
        <v>33604</v>
      </c>
      <c r="S418" s="8">
        <f t="shared" si="56"/>
        <v>1992</v>
      </c>
      <c r="T418" s="8">
        <v>1992</v>
      </c>
      <c r="U418" s="8">
        <f t="shared" si="57"/>
        <v>30</v>
      </c>
      <c r="V418" s="7">
        <v>33909</v>
      </c>
      <c r="W418" t="s">
        <v>97</v>
      </c>
      <c r="X418" s="2">
        <v>1.6519999999999999</v>
      </c>
      <c r="Y418" s="6">
        <f t="shared" si="54"/>
        <v>4.409919649769093E-2</v>
      </c>
      <c r="AA418" t="s">
        <v>96</v>
      </c>
      <c r="AB418">
        <v>17337</v>
      </c>
      <c r="AC418">
        <v>15582221</v>
      </c>
      <c r="AD418" t="s">
        <v>4</v>
      </c>
      <c r="AE418">
        <v>40</v>
      </c>
      <c r="AF418">
        <v>11</v>
      </c>
      <c r="AH418" t="s">
        <v>7045</v>
      </c>
      <c r="AI418" t="s">
        <v>7044</v>
      </c>
      <c r="AK418" t="s">
        <v>7043</v>
      </c>
      <c r="AL418">
        <v>89</v>
      </c>
      <c r="AM418" s="5">
        <f t="shared" si="58"/>
        <v>2.9666666666666668</v>
      </c>
      <c r="AN418" s="4">
        <f t="shared" si="55"/>
        <v>4.4932475072573521E-3</v>
      </c>
      <c r="AO418" s="3"/>
      <c r="AP418">
        <v>0</v>
      </c>
      <c r="AR418" t="s">
        <v>0</v>
      </c>
      <c r="AT418" s="2" t="s">
        <v>16</v>
      </c>
      <c r="AU418" s="1">
        <f t="shared" si="59"/>
        <v>3.2217411800560853</v>
      </c>
      <c r="AV418" s="1">
        <f t="shared" si="60"/>
        <v>2.4296222002474144</v>
      </c>
      <c r="AW418" s="1">
        <f t="shared" si="61"/>
        <v>1.6375032204387425</v>
      </c>
    </row>
    <row r="419" spans="1:49" x14ac:dyDescent="0.2">
      <c r="A419">
        <v>417</v>
      </c>
      <c r="B419" t="s">
        <v>7042</v>
      </c>
      <c r="C419" t="s">
        <v>7041</v>
      </c>
      <c r="F419" t="s">
        <v>7040</v>
      </c>
      <c r="G419" t="s">
        <v>12</v>
      </c>
      <c r="H419" t="s">
        <v>11</v>
      </c>
      <c r="I419" t="s">
        <v>3421</v>
      </c>
      <c r="J419">
        <v>60029311</v>
      </c>
      <c r="K419" t="s">
        <v>2144</v>
      </c>
      <c r="L419" t="s">
        <v>2073</v>
      </c>
      <c r="M419" t="s">
        <v>7</v>
      </c>
      <c r="N419">
        <v>2</v>
      </c>
      <c r="O419" t="s">
        <v>7039</v>
      </c>
      <c r="P419" t="s">
        <v>7038</v>
      </c>
      <c r="Q419" t="s">
        <v>7037</v>
      </c>
      <c r="R419" s="7">
        <v>33604</v>
      </c>
      <c r="S419" s="8">
        <f t="shared" si="56"/>
        <v>1992</v>
      </c>
      <c r="T419" s="8">
        <v>1992</v>
      </c>
      <c r="U419" s="8">
        <f t="shared" si="57"/>
        <v>30</v>
      </c>
      <c r="V419" s="7">
        <v>33909</v>
      </c>
      <c r="W419" t="s">
        <v>2743</v>
      </c>
      <c r="X419" s="2">
        <v>1.6379999999999999</v>
      </c>
      <c r="Y419" s="6">
        <f t="shared" si="54"/>
        <v>4.3725474493473214E-2</v>
      </c>
      <c r="AA419" t="s">
        <v>2742</v>
      </c>
      <c r="AB419">
        <v>17391</v>
      </c>
      <c r="AC419">
        <v>19410476</v>
      </c>
      <c r="AD419" t="s">
        <v>4</v>
      </c>
      <c r="AE419">
        <v>40</v>
      </c>
      <c r="AF419">
        <v>11</v>
      </c>
      <c r="AH419" t="s">
        <v>7036</v>
      </c>
      <c r="AI419" t="s">
        <v>7035</v>
      </c>
      <c r="AK419" t="s">
        <v>7034</v>
      </c>
      <c r="AL419">
        <v>139</v>
      </c>
      <c r="AM419" s="5">
        <f t="shared" si="58"/>
        <v>4.6333333333333337</v>
      </c>
      <c r="AN419" s="4">
        <f t="shared" si="55"/>
        <v>7.0175438596491238E-3</v>
      </c>
      <c r="AO419" s="3"/>
      <c r="AP419">
        <v>0</v>
      </c>
      <c r="AR419" t="s">
        <v>0</v>
      </c>
      <c r="AT419" s="2">
        <v>4.931</v>
      </c>
      <c r="AU419" s="1">
        <f t="shared" si="59"/>
        <v>3.2713095303325987</v>
      </c>
      <c r="AV419" s="1">
        <f t="shared" si="60"/>
        <v>2.5371509176561169</v>
      </c>
      <c r="AW419" s="1">
        <f t="shared" si="61"/>
        <v>1.802992304979635</v>
      </c>
    </row>
    <row r="420" spans="1:49" x14ac:dyDescent="0.2">
      <c r="A420">
        <v>418</v>
      </c>
      <c r="B420" t="s">
        <v>7033</v>
      </c>
      <c r="C420" t="s">
        <v>7032</v>
      </c>
      <c r="F420" t="s">
        <v>7031</v>
      </c>
      <c r="G420" t="s">
        <v>12</v>
      </c>
      <c r="H420" t="s">
        <v>11</v>
      </c>
      <c r="I420" t="s">
        <v>7030</v>
      </c>
      <c r="J420">
        <v>60030551</v>
      </c>
      <c r="K420" t="s">
        <v>2975</v>
      </c>
      <c r="L420" t="s">
        <v>2974</v>
      </c>
      <c r="M420" t="s">
        <v>7</v>
      </c>
      <c r="N420">
        <v>2</v>
      </c>
      <c r="O420" t="s">
        <v>7029</v>
      </c>
      <c r="P420" t="s">
        <v>7028</v>
      </c>
      <c r="Q420" t="s">
        <v>7027</v>
      </c>
      <c r="R420" s="7">
        <v>33604</v>
      </c>
      <c r="S420" s="8">
        <f t="shared" si="56"/>
        <v>1992</v>
      </c>
      <c r="T420" s="8">
        <v>1992</v>
      </c>
      <c r="U420" s="8">
        <f t="shared" si="57"/>
        <v>30</v>
      </c>
      <c r="V420" s="7">
        <v>33909</v>
      </c>
      <c r="W420" t="s">
        <v>97</v>
      </c>
      <c r="X420" s="2">
        <v>1.6519999999999999</v>
      </c>
      <c r="Y420" s="6">
        <f t="shared" si="54"/>
        <v>4.409919649769093E-2</v>
      </c>
      <c r="AA420" t="s">
        <v>96</v>
      </c>
      <c r="AB420">
        <v>17337</v>
      </c>
      <c r="AC420">
        <v>15582221</v>
      </c>
      <c r="AD420" t="s">
        <v>4</v>
      </c>
      <c r="AE420">
        <v>40</v>
      </c>
      <c r="AF420">
        <v>11</v>
      </c>
      <c r="AH420" t="s">
        <v>7026</v>
      </c>
      <c r="AI420" t="s">
        <v>7025</v>
      </c>
      <c r="AK420" t="s">
        <v>7024</v>
      </c>
      <c r="AL420">
        <v>189</v>
      </c>
      <c r="AM420" s="5">
        <f t="shared" si="58"/>
        <v>6.3</v>
      </c>
      <c r="AN420" s="4">
        <f t="shared" si="55"/>
        <v>9.5418402120408929E-3</v>
      </c>
      <c r="AO420" s="3"/>
      <c r="AP420">
        <v>0</v>
      </c>
      <c r="AR420" t="s">
        <v>0</v>
      </c>
      <c r="AT420" s="2" t="s">
        <v>16</v>
      </c>
      <c r="AU420" s="1">
        <f t="shared" si="59"/>
        <v>3.3731989611995914</v>
      </c>
      <c r="AV420" s="1">
        <f t="shared" si="60"/>
        <v>2.6820518354865914</v>
      </c>
      <c r="AW420" s="1">
        <f t="shared" si="61"/>
        <v>1.9909047097735901</v>
      </c>
    </row>
    <row r="421" spans="1:49" x14ac:dyDescent="0.2">
      <c r="A421">
        <v>419</v>
      </c>
      <c r="B421" t="s">
        <v>7023</v>
      </c>
      <c r="C421" t="s">
        <v>7022</v>
      </c>
      <c r="F421" t="s">
        <v>7021</v>
      </c>
      <c r="G421" t="s">
        <v>12</v>
      </c>
      <c r="H421" t="s">
        <v>11</v>
      </c>
      <c r="I421" t="s">
        <v>7020</v>
      </c>
      <c r="N421">
        <v>3</v>
      </c>
      <c r="O421" t="s">
        <v>7019</v>
      </c>
      <c r="P421" t="s">
        <v>7018</v>
      </c>
      <c r="Q421" t="s">
        <v>1191</v>
      </c>
      <c r="R421" s="7">
        <v>33604</v>
      </c>
      <c r="S421" s="8">
        <f t="shared" si="56"/>
        <v>1992</v>
      </c>
      <c r="T421" s="8">
        <v>1992</v>
      </c>
      <c r="U421" s="8">
        <f t="shared" si="57"/>
        <v>30</v>
      </c>
      <c r="V421" s="7" t="s">
        <v>6975</v>
      </c>
      <c r="W421" t="s">
        <v>1367</v>
      </c>
      <c r="X421" s="2">
        <v>0.371</v>
      </c>
      <c r="Y421" s="6">
        <f t="shared" si="54"/>
        <v>9.9036331117695747E-3</v>
      </c>
      <c r="AA421">
        <v>486604</v>
      </c>
      <c r="AB421">
        <v>28580</v>
      </c>
      <c r="AC421" t="s">
        <v>1366</v>
      </c>
      <c r="AD421" t="s">
        <v>4</v>
      </c>
      <c r="AE421">
        <v>27</v>
      </c>
      <c r="AF421">
        <v>6</v>
      </c>
      <c r="AH421" t="s">
        <v>7017</v>
      </c>
      <c r="AI421" t="s">
        <v>7016</v>
      </c>
      <c r="AK421" t="s">
        <v>7015</v>
      </c>
      <c r="AL421">
        <v>35</v>
      </c>
      <c r="AM421" s="5">
        <f t="shared" si="58"/>
        <v>1.1666666666666667</v>
      </c>
      <c r="AN421" s="4">
        <f t="shared" si="55"/>
        <v>1.7670074466742396E-3</v>
      </c>
      <c r="AO421" s="3"/>
      <c r="AP421">
        <v>0</v>
      </c>
      <c r="AR421" t="s">
        <v>0</v>
      </c>
      <c r="AT421" s="2">
        <v>1.431</v>
      </c>
      <c r="AU421" s="1">
        <f t="shared" si="59"/>
        <v>0.74626454122409736</v>
      </c>
      <c r="AV421" s="1">
        <f t="shared" si="60"/>
        <v>0.58353202792219072</v>
      </c>
      <c r="AW421" s="1">
        <f t="shared" si="61"/>
        <v>0.42079951462028409</v>
      </c>
    </row>
    <row r="422" spans="1:49" x14ac:dyDescent="0.2">
      <c r="A422">
        <v>420</v>
      </c>
      <c r="B422" t="s">
        <v>7014</v>
      </c>
      <c r="C422" t="s">
        <v>7013</v>
      </c>
      <c r="F422" t="s">
        <v>7012</v>
      </c>
      <c r="G422" t="s">
        <v>12</v>
      </c>
      <c r="H422" t="s">
        <v>11</v>
      </c>
      <c r="I422" t="s">
        <v>7011</v>
      </c>
      <c r="J422">
        <v>60003500</v>
      </c>
      <c r="K422" t="s">
        <v>1690</v>
      </c>
      <c r="L422" t="s">
        <v>1689</v>
      </c>
      <c r="M422" t="s">
        <v>7</v>
      </c>
      <c r="N422">
        <v>2</v>
      </c>
      <c r="O422" t="s">
        <v>7010</v>
      </c>
      <c r="P422" t="s">
        <v>7009</v>
      </c>
      <c r="Q422" t="s">
        <v>7008</v>
      </c>
      <c r="R422" s="7">
        <v>33604</v>
      </c>
      <c r="S422" s="8">
        <f t="shared" si="56"/>
        <v>1992</v>
      </c>
      <c r="T422" s="8">
        <v>1992</v>
      </c>
      <c r="U422" s="8">
        <f t="shared" si="57"/>
        <v>30</v>
      </c>
      <c r="V422" s="7">
        <v>33909</v>
      </c>
      <c r="W422" t="s">
        <v>97</v>
      </c>
      <c r="X422" s="2">
        <v>1.6519999999999999</v>
      </c>
      <c r="Y422" s="6">
        <f t="shared" si="54"/>
        <v>4.409919649769093E-2</v>
      </c>
      <c r="AA422" t="s">
        <v>96</v>
      </c>
      <c r="AB422">
        <v>17337</v>
      </c>
      <c r="AC422">
        <v>15582221</v>
      </c>
      <c r="AD422" t="s">
        <v>4</v>
      </c>
      <c r="AE422">
        <v>40</v>
      </c>
      <c r="AF422">
        <v>11</v>
      </c>
      <c r="AH422" t="s">
        <v>7007</v>
      </c>
      <c r="AI422" t="s">
        <v>7006</v>
      </c>
      <c r="AK422" t="s">
        <v>7005</v>
      </c>
      <c r="AL422">
        <v>31</v>
      </c>
      <c r="AM422" s="5">
        <f t="shared" si="58"/>
        <v>1.0333333333333334</v>
      </c>
      <c r="AN422" s="4">
        <f t="shared" si="55"/>
        <v>1.5650637384828981E-3</v>
      </c>
      <c r="AO422" s="3"/>
      <c r="AP422">
        <v>0</v>
      </c>
      <c r="AR422" t="s">
        <v>0</v>
      </c>
      <c r="AT422" s="2" t="s">
        <v>16</v>
      </c>
      <c r="AU422" s="1">
        <f t="shared" si="59"/>
        <v>3.1338956669928515</v>
      </c>
      <c r="AV422" s="1">
        <f t="shared" si="60"/>
        <v>2.2832130118086913</v>
      </c>
      <c r="AW422" s="1">
        <f t="shared" si="61"/>
        <v>1.4325303566245307</v>
      </c>
    </row>
    <row r="423" spans="1:49" x14ac:dyDescent="0.2">
      <c r="A423">
        <v>421</v>
      </c>
      <c r="B423" t="s">
        <v>7004</v>
      </c>
      <c r="C423" t="s">
        <v>7003</v>
      </c>
      <c r="F423" t="s">
        <v>7002</v>
      </c>
      <c r="G423" t="s">
        <v>12</v>
      </c>
      <c r="H423" t="s">
        <v>11</v>
      </c>
      <c r="I423" t="s">
        <v>7001</v>
      </c>
      <c r="J423">
        <v>60000745</v>
      </c>
      <c r="K423" t="s">
        <v>1235</v>
      </c>
      <c r="L423" t="s">
        <v>1234</v>
      </c>
      <c r="M423" t="s">
        <v>7</v>
      </c>
      <c r="N423">
        <v>3</v>
      </c>
      <c r="O423" t="s">
        <v>7000</v>
      </c>
      <c r="P423" t="s">
        <v>6999</v>
      </c>
      <c r="Q423" t="s">
        <v>6998</v>
      </c>
      <c r="R423" s="7">
        <v>33604</v>
      </c>
      <c r="S423" s="8">
        <f t="shared" si="56"/>
        <v>1992</v>
      </c>
      <c r="T423" s="8">
        <v>1992</v>
      </c>
      <c r="U423" s="8">
        <f t="shared" si="57"/>
        <v>30</v>
      </c>
      <c r="V423" s="7">
        <v>33909</v>
      </c>
      <c r="W423" t="s">
        <v>97</v>
      </c>
      <c r="X423" s="2">
        <v>1.6519999999999999</v>
      </c>
      <c r="Y423" s="6">
        <f t="shared" si="54"/>
        <v>4.409919649769093E-2</v>
      </c>
      <c r="AA423" t="s">
        <v>96</v>
      </c>
      <c r="AB423">
        <v>17337</v>
      </c>
      <c r="AC423">
        <v>15582221</v>
      </c>
      <c r="AD423" t="s">
        <v>4</v>
      </c>
      <c r="AE423">
        <v>40</v>
      </c>
      <c r="AF423">
        <v>11</v>
      </c>
      <c r="AH423" t="s">
        <v>6997</v>
      </c>
      <c r="AI423" t="s">
        <v>6996</v>
      </c>
      <c r="AK423" t="s">
        <v>6995</v>
      </c>
      <c r="AL423">
        <v>3</v>
      </c>
      <c r="AM423" s="5">
        <f t="shared" si="58"/>
        <v>0.1</v>
      </c>
      <c r="AN423" s="4">
        <f t="shared" si="55"/>
        <v>1.5145778114350627E-4</v>
      </c>
      <c r="AO423" s="3"/>
      <c r="AP423">
        <v>0</v>
      </c>
      <c r="AR423" t="s">
        <v>0</v>
      </c>
      <c r="AT423" s="2" t="s">
        <v>16</v>
      </c>
      <c r="AU423" s="1">
        <f t="shared" si="59"/>
        <v>3.0914874882726702</v>
      </c>
      <c r="AV423" s="1">
        <f t="shared" si="60"/>
        <v>2.2125327139417217</v>
      </c>
      <c r="AW423" s="1">
        <f t="shared" si="61"/>
        <v>1.3335779396107732</v>
      </c>
    </row>
    <row r="424" spans="1:49" x14ac:dyDescent="0.2">
      <c r="A424">
        <v>422</v>
      </c>
      <c r="B424" t="s">
        <v>6994</v>
      </c>
      <c r="C424" t="s">
        <v>6993</v>
      </c>
      <c r="F424" t="s">
        <v>6992</v>
      </c>
      <c r="G424" t="s">
        <v>12</v>
      </c>
      <c r="H424" t="s">
        <v>11</v>
      </c>
      <c r="I424" t="s">
        <v>6991</v>
      </c>
      <c r="J424">
        <v>60009506</v>
      </c>
      <c r="K424" t="s">
        <v>6990</v>
      </c>
      <c r="L424" t="s">
        <v>6989</v>
      </c>
      <c r="M424" t="s">
        <v>6988</v>
      </c>
      <c r="N424">
        <v>2</v>
      </c>
      <c r="O424" t="s">
        <v>6987</v>
      </c>
      <c r="P424" t="s">
        <v>6986</v>
      </c>
      <c r="Q424" t="s">
        <v>6985</v>
      </c>
      <c r="R424" s="7">
        <v>33604</v>
      </c>
      <c r="S424" s="8">
        <f t="shared" si="56"/>
        <v>1992</v>
      </c>
      <c r="T424" s="8">
        <v>1992</v>
      </c>
      <c r="U424" s="8">
        <f t="shared" si="57"/>
        <v>30</v>
      </c>
      <c r="V424" s="7">
        <v>33909</v>
      </c>
      <c r="W424" t="s">
        <v>97</v>
      </c>
      <c r="X424" s="2">
        <v>1.6519999999999999</v>
      </c>
      <c r="Y424" s="6">
        <f t="shared" si="54"/>
        <v>4.409919649769093E-2</v>
      </c>
      <c r="AA424" t="s">
        <v>96</v>
      </c>
      <c r="AB424">
        <v>17337</v>
      </c>
      <c r="AC424">
        <v>15582221</v>
      </c>
      <c r="AD424" t="s">
        <v>4</v>
      </c>
      <c r="AE424">
        <v>40</v>
      </c>
      <c r="AF424">
        <v>11</v>
      </c>
      <c r="AH424" t="s">
        <v>6984</v>
      </c>
      <c r="AI424" t="s">
        <v>6983</v>
      </c>
      <c r="AK424" t="s">
        <v>6982</v>
      </c>
      <c r="AL424">
        <v>9</v>
      </c>
      <c r="AM424" s="5">
        <f t="shared" si="58"/>
        <v>0.3</v>
      </c>
      <c r="AN424" s="4">
        <f t="shared" si="55"/>
        <v>4.5437334343051872E-4</v>
      </c>
      <c r="AO424" s="3"/>
      <c r="AP424">
        <v>0</v>
      </c>
      <c r="AR424" t="s">
        <v>0</v>
      </c>
      <c r="AT424" s="2" t="s">
        <v>16</v>
      </c>
      <c r="AU424" s="1">
        <f t="shared" si="59"/>
        <v>3.1005749551412807</v>
      </c>
      <c r="AV424" s="1">
        <f t="shared" si="60"/>
        <v>2.2276784920560724</v>
      </c>
      <c r="AW424" s="1">
        <f t="shared" si="61"/>
        <v>1.3547820289708641</v>
      </c>
    </row>
    <row r="425" spans="1:49" x14ac:dyDescent="0.2">
      <c r="A425">
        <v>423</v>
      </c>
      <c r="B425" t="s">
        <v>6981</v>
      </c>
      <c r="C425" t="s">
        <v>6980</v>
      </c>
      <c r="F425" t="s">
        <v>6979</v>
      </c>
      <c r="G425" t="s">
        <v>12</v>
      </c>
      <c r="H425" t="s">
        <v>11</v>
      </c>
      <c r="I425" t="s">
        <v>6978</v>
      </c>
      <c r="N425">
        <v>3</v>
      </c>
      <c r="O425" t="s">
        <v>6977</v>
      </c>
      <c r="P425" t="s">
        <v>6976</v>
      </c>
      <c r="Q425" t="s">
        <v>1191</v>
      </c>
      <c r="R425" s="7">
        <v>33604</v>
      </c>
      <c r="S425" s="8">
        <f t="shared" si="56"/>
        <v>1992</v>
      </c>
      <c r="T425" s="8">
        <v>1992</v>
      </c>
      <c r="U425" s="8">
        <f t="shared" si="57"/>
        <v>30</v>
      </c>
      <c r="V425" s="7" t="s">
        <v>6975</v>
      </c>
      <c r="W425" t="s">
        <v>1367</v>
      </c>
      <c r="X425" s="2">
        <v>0.371</v>
      </c>
      <c r="Y425" s="6">
        <f t="shared" si="54"/>
        <v>9.9036331117695747E-3</v>
      </c>
      <c r="AA425">
        <v>486604</v>
      </c>
      <c r="AB425">
        <v>28580</v>
      </c>
      <c r="AC425" t="s">
        <v>1366</v>
      </c>
      <c r="AD425" t="s">
        <v>4</v>
      </c>
      <c r="AE425">
        <v>27</v>
      </c>
      <c r="AF425">
        <v>6</v>
      </c>
      <c r="AH425" t="s">
        <v>6974</v>
      </c>
      <c r="AI425" t="s">
        <v>6973</v>
      </c>
      <c r="AK425" t="s">
        <v>6972</v>
      </c>
      <c r="AL425">
        <v>5</v>
      </c>
      <c r="AM425" s="5">
        <f t="shared" si="58"/>
        <v>0.16666666666666666</v>
      </c>
      <c r="AN425" s="4">
        <f t="shared" si="55"/>
        <v>2.5242963523917705E-4</v>
      </c>
      <c r="AO425" s="3"/>
      <c r="AP425">
        <v>0</v>
      </c>
      <c r="AR425" t="s">
        <v>0</v>
      </c>
      <c r="AT425" s="2">
        <v>1.431</v>
      </c>
      <c r="AU425" s="1">
        <f t="shared" si="59"/>
        <v>0.70082720688104549</v>
      </c>
      <c r="AV425" s="1">
        <f t="shared" si="60"/>
        <v>0.50780313735043758</v>
      </c>
      <c r="AW425" s="1">
        <f t="shared" si="61"/>
        <v>0.31477906781982962</v>
      </c>
    </row>
    <row r="426" spans="1:49" x14ac:dyDescent="0.2">
      <c r="A426">
        <v>424</v>
      </c>
      <c r="B426" t="s">
        <v>6971</v>
      </c>
      <c r="C426" t="s">
        <v>6970</v>
      </c>
      <c r="F426" t="s">
        <v>6969</v>
      </c>
      <c r="G426" t="s">
        <v>12</v>
      </c>
      <c r="H426" t="s">
        <v>11</v>
      </c>
      <c r="I426" t="s">
        <v>6968</v>
      </c>
      <c r="J426">
        <v>60015138</v>
      </c>
      <c r="K426" t="s">
        <v>6967</v>
      </c>
      <c r="L426" t="s">
        <v>6966</v>
      </c>
      <c r="M426" t="s">
        <v>856</v>
      </c>
      <c r="N426">
        <v>4</v>
      </c>
      <c r="O426" t="s">
        <v>6965</v>
      </c>
      <c r="P426" t="s">
        <v>6964</v>
      </c>
      <c r="Q426" t="s">
        <v>6963</v>
      </c>
      <c r="R426" s="7">
        <v>33604</v>
      </c>
      <c r="S426" s="8">
        <f t="shared" si="56"/>
        <v>1992</v>
      </c>
      <c r="T426" s="8">
        <v>1992</v>
      </c>
      <c r="U426" s="8">
        <f t="shared" si="57"/>
        <v>30</v>
      </c>
      <c r="V426" s="7" t="s">
        <v>6756</v>
      </c>
      <c r="W426" s="11" t="s">
        <v>2809</v>
      </c>
      <c r="X426" s="2">
        <v>2.383</v>
      </c>
      <c r="Y426" s="6">
        <f t="shared" si="54"/>
        <v>6.3612824003630442E-2</v>
      </c>
      <c r="AA426" t="s">
        <v>2808</v>
      </c>
      <c r="AB426">
        <v>96433</v>
      </c>
      <c r="AD426" t="s">
        <v>4</v>
      </c>
      <c r="AE426">
        <v>139</v>
      </c>
      <c r="AF426">
        <v>5</v>
      </c>
      <c r="AH426" t="s">
        <v>6962</v>
      </c>
      <c r="AI426" t="s">
        <v>6961</v>
      </c>
      <c r="AK426" t="s">
        <v>6960</v>
      </c>
      <c r="AL426">
        <v>19</v>
      </c>
      <c r="AM426" s="5">
        <f t="shared" si="58"/>
        <v>0.6333333333333333</v>
      </c>
      <c r="AN426" s="4">
        <f t="shared" si="55"/>
        <v>9.5923261390887281E-4</v>
      </c>
      <c r="AO426" s="3"/>
      <c r="AP426">
        <v>0</v>
      </c>
      <c r="AR426" t="s">
        <v>0</v>
      </c>
      <c r="AT426" s="2" t="s">
        <v>16</v>
      </c>
      <c r="AU426" s="1">
        <f t="shared" si="59"/>
        <v>4.4816746586713974</v>
      </c>
      <c r="AV426" s="1">
        <f t="shared" si="60"/>
        <v>3.2286028308769659</v>
      </c>
      <c r="AW426" s="1">
        <f t="shared" si="61"/>
        <v>1.9755310030825344</v>
      </c>
    </row>
    <row r="427" spans="1:49" x14ac:dyDescent="0.2">
      <c r="A427">
        <v>425</v>
      </c>
      <c r="B427" t="s">
        <v>6959</v>
      </c>
      <c r="C427" t="s">
        <v>6958</v>
      </c>
      <c r="F427" t="s">
        <v>6957</v>
      </c>
      <c r="G427" t="s">
        <v>12</v>
      </c>
      <c r="H427" t="s">
        <v>11</v>
      </c>
      <c r="I427" t="s">
        <v>4327</v>
      </c>
      <c r="J427">
        <v>60009658</v>
      </c>
      <c r="K427" t="s">
        <v>4326</v>
      </c>
      <c r="L427" t="s">
        <v>4325</v>
      </c>
      <c r="M427" t="s">
        <v>856</v>
      </c>
      <c r="N427">
        <v>1</v>
      </c>
      <c r="O427" t="s">
        <v>4324</v>
      </c>
      <c r="P427">
        <v>57213425197</v>
      </c>
      <c r="Q427">
        <v>60009658</v>
      </c>
      <c r="R427" s="7">
        <v>33604</v>
      </c>
      <c r="S427" s="8">
        <f t="shared" si="56"/>
        <v>1992</v>
      </c>
      <c r="T427" s="8">
        <v>1992</v>
      </c>
      <c r="U427" s="8">
        <f t="shared" si="57"/>
        <v>30</v>
      </c>
      <c r="V427" s="7" t="s">
        <v>6756</v>
      </c>
      <c r="W427" s="11" t="s">
        <v>2692</v>
      </c>
      <c r="X427" s="2">
        <v>2.383</v>
      </c>
      <c r="Y427" s="6">
        <f t="shared" si="54"/>
        <v>6.3612824003630442E-2</v>
      </c>
      <c r="AA427" t="s">
        <v>2691</v>
      </c>
      <c r="AB427">
        <v>101151</v>
      </c>
      <c r="AD427" t="s">
        <v>4</v>
      </c>
      <c r="AE427">
        <v>139</v>
      </c>
      <c r="AF427">
        <v>5</v>
      </c>
      <c r="AH427" t="s">
        <v>6956</v>
      </c>
      <c r="AI427" t="s">
        <v>6955</v>
      </c>
      <c r="AK427" t="s">
        <v>6954</v>
      </c>
      <c r="AL427">
        <v>18</v>
      </c>
      <c r="AM427" s="5">
        <f t="shared" si="58"/>
        <v>0.6</v>
      </c>
      <c r="AN427" s="4">
        <f t="shared" si="55"/>
        <v>9.0874668686103744E-4</v>
      </c>
      <c r="AO427" s="3"/>
      <c r="AP427">
        <v>0</v>
      </c>
      <c r="AR427" t="s">
        <v>0</v>
      </c>
      <c r="AT427" s="2" t="s">
        <v>16</v>
      </c>
      <c r="AU427" s="1">
        <f t="shared" si="59"/>
        <v>4.480160080859962</v>
      </c>
      <c r="AV427" s="1">
        <f t="shared" si="60"/>
        <v>3.2260785345245742</v>
      </c>
      <c r="AW427" s="1">
        <f t="shared" si="61"/>
        <v>1.9719969881891859</v>
      </c>
    </row>
    <row r="428" spans="1:49" x14ac:dyDescent="0.2">
      <c r="A428">
        <v>426</v>
      </c>
      <c r="B428" t="s">
        <v>6953</v>
      </c>
      <c r="C428" t="s">
        <v>6952</v>
      </c>
      <c r="F428" t="s">
        <v>6951</v>
      </c>
      <c r="G428" t="s">
        <v>12</v>
      </c>
      <c r="H428" t="s">
        <v>11</v>
      </c>
      <c r="I428" t="s">
        <v>6950</v>
      </c>
      <c r="J428">
        <v>60030162</v>
      </c>
      <c r="K428" t="s">
        <v>6949</v>
      </c>
      <c r="L428" t="s">
        <v>6948</v>
      </c>
      <c r="M428" t="s">
        <v>7</v>
      </c>
      <c r="N428">
        <v>4</v>
      </c>
      <c r="O428" t="s">
        <v>6947</v>
      </c>
      <c r="P428" t="s">
        <v>6946</v>
      </c>
      <c r="Q428" t="s">
        <v>6945</v>
      </c>
      <c r="R428" s="7">
        <v>33604</v>
      </c>
      <c r="S428" s="8">
        <f t="shared" si="56"/>
        <v>1992</v>
      </c>
      <c r="T428" s="8">
        <v>1992</v>
      </c>
      <c r="U428" s="8">
        <f t="shared" si="57"/>
        <v>30</v>
      </c>
      <c r="V428" s="7">
        <v>1992</v>
      </c>
      <c r="W428" t="s">
        <v>5046</v>
      </c>
      <c r="X428" s="2">
        <v>0.66100000000000003</v>
      </c>
      <c r="Y428" s="6">
        <f t="shared" si="54"/>
        <v>1.7645017484850912E-2</v>
      </c>
      <c r="AA428">
        <v>189197</v>
      </c>
      <c r="AB428">
        <v>26022</v>
      </c>
      <c r="AC428">
        <v>15581713</v>
      </c>
      <c r="AD428" t="s">
        <v>4</v>
      </c>
      <c r="AE428">
        <v>28</v>
      </c>
      <c r="AF428">
        <v>10</v>
      </c>
      <c r="AH428" t="s">
        <v>6944</v>
      </c>
      <c r="AI428" t="s">
        <v>6943</v>
      </c>
      <c r="AK428" t="s">
        <v>6942</v>
      </c>
      <c r="AL428">
        <v>63</v>
      </c>
      <c r="AM428" s="5">
        <f t="shared" si="58"/>
        <v>2.1</v>
      </c>
      <c r="AN428" s="4">
        <f t="shared" si="55"/>
        <v>3.1806134040136312E-3</v>
      </c>
      <c r="AO428" s="3"/>
      <c r="AP428">
        <v>0</v>
      </c>
      <c r="AQ428" t="s">
        <v>6941</v>
      </c>
      <c r="AR428" t="s">
        <v>0</v>
      </c>
      <c r="AS428" t="s">
        <v>6940</v>
      </c>
      <c r="AT428" s="2">
        <v>2.3180000000000001</v>
      </c>
      <c r="AU428" s="1">
        <f t="shared" si="59"/>
        <v>1.3305696260599726</v>
      </c>
      <c r="AV428" s="1">
        <f t="shared" si="60"/>
        <v>1.0412815444432271</v>
      </c>
      <c r="AW428" s="1">
        <f t="shared" si="61"/>
        <v>0.75199346282648161</v>
      </c>
    </row>
    <row r="429" spans="1:49" x14ac:dyDescent="0.2">
      <c r="A429">
        <v>427</v>
      </c>
      <c r="B429" t="s">
        <v>6939</v>
      </c>
      <c r="C429" t="s">
        <v>6938</v>
      </c>
      <c r="F429" t="s">
        <v>6937</v>
      </c>
      <c r="G429" t="s">
        <v>12</v>
      </c>
      <c r="H429" t="s">
        <v>11</v>
      </c>
      <c r="I429" t="s">
        <v>6936</v>
      </c>
      <c r="J429">
        <v>60008609</v>
      </c>
      <c r="K429" t="s">
        <v>2135</v>
      </c>
      <c r="L429" t="s">
        <v>2134</v>
      </c>
      <c r="M429" t="s">
        <v>7</v>
      </c>
      <c r="N429">
        <v>3</v>
      </c>
      <c r="O429" t="s">
        <v>6935</v>
      </c>
      <c r="P429" t="s">
        <v>6934</v>
      </c>
      <c r="Q429" t="s">
        <v>6933</v>
      </c>
      <c r="R429" s="7">
        <v>33604</v>
      </c>
      <c r="S429" s="8">
        <f t="shared" si="56"/>
        <v>1992</v>
      </c>
      <c r="T429" s="8">
        <v>1992</v>
      </c>
      <c r="U429" s="8">
        <f t="shared" si="57"/>
        <v>30</v>
      </c>
      <c r="V429" s="7">
        <v>33878</v>
      </c>
      <c r="W429" t="s">
        <v>1458</v>
      </c>
      <c r="X429" s="2">
        <v>0.30399999999999999</v>
      </c>
      <c r="Y429" s="6">
        <f t="shared" si="54"/>
        <v>8.115106377299057E-3</v>
      </c>
      <c r="AA429">
        <v>8952477</v>
      </c>
      <c r="AB429">
        <v>12250</v>
      </c>
      <c r="AC429">
        <v>10982760</v>
      </c>
      <c r="AD429" t="s">
        <v>4</v>
      </c>
      <c r="AE429">
        <v>5</v>
      </c>
      <c r="AF429">
        <v>11</v>
      </c>
      <c r="AH429" t="s">
        <v>6932</v>
      </c>
      <c r="AI429" t="s">
        <v>6931</v>
      </c>
      <c r="AJ429" t="s">
        <v>6930</v>
      </c>
      <c r="AK429" t="s">
        <v>6929</v>
      </c>
      <c r="AL429">
        <v>3</v>
      </c>
      <c r="AM429" s="5">
        <f t="shared" si="58"/>
        <v>0.1</v>
      </c>
      <c r="AN429" s="4">
        <f t="shared" si="55"/>
        <v>1.5145778114350627E-4</v>
      </c>
      <c r="AO429" s="3"/>
      <c r="AP429">
        <v>0</v>
      </c>
      <c r="AR429" t="s">
        <v>0</v>
      </c>
      <c r="AT429" s="2" t="s">
        <v>16</v>
      </c>
      <c r="AU429" s="1">
        <f t="shared" si="59"/>
        <v>0.57260117984523917</v>
      </c>
      <c r="AV429" s="1">
        <f t="shared" si="60"/>
        <v>0.41332820792212815</v>
      </c>
      <c r="AW429" s="1">
        <f t="shared" si="61"/>
        <v>0.25405523599901714</v>
      </c>
    </row>
    <row r="430" spans="1:49" x14ac:dyDescent="0.2">
      <c r="A430">
        <v>428</v>
      </c>
      <c r="B430" t="s">
        <v>6928</v>
      </c>
      <c r="C430" t="s">
        <v>6927</v>
      </c>
      <c r="F430" t="s">
        <v>6926</v>
      </c>
      <c r="G430" t="s">
        <v>12</v>
      </c>
      <c r="H430" t="s">
        <v>11</v>
      </c>
      <c r="I430" t="s">
        <v>6925</v>
      </c>
      <c r="J430" t="s">
        <v>6924</v>
      </c>
      <c r="K430" t="s">
        <v>6923</v>
      </c>
      <c r="L430" t="s">
        <v>6922</v>
      </c>
      <c r="M430" t="s">
        <v>904</v>
      </c>
      <c r="N430">
        <v>4</v>
      </c>
      <c r="O430" t="s">
        <v>6921</v>
      </c>
      <c r="P430" t="s">
        <v>6920</v>
      </c>
      <c r="Q430" t="s">
        <v>6919</v>
      </c>
      <c r="R430" s="7">
        <v>33604</v>
      </c>
      <c r="S430" s="8">
        <f t="shared" si="56"/>
        <v>1992</v>
      </c>
      <c r="T430" s="8">
        <v>1992</v>
      </c>
      <c r="U430" s="8">
        <f t="shared" si="57"/>
        <v>30</v>
      </c>
      <c r="V430" s="7">
        <v>33878</v>
      </c>
      <c r="W430" t="s">
        <v>1458</v>
      </c>
      <c r="X430" s="2">
        <v>0.30399999999999999</v>
      </c>
      <c r="Y430" s="6">
        <f t="shared" si="54"/>
        <v>8.115106377299057E-3</v>
      </c>
      <c r="AA430">
        <v>8952477</v>
      </c>
      <c r="AB430">
        <v>12250</v>
      </c>
      <c r="AC430">
        <v>10982760</v>
      </c>
      <c r="AD430" t="s">
        <v>4</v>
      </c>
      <c r="AE430">
        <v>5</v>
      </c>
      <c r="AF430">
        <v>11</v>
      </c>
      <c r="AH430" t="s">
        <v>6918</v>
      </c>
      <c r="AI430" t="s">
        <v>6917</v>
      </c>
      <c r="AJ430" t="s">
        <v>6916</v>
      </c>
      <c r="AK430" t="s">
        <v>6915</v>
      </c>
      <c r="AL430">
        <v>2</v>
      </c>
      <c r="AM430" s="5">
        <f t="shared" si="58"/>
        <v>6.6666666666666666E-2</v>
      </c>
      <c r="AN430" s="4">
        <f t="shared" si="55"/>
        <v>1.0097185409567084E-4</v>
      </c>
      <c r="AO430" s="3"/>
      <c r="AP430">
        <v>0</v>
      </c>
      <c r="AR430" t="s">
        <v>0</v>
      </c>
      <c r="AT430" s="2" t="s">
        <v>16</v>
      </c>
      <c r="AU430" s="1">
        <f t="shared" si="59"/>
        <v>0.57108660203380401</v>
      </c>
      <c r="AV430" s="1">
        <f t="shared" si="60"/>
        <v>0.41080391156973639</v>
      </c>
      <c r="AW430" s="1">
        <f t="shared" si="61"/>
        <v>0.25052122110566866</v>
      </c>
    </row>
    <row r="431" spans="1:49" x14ac:dyDescent="0.2">
      <c r="A431">
        <v>429</v>
      </c>
      <c r="B431" t="s">
        <v>6914</v>
      </c>
      <c r="C431" t="s">
        <v>6913</v>
      </c>
      <c r="F431" t="s">
        <v>6912</v>
      </c>
      <c r="G431" t="s">
        <v>12</v>
      </c>
      <c r="H431" t="s">
        <v>11</v>
      </c>
      <c r="I431" t="s">
        <v>6911</v>
      </c>
      <c r="J431">
        <v>60006925</v>
      </c>
      <c r="K431" t="s">
        <v>6910</v>
      </c>
      <c r="L431" t="s">
        <v>868</v>
      </c>
      <c r="M431" t="s">
        <v>2620</v>
      </c>
      <c r="N431">
        <v>2</v>
      </c>
      <c r="O431" t="s">
        <v>6909</v>
      </c>
      <c r="P431" t="s">
        <v>6908</v>
      </c>
      <c r="Q431" t="s">
        <v>6907</v>
      </c>
      <c r="R431" s="7">
        <v>33604</v>
      </c>
      <c r="S431" s="8">
        <f t="shared" si="56"/>
        <v>1992</v>
      </c>
      <c r="T431" s="8">
        <v>1992</v>
      </c>
      <c r="U431" s="8">
        <f t="shared" si="57"/>
        <v>30</v>
      </c>
      <c r="V431" s="7" t="s">
        <v>6756</v>
      </c>
      <c r="W431" s="11" t="s">
        <v>2692</v>
      </c>
      <c r="X431" s="2">
        <v>2.383</v>
      </c>
      <c r="Y431" s="6">
        <f t="shared" si="54"/>
        <v>6.3612824003630442E-2</v>
      </c>
      <c r="AA431" t="s">
        <v>2691</v>
      </c>
      <c r="AB431">
        <v>101151</v>
      </c>
      <c r="AD431" t="s">
        <v>4</v>
      </c>
      <c r="AE431">
        <v>139</v>
      </c>
      <c r="AF431">
        <v>5</v>
      </c>
      <c r="AH431" t="s">
        <v>6906</v>
      </c>
      <c r="AI431" t="s">
        <v>6905</v>
      </c>
      <c r="AK431" t="s">
        <v>6904</v>
      </c>
      <c r="AL431">
        <v>16</v>
      </c>
      <c r="AM431" s="5">
        <f t="shared" si="58"/>
        <v>0.53333333333333333</v>
      </c>
      <c r="AN431" s="4">
        <f t="shared" si="55"/>
        <v>8.0777483276536668E-4</v>
      </c>
      <c r="AO431" s="3"/>
      <c r="AP431">
        <v>0</v>
      </c>
      <c r="AR431" t="s">
        <v>0</v>
      </c>
      <c r="AT431" s="2" t="s">
        <v>16</v>
      </c>
      <c r="AU431" s="1">
        <f t="shared" si="59"/>
        <v>4.4771309252370921</v>
      </c>
      <c r="AV431" s="1">
        <f t="shared" si="60"/>
        <v>3.2210299418197903</v>
      </c>
      <c r="AW431" s="1">
        <f t="shared" si="61"/>
        <v>1.9649289584024887</v>
      </c>
    </row>
    <row r="432" spans="1:49" x14ac:dyDescent="0.2">
      <c r="A432">
        <v>430</v>
      </c>
      <c r="B432" t="s">
        <v>6903</v>
      </c>
      <c r="C432" t="s">
        <v>6902</v>
      </c>
      <c r="F432" t="s">
        <v>6901</v>
      </c>
      <c r="G432" t="s">
        <v>12</v>
      </c>
      <c r="H432" t="s">
        <v>11</v>
      </c>
      <c r="I432" t="s">
        <v>6900</v>
      </c>
      <c r="J432" t="s">
        <v>6899</v>
      </c>
      <c r="K432" t="s">
        <v>6898</v>
      </c>
      <c r="L432" t="s">
        <v>6897</v>
      </c>
      <c r="M432" t="s">
        <v>125</v>
      </c>
      <c r="N432">
        <v>3</v>
      </c>
      <c r="O432" t="s">
        <v>6896</v>
      </c>
      <c r="P432" t="s">
        <v>6895</v>
      </c>
      <c r="Q432" t="s">
        <v>6894</v>
      </c>
      <c r="R432" s="7">
        <v>33604</v>
      </c>
      <c r="S432" s="8">
        <f t="shared" si="56"/>
        <v>1992</v>
      </c>
      <c r="T432" s="8">
        <v>1992</v>
      </c>
      <c r="U432" s="8">
        <f t="shared" si="57"/>
        <v>30</v>
      </c>
      <c r="V432" s="7">
        <v>33878</v>
      </c>
      <c r="W432" t="s">
        <v>1743</v>
      </c>
      <c r="X432" s="2">
        <v>0.64600000000000002</v>
      </c>
      <c r="Y432" s="6">
        <f t="shared" si="54"/>
        <v>1.72446010517605E-2</v>
      </c>
      <c r="AA432" t="s">
        <v>6723</v>
      </c>
      <c r="AB432">
        <v>21157</v>
      </c>
      <c r="AC432">
        <v>15308138</v>
      </c>
      <c r="AD432" t="s">
        <v>4</v>
      </c>
      <c r="AE432">
        <v>3</v>
      </c>
      <c r="AF432">
        <v>4</v>
      </c>
      <c r="AH432" t="s">
        <v>6893</v>
      </c>
      <c r="AI432" t="s">
        <v>6892</v>
      </c>
      <c r="AK432" t="s">
        <v>6891</v>
      </c>
      <c r="AL432">
        <v>35</v>
      </c>
      <c r="AM432" s="5">
        <f t="shared" si="58"/>
        <v>1.1666666666666667</v>
      </c>
      <c r="AN432" s="4">
        <f t="shared" si="55"/>
        <v>1.7670074466742396E-3</v>
      </c>
      <c r="AO432" s="3"/>
      <c r="AP432">
        <v>0</v>
      </c>
      <c r="AR432" t="s">
        <v>0</v>
      </c>
      <c r="AT432" s="2" t="s">
        <v>16</v>
      </c>
      <c r="AU432" s="1">
        <f t="shared" si="59"/>
        <v>1.2601322970234621</v>
      </c>
      <c r="AV432" s="1">
        <f t="shared" si="60"/>
        <v>0.950580424921737</v>
      </c>
      <c r="AW432" s="1">
        <f t="shared" si="61"/>
        <v>0.6410285528200117</v>
      </c>
    </row>
    <row r="433" spans="1:49" x14ac:dyDescent="0.2">
      <c r="A433">
        <v>431</v>
      </c>
      <c r="B433" t="s">
        <v>6890</v>
      </c>
      <c r="C433" t="s">
        <v>6889</v>
      </c>
      <c r="F433" t="s">
        <v>6888</v>
      </c>
      <c r="G433" t="s">
        <v>12</v>
      </c>
      <c r="H433" t="s">
        <v>11</v>
      </c>
      <c r="I433" t="s">
        <v>6887</v>
      </c>
      <c r="J433">
        <v>60003765</v>
      </c>
      <c r="K433" t="s">
        <v>6886</v>
      </c>
      <c r="L433" t="s">
        <v>6885</v>
      </c>
      <c r="M433" t="s">
        <v>151</v>
      </c>
      <c r="N433">
        <v>7</v>
      </c>
      <c r="O433" t="s">
        <v>6884</v>
      </c>
      <c r="P433" t="s">
        <v>6883</v>
      </c>
      <c r="Q433" t="s">
        <v>6882</v>
      </c>
      <c r="R433" s="7">
        <v>33604</v>
      </c>
      <c r="S433" s="8">
        <f t="shared" si="56"/>
        <v>1992</v>
      </c>
      <c r="T433" s="8">
        <v>1992</v>
      </c>
      <c r="U433" s="8">
        <f t="shared" si="57"/>
        <v>30</v>
      </c>
      <c r="V433" s="7">
        <v>33878</v>
      </c>
      <c r="W433" t="s">
        <v>6881</v>
      </c>
      <c r="X433" s="2">
        <v>2.5710000000000002</v>
      </c>
      <c r="Y433" s="6">
        <f t="shared" si="54"/>
        <v>6.8631376631696966E-2</v>
      </c>
      <c r="AA433">
        <v>189200</v>
      </c>
      <c r="AB433">
        <v>17278</v>
      </c>
      <c r="AC433" t="s">
        <v>6880</v>
      </c>
      <c r="AD433" t="s">
        <v>4</v>
      </c>
      <c r="AE433">
        <v>27</v>
      </c>
      <c r="AF433">
        <v>10</v>
      </c>
      <c r="AH433" t="s">
        <v>6879</v>
      </c>
      <c r="AI433" t="s">
        <v>6878</v>
      </c>
      <c r="AK433" t="s">
        <v>6877</v>
      </c>
      <c r="AL433">
        <v>6</v>
      </c>
      <c r="AM433" s="5">
        <f t="shared" si="58"/>
        <v>0.2</v>
      </c>
      <c r="AN433" s="4">
        <f t="shared" si="55"/>
        <v>3.0291556228701253E-4</v>
      </c>
      <c r="AO433" s="3"/>
      <c r="AP433">
        <v>0</v>
      </c>
      <c r="AR433" t="s">
        <v>0</v>
      </c>
      <c r="AT433" s="2">
        <v>5.0129999999999999</v>
      </c>
      <c r="AU433" s="1">
        <f t="shared" si="59"/>
        <v>4.8132838310873973</v>
      </c>
      <c r="AV433" s="1">
        <f t="shared" si="60"/>
        <v>3.4467146096991987</v>
      </c>
      <c r="AW433" s="1">
        <f t="shared" si="61"/>
        <v>2.0801453883110002</v>
      </c>
    </row>
    <row r="434" spans="1:49" x14ac:dyDescent="0.2">
      <c r="A434">
        <v>432</v>
      </c>
      <c r="B434" t="s">
        <v>6876</v>
      </c>
      <c r="C434" t="s">
        <v>6875</v>
      </c>
      <c r="F434" t="s">
        <v>6874</v>
      </c>
      <c r="G434" t="s">
        <v>12</v>
      </c>
      <c r="H434" t="s">
        <v>11</v>
      </c>
      <c r="I434" t="s">
        <v>4225</v>
      </c>
      <c r="J434" t="s">
        <v>4224</v>
      </c>
      <c r="K434" t="s">
        <v>4223</v>
      </c>
      <c r="L434" t="s">
        <v>4222</v>
      </c>
      <c r="M434" t="s">
        <v>4221</v>
      </c>
      <c r="N434">
        <v>3</v>
      </c>
      <c r="O434" t="s">
        <v>6873</v>
      </c>
      <c r="P434" t="s">
        <v>6872</v>
      </c>
      <c r="Q434" t="s">
        <v>6871</v>
      </c>
      <c r="R434" s="7">
        <v>33604</v>
      </c>
      <c r="S434" s="8">
        <f t="shared" si="56"/>
        <v>1992</v>
      </c>
      <c r="T434" s="8">
        <v>1992</v>
      </c>
      <c r="U434" s="8">
        <f t="shared" si="57"/>
        <v>30</v>
      </c>
      <c r="V434" s="7">
        <v>33878</v>
      </c>
      <c r="W434" t="s">
        <v>136</v>
      </c>
      <c r="X434" s="2">
        <v>1.3720000000000001</v>
      </c>
      <c r="Y434" s="6">
        <f t="shared" si="54"/>
        <v>3.662475641333654E-2</v>
      </c>
      <c r="AA434">
        <v>189480</v>
      </c>
      <c r="AB434">
        <v>17366</v>
      </c>
      <c r="AC434">
        <v>15579670</v>
      </c>
      <c r="AD434" t="s">
        <v>4</v>
      </c>
      <c r="AE434">
        <v>40</v>
      </c>
      <c r="AF434">
        <v>10</v>
      </c>
      <c r="AH434" t="s">
        <v>6870</v>
      </c>
      <c r="AI434" t="s">
        <v>6869</v>
      </c>
      <c r="AK434" t="s">
        <v>6868</v>
      </c>
      <c r="AL434">
        <v>15</v>
      </c>
      <c r="AM434" s="5">
        <f t="shared" si="58"/>
        <v>0.5</v>
      </c>
      <c r="AN434" s="4">
        <f t="shared" si="55"/>
        <v>7.572889057175312E-4</v>
      </c>
      <c r="AO434" s="3"/>
      <c r="AP434">
        <v>0</v>
      </c>
      <c r="AR434" t="s">
        <v>0</v>
      </c>
      <c r="AT434" s="2" t="s">
        <v>16</v>
      </c>
      <c r="AU434" s="1">
        <f t="shared" si="59"/>
        <v>2.5864516161050837</v>
      </c>
      <c r="AV434" s="1">
        <f t="shared" si="60"/>
        <v>1.8691022659527035</v>
      </c>
      <c r="AW434" s="1">
        <f t="shared" si="61"/>
        <v>1.1517529158003235</v>
      </c>
    </row>
    <row r="435" spans="1:49" x14ac:dyDescent="0.2">
      <c r="A435">
        <v>433</v>
      </c>
      <c r="B435" t="s">
        <v>6867</v>
      </c>
      <c r="C435" t="s">
        <v>6866</v>
      </c>
      <c r="F435" t="s">
        <v>6865</v>
      </c>
      <c r="G435" t="s">
        <v>12</v>
      </c>
      <c r="H435" t="s">
        <v>11</v>
      </c>
      <c r="I435" t="s">
        <v>4700</v>
      </c>
      <c r="J435">
        <v>60005304</v>
      </c>
      <c r="K435" t="s">
        <v>1244</v>
      </c>
      <c r="L435" t="s">
        <v>1243</v>
      </c>
      <c r="M435" t="s">
        <v>7</v>
      </c>
      <c r="N435">
        <v>3</v>
      </c>
      <c r="O435" t="s">
        <v>6864</v>
      </c>
      <c r="P435" t="s">
        <v>6863</v>
      </c>
      <c r="Q435" t="s">
        <v>4697</v>
      </c>
      <c r="R435" s="7">
        <v>33604</v>
      </c>
      <c r="S435" s="8">
        <f t="shared" si="56"/>
        <v>1992</v>
      </c>
      <c r="T435" s="8">
        <v>1992</v>
      </c>
      <c r="U435" s="8">
        <f t="shared" si="57"/>
        <v>30</v>
      </c>
      <c r="V435" s="7" t="s">
        <v>6756</v>
      </c>
      <c r="W435" s="11" t="s">
        <v>2692</v>
      </c>
      <c r="X435" s="2">
        <v>2.383</v>
      </c>
      <c r="Y435" s="6">
        <f t="shared" si="54"/>
        <v>6.3612824003630442E-2</v>
      </c>
      <c r="AA435" t="s">
        <v>2691</v>
      </c>
      <c r="AB435">
        <v>101151</v>
      </c>
      <c r="AD435" t="s">
        <v>4</v>
      </c>
      <c r="AE435">
        <v>139</v>
      </c>
      <c r="AF435">
        <v>5</v>
      </c>
      <c r="AH435" t="s">
        <v>6862</v>
      </c>
      <c r="AI435" t="s">
        <v>6861</v>
      </c>
      <c r="AK435" t="s">
        <v>6860</v>
      </c>
      <c r="AL435">
        <v>9</v>
      </c>
      <c r="AM435" s="5">
        <f t="shared" si="58"/>
        <v>0.3</v>
      </c>
      <c r="AN435" s="4">
        <f t="shared" si="55"/>
        <v>4.5437334343051872E-4</v>
      </c>
      <c r="AO435" s="3"/>
      <c r="AP435">
        <v>0</v>
      </c>
      <c r="AR435" t="s">
        <v>0</v>
      </c>
      <c r="AT435" s="2" t="s">
        <v>16</v>
      </c>
      <c r="AU435" s="1">
        <f t="shared" si="59"/>
        <v>4.4665288805570462</v>
      </c>
      <c r="AV435" s="1">
        <f t="shared" si="60"/>
        <v>3.2033598673530479</v>
      </c>
      <c r="AW435" s="1">
        <f t="shared" si="61"/>
        <v>1.9401908541490498</v>
      </c>
    </row>
    <row r="436" spans="1:49" x14ac:dyDescent="0.2">
      <c r="A436">
        <v>434</v>
      </c>
      <c r="B436" t="s">
        <v>6859</v>
      </c>
      <c r="C436" t="s">
        <v>6858</v>
      </c>
      <c r="F436" t="s">
        <v>6857</v>
      </c>
      <c r="G436" t="s">
        <v>12</v>
      </c>
      <c r="H436" t="s">
        <v>11</v>
      </c>
      <c r="I436" t="s">
        <v>6856</v>
      </c>
      <c r="J436">
        <v>60021988</v>
      </c>
      <c r="K436" t="s">
        <v>6855</v>
      </c>
      <c r="L436" t="s">
        <v>6854</v>
      </c>
      <c r="M436" t="s">
        <v>3937</v>
      </c>
      <c r="N436">
        <v>2</v>
      </c>
      <c r="O436" t="s">
        <v>6853</v>
      </c>
      <c r="P436" t="s">
        <v>6852</v>
      </c>
      <c r="Q436" t="s">
        <v>6851</v>
      </c>
      <c r="R436" s="7">
        <v>33604</v>
      </c>
      <c r="S436" s="8">
        <f t="shared" si="56"/>
        <v>1992</v>
      </c>
      <c r="T436" s="8">
        <v>1992</v>
      </c>
      <c r="U436" s="8">
        <f t="shared" si="57"/>
        <v>30</v>
      </c>
      <c r="V436" s="7" t="s">
        <v>6756</v>
      </c>
      <c r="W436" s="11" t="s">
        <v>2692</v>
      </c>
      <c r="X436" s="2">
        <v>2.383</v>
      </c>
      <c r="Y436" s="6">
        <f t="shared" si="54"/>
        <v>6.3612824003630442E-2</v>
      </c>
      <c r="AA436" t="s">
        <v>2691</v>
      </c>
      <c r="AB436">
        <v>101151</v>
      </c>
      <c r="AD436" t="s">
        <v>4</v>
      </c>
      <c r="AE436">
        <v>139</v>
      </c>
      <c r="AF436">
        <v>5</v>
      </c>
      <c r="AH436" t="s">
        <v>6850</v>
      </c>
      <c r="AI436" t="s">
        <v>6849</v>
      </c>
      <c r="AK436" t="s">
        <v>6848</v>
      </c>
      <c r="AL436">
        <v>8</v>
      </c>
      <c r="AM436" s="5">
        <f t="shared" si="58"/>
        <v>0.26666666666666666</v>
      </c>
      <c r="AN436" s="4">
        <f t="shared" si="55"/>
        <v>4.0388741638268334E-4</v>
      </c>
      <c r="AO436" s="3"/>
      <c r="AP436">
        <v>0</v>
      </c>
      <c r="AR436" t="s">
        <v>0</v>
      </c>
      <c r="AT436" s="2" t="s">
        <v>16</v>
      </c>
      <c r="AU436" s="1">
        <f t="shared" si="59"/>
        <v>4.4650143027456117</v>
      </c>
      <c r="AV436" s="1">
        <f t="shared" si="60"/>
        <v>3.2008355710006562</v>
      </c>
      <c r="AW436" s="1">
        <f t="shared" si="61"/>
        <v>1.9366568392557011</v>
      </c>
    </row>
    <row r="437" spans="1:49" x14ac:dyDescent="0.2">
      <c r="A437">
        <v>435</v>
      </c>
      <c r="B437" t="s">
        <v>6847</v>
      </c>
      <c r="C437" t="s">
        <v>6846</v>
      </c>
      <c r="F437" t="s">
        <v>6845</v>
      </c>
      <c r="G437" t="s">
        <v>12</v>
      </c>
      <c r="H437" t="s">
        <v>11</v>
      </c>
      <c r="I437" t="s">
        <v>6844</v>
      </c>
      <c r="J437">
        <v>60019160</v>
      </c>
      <c r="K437" t="s">
        <v>6843</v>
      </c>
      <c r="L437" t="s">
        <v>6842</v>
      </c>
      <c r="M437" t="s">
        <v>995</v>
      </c>
      <c r="N437">
        <v>2</v>
      </c>
      <c r="O437" t="s">
        <v>6841</v>
      </c>
      <c r="P437" t="s">
        <v>6840</v>
      </c>
      <c r="Q437" t="s">
        <v>6839</v>
      </c>
      <c r="R437" s="7">
        <v>33604</v>
      </c>
      <c r="S437" s="8">
        <f t="shared" si="56"/>
        <v>1992</v>
      </c>
      <c r="T437" s="8">
        <v>1992</v>
      </c>
      <c r="U437" s="8">
        <f t="shared" si="57"/>
        <v>30</v>
      </c>
      <c r="V437" s="7">
        <v>1992</v>
      </c>
      <c r="W437" t="s">
        <v>5046</v>
      </c>
      <c r="X437" s="2">
        <v>0.66100000000000003</v>
      </c>
      <c r="Y437" s="6">
        <f t="shared" si="54"/>
        <v>1.7645017484850912E-2</v>
      </c>
      <c r="AA437">
        <v>189197</v>
      </c>
      <c r="AB437">
        <v>26022</v>
      </c>
      <c r="AC437">
        <v>15581713</v>
      </c>
      <c r="AD437" t="s">
        <v>4</v>
      </c>
      <c r="AE437">
        <v>28</v>
      </c>
      <c r="AF437">
        <v>10</v>
      </c>
      <c r="AH437" t="s">
        <v>6838</v>
      </c>
      <c r="AI437" t="s">
        <v>6837</v>
      </c>
      <c r="AK437" t="s">
        <v>6836</v>
      </c>
      <c r="AL437">
        <v>142</v>
      </c>
      <c r="AM437" s="5">
        <f t="shared" si="58"/>
        <v>4.7333333333333334</v>
      </c>
      <c r="AN437" s="4">
        <f t="shared" si="55"/>
        <v>7.1690016407926294E-3</v>
      </c>
      <c r="AO437" s="3"/>
      <c r="AP437">
        <v>0</v>
      </c>
      <c r="AQ437" t="s">
        <v>6835</v>
      </c>
      <c r="AR437" t="s">
        <v>0</v>
      </c>
      <c r="AS437" t="s">
        <v>6834</v>
      </c>
      <c r="AT437" s="2">
        <v>2.3180000000000001</v>
      </c>
      <c r="AU437" s="1">
        <f t="shared" si="59"/>
        <v>1.4502212731633426</v>
      </c>
      <c r="AV437" s="1">
        <f t="shared" si="60"/>
        <v>1.2407009562821769</v>
      </c>
      <c r="AW437" s="1">
        <f t="shared" si="61"/>
        <v>1.0311806394010115</v>
      </c>
    </row>
    <row r="438" spans="1:49" x14ac:dyDescent="0.2">
      <c r="A438">
        <v>436</v>
      </c>
      <c r="B438" t="s">
        <v>6833</v>
      </c>
      <c r="C438" t="s">
        <v>6832</v>
      </c>
      <c r="F438" t="s">
        <v>6831</v>
      </c>
      <c r="G438" t="s">
        <v>12</v>
      </c>
      <c r="H438" t="s">
        <v>11</v>
      </c>
      <c r="I438" t="s">
        <v>6830</v>
      </c>
      <c r="J438">
        <v>60027550</v>
      </c>
      <c r="K438" t="s">
        <v>5038</v>
      </c>
      <c r="L438" t="s">
        <v>2073</v>
      </c>
      <c r="M438" t="s">
        <v>7</v>
      </c>
      <c r="N438">
        <v>4</v>
      </c>
      <c r="O438" t="s">
        <v>6829</v>
      </c>
      <c r="P438" t="s">
        <v>6828</v>
      </c>
      <c r="Q438" t="s">
        <v>6827</v>
      </c>
      <c r="R438" s="7">
        <v>33604</v>
      </c>
      <c r="S438" s="8">
        <f t="shared" si="56"/>
        <v>1992</v>
      </c>
      <c r="T438" s="8">
        <v>1992</v>
      </c>
      <c r="U438" s="8">
        <f t="shared" si="57"/>
        <v>30</v>
      </c>
      <c r="V438" s="7">
        <v>1992</v>
      </c>
      <c r="W438" t="s">
        <v>3880</v>
      </c>
      <c r="X438" s="2">
        <v>0.33500000000000002</v>
      </c>
      <c r="Y438" s="6">
        <f t="shared" si="54"/>
        <v>8.94263367235258E-3</v>
      </c>
      <c r="AA438">
        <v>10501827</v>
      </c>
      <c r="AB438">
        <v>78233</v>
      </c>
      <c r="AC438">
        <v>15226301</v>
      </c>
      <c r="AD438" t="s">
        <v>4</v>
      </c>
      <c r="AE438">
        <v>2</v>
      </c>
      <c r="AF438">
        <v>4</v>
      </c>
      <c r="AH438" t="s">
        <v>6826</v>
      </c>
      <c r="AI438" t="s">
        <v>6825</v>
      </c>
      <c r="AK438" t="s">
        <v>6824</v>
      </c>
      <c r="AL438">
        <v>21</v>
      </c>
      <c r="AM438" s="5">
        <f t="shared" si="58"/>
        <v>0.7</v>
      </c>
      <c r="AN438" s="4">
        <f t="shared" si="55"/>
        <v>1.0602044680045437E-3</v>
      </c>
      <c r="AO438" s="3"/>
      <c r="AP438">
        <v>0</v>
      </c>
      <c r="AR438" t="s">
        <v>0</v>
      </c>
      <c r="AT438" s="2" t="s">
        <v>16</v>
      </c>
      <c r="AU438" s="1">
        <f t="shared" si="59"/>
        <v>0.65779049110481691</v>
      </c>
      <c r="AV438" s="1">
        <f t="shared" si="60"/>
        <v>0.50014190701785621</v>
      </c>
      <c r="AW438" s="1">
        <f t="shared" si="61"/>
        <v>0.34249332293089546</v>
      </c>
    </row>
    <row r="439" spans="1:49" x14ac:dyDescent="0.2">
      <c r="A439">
        <v>437</v>
      </c>
      <c r="B439" t="s">
        <v>6823</v>
      </c>
      <c r="C439" t="s">
        <v>6822</v>
      </c>
      <c r="F439" t="s">
        <v>6821</v>
      </c>
      <c r="G439" t="s">
        <v>12</v>
      </c>
      <c r="H439" t="s">
        <v>11</v>
      </c>
      <c r="I439" t="s">
        <v>6820</v>
      </c>
      <c r="J439">
        <v>60010491</v>
      </c>
      <c r="K439" t="s">
        <v>6819</v>
      </c>
      <c r="L439" t="s">
        <v>6818</v>
      </c>
      <c r="M439" t="s">
        <v>7</v>
      </c>
      <c r="N439">
        <v>3</v>
      </c>
      <c r="O439" t="s">
        <v>6817</v>
      </c>
      <c r="P439" t="s">
        <v>6816</v>
      </c>
      <c r="Q439" t="s">
        <v>6815</v>
      </c>
      <c r="R439" s="7">
        <v>33604</v>
      </c>
      <c r="S439" s="8">
        <f t="shared" si="56"/>
        <v>1992</v>
      </c>
      <c r="T439" s="8">
        <v>1992</v>
      </c>
      <c r="U439" s="8">
        <f t="shared" si="57"/>
        <v>30</v>
      </c>
      <c r="V439" s="7" t="s">
        <v>6756</v>
      </c>
      <c r="W439" s="11" t="s">
        <v>2692</v>
      </c>
      <c r="X439" s="2">
        <v>2.383</v>
      </c>
      <c r="Y439" s="6">
        <f t="shared" si="54"/>
        <v>6.3612824003630442E-2</v>
      </c>
      <c r="AA439" t="s">
        <v>2691</v>
      </c>
      <c r="AB439">
        <v>101151</v>
      </c>
      <c r="AD439" t="s">
        <v>4</v>
      </c>
      <c r="AE439">
        <v>139</v>
      </c>
      <c r="AF439">
        <v>5</v>
      </c>
      <c r="AH439" t="s">
        <v>6814</v>
      </c>
      <c r="AI439" t="s">
        <v>6813</v>
      </c>
      <c r="AK439" t="s">
        <v>6812</v>
      </c>
      <c r="AL439">
        <v>0</v>
      </c>
      <c r="AM439" s="5">
        <f t="shared" si="58"/>
        <v>0</v>
      </c>
      <c r="AN439" s="4">
        <f t="shared" si="55"/>
        <v>0</v>
      </c>
      <c r="AO439" s="3"/>
      <c r="AP439">
        <v>0</v>
      </c>
      <c r="AR439" t="s">
        <v>0</v>
      </c>
      <c r="AT439" s="2" t="s">
        <v>16</v>
      </c>
      <c r="AU439" s="1">
        <f t="shared" si="59"/>
        <v>4.4528976802541305</v>
      </c>
      <c r="AV439" s="1">
        <f t="shared" si="60"/>
        <v>3.1806412001815221</v>
      </c>
      <c r="AW439" s="1">
        <f t="shared" si="61"/>
        <v>1.9083847201089132</v>
      </c>
    </row>
    <row r="440" spans="1:49" x14ac:dyDescent="0.2">
      <c r="A440">
        <v>438</v>
      </c>
      <c r="B440" t="s">
        <v>6811</v>
      </c>
      <c r="C440" t="s">
        <v>6810</v>
      </c>
      <c r="F440" t="s">
        <v>6809</v>
      </c>
      <c r="G440" t="s">
        <v>12</v>
      </c>
      <c r="H440" t="s">
        <v>11</v>
      </c>
      <c r="I440" t="s">
        <v>6808</v>
      </c>
      <c r="J440">
        <v>60032503</v>
      </c>
      <c r="K440" t="s">
        <v>5485</v>
      </c>
      <c r="L440" t="s">
        <v>5484</v>
      </c>
      <c r="M440" t="s">
        <v>7</v>
      </c>
      <c r="N440">
        <v>2</v>
      </c>
      <c r="O440" t="s">
        <v>6807</v>
      </c>
      <c r="P440" t="s">
        <v>6806</v>
      </c>
      <c r="Q440" t="s">
        <v>6805</v>
      </c>
      <c r="R440" s="7">
        <v>33604</v>
      </c>
      <c r="S440" s="8">
        <f t="shared" si="56"/>
        <v>1992</v>
      </c>
      <c r="T440" s="8">
        <v>1992</v>
      </c>
      <c r="U440" s="8">
        <f t="shared" si="57"/>
        <v>30</v>
      </c>
      <c r="V440" s="7" t="s">
        <v>6756</v>
      </c>
      <c r="W440" s="11" t="s">
        <v>2692</v>
      </c>
      <c r="X440" s="2">
        <v>2.383</v>
      </c>
      <c r="Y440" s="6">
        <f t="shared" si="54"/>
        <v>6.3612824003630442E-2</v>
      </c>
      <c r="AA440" t="s">
        <v>2691</v>
      </c>
      <c r="AB440">
        <v>101151</v>
      </c>
      <c r="AD440" t="s">
        <v>4</v>
      </c>
      <c r="AE440">
        <v>139</v>
      </c>
      <c r="AF440">
        <v>5</v>
      </c>
      <c r="AH440" t="s">
        <v>6804</v>
      </c>
      <c r="AI440" t="s">
        <v>6803</v>
      </c>
      <c r="AK440" t="s">
        <v>6802</v>
      </c>
      <c r="AL440">
        <v>0</v>
      </c>
      <c r="AM440" s="5">
        <f t="shared" si="58"/>
        <v>0</v>
      </c>
      <c r="AN440" s="4">
        <f t="shared" si="55"/>
        <v>0</v>
      </c>
      <c r="AO440" s="3"/>
      <c r="AP440">
        <v>0</v>
      </c>
      <c r="AR440" t="s">
        <v>0</v>
      </c>
      <c r="AT440" s="2" t="s">
        <v>16</v>
      </c>
      <c r="AU440" s="1">
        <f t="shared" si="59"/>
        <v>4.4528976802541305</v>
      </c>
      <c r="AV440" s="1">
        <f t="shared" si="60"/>
        <v>3.1806412001815221</v>
      </c>
      <c r="AW440" s="1">
        <f t="shared" si="61"/>
        <v>1.9083847201089132</v>
      </c>
    </row>
    <row r="441" spans="1:49" x14ac:dyDescent="0.2">
      <c r="A441">
        <v>439</v>
      </c>
      <c r="B441" t="s">
        <v>6801</v>
      </c>
      <c r="C441" t="s">
        <v>6800</v>
      </c>
      <c r="F441" t="s">
        <v>6799</v>
      </c>
      <c r="G441" t="s">
        <v>12</v>
      </c>
      <c r="H441" t="s">
        <v>11</v>
      </c>
      <c r="I441" t="s">
        <v>6798</v>
      </c>
      <c r="J441">
        <v>60002014</v>
      </c>
      <c r="K441" t="s">
        <v>6797</v>
      </c>
      <c r="L441" t="s">
        <v>3924</v>
      </c>
      <c r="M441" t="s">
        <v>1091</v>
      </c>
      <c r="N441">
        <v>2</v>
      </c>
      <c r="O441" t="s">
        <v>6796</v>
      </c>
      <c r="P441" t="s">
        <v>6795</v>
      </c>
      <c r="Q441" t="s">
        <v>6794</v>
      </c>
      <c r="R441" s="7">
        <v>33604</v>
      </c>
      <c r="S441" s="8">
        <f t="shared" si="56"/>
        <v>1992</v>
      </c>
      <c r="T441" s="8">
        <v>1992</v>
      </c>
      <c r="U441" s="8">
        <f t="shared" si="57"/>
        <v>30</v>
      </c>
      <c r="V441" s="7" t="s">
        <v>6756</v>
      </c>
      <c r="W441" s="11" t="s">
        <v>2589</v>
      </c>
      <c r="X441" s="2">
        <v>2.383</v>
      </c>
      <c r="Y441" s="6">
        <f t="shared" si="54"/>
        <v>6.3612824003630442E-2</v>
      </c>
      <c r="AA441">
        <v>9563776</v>
      </c>
      <c r="AB441">
        <v>68339</v>
      </c>
      <c r="AD441" t="s">
        <v>4</v>
      </c>
      <c r="AE441">
        <v>139</v>
      </c>
      <c r="AF441">
        <v>5</v>
      </c>
      <c r="AH441" t="s">
        <v>6793</v>
      </c>
      <c r="AI441" t="s">
        <v>6792</v>
      </c>
      <c r="AK441" t="s">
        <v>6791</v>
      </c>
      <c r="AL441">
        <v>1</v>
      </c>
      <c r="AM441" s="5">
        <f t="shared" si="58"/>
        <v>3.3333333333333333E-2</v>
      </c>
      <c r="AN441" s="4">
        <f t="shared" si="55"/>
        <v>5.0485927047835418E-5</v>
      </c>
      <c r="AO441" s="3"/>
      <c r="AP441">
        <v>0</v>
      </c>
      <c r="AR441" t="s">
        <v>0</v>
      </c>
      <c r="AT441" s="2" t="s">
        <v>16</v>
      </c>
      <c r="AU441" s="1">
        <f t="shared" si="59"/>
        <v>4.4544122580655658</v>
      </c>
      <c r="AV441" s="1">
        <f t="shared" si="60"/>
        <v>3.1831654965339138</v>
      </c>
      <c r="AW441" s="1">
        <f t="shared" si="61"/>
        <v>1.9119187350022617</v>
      </c>
    </row>
    <row r="442" spans="1:49" x14ac:dyDescent="0.2">
      <c r="A442">
        <v>440</v>
      </c>
      <c r="B442" t="s">
        <v>6790</v>
      </c>
      <c r="C442" t="s">
        <v>6789</v>
      </c>
      <c r="F442" t="s">
        <v>6788</v>
      </c>
      <c r="G442" t="s">
        <v>12</v>
      </c>
      <c r="H442" t="s">
        <v>11</v>
      </c>
      <c r="I442" t="s">
        <v>6787</v>
      </c>
      <c r="J442">
        <v>60005304</v>
      </c>
      <c r="K442" t="s">
        <v>1244</v>
      </c>
      <c r="L442" t="s">
        <v>1243</v>
      </c>
      <c r="M442" t="s">
        <v>7</v>
      </c>
      <c r="N442">
        <v>4</v>
      </c>
      <c r="O442" t="s">
        <v>6786</v>
      </c>
      <c r="P442" t="s">
        <v>6785</v>
      </c>
      <c r="Q442" t="s">
        <v>6784</v>
      </c>
      <c r="R442" s="7">
        <v>33604</v>
      </c>
      <c r="S442" s="8">
        <f t="shared" si="56"/>
        <v>1992</v>
      </c>
      <c r="T442" s="8">
        <v>1992</v>
      </c>
      <c r="U442" s="8">
        <f t="shared" si="57"/>
        <v>30</v>
      </c>
      <c r="V442" s="7" t="s">
        <v>6756</v>
      </c>
      <c r="W442" s="11" t="s">
        <v>2692</v>
      </c>
      <c r="X442" s="2">
        <v>2.383</v>
      </c>
      <c r="Y442" s="6">
        <f t="shared" si="54"/>
        <v>6.3612824003630442E-2</v>
      </c>
      <c r="AA442" t="s">
        <v>2691</v>
      </c>
      <c r="AB442">
        <v>101151</v>
      </c>
      <c r="AD442" t="s">
        <v>4</v>
      </c>
      <c r="AE442">
        <v>139</v>
      </c>
      <c r="AF442">
        <v>5</v>
      </c>
      <c r="AH442" t="s">
        <v>6783</v>
      </c>
      <c r="AI442" t="s">
        <v>6782</v>
      </c>
      <c r="AK442" t="s">
        <v>6781</v>
      </c>
      <c r="AL442">
        <v>1</v>
      </c>
      <c r="AM442" s="5">
        <f t="shared" si="58"/>
        <v>3.3333333333333333E-2</v>
      </c>
      <c r="AN442" s="4">
        <f t="shared" si="55"/>
        <v>5.0485927047835418E-5</v>
      </c>
      <c r="AO442" s="3"/>
      <c r="AP442">
        <v>0</v>
      </c>
      <c r="AR442" t="s">
        <v>0</v>
      </c>
      <c r="AT442" s="2" t="s">
        <v>16</v>
      </c>
      <c r="AU442" s="1">
        <f t="shared" si="59"/>
        <v>4.4544122580655658</v>
      </c>
      <c r="AV442" s="1">
        <f t="shared" si="60"/>
        <v>3.1831654965339138</v>
      </c>
      <c r="AW442" s="1">
        <f t="shared" si="61"/>
        <v>1.9119187350022617</v>
      </c>
    </row>
    <row r="443" spans="1:49" x14ac:dyDescent="0.2">
      <c r="A443">
        <v>441</v>
      </c>
      <c r="B443" t="s">
        <v>6780</v>
      </c>
      <c r="C443" t="s">
        <v>6779</v>
      </c>
      <c r="F443" t="s">
        <v>6778</v>
      </c>
      <c r="G443" t="s">
        <v>12</v>
      </c>
      <c r="H443" t="s">
        <v>11</v>
      </c>
      <c r="I443" t="s">
        <v>6777</v>
      </c>
      <c r="J443">
        <v>60028186</v>
      </c>
      <c r="K443" t="s">
        <v>4549</v>
      </c>
      <c r="L443" t="s">
        <v>4548</v>
      </c>
      <c r="M443" t="s">
        <v>219</v>
      </c>
      <c r="N443">
        <v>3</v>
      </c>
      <c r="O443" t="s">
        <v>6776</v>
      </c>
      <c r="P443" t="s">
        <v>6775</v>
      </c>
      <c r="Q443" t="s">
        <v>4677</v>
      </c>
      <c r="R443" s="7">
        <v>33604</v>
      </c>
      <c r="S443" s="8">
        <f t="shared" si="56"/>
        <v>1992</v>
      </c>
      <c r="T443" s="8">
        <v>1992</v>
      </c>
      <c r="U443" s="8">
        <f t="shared" si="57"/>
        <v>30</v>
      </c>
      <c r="V443" s="7">
        <v>1992</v>
      </c>
      <c r="W443" t="s">
        <v>3880</v>
      </c>
      <c r="X443" s="2">
        <v>0.33500000000000002</v>
      </c>
      <c r="Y443" s="6">
        <f t="shared" si="54"/>
        <v>8.94263367235258E-3</v>
      </c>
      <c r="AA443">
        <v>10501827</v>
      </c>
      <c r="AB443">
        <v>78233</v>
      </c>
      <c r="AC443">
        <v>15226301</v>
      </c>
      <c r="AD443" t="s">
        <v>4</v>
      </c>
      <c r="AE443">
        <v>2</v>
      </c>
      <c r="AF443">
        <v>4</v>
      </c>
      <c r="AH443" t="s">
        <v>6774</v>
      </c>
      <c r="AI443" t="s">
        <v>6773</v>
      </c>
      <c r="AK443" t="s">
        <v>6772</v>
      </c>
      <c r="AL443">
        <v>6</v>
      </c>
      <c r="AM443" s="5">
        <f t="shared" si="58"/>
        <v>0.2</v>
      </c>
      <c r="AN443" s="4">
        <f t="shared" si="55"/>
        <v>3.0291556228701253E-4</v>
      </c>
      <c r="AO443" s="3"/>
      <c r="AP443">
        <v>0</v>
      </c>
      <c r="AR443" t="s">
        <v>0</v>
      </c>
      <c r="AT443" s="2" t="s">
        <v>16</v>
      </c>
      <c r="AU443" s="1">
        <f t="shared" si="59"/>
        <v>0.63507182393329098</v>
      </c>
      <c r="AV443" s="1">
        <f t="shared" si="60"/>
        <v>0.46227746173197964</v>
      </c>
      <c r="AW443" s="1">
        <f t="shared" si="61"/>
        <v>0.28948309953066825</v>
      </c>
    </row>
    <row r="444" spans="1:49" x14ac:dyDescent="0.2">
      <c r="A444">
        <v>442</v>
      </c>
      <c r="B444" t="s">
        <v>6771</v>
      </c>
      <c r="C444" t="s">
        <v>6770</v>
      </c>
      <c r="F444" t="s">
        <v>6769</v>
      </c>
      <c r="G444" t="s">
        <v>12</v>
      </c>
      <c r="H444" t="s">
        <v>11</v>
      </c>
      <c r="I444" t="s">
        <v>6768</v>
      </c>
      <c r="J444">
        <v>60019656</v>
      </c>
      <c r="K444" t="s">
        <v>6767</v>
      </c>
      <c r="L444" t="s">
        <v>6766</v>
      </c>
      <c r="M444" t="s">
        <v>856</v>
      </c>
      <c r="N444">
        <v>1</v>
      </c>
      <c r="O444" t="s">
        <v>6765</v>
      </c>
      <c r="P444">
        <v>7007049394</v>
      </c>
      <c r="Q444">
        <v>60019656</v>
      </c>
      <c r="R444" s="7">
        <v>33604</v>
      </c>
      <c r="S444" s="8">
        <f t="shared" si="56"/>
        <v>1992</v>
      </c>
      <c r="T444" s="8">
        <v>1992</v>
      </c>
      <c r="U444" s="8">
        <f t="shared" si="57"/>
        <v>30</v>
      </c>
      <c r="V444" s="7" t="s">
        <v>6756</v>
      </c>
      <c r="W444" s="11" t="s">
        <v>2692</v>
      </c>
      <c r="X444" s="2">
        <v>2.383</v>
      </c>
      <c r="Y444" s="6">
        <f t="shared" si="54"/>
        <v>6.3612824003630442E-2</v>
      </c>
      <c r="AA444" t="s">
        <v>2691</v>
      </c>
      <c r="AB444">
        <v>101151</v>
      </c>
      <c r="AD444" t="s">
        <v>4</v>
      </c>
      <c r="AE444">
        <v>139</v>
      </c>
      <c r="AF444">
        <v>5</v>
      </c>
      <c r="AH444" t="s">
        <v>6764</v>
      </c>
      <c r="AI444" t="s">
        <v>6763</v>
      </c>
      <c r="AK444" t="s">
        <v>6762</v>
      </c>
      <c r="AL444">
        <v>1</v>
      </c>
      <c r="AM444" s="5">
        <f t="shared" si="58"/>
        <v>3.3333333333333333E-2</v>
      </c>
      <c r="AN444" s="4">
        <f t="shared" si="55"/>
        <v>5.0485927047835418E-5</v>
      </c>
      <c r="AO444" s="3"/>
      <c r="AP444">
        <v>0</v>
      </c>
      <c r="AR444" t="s">
        <v>0</v>
      </c>
      <c r="AT444" s="2" t="s">
        <v>16</v>
      </c>
      <c r="AU444" s="1">
        <f t="shared" si="59"/>
        <v>4.4544122580655658</v>
      </c>
      <c r="AV444" s="1">
        <f t="shared" si="60"/>
        <v>3.1831654965339138</v>
      </c>
      <c r="AW444" s="1">
        <f t="shared" si="61"/>
        <v>1.9119187350022617</v>
      </c>
    </row>
    <row r="445" spans="1:49" x14ac:dyDescent="0.2">
      <c r="A445">
        <v>443</v>
      </c>
      <c r="B445" t="s">
        <v>6761</v>
      </c>
      <c r="C445" t="s">
        <v>6760</v>
      </c>
      <c r="F445" t="s">
        <v>6759</v>
      </c>
      <c r="G445" t="s">
        <v>12</v>
      </c>
      <c r="H445" t="s">
        <v>11</v>
      </c>
      <c r="I445" t="s">
        <v>6758</v>
      </c>
      <c r="J445">
        <v>60022148</v>
      </c>
      <c r="K445" t="s">
        <v>5874</v>
      </c>
      <c r="L445" t="s">
        <v>2733</v>
      </c>
      <c r="M445" t="s">
        <v>856</v>
      </c>
      <c r="N445">
        <v>1</v>
      </c>
      <c r="O445" t="s">
        <v>6757</v>
      </c>
      <c r="P445">
        <v>35087329300</v>
      </c>
      <c r="Q445">
        <v>60022148</v>
      </c>
      <c r="R445" s="7">
        <v>33604</v>
      </c>
      <c r="S445" s="8">
        <f t="shared" si="56"/>
        <v>1992</v>
      </c>
      <c r="T445" s="8">
        <v>1992</v>
      </c>
      <c r="U445" s="8">
        <f t="shared" si="57"/>
        <v>30</v>
      </c>
      <c r="V445" s="7" t="s">
        <v>6756</v>
      </c>
      <c r="W445" s="11" t="s">
        <v>2692</v>
      </c>
      <c r="X445" s="2">
        <v>2.383</v>
      </c>
      <c r="Y445" s="6">
        <f t="shared" si="54"/>
        <v>6.3612824003630442E-2</v>
      </c>
      <c r="AA445" t="s">
        <v>2691</v>
      </c>
      <c r="AB445">
        <v>101151</v>
      </c>
      <c r="AD445" t="s">
        <v>4</v>
      </c>
      <c r="AE445">
        <v>139</v>
      </c>
      <c r="AF445">
        <v>5</v>
      </c>
      <c r="AH445" t="s">
        <v>6755</v>
      </c>
      <c r="AI445" t="s">
        <v>6754</v>
      </c>
      <c r="AK445" t="s">
        <v>6753</v>
      </c>
      <c r="AL445">
        <v>5</v>
      </c>
      <c r="AM445" s="5">
        <f t="shared" si="58"/>
        <v>0.16666666666666666</v>
      </c>
      <c r="AN445" s="4">
        <f t="shared" si="55"/>
        <v>2.5242963523917705E-4</v>
      </c>
      <c r="AO445" s="3"/>
      <c r="AP445">
        <v>0</v>
      </c>
      <c r="AR445" t="s">
        <v>0</v>
      </c>
      <c r="AT445" s="2" t="s">
        <v>16</v>
      </c>
      <c r="AU445" s="1">
        <f t="shared" si="59"/>
        <v>4.4604705693113065</v>
      </c>
      <c r="AV445" s="1">
        <f t="shared" si="60"/>
        <v>3.1932626819434811</v>
      </c>
      <c r="AW445" s="1">
        <f t="shared" si="61"/>
        <v>1.9260547945756556</v>
      </c>
    </row>
    <row r="446" spans="1:49" x14ac:dyDescent="0.2">
      <c r="A446">
        <v>444</v>
      </c>
      <c r="B446" t="s">
        <v>6752</v>
      </c>
      <c r="C446" t="s">
        <v>6751</v>
      </c>
      <c r="F446" t="s">
        <v>6750</v>
      </c>
      <c r="G446" t="s">
        <v>12</v>
      </c>
      <c r="H446" t="s">
        <v>11</v>
      </c>
      <c r="I446" t="s">
        <v>6749</v>
      </c>
      <c r="J446">
        <v>60031544</v>
      </c>
      <c r="K446" t="s">
        <v>3939</v>
      </c>
      <c r="L446" t="s">
        <v>3938</v>
      </c>
      <c r="M446" t="s">
        <v>3937</v>
      </c>
      <c r="N446">
        <v>5</v>
      </c>
      <c r="O446" t="s">
        <v>6748</v>
      </c>
      <c r="P446" t="s">
        <v>6747</v>
      </c>
      <c r="Q446" t="s">
        <v>3934</v>
      </c>
      <c r="R446" s="7">
        <v>33604</v>
      </c>
      <c r="S446" s="8">
        <f t="shared" si="56"/>
        <v>1992</v>
      </c>
      <c r="T446" s="8">
        <v>1992</v>
      </c>
      <c r="U446" s="8">
        <f t="shared" si="57"/>
        <v>30</v>
      </c>
      <c r="V446" s="7">
        <v>33878</v>
      </c>
      <c r="W446" t="s">
        <v>1458</v>
      </c>
      <c r="X446" s="2">
        <v>0.30399999999999999</v>
      </c>
      <c r="Y446" s="6">
        <f t="shared" si="54"/>
        <v>8.115106377299057E-3</v>
      </c>
      <c r="AA446">
        <v>8952477</v>
      </c>
      <c r="AB446">
        <v>12250</v>
      </c>
      <c r="AC446">
        <v>10982760</v>
      </c>
      <c r="AD446" t="s">
        <v>4</v>
      </c>
      <c r="AE446">
        <v>5</v>
      </c>
      <c r="AF446">
        <v>11</v>
      </c>
      <c r="AH446" t="s">
        <v>6746</v>
      </c>
      <c r="AI446" t="s">
        <v>6745</v>
      </c>
      <c r="AJ446" t="s">
        <v>6744</v>
      </c>
      <c r="AK446" t="s">
        <v>6743</v>
      </c>
      <c r="AL446">
        <v>2</v>
      </c>
      <c r="AM446" s="5">
        <f t="shared" si="58"/>
        <v>6.6666666666666666E-2</v>
      </c>
      <c r="AN446" s="4">
        <f t="shared" si="55"/>
        <v>1.0097185409567084E-4</v>
      </c>
      <c r="AO446" s="3"/>
      <c r="AP446">
        <v>0</v>
      </c>
      <c r="AR446" t="s">
        <v>0</v>
      </c>
      <c r="AT446" s="2" t="s">
        <v>16</v>
      </c>
      <c r="AU446" s="1">
        <f t="shared" si="59"/>
        <v>0.57108660203380401</v>
      </c>
      <c r="AV446" s="1">
        <f t="shared" si="60"/>
        <v>0.41080391156973639</v>
      </c>
      <c r="AW446" s="1">
        <f t="shared" si="61"/>
        <v>0.25052122110566866</v>
      </c>
    </row>
    <row r="447" spans="1:49" x14ac:dyDescent="0.2">
      <c r="A447">
        <v>445</v>
      </c>
      <c r="B447" t="s">
        <v>6742</v>
      </c>
      <c r="C447" t="s">
        <v>6741</v>
      </c>
      <c r="D447" t="s">
        <v>6740</v>
      </c>
      <c r="F447" t="s">
        <v>6739</v>
      </c>
      <c r="G447" t="s">
        <v>12</v>
      </c>
      <c r="H447" t="s">
        <v>11</v>
      </c>
      <c r="I447" t="s">
        <v>2582</v>
      </c>
      <c r="J447" t="s">
        <v>2576</v>
      </c>
      <c r="K447" t="s">
        <v>2581</v>
      </c>
      <c r="L447" t="s">
        <v>2580</v>
      </c>
      <c r="M447" t="s">
        <v>2579</v>
      </c>
      <c r="N447">
        <v>2</v>
      </c>
      <c r="O447" t="s">
        <v>6738</v>
      </c>
      <c r="P447" t="s">
        <v>6737</v>
      </c>
      <c r="Q447" t="s">
        <v>2576</v>
      </c>
      <c r="R447" s="7">
        <v>33604</v>
      </c>
      <c r="S447" s="8">
        <f t="shared" si="56"/>
        <v>1992</v>
      </c>
      <c r="T447" s="8">
        <v>1992</v>
      </c>
      <c r="U447" s="8">
        <f t="shared" si="57"/>
        <v>30</v>
      </c>
      <c r="V447" s="7">
        <v>33878</v>
      </c>
      <c r="W447" t="s">
        <v>2955</v>
      </c>
      <c r="X447" s="2">
        <v>0.90700000000000003</v>
      </c>
      <c r="Y447" s="6">
        <f t="shared" si="54"/>
        <v>2.4211846987533703E-2</v>
      </c>
      <c r="AA447">
        <v>1651684</v>
      </c>
      <c r="AB447">
        <v>25548</v>
      </c>
      <c r="AD447" t="s">
        <v>4</v>
      </c>
      <c r="AE447">
        <v>29</v>
      </c>
      <c r="AF447">
        <v>1</v>
      </c>
      <c r="AH447" t="s">
        <v>2059</v>
      </c>
      <c r="AI447" t="s">
        <v>6736</v>
      </c>
      <c r="AJ447" t="s">
        <v>6735</v>
      </c>
      <c r="AK447" t="s">
        <v>6734</v>
      </c>
      <c r="AL447">
        <v>1</v>
      </c>
      <c r="AM447" s="5">
        <f t="shared" si="58"/>
        <v>3.3333333333333333E-2</v>
      </c>
      <c r="AN447" s="4">
        <f t="shared" si="55"/>
        <v>5.0485927047835418E-5</v>
      </c>
      <c r="AO447" s="3"/>
      <c r="AP447">
        <v>0</v>
      </c>
      <c r="AR447" t="s">
        <v>0</v>
      </c>
      <c r="AT447" s="2">
        <v>4.6619999999999999</v>
      </c>
      <c r="AU447" s="1">
        <f t="shared" si="59"/>
        <v>1.6963438669387942</v>
      </c>
      <c r="AV447" s="1">
        <f t="shared" si="60"/>
        <v>1.2131166457290767</v>
      </c>
      <c r="AW447" s="1">
        <f t="shared" si="61"/>
        <v>0.72988942451935945</v>
      </c>
    </row>
    <row r="448" spans="1:49" x14ac:dyDescent="0.2">
      <c r="A448">
        <v>446</v>
      </c>
      <c r="B448" t="s">
        <v>6733</v>
      </c>
      <c r="C448" t="s">
        <v>6732</v>
      </c>
      <c r="F448" t="s">
        <v>6731</v>
      </c>
      <c r="G448" t="s">
        <v>12</v>
      </c>
      <c r="H448" t="s">
        <v>11</v>
      </c>
      <c r="I448" t="s">
        <v>6730</v>
      </c>
      <c r="J448" t="s">
        <v>6729</v>
      </c>
      <c r="K448" t="s">
        <v>6728</v>
      </c>
      <c r="L448" t="s">
        <v>6727</v>
      </c>
      <c r="M448" t="s">
        <v>931</v>
      </c>
      <c r="N448">
        <v>5</v>
      </c>
      <c r="O448" t="s">
        <v>6726</v>
      </c>
      <c r="P448" t="s">
        <v>6725</v>
      </c>
      <c r="Q448" t="s">
        <v>6724</v>
      </c>
      <c r="R448" s="7">
        <v>33604</v>
      </c>
      <c r="S448" s="8">
        <f t="shared" si="56"/>
        <v>1992</v>
      </c>
      <c r="T448" s="8">
        <v>1992</v>
      </c>
      <c r="U448" s="8">
        <f t="shared" si="57"/>
        <v>30</v>
      </c>
      <c r="V448" s="7">
        <v>33878</v>
      </c>
      <c r="W448" t="s">
        <v>1743</v>
      </c>
      <c r="X448" s="2">
        <v>0.64600000000000002</v>
      </c>
      <c r="Y448" s="6">
        <f t="shared" si="54"/>
        <v>1.72446010517605E-2</v>
      </c>
      <c r="AA448" t="s">
        <v>6723</v>
      </c>
      <c r="AB448">
        <v>21157</v>
      </c>
      <c r="AC448">
        <v>15308138</v>
      </c>
      <c r="AD448" t="s">
        <v>4</v>
      </c>
      <c r="AE448">
        <v>3</v>
      </c>
      <c r="AF448">
        <v>4</v>
      </c>
      <c r="AH448" t="s">
        <v>6722</v>
      </c>
      <c r="AI448" t="s">
        <v>6721</v>
      </c>
      <c r="AK448" t="s">
        <v>6720</v>
      </c>
      <c r="AL448">
        <v>28</v>
      </c>
      <c r="AM448" s="5">
        <f t="shared" si="58"/>
        <v>0.93333333333333335</v>
      </c>
      <c r="AN448" s="4">
        <f t="shared" si="55"/>
        <v>1.4136059573393916E-3</v>
      </c>
      <c r="AO448" s="3"/>
      <c r="AP448">
        <v>0</v>
      </c>
      <c r="AR448" t="s">
        <v>0</v>
      </c>
      <c r="AT448" s="2" t="s">
        <v>16</v>
      </c>
      <c r="AU448" s="1">
        <f t="shared" si="59"/>
        <v>1.2495302523434166</v>
      </c>
      <c r="AV448" s="1">
        <f t="shared" si="60"/>
        <v>0.93291035045499449</v>
      </c>
      <c r="AW448" s="1">
        <f t="shared" si="61"/>
        <v>0.61629044856657234</v>
      </c>
    </row>
    <row r="449" spans="1:49" x14ac:dyDescent="0.2">
      <c r="A449">
        <v>447</v>
      </c>
      <c r="B449" t="s">
        <v>6719</v>
      </c>
      <c r="C449" t="s">
        <v>6718</v>
      </c>
      <c r="F449" t="s">
        <v>6717</v>
      </c>
      <c r="G449" t="s">
        <v>12</v>
      </c>
      <c r="H449" t="s">
        <v>11</v>
      </c>
      <c r="I449" t="s">
        <v>3040</v>
      </c>
      <c r="N449">
        <v>2</v>
      </c>
      <c r="O449" t="s">
        <v>6716</v>
      </c>
      <c r="P449" t="s">
        <v>6715</v>
      </c>
      <c r="Q449" t="s">
        <v>720</v>
      </c>
      <c r="R449" s="7">
        <v>33604</v>
      </c>
      <c r="S449" s="8">
        <f t="shared" si="56"/>
        <v>1992</v>
      </c>
      <c r="T449" s="8">
        <v>1992</v>
      </c>
      <c r="U449" s="8">
        <f t="shared" si="57"/>
        <v>30</v>
      </c>
      <c r="V449" s="7">
        <v>33878</v>
      </c>
      <c r="W449" t="s">
        <v>2799</v>
      </c>
      <c r="X449" s="2">
        <v>0.88100000000000001</v>
      </c>
      <c r="Y449" s="6">
        <f t="shared" si="54"/>
        <v>2.3517791836843653E-2</v>
      </c>
      <c r="AA449">
        <v>10459243</v>
      </c>
      <c r="AB449">
        <v>17248</v>
      </c>
      <c r="AD449" t="s">
        <v>4</v>
      </c>
      <c r="AE449">
        <v>34</v>
      </c>
      <c r="AF449">
        <v>5</v>
      </c>
      <c r="AH449" t="s">
        <v>6714</v>
      </c>
      <c r="AI449" t="s">
        <v>6713</v>
      </c>
      <c r="AK449" t="s">
        <v>6712</v>
      </c>
      <c r="AL449">
        <v>7</v>
      </c>
      <c r="AM449" s="5">
        <f t="shared" si="58"/>
        <v>0.23333333333333334</v>
      </c>
      <c r="AN449" s="4">
        <f t="shared" si="55"/>
        <v>3.5340148933484791E-4</v>
      </c>
      <c r="AO449" s="3"/>
      <c r="AP449">
        <v>0</v>
      </c>
      <c r="AR449" t="s">
        <v>0</v>
      </c>
      <c r="AT449" s="2" t="s">
        <v>16</v>
      </c>
      <c r="AU449" s="1">
        <f t="shared" si="59"/>
        <v>1.6568474732591012</v>
      </c>
      <c r="AV449" s="1">
        <f t="shared" si="60"/>
        <v>1.193559666308925</v>
      </c>
      <c r="AW449" s="1">
        <f t="shared" si="61"/>
        <v>0.73027185935874883</v>
      </c>
    </row>
    <row r="450" spans="1:49" x14ac:dyDescent="0.2">
      <c r="A450">
        <v>448</v>
      </c>
      <c r="B450" t="s">
        <v>6711</v>
      </c>
      <c r="C450" t="s">
        <v>6710</v>
      </c>
      <c r="D450" t="s">
        <v>6709</v>
      </c>
      <c r="F450" t="s">
        <v>6708</v>
      </c>
      <c r="G450" t="s">
        <v>12</v>
      </c>
      <c r="H450" t="s">
        <v>11</v>
      </c>
      <c r="I450" t="s">
        <v>6707</v>
      </c>
      <c r="J450" t="s">
        <v>6706</v>
      </c>
      <c r="K450" t="s">
        <v>6705</v>
      </c>
      <c r="L450" t="s">
        <v>6704</v>
      </c>
      <c r="M450" t="s">
        <v>5079</v>
      </c>
      <c r="N450">
        <v>5</v>
      </c>
      <c r="O450" t="s">
        <v>6703</v>
      </c>
      <c r="P450" t="s">
        <v>6702</v>
      </c>
      <c r="Q450" t="s">
        <v>6701</v>
      </c>
      <c r="R450" s="7">
        <v>33604</v>
      </c>
      <c r="S450" s="8">
        <f t="shared" si="56"/>
        <v>1992</v>
      </c>
      <c r="T450" s="8">
        <v>1992</v>
      </c>
      <c r="U450" s="8">
        <f t="shared" si="57"/>
        <v>30</v>
      </c>
      <c r="V450" s="7">
        <v>1992</v>
      </c>
      <c r="W450" t="s">
        <v>6688</v>
      </c>
      <c r="X450" s="2">
        <v>1.1359999999999999</v>
      </c>
      <c r="Y450" s="6">
        <f t="shared" ref="Y450:Y513" si="62">(X450-$Z$4)/($Z$3-$Z$4)</f>
        <v>3.0324871199380689E-2</v>
      </c>
      <c r="AA450">
        <v>1676105</v>
      </c>
      <c r="AB450">
        <v>110486</v>
      </c>
      <c r="AD450" t="s">
        <v>4</v>
      </c>
      <c r="AE450">
        <v>43</v>
      </c>
      <c r="AF450" s="9">
        <v>44256</v>
      </c>
      <c r="AH450" t="s">
        <v>6700</v>
      </c>
      <c r="AI450" t="s">
        <v>6699</v>
      </c>
      <c r="AK450" t="s">
        <v>6698</v>
      </c>
      <c r="AL450">
        <v>3</v>
      </c>
      <c r="AM450" s="5">
        <f t="shared" si="58"/>
        <v>0.1</v>
      </c>
      <c r="AN450" s="4">
        <f t="shared" ref="AN450:AN513" si="63">(AM450-$AO$4)/($AO$3-$AO$4)</f>
        <v>1.5145778114350627E-4</v>
      </c>
      <c r="AO450" s="3"/>
      <c r="AP450">
        <v>0</v>
      </c>
      <c r="AR450" t="s">
        <v>0</v>
      </c>
      <c r="AT450" s="2" t="s">
        <v>16</v>
      </c>
      <c r="AU450" s="1">
        <f t="shared" si="59"/>
        <v>2.1272847173909533</v>
      </c>
      <c r="AV450" s="1">
        <f t="shared" si="60"/>
        <v>1.5238164490262096</v>
      </c>
      <c r="AW450" s="1">
        <f t="shared" si="61"/>
        <v>0.92034818066146595</v>
      </c>
    </row>
    <row r="451" spans="1:49" x14ac:dyDescent="0.2">
      <c r="A451">
        <v>449</v>
      </c>
      <c r="B451" t="s">
        <v>6697</v>
      </c>
      <c r="C451" t="s">
        <v>6696</v>
      </c>
      <c r="D451" t="s">
        <v>6695</v>
      </c>
      <c r="F451" t="s">
        <v>6694</v>
      </c>
      <c r="G451" t="s">
        <v>12</v>
      </c>
      <c r="H451" t="s">
        <v>11</v>
      </c>
      <c r="I451" t="s">
        <v>6693</v>
      </c>
      <c r="J451">
        <v>60029470</v>
      </c>
      <c r="K451" t="s">
        <v>6692</v>
      </c>
      <c r="L451" t="s">
        <v>868</v>
      </c>
      <c r="M451" t="s">
        <v>2620</v>
      </c>
      <c r="N451">
        <v>3</v>
      </c>
      <c r="O451" t="s">
        <v>6691</v>
      </c>
      <c r="P451" t="s">
        <v>6690</v>
      </c>
      <c r="Q451" t="s">
        <v>6689</v>
      </c>
      <c r="R451" s="7">
        <v>33604</v>
      </c>
      <c r="S451" s="8">
        <f t="shared" si="56"/>
        <v>1992</v>
      </c>
      <c r="T451" s="8">
        <v>1992</v>
      </c>
      <c r="U451" s="8">
        <f t="shared" si="57"/>
        <v>30</v>
      </c>
      <c r="V451" s="7">
        <v>1992</v>
      </c>
      <c r="W451" t="s">
        <v>6688</v>
      </c>
      <c r="X451" s="2">
        <v>1.1359999999999999</v>
      </c>
      <c r="Y451" s="6">
        <f t="shared" si="62"/>
        <v>3.0324871199380689E-2</v>
      </c>
      <c r="AA451">
        <v>1676105</v>
      </c>
      <c r="AB451">
        <v>110486</v>
      </c>
      <c r="AD451" t="s">
        <v>4</v>
      </c>
      <c r="AE451">
        <v>43</v>
      </c>
      <c r="AF451" s="9">
        <v>44256</v>
      </c>
      <c r="AH451" t="s">
        <v>6687</v>
      </c>
      <c r="AI451" t="s">
        <v>6686</v>
      </c>
      <c r="AK451" t="s">
        <v>6685</v>
      </c>
      <c r="AL451">
        <v>10</v>
      </c>
      <c r="AM451" s="5">
        <f t="shared" si="58"/>
        <v>0.33333333333333331</v>
      </c>
      <c r="AN451" s="4">
        <f t="shared" si="63"/>
        <v>5.048592704783541E-4</v>
      </c>
      <c r="AO451" s="3"/>
      <c r="AP451">
        <v>0</v>
      </c>
      <c r="AR451" t="s">
        <v>0</v>
      </c>
      <c r="AT451" s="2" t="s">
        <v>16</v>
      </c>
      <c r="AU451" s="1">
        <f t="shared" si="59"/>
        <v>2.1378867620709987</v>
      </c>
      <c r="AV451" s="1">
        <f t="shared" si="60"/>
        <v>1.5414865234929522</v>
      </c>
      <c r="AW451" s="1">
        <f t="shared" si="61"/>
        <v>0.94508628491490543</v>
      </c>
    </row>
    <row r="452" spans="1:49" x14ac:dyDescent="0.2">
      <c r="A452">
        <v>450</v>
      </c>
      <c r="B452" t="s">
        <v>6684</v>
      </c>
      <c r="C452" t="s">
        <v>6683</v>
      </c>
      <c r="F452" t="s">
        <v>6682</v>
      </c>
      <c r="G452" t="s">
        <v>12</v>
      </c>
      <c r="H452" t="s">
        <v>11</v>
      </c>
      <c r="I452" t="s">
        <v>3475</v>
      </c>
      <c r="J452" t="s">
        <v>6681</v>
      </c>
      <c r="K452" t="s">
        <v>6680</v>
      </c>
      <c r="L452" t="s">
        <v>6679</v>
      </c>
      <c r="M452" t="s">
        <v>931</v>
      </c>
      <c r="N452">
        <v>5</v>
      </c>
      <c r="O452" t="s">
        <v>6678</v>
      </c>
      <c r="P452" t="s">
        <v>6677</v>
      </c>
      <c r="Q452" t="s">
        <v>6676</v>
      </c>
      <c r="R452" s="7">
        <v>33604</v>
      </c>
      <c r="S452" s="8">
        <f t="shared" si="56"/>
        <v>1992</v>
      </c>
      <c r="T452" s="8">
        <v>1992</v>
      </c>
      <c r="U452" s="8">
        <f t="shared" si="57"/>
        <v>30</v>
      </c>
      <c r="V452" s="7">
        <v>33878</v>
      </c>
      <c r="W452" t="s">
        <v>599</v>
      </c>
      <c r="X452" s="2">
        <v>0.375</v>
      </c>
      <c r="Y452" s="6">
        <f t="shared" si="62"/>
        <v>1.0010410827260351E-2</v>
      </c>
      <c r="AA452">
        <v>135194</v>
      </c>
      <c r="AB452">
        <v>24918</v>
      </c>
      <c r="AD452" t="s">
        <v>4</v>
      </c>
      <c r="AE452">
        <v>28</v>
      </c>
      <c r="AF452">
        <v>22</v>
      </c>
      <c r="AH452" t="s">
        <v>6675</v>
      </c>
      <c r="AI452" t="s">
        <v>6674</v>
      </c>
      <c r="AJ452" t="s">
        <v>6673</v>
      </c>
      <c r="AK452" t="s">
        <v>6672</v>
      </c>
      <c r="AL452">
        <v>18</v>
      </c>
      <c r="AM452" s="5">
        <f t="shared" si="58"/>
        <v>0.6</v>
      </c>
      <c r="AN452" s="4">
        <f t="shared" si="63"/>
        <v>9.0874668686103744E-4</v>
      </c>
      <c r="AO452" s="3"/>
      <c r="AP452">
        <v>0</v>
      </c>
      <c r="AR452" t="s">
        <v>0</v>
      </c>
      <c r="AT452" s="2">
        <v>1.3140000000000001</v>
      </c>
      <c r="AU452" s="1">
        <f t="shared" si="59"/>
        <v>0.72799115851405571</v>
      </c>
      <c r="AV452" s="1">
        <f t="shared" si="60"/>
        <v>0.54595787570606946</v>
      </c>
      <c r="AW452" s="1">
        <f t="shared" si="61"/>
        <v>0.3639245928980831</v>
      </c>
    </row>
    <row r="453" spans="1:49" x14ac:dyDescent="0.2">
      <c r="A453">
        <v>451</v>
      </c>
      <c r="B453" t="s">
        <v>6671</v>
      </c>
      <c r="C453" t="s">
        <v>6670</v>
      </c>
      <c r="F453" t="s">
        <v>6669</v>
      </c>
      <c r="G453" t="s">
        <v>12</v>
      </c>
      <c r="H453" t="s">
        <v>11</v>
      </c>
      <c r="I453" t="s">
        <v>6668</v>
      </c>
      <c r="J453">
        <v>117241439</v>
      </c>
      <c r="K453" t="s">
        <v>6667</v>
      </c>
      <c r="L453" t="s">
        <v>667</v>
      </c>
      <c r="M453" t="s">
        <v>151</v>
      </c>
      <c r="N453">
        <v>5</v>
      </c>
      <c r="O453" t="s">
        <v>6666</v>
      </c>
      <c r="P453" t="s">
        <v>6665</v>
      </c>
      <c r="Q453" t="s">
        <v>6664</v>
      </c>
      <c r="R453" s="7">
        <v>33604</v>
      </c>
      <c r="S453" s="8">
        <f t="shared" si="56"/>
        <v>1992</v>
      </c>
      <c r="T453" s="8">
        <v>1992</v>
      </c>
      <c r="U453" s="8">
        <f t="shared" si="57"/>
        <v>30</v>
      </c>
      <c r="V453" s="7">
        <v>1992</v>
      </c>
      <c r="W453" t="s">
        <v>665</v>
      </c>
      <c r="X453" s="2">
        <v>0.111</v>
      </c>
      <c r="Y453" s="6">
        <f t="shared" si="62"/>
        <v>2.9630816048690639E-3</v>
      </c>
      <c r="AA453">
        <v>87566621</v>
      </c>
      <c r="AB453">
        <v>24890</v>
      </c>
      <c r="AC453">
        <v>15206424</v>
      </c>
      <c r="AD453" t="s">
        <v>4</v>
      </c>
      <c r="AE453">
        <v>75</v>
      </c>
      <c r="AF453">
        <v>10</v>
      </c>
      <c r="AH453" t="s">
        <v>6663</v>
      </c>
      <c r="AI453" t="s">
        <v>6662</v>
      </c>
      <c r="AJ453" t="s">
        <v>6661</v>
      </c>
      <c r="AK453" t="s">
        <v>6660</v>
      </c>
      <c r="AL453">
        <v>0</v>
      </c>
      <c r="AM453" s="5">
        <f t="shared" si="58"/>
        <v>0</v>
      </c>
      <c r="AN453" s="4">
        <f t="shared" si="63"/>
        <v>0</v>
      </c>
      <c r="AO453" s="3"/>
      <c r="AP453">
        <v>0</v>
      </c>
      <c r="AR453" t="s">
        <v>0</v>
      </c>
      <c r="AT453" s="2" t="s">
        <v>16</v>
      </c>
      <c r="AU453" s="1">
        <f t="shared" si="59"/>
        <v>0.20741571234083445</v>
      </c>
      <c r="AV453" s="1">
        <f t="shared" si="60"/>
        <v>0.1481540802434532</v>
      </c>
      <c r="AW453" s="1">
        <f t="shared" si="61"/>
        <v>8.8892448146071903E-2</v>
      </c>
    </row>
    <row r="454" spans="1:49" x14ac:dyDescent="0.2">
      <c r="A454">
        <v>452</v>
      </c>
      <c r="B454" t="s">
        <v>6659</v>
      </c>
      <c r="C454" t="s">
        <v>6658</v>
      </c>
      <c r="F454" t="s">
        <v>6657</v>
      </c>
      <c r="G454" t="s">
        <v>12</v>
      </c>
      <c r="H454" t="s">
        <v>11</v>
      </c>
      <c r="I454" t="s">
        <v>6656</v>
      </c>
      <c r="J454">
        <v>60014174</v>
      </c>
      <c r="K454" t="s">
        <v>6655</v>
      </c>
      <c r="L454" t="s">
        <v>6654</v>
      </c>
      <c r="M454" t="s">
        <v>856</v>
      </c>
      <c r="N454">
        <v>2</v>
      </c>
      <c r="O454" t="s">
        <v>6653</v>
      </c>
      <c r="P454" t="s">
        <v>6652</v>
      </c>
      <c r="Q454" t="s">
        <v>6651</v>
      </c>
      <c r="R454" s="7">
        <v>33604</v>
      </c>
      <c r="S454" s="8">
        <f t="shared" si="56"/>
        <v>1992</v>
      </c>
      <c r="T454" s="8">
        <v>1992</v>
      </c>
      <c r="U454" s="8">
        <f t="shared" si="57"/>
        <v>30</v>
      </c>
      <c r="V454" s="7">
        <v>33878</v>
      </c>
      <c r="W454" t="s">
        <v>2731</v>
      </c>
      <c r="X454" s="2">
        <v>0.312</v>
      </c>
      <c r="Y454" s="6">
        <f t="shared" si="62"/>
        <v>8.3286618082806119E-3</v>
      </c>
      <c r="AA454">
        <v>9540695</v>
      </c>
      <c r="AB454">
        <v>61637</v>
      </c>
      <c r="AD454" t="s">
        <v>4</v>
      </c>
      <c r="AE454">
        <v>4</v>
      </c>
      <c r="AF454">
        <v>5</v>
      </c>
      <c r="AH454" t="s">
        <v>6650</v>
      </c>
      <c r="AI454" t="s">
        <v>6649</v>
      </c>
      <c r="AK454" t="s">
        <v>6648</v>
      </c>
      <c r="AL454">
        <v>2</v>
      </c>
      <c r="AM454" s="5">
        <f t="shared" si="58"/>
        <v>6.6666666666666666E-2</v>
      </c>
      <c r="AN454" s="4">
        <f t="shared" si="63"/>
        <v>1.0097185409567084E-4</v>
      </c>
      <c r="AO454" s="3"/>
      <c r="AP454">
        <v>0</v>
      </c>
      <c r="AR454" t="s">
        <v>0</v>
      </c>
      <c r="AT454" s="2" t="s">
        <v>16</v>
      </c>
      <c r="AU454" s="1">
        <f t="shared" si="59"/>
        <v>0.58603548220251289</v>
      </c>
      <c r="AV454" s="1">
        <f t="shared" si="60"/>
        <v>0.42148168311881412</v>
      </c>
      <c r="AW454" s="1">
        <f t="shared" si="61"/>
        <v>0.25692788403511529</v>
      </c>
    </row>
    <row r="455" spans="1:49" x14ac:dyDescent="0.2">
      <c r="A455">
        <v>453</v>
      </c>
      <c r="B455" t="s">
        <v>6647</v>
      </c>
      <c r="C455" t="s">
        <v>6646</v>
      </c>
      <c r="F455" t="s">
        <v>6645</v>
      </c>
      <c r="G455" t="s">
        <v>12</v>
      </c>
      <c r="H455" t="s">
        <v>11</v>
      </c>
      <c r="I455" t="s">
        <v>6644</v>
      </c>
      <c r="J455">
        <v>60001565</v>
      </c>
      <c r="K455" t="s">
        <v>6643</v>
      </c>
      <c r="L455" t="s">
        <v>6642</v>
      </c>
      <c r="M455" t="s">
        <v>2540</v>
      </c>
      <c r="N455">
        <v>2</v>
      </c>
      <c r="O455" t="s">
        <v>6641</v>
      </c>
      <c r="P455" t="s">
        <v>6640</v>
      </c>
      <c r="Q455" t="s">
        <v>6639</v>
      </c>
      <c r="R455" s="7">
        <v>33604</v>
      </c>
      <c r="S455" s="8">
        <f t="shared" si="56"/>
        <v>1992</v>
      </c>
      <c r="T455" s="8">
        <v>1992</v>
      </c>
      <c r="U455" s="8">
        <f t="shared" si="57"/>
        <v>30</v>
      </c>
      <c r="V455" s="7">
        <v>33878</v>
      </c>
      <c r="W455" t="s">
        <v>599</v>
      </c>
      <c r="X455" s="2">
        <v>0.375</v>
      </c>
      <c r="Y455" s="6">
        <f t="shared" si="62"/>
        <v>1.0010410827260351E-2</v>
      </c>
      <c r="AA455">
        <v>135194</v>
      </c>
      <c r="AB455">
        <v>24918</v>
      </c>
      <c r="AD455" t="s">
        <v>4</v>
      </c>
      <c r="AE455">
        <v>28</v>
      </c>
      <c r="AF455">
        <v>22</v>
      </c>
      <c r="AH455" t="s">
        <v>6638</v>
      </c>
      <c r="AI455" t="s">
        <v>6637</v>
      </c>
      <c r="AJ455" t="s">
        <v>6636</v>
      </c>
      <c r="AK455" t="s">
        <v>6635</v>
      </c>
      <c r="AL455">
        <v>2</v>
      </c>
      <c r="AM455" s="5">
        <f t="shared" si="58"/>
        <v>6.6666666666666666E-2</v>
      </c>
      <c r="AN455" s="4">
        <f t="shared" si="63"/>
        <v>1.0097185409567084E-4</v>
      </c>
      <c r="AO455" s="3"/>
      <c r="AP455">
        <v>0</v>
      </c>
      <c r="AR455" t="s">
        <v>0</v>
      </c>
      <c r="AT455" s="2">
        <v>1.3140000000000001</v>
      </c>
      <c r="AU455" s="1">
        <f t="shared" si="59"/>
        <v>0.70375791353109474</v>
      </c>
      <c r="AV455" s="1">
        <f t="shared" si="60"/>
        <v>0.50556913406780113</v>
      </c>
      <c r="AW455" s="1">
        <f t="shared" si="61"/>
        <v>0.30738035460450747</v>
      </c>
    </row>
    <row r="456" spans="1:49" x14ac:dyDescent="0.2">
      <c r="A456">
        <v>454</v>
      </c>
      <c r="B456" t="s">
        <v>6634</v>
      </c>
      <c r="C456" t="s">
        <v>6633</v>
      </c>
      <c r="F456" t="s">
        <v>6632</v>
      </c>
      <c r="G456" t="s">
        <v>12</v>
      </c>
      <c r="H456" t="s">
        <v>11</v>
      </c>
      <c r="I456" t="s">
        <v>5277</v>
      </c>
      <c r="J456">
        <v>60025555</v>
      </c>
      <c r="K456" t="s">
        <v>2889</v>
      </c>
      <c r="L456" t="s">
        <v>667</v>
      </c>
      <c r="M456" t="s">
        <v>151</v>
      </c>
      <c r="N456">
        <v>4</v>
      </c>
      <c r="O456" t="s">
        <v>6631</v>
      </c>
      <c r="P456" t="s">
        <v>6630</v>
      </c>
      <c r="Q456" t="s">
        <v>6629</v>
      </c>
      <c r="R456" s="7">
        <v>33604</v>
      </c>
      <c r="S456" s="8">
        <f t="shared" si="56"/>
        <v>1992</v>
      </c>
      <c r="T456" s="8">
        <v>1992</v>
      </c>
      <c r="U456" s="8">
        <f t="shared" si="57"/>
        <v>30</v>
      </c>
      <c r="V456" s="7">
        <v>1992</v>
      </c>
      <c r="W456" t="s">
        <v>665</v>
      </c>
      <c r="X456" s="2">
        <v>0.111</v>
      </c>
      <c r="Y456" s="6">
        <f t="shared" si="62"/>
        <v>2.9630816048690639E-3</v>
      </c>
      <c r="AA456">
        <v>87566621</v>
      </c>
      <c r="AB456">
        <v>24890</v>
      </c>
      <c r="AC456">
        <v>15206424</v>
      </c>
      <c r="AD456" t="s">
        <v>4</v>
      </c>
      <c r="AE456">
        <v>75</v>
      </c>
      <c r="AF456">
        <v>10</v>
      </c>
      <c r="AH456" t="s">
        <v>6628</v>
      </c>
      <c r="AI456" t="s">
        <v>6627</v>
      </c>
      <c r="AJ456" t="s">
        <v>6626</v>
      </c>
      <c r="AK456" t="s">
        <v>6625</v>
      </c>
      <c r="AL456">
        <v>0</v>
      </c>
      <c r="AM456" s="5">
        <f t="shared" si="58"/>
        <v>0</v>
      </c>
      <c r="AN456" s="4">
        <f t="shared" si="63"/>
        <v>0</v>
      </c>
      <c r="AO456" s="3"/>
      <c r="AP456">
        <v>0</v>
      </c>
      <c r="AR456" t="s">
        <v>0</v>
      </c>
      <c r="AT456" s="2" t="s">
        <v>16</v>
      </c>
      <c r="AU456" s="1">
        <f t="shared" si="59"/>
        <v>0.20741571234083445</v>
      </c>
      <c r="AV456" s="1">
        <f t="shared" si="60"/>
        <v>0.1481540802434532</v>
      </c>
      <c r="AW456" s="1">
        <f t="shared" si="61"/>
        <v>8.8892448146071903E-2</v>
      </c>
    </row>
    <row r="457" spans="1:49" x14ac:dyDescent="0.2">
      <c r="A457">
        <v>455</v>
      </c>
      <c r="B457" t="s">
        <v>6624</v>
      </c>
      <c r="C457" t="s">
        <v>6623</v>
      </c>
      <c r="E457">
        <v>1452175</v>
      </c>
      <c r="F457" t="s">
        <v>6622</v>
      </c>
      <c r="G457" t="s">
        <v>12</v>
      </c>
      <c r="H457" t="s">
        <v>11</v>
      </c>
      <c r="I457" t="s">
        <v>6621</v>
      </c>
      <c r="J457" t="s">
        <v>6620</v>
      </c>
      <c r="K457" t="s">
        <v>6619</v>
      </c>
      <c r="L457" t="s">
        <v>6618</v>
      </c>
      <c r="M457" t="s">
        <v>904</v>
      </c>
      <c r="N457">
        <v>3</v>
      </c>
      <c r="O457" t="s">
        <v>6617</v>
      </c>
      <c r="P457" t="s">
        <v>6616</v>
      </c>
      <c r="Q457" t="s">
        <v>6615</v>
      </c>
      <c r="R457" s="7">
        <v>33604</v>
      </c>
      <c r="S457" s="8">
        <f t="shared" si="56"/>
        <v>1992</v>
      </c>
      <c r="T457" s="8">
        <v>1992</v>
      </c>
      <c r="U457" s="8">
        <f t="shared" si="57"/>
        <v>30</v>
      </c>
      <c r="V457" s="7">
        <v>33878</v>
      </c>
      <c r="W457" t="s">
        <v>2522</v>
      </c>
      <c r="X457" s="2">
        <v>1.1479999999999999</v>
      </c>
      <c r="Y457" s="6">
        <f t="shared" si="62"/>
        <v>3.0645204345853019E-2</v>
      </c>
      <c r="AA457">
        <v>189294</v>
      </c>
      <c r="AB457">
        <v>16318</v>
      </c>
      <c r="AC457">
        <v>15582531</v>
      </c>
      <c r="AD457" t="s">
        <v>4</v>
      </c>
      <c r="AE457">
        <v>39</v>
      </c>
      <c r="AF457">
        <v>10</v>
      </c>
      <c r="AH457" t="s">
        <v>6614</v>
      </c>
      <c r="AI457" t="s">
        <v>6613</v>
      </c>
      <c r="AK457" t="s">
        <v>6612</v>
      </c>
      <c r="AL457">
        <v>83</v>
      </c>
      <c r="AM457" s="5">
        <f t="shared" si="58"/>
        <v>2.7666666666666666</v>
      </c>
      <c r="AN457" s="4">
        <f t="shared" si="63"/>
        <v>4.1903319449703392E-3</v>
      </c>
      <c r="AO457" s="3"/>
      <c r="AP457">
        <v>0</v>
      </c>
      <c r="AR457" t="s">
        <v>0</v>
      </c>
      <c r="AT457" s="2" t="s">
        <v>16</v>
      </c>
      <c r="AU457" s="1">
        <f t="shared" si="59"/>
        <v>2.2708742625588214</v>
      </c>
      <c r="AV457" s="1">
        <f t="shared" si="60"/>
        <v>1.7417768145411678</v>
      </c>
      <c r="AW457" s="1">
        <f t="shared" si="61"/>
        <v>1.2126793665235143</v>
      </c>
    </row>
    <row r="458" spans="1:49" x14ac:dyDescent="0.2">
      <c r="A458">
        <v>456</v>
      </c>
      <c r="B458" t="s">
        <v>6611</v>
      </c>
      <c r="C458" t="s">
        <v>6610</v>
      </c>
      <c r="F458" t="s">
        <v>6609</v>
      </c>
      <c r="G458" t="s">
        <v>12</v>
      </c>
      <c r="H458" t="s">
        <v>11</v>
      </c>
      <c r="I458" t="s">
        <v>6608</v>
      </c>
      <c r="J458">
        <v>60009037</v>
      </c>
      <c r="K458" t="s">
        <v>2673</v>
      </c>
      <c r="L458" t="s">
        <v>2672</v>
      </c>
      <c r="M458" t="s">
        <v>7</v>
      </c>
      <c r="N458">
        <v>2</v>
      </c>
      <c r="O458" t="s">
        <v>6607</v>
      </c>
      <c r="P458" t="s">
        <v>4802</v>
      </c>
      <c r="Q458" t="s">
        <v>4801</v>
      </c>
      <c r="R458" s="7">
        <v>33604</v>
      </c>
      <c r="S458" s="8">
        <f t="shared" si="56"/>
        <v>1992</v>
      </c>
      <c r="T458" s="8">
        <v>1992</v>
      </c>
      <c r="U458" s="8">
        <f t="shared" si="57"/>
        <v>30</v>
      </c>
      <c r="V458" s="7">
        <v>33878</v>
      </c>
      <c r="W458" t="s">
        <v>4664</v>
      </c>
      <c r="X458" s="2">
        <v>0.82</v>
      </c>
      <c r="Y458" s="6">
        <f t="shared" si="62"/>
        <v>2.1889431675609299E-2</v>
      </c>
      <c r="AA458">
        <v>189456</v>
      </c>
      <c r="AB458">
        <v>15361</v>
      </c>
      <c r="AC458">
        <v>15579662</v>
      </c>
      <c r="AD458" t="s">
        <v>4</v>
      </c>
      <c r="AE458">
        <v>41</v>
      </c>
      <c r="AF458">
        <v>5</v>
      </c>
      <c r="AH458" t="s">
        <v>6606</v>
      </c>
      <c r="AI458" t="s">
        <v>6605</v>
      </c>
      <c r="AK458" t="s">
        <v>6604</v>
      </c>
      <c r="AL458">
        <v>3</v>
      </c>
      <c r="AM458" s="5">
        <f t="shared" si="58"/>
        <v>0.1</v>
      </c>
      <c r="AN458" s="4">
        <f t="shared" si="63"/>
        <v>1.5145778114350627E-4</v>
      </c>
      <c r="AO458" s="3"/>
      <c r="AP458">
        <v>0</v>
      </c>
      <c r="AR458" t="s">
        <v>0</v>
      </c>
      <c r="AT458" s="2" t="s">
        <v>16</v>
      </c>
      <c r="AU458" s="1">
        <f t="shared" si="59"/>
        <v>1.536803950726956</v>
      </c>
      <c r="AV458" s="1">
        <f t="shared" si="60"/>
        <v>1.1020444728376402</v>
      </c>
      <c r="AW458" s="1">
        <f t="shared" si="61"/>
        <v>0.66728499494832438</v>
      </c>
    </row>
    <row r="459" spans="1:49" x14ac:dyDescent="0.2">
      <c r="A459">
        <v>457</v>
      </c>
      <c r="B459" t="s">
        <v>6603</v>
      </c>
      <c r="C459" t="s">
        <v>6602</v>
      </c>
      <c r="F459" t="s">
        <v>6601</v>
      </c>
      <c r="G459" t="s">
        <v>12</v>
      </c>
      <c r="H459" t="s">
        <v>11</v>
      </c>
      <c r="I459" t="s">
        <v>6600</v>
      </c>
      <c r="J459">
        <v>60032882</v>
      </c>
      <c r="K459" t="s">
        <v>2769</v>
      </c>
      <c r="L459" t="s">
        <v>2768</v>
      </c>
      <c r="M459" t="s">
        <v>273</v>
      </c>
      <c r="N459">
        <v>1</v>
      </c>
      <c r="O459" t="s">
        <v>6599</v>
      </c>
      <c r="P459">
        <v>7006537861</v>
      </c>
      <c r="Q459">
        <v>60032882</v>
      </c>
      <c r="R459" s="7">
        <v>33604</v>
      </c>
      <c r="S459" s="8">
        <f t="shared" si="56"/>
        <v>1992</v>
      </c>
      <c r="T459" s="8">
        <v>1992</v>
      </c>
      <c r="U459" s="8">
        <f t="shared" si="57"/>
        <v>30</v>
      </c>
      <c r="V459" s="7">
        <v>33878</v>
      </c>
      <c r="W459" t="s">
        <v>599</v>
      </c>
      <c r="X459" s="2">
        <v>0.375</v>
      </c>
      <c r="Y459" s="6">
        <f t="shared" si="62"/>
        <v>1.0010410827260351E-2</v>
      </c>
      <c r="AA459">
        <v>135194</v>
      </c>
      <c r="AB459">
        <v>24918</v>
      </c>
      <c r="AD459" t="s">
        <v>4</v>
      </c>
      <c r="AE459">
        <v>28</v>
      </c>
      <c r="AF459">
        <v>22</v>
      </c>
      <c r="AH459" t="s">
        <v>6598</v>
      </c>
      <c r="AI459" t="s">
        <v>6597</v>
      </c>
      <c r="AJ459" t="s">
        <v>6596</v>
      </c>
      <c r="AK459" t="s">
        <v>6595</v>
      </c>
      <c r="AL459">
        <v>2</v>
      </c>
      <c r="AM459" s="5">
        <f t="shared" si="58"/>
        <v>6.6666666666666666E-2</v>
      </c>
      <c r="AN459" s="4">
        <f t="shared" si="63"/>
        <v>1.0097185409567084E-4</v>
      </c>
      <c r="AO459" s="3"/>
      <c r="AP459">
        <v>0</v>
      </c>
      <c r="AR459" t="s">
        <v>0</v>
      </c>
      <c r="AT459" s="2">
        <v>1.3140000000000001</v>
      </c>
      <c r="AU459" s="1">
        <f t="shared" si="59"/>
        <v>0.70375791353109474</v>
      </c>
      <c r="AV459" s="1">
        <f t="shared" si="60"/>
        <v>0.50556913406780113</v>
      </c>
      <c r="AW459" s="1">
        <f t="shared" si="61"/>
        <v>0.30738035460450747</v>
      </c>
    </row>
    <row r="460" spans="1:49" x14ac:dyDescent="0.2">
      <c r="A460">
        <v>458</v>
      </c>
      <c r="B460" t="s">
        <v>6594</v>
      </c>
      <c r="C460" t="s">
        <v>6593</v>
      </c>
      <c r="F460" t="s">
        <v>6592</v>
      </c>
      <c r="G460" t="s">
        <v>12</v>
      </c>
      <c r="H460" t="s">
        <v>11</v>
      </c>
      <c r="I460" t="s">
        <v>6591</v>
      </c>
      <c r="J460">
        <v>60010421</v>
      </c>
      <c r="K460" t="s">
        <v>6590</v>
      </c>
      <c r="L460" t="s">
        <v>3064</v>
      </c>
      <c r="M460" t="s">
        <v>545</v>
      </c>
      <c r="N460">
        <v>2</v>
      </c>
      <c r="O460" t="s">
        <v>6589</v>
      </c>
      <c r="P460" t="s">
        <v>6588</v>
      </c>
      <c r="Q460" t="s">
        <v>6587</v>
      </c>
      <c r="R460" s="7">
        <v>33604</v>
      </c>
      <c r="S460" s="8">
        <f t="shared" si="56"/>
        <v>1992</v>
      </c>
      <c r="T460" s="8">
        <v>1992</v>
      </c>
      <c r="U460" s="8">
        <f t="shared" si="57"/>
        <v>30</v>
      </c>
      <c r="V460" s="7">
        <v>33878</v>
      </c>
      <c r="W460" t="s">
        <v>599</v>
      </c>
      <c r="X460" s="2">
        <v>0.375</v>
      </c>
      <c r="Y460" s="6">
        <f t="shared" si="62"/>
        <v>1.0010410827260351E-2</v>
      </c>
      <c r="AA460">
        <v>135194</v>
      </c>
      <c r="AB460">
        <v>24918</v>
      </c>
      <c r="AD460" t="s">
        <v>4</v>
      </c>
      <c r="AE460">
        <v>28</v>
      </c>
      <c r="AF460">
        <v>22</v>
      </c>
      <c r="AH460" t="s">
        <v>6586</v>
      </c>
      <c r="AI460" t="s">
        <v>6585</v>
      </c>
      <c r="AJ460" t="s">
        <v>6584</v>
      </c>
      <c r="AK460" t="s">
        <v>6583</v>
      </c>
      <c r="AL460">
        <v>2</v>
      </c>
      <c r="AM460" s="5">
        <f t="shared" si="58"/>
        <v>6.6666666666666666E-2</v>
      </c>
      <c r="AN460" s="4">
        <f t="shared" si="63"/>
        <v>1.0097185409567084E-4</v>
      </c>
      <c r="AO460" s="3"/>
      <c r="AP460">
        <v>0</v>
      </c>
      <c r="AR460" t="s">
        <v>0</v>
      </c>
      <c r="AT460" s="2">
        <v>1.3140000000000001</v>
      </c>
      <c r="AU460" s="1">
        <f t="shared" si="59"/>
        <v>0.70375791353109474</v>
      </c>
      <c r="AV460" s="1">
        <f t="shared" si="60"/>
        <v>0.50556913406780113</v>
      </c>
      <c r="AW460" s="1">
        <f t="shared" si="61"/>
        <v>0.30738035460450747</v>
      </c>
    </row>
    <row r="461" spans="1:49" x14ac:dyDescent="0.2">
      <c r="A461">
        <v>459</v>
      </c>
      <c r="B461" t="s">
        <v>6582</v>
      </c>
      <c r="C461" t="s">
        <v>6581</v>
      </c>
      <c r="F461" t="s">
        <v>6580</v>
      </c>
      <c r="G461" t="s">
        <v>12</v>
      </c>
      <c r="H461" t="s">
        <v>11</v>
      </c>
      <c r="I461" t="s">
        <v>6579</v>
      </c>
      <c r="J461" t="s">
        <v>6578</v>
      </c>
      <c r="K461" t="s">
        <v>6577</v>
      </c>
      <c r="L461" t="s">
        <v>6576</v>
      </c>
      <c r="M461" t="s">
        <v>432</v>
      </c>
      <c r="N461">
        <v>4</v>
      </c>
      <c r="O461" t="s">
        <v>6575</v>
      </c>
      <c r="P461" t="s">
        <v>6574</v>
      </c>
      <c r="Q461" t="s">
        <v>6573</v>
      </c>
      <c r="R461" s="7">
        <v>33604</v>
      </c>
      <c r="S461" s="8">
        <f t="shared" si="56"/>
        <v>1992</v>
      </c>
      <c r="T461" s="8">
        <v>1992</v>
      </c>
      <c r="U461" s="8">
        <f t="shared" si="57"/>
        <v>30</v>
      </c>
      <c r="V461" s="7">
        <v>33878</v>
      </c>
      <c r="W461" t="s">
        <v>3292</v>
      </c>
      <c r="X461" s="2">
        <v>0.371</v>
      </c>
      <c r="Y461" s="6">
        <f t="shared" si="62"/>
        <v>9.9036331117695747E-3</v>
      </c>
      <c r="AA461">
        <v>214922</v>
      </c>
      <c r="AB461">
        <v>130262</v>
      </c>
      <c r="AC461">
        <v>13474065</v>
      </c>
      <c r="AD461" t="s">
        <v>4</v>
      </c>
      <c r="AE461">
        <v>31</v>
      </c>
      <c r="AF461" t="s">
        <v>6572</v>
      </c>
      <c r="AH461" t="s">
        <v>6571</v>
      </c>
      <c r="AI461" t="s">
        <v>6570</v>
      </c>
      <c r="AJ461" t="s">
        <v>6569</v>
      </c>
      <c r="AK461" t="s">
        <v>6568</v>
      </c>
      <c r="AL461">
        <v>8</v>
      </c>
      <c r="AM461" s="5">
        <f t="shared" si="58"/>
        <v>0.26666666666666666</v>
      </c>
      <c r="AN461" s="4">
        <f t="shared" si="63"/>
        <v>4.0388741638268334E-4</v>
      </c>
      <c r="AO461" s="3"/>
      <c r="AP461">
        <v>0</v>
      </c>
      <c r="AR461" t="s">
        <v>0</v>
      </c>
      <c r="AT461" s="2">
        <v>1.48</v>
      </c>
      <c r="AU461" s="1">
        <f t="shared" si="59"/>
        <v>0.70537094031535075</v>
      </c>
      <c r="AV461" s="1">
        <f t="shared" si="60"/>
        <v>0.51537602640761293</v>
      </c>
      <c r="AW461" s="1">
        <f t="shared" si="61"/>
        <v>0.32538111249987506</v>
      </c>
    </row>
    <row r="462" spans="1:49" x14ac:dyDescent="0.2">
      <c r="A462">
        <v>460</v>
      </c>
      <c r="B462" t="s">
        <v>6567</v>
      </c>
      <c r="C462" t="s">
        <v>6566</v>
      </c>
      <c r="F462" t="s">
        <v>6565</v>
      </c>
      <c r="G462" t="s">
        <v>12</v>
      </c>
      <c r="H462" t="s">
        <v>11</v>
      </c>
      <c r="I462" t="s">
        <v>4327</v>
      </c>
      <c r="J462">
        <v>60009658</v>
      </c>
      <c r="K462" t="s">
        <v>4326</v>
      </c>
      <c r="L462" t="s">
        <v>4325</v>
      </c>
      <c r="M462" t="s">
        <v>856</v>
      </c>
      <c r="N462">
        <v>2</v>
      </c>
      <c r="O462" t="s">
        <v>6564</v>
      </c>
      <c r="P462" t="s">
        <v>6563</v>
      </c>
      <c r="Q462" t="s">
        <v>6562</v>
      </c>
      <c r="R462" s="7">
        <v>33604</v>
      </c>
      <c r="S462" s="8">
        <f t="shared" si="56"/>
        <v>1992</v>
      </c>
      <c r="T462" s="8">
        <v>1992</v>
      </c>
      <c r="U462" s="8">
        <f t="shared" si="57"/>
        <v>30</v>
      </c>
      <c r="V462" s="7">
        <v>33878</v>
      </c>
      <c r="W462" t="s">
        <v>599</v>
      </c>
      <c r="X462" s="2">
        <v>0.375</v>
      </c>
      <c r="Y462" s="6">
        <f t="shared" si="62"/>
        <v>1.0010410827260351E-2</v>
      </c>
      <c r="AA462">
        <v>135194</v>
      </c>
      <c r="AB462">
        <v>24918</v>
      </c>
      <c r="AD462" t="s">
        <v>4</v>
      </c>
      <c r="AE462">
        <v>28</v>
      </c>
      <c r="AF462">
        <v>22</v>
      </c>
      <c r="AH462" t="s">
        <v>6561</v>
      </c>
      <c r="AI462" t="s">
        <v>6560</v>
      </c>
      <c r="AJ462" t="s">
        <v>6559</v>
      </c>
      <c r="AK462" t="s">
        <v>6558</v>
      </c>
      <c r="AL462">
        <v>15</v>
      </c>
      <c r="AM462" s="5">
        <f t="shared" si="58"/>
        <v>0.5</v>
      </c>
      <c r="AN462" s="4">
        <f t="shared" si="63"/>
        <v>7.572889057175312E-4</v>
      </c>
      <c r="AO462" s="3"/>
      <c r="AP462">
        <v>0</v>
      </c>
      <c r="AR462" t="s">
        <v>0</v>
      </c>
      <c r="AT462" s="2">
        <v>1.3140000000000001</v>
      </c>
      <c r="AU462" s="1">
        <f t="shared" si="59"/>
        <v>0.72344742507975057</v>
      </c>
      <c r="AV462" s="1">
        <f t="shared" si="60"/>
        <v>0.53838498664889411</v>
      </c>
      <c r="AW462" s="1">
        <f t="shared" si="61"/>
        <v>0.35332254821803771</v>
      </c>
    </row>
    <row r="463" spans="1:49" x14ac:dyDescent="0.2">
      <c r="A463">
        <v>461</v>
      </c>
      <c r="B463" t="s">
        <v>6557</v>
      </c>
      <c r="C463" t="s">
        <v>6556</v>
      </c>
      <c r="F463" t="s">
        <v>6555</v>
      </c>
      <c r="G463" t="s">
        <v>12</v>
      </c>
      <c r="H463" t="s">
        <v>11</v>
      </c>
      <c r="I463" t="s">
        <v>2947</v>
      </c>
      <c r="J463">
        <v>60021211</v>
      </c>
      <c r="K463" t="s">
        <v>2946</v>
      </c>
      <c r="L463" t="s">
        <v>2945</v>
      </c>
      <c r="M463" t="s">
        <v>7</v>
      </c>
      <c r="N463">
        <v>1</v>
      </c>
      <c r="O463" t="s">
        <v>2944</v>
      </c>
      <c r="P463">
        <v>7103231658</v>
      </c>
      <c r="Q463">
        <v>60021211</v>
      </c>
      <c r="R463" s="7">
        <v>33604</v>
      </c>
      <c r="S463" s="8">
        <f t="shared" si="56"/>
        <v>1992</v>
      </c>
      <c r="T463" s="8">
        <v>1992</v>
      </c>
      <c r="U463" s="8">
        <f t="shared" si="57"/>
        <v>30</v>
      </c>
      <c r="V463" s="7">
        <v>33848</v>
      </c>
      <c r="W463" t="s">
        <v>1975</v>
      </c>
      <c r="X463" s="2">
        <v>0.81</v>
      </c>
      <c r="Y463" s="6">
        <f t="shared" si="62"/>
        <v>2.1622487386882359E-2</v>
      </c>
      <c r="AA463">
        <v>10411135</v>
      </c>
      <c r="AB463">
        <v>12116</v>
      </c>
      <c r="AC463">
        <v>19410174</v>
      </c>
      <c r="AD463" t="s">
        <v>4</v>
      </c>
      <c r="AE463">
        <v>4</v>
      </c>
      <c r="AF463">
        <v>9</v>
      </c>
      <c r="AH463" t="s">
        <v>6554</v>
      </c>
      <c r="AI463" t="s">
        <v>6553</v>
      </c>
      <c r="AK463" t="s">
        <v>6552</v>
      </c>
      <c r="AL463">
        <v>18</v>
      </c>
      <c r="AM463" s="5">
        <f t="shared" si="58"/>
        <v>0.6</v>
      </c>
      <c r="AN463" s="4">
        <f t="shared" si="63"/>
        <v>9.0874668686103744E-4</v>
      </c>
      <c r="AO463" s="3"/>
      <c r="AP463">
        <v>0</v>
      </c>
      <c r="AR463" t="s">
        <v>0</v>
      </c>
      <c r="AT463" s="2">
        <v>2.468</v>
      </c>
      <c r="AU463" s="1">
        <f t="shared" si="59"/>
        <v>1.540836517687596</v>
      </c>
      <c r="AV463" s="1">
        <f t="shared" si="60"/>
        <v>1.1265617036871698</v>
      </c>
      <c r="AW463" s="1">
        <f t="shared" si="61"/>
        <v>0.71228688968674336</v>
      </c>
    </row>
    <row r="464" spans="1:49" x14ac:dyDescent="0.2">
      <c r="A464">
        <v>462</v>
      </c>
      <c r="B464" t="s">
        <v>6551</v>
      </c>
      <c r="C464" t="s">
        <v>6550</v>
      </c>
      <c r="F464" t="s">
        <v>6549</v>
      </c>
      <c r="G464" t="s">
        <v>12</v>
      </c>
      <c r="H464" t="s">
        <v>11</v>
      </c>
      <c r="I464" t="s">
        <v>6548</v>
      </c>
      <c r="N464">
        <v>2</v>
      </c>
      <c r="O464" t="s">
        <v>6547</v>
      </c>
      <c r="P464" t="s">
        <v>6546</v>
      </c>
      <c r="Q464" t="s">
        <v>720</v>
      </c>
      <c r="R464" s="7">
        <v>33604</v>
      </c>
      <c r="S464" s="8">
        <f t="shared" si="56"/>
        <v>1992</v>
      </c>
      <c r="T464" s="8">
        <v>1992</v>
      </c>
      <c r="U464" s="8">
        <f t="shared" si="57"/>
        <v>30</v>
      </c>
      <c r="V464" s="7" t="s">
        <v>6361</v>
      </c>
      <c r="W464" t="s">
        <v>1367</v>
      </c>
      <c r="X464" s="2">
        <v>0.371</v>
      </c>
      <c r="Y464" s="6">
        <f t="shared" si="62"/>
        <v>9.9036331117695747E-3</v>
      </c>
      <c r="AA464">
        <v>486604</v>
      </c>
      <c r="AB464">
        <v>28580</v>
      </c>
      <c r="AC464" t="s">
        <v>1366</v>
      </c>
      <c r="AD464" t="s">
        <v>4</v>
      </c>
      <c r="AE464">
        <v>27</v>
      </c>
      <c r="AF464">
        <v>5</v>
      </c>
      <c r="AH464" t="s">
        <v>6545</v>
      </c>
      <c r="AI464" t="s">
        <v>6544</v>
      </c>
      <c r="AK464" t="s">
        <v>6543</v>
      </c>
      <c r="AL464">
        <v>24</v>
      </c>
      <c r="AM464" s="5">
        <f t="shared" si="58"/>
        <v>0.8</v>
      </c>
      <c r="AN464" s="4">
        <f t="shared" si="63"/>
        <v>1.2116622491480501E-3</v>
      </c>
      <c r="AO464" s="3"/>
      <c r="AP464">
        <v>0</v>
      </c>
      <c r="AR464" t="s">
        <v>0</v>
      </c>
      <c r="AT464" s="2">
        <v>1.431</v>
      </c>
      <c r="AU464" s="1">
        <f t="shared" si="59"/>
        <v>0.72960418529831172</v>
      </c>
      <c r="AV464" s="1">
        <f t="shared" si="60"/>
        <v>0.55576476804588126</v>
      </c>
      <c r="AW464" s="1">
        <f t="shared" si="61"/>
        <v>0.38192535079345075</v>
      </c>
    </row>
    <row r="465" spans="1:49" x14ac:dyDescent="0.2">
      <c r="A465">
        <v>463</v>
      </c>
      <c r="B465" t="s">
        <v>6542</v>
      </c>
      <c r="C465" t="s">
        <v>6541</v>
      </c>
      <c r="F465" t="s">
        <v>6540</v>
      </c>
      <c r="G465" t="s">
        <v>12</v>
      </c>
      <c r="H465" t="s">
        <v>11</v>
      </c>
      <c r="I465" t="s">
        <v>6539</v>
      </c>
      <c r="J465">
        <v>60019102</v>
      </c>
      <c r="K465" t="s">
        <v>6538</v>
      </c>
      <c r="L465" t="s">
        <v>2593</v>
      </c>
      <c r="M465" t="s">
        <v>2592</v>
      </c>
      <c r="N465">
        <v>1</v>
      </c>
      <c r="O465" t="s">
        <v>6537</v>
      </c>
      <c r="P465">
        <v>24341657200</v>
      </c>
      <c r="Q465">
        <v>60019102</v>
      </c>
      <c r="R465" s="7">
        <v>33604</v>
      </c>
      <c r="S465" s="8">
        <f t="shared" si="56"/>
        <v>1992</v>
      </c>
      <c r="T465" s="8">
        <v>1992</v>
      </c>
      <c r="U465" s="8">
        <f t="shared" si="57"/>
        <v>30</v>
      </c>
      <c r="V465" s="7">
        <v>33848</v>
      </c>
      <c r="W465" t="s">
        <v>3960</v>
      </c>
      <c r="X465" s="2">
        <v>0.251</v>
      </c>
      <c r="Y465" s="6">
        <f t="shared" si="62"/>
        <v>6.7003016470462617E-3</v>
      </c>
      <c r="AA465">
        <v>207217</v>
      </c>
      <c r="AB465">
        <v>26145</v>
      </c>
      <c r="AC465">
        <v>13623060</v>
      </c>
      <c r="AD465" t="s">
        <v>4</v>
      </c>
      <c r="AE465">
        <v>73</v>
      </c>
      <c r="AF465">
        <v>3</v>
      </c>
      <c r="AH465" t="s">
        <v>6536</v>
      </c>
      <c r="AI465" t="s">
        <v>6535</v>
      </c>
      <c r="AK465" t="s">
        <v>6534</v>
      </c>
      <c r="AL465">
        <v>10</v>
      </c>
      <c r="AM465" s="5">
        <f t="shared" si="58"/>
        <v>0.33333333333333331</v>
      </c>
      <c r="AN465" s="4">
        <f t="shared" si="63"/>
        <v>5.048592704783541E-4</v>
      </c>
      <c r="AO465" s="3"/>
      <c r="AP465">
        <v>0</v>
      </c>
      <c r="AR465" t="s">
        <v>0</v>
      </c>
      <c r="AT465" s="2">
        <v>1.3360000000000001</v>
      </c>
      <c r="AU465" s="1">
        <f t="shared" si="59"/>
        <v>0.48416689340758889</v>
      </c>
      <c r="AV465" s="1">
        <f t="shared" si="60"/>
        <v>0.36025804587623078</v>
      </c>
      <c r="AW465" s="1">
        <f t="shared" si="61"/>
        <v>0.23634919834487261</v>
      </c>
    </row>
    <row r="466" spans="1:49" x14ac:dyDescent="0.2">
      <c r="A466">
        <v>464</v>
      </c>
      <c r="B466" t="s">
        <v>6533</v>
      </c>
      <c r="C466" t="s">
        <v>6532</v>
      </c>
      <c r="F466" t="s">
        <v>6531</v>
      </c>
      <c r="G466" t="s">
        <v>12</v>
      </c>
      <c r="H466" t="s">
        <v>11</v>
      </c>
      <c r="I466" t="s">
        <v>6530</v>
      </c>
      <c r="J466" t="s">
        <v>6529</v>
      </c>
      <c r="K466" t="s">
        <v>6528</v>
      </c>
      <c r="L466" t="s">
        <v>6527</v>
      </c>
      <c r="M466" t="s">
        <v>6526</v>
      </c>
      <c r="N466">
        <v>4</v>
      </c>
      <c r="O466" t="s">
        <v>6525</v>
      </c>
      <c r="P466" t="s">
        <v>6524</v>
      </c>
      <c r="Q466" t="s">
        <v>6523</v>
      </c>
      <c r="R466" s="7">
        <v>33604</v>
      </c>
      <c r="S466" s="8">
        <f t="shared" ref="S466:S529" si="64">YEAR(R466)</f>
        <v>1992</v>
      </c>
      <c r="T466" s="8">
        <v>1992</v>
      </c>
      <c r="U466" s="8">
        <f t="shared" ref="U466:U529" si="65">2022-T466</f>
        <v>30</v>
      </c>
      <c r="V466" s="7">
        <v>33848</v>
      </c>
      <c r="W466" t="s">
        <v>20</v>
      </c>
      <c r="X466" s="2">
        <v>0.94</v>
      </c>
      <c r="Y466" s="6">
        <f t="shared" si="62"/>
        <v>2.5092763140332611E-2</v>
      </c>
      <c r="AA466">
        <v>10518207</v>
      </c>
      <c r="AB466">
        <v>63372</v>
      </c>
      <c r="AD466" t="s">
        <v>4</v>
      </c>
      <c r="AE466">
        <v>2</v>
      </c>
      <c r="AF466">
        <v>9</v>
      </c>
      <c r="AH466" t="s">
        <v>6522</v>
      </c>
      <c r="AI466" t="s">
        <v>6521</v>
      </c>
      <c r="AK466" t="s">
        <v>6520</v>
      </c>
      <c r="AL466">
        <v>8</v>
      </c>
      <c r="AM466" s="5">
        <f t="shared" ref="AM466:AM529" si="66">AL466/U466</f>
        <v>0.26666666666666666</v>
      </c>
      <c r="AN466" s="4">
        <f t="shared" si="63"/>
        <v>4.0388741638268334E-4</v>
      </c>
      <c r="AO466" s="3"/>
      <c r="AP466">
        <v>0</v>
      </c>
      <c r="AR466" t="s">
        <v>0</v>
      </c>
      <c r="AT466" s="2" t="s">
        <v>16</v>
      </c>
      <c r="AU466" s="1">
        <f t="shared" ref="AU466:AU529" si="67">(Y466*0.7+AN466*0.3)*100</f>
        <v>1.768610042314763</v>
      </c>
      <c r="AV466" s="1">
        <f t="shared" ref="AV466:AV529" si="68">(Y466*0.5+AN466*0.5)*100</f>
        <v>1.2748325278357648</v>
      </c>
      <c r="AW466" s="1">
        <f t="shared" ref="AW466:AW529" si="69">(Y466*0.3+AN466*0.7)*100</f>
        <v>0.78105501335676619</v>
      </c>
    </row>
    <row r="467" spans="1:49" x14ac:dyDescent="0.2">
      <c r="A467">
        <v>465</v>
      </c>
      <c r="B467" t="s">
        <v>6519</v>
      </c>
      <c r="C467" t="s">
        <v>6518</v>
      </c>
      <c r="E467">
        <v>1473822</v>
      </c>
      <c r="F467" t="s">
        <v>6517</v>
      </c>
      <c r="G467" t="s">
        <v>12</v>
      </c>
      <c r="H467" t="s">
        <v>11</v>
      </c>
      <c r="I467" t="s">
        <v>6516</v>
      </c>
      <c r="J467" t="s">
        <v>6515</v>
      </c>
      <c r="K467" t="s">
        <v>6514</v>
      </c>
      <c r="L467" t="s">
        <v>6513</v>
      </c>
      <c r="M467" t="s">
        <v>125</v>
      </c>
      <c r="N467">
        <v>4</v>
      </c>
      <c r="O467" t="s">
        <v>6512</v>
      </c>
      <c r="P467" t="s">
        <v>6511</v>
      </c>
      <c r="Q467" t="s">
        <v>6510</v>
      </c>
      <c r="R467" s="7">
        <v>33604</v>
      </c>
      <c r="S467" s="8">
        <f t="shared" si="64"/>
        <v>1992</v>
      </c>
      <c r="T467" s="8">
        <v>1992</v>
      </c>
      <c r="U467" s="8">
        <f t="shared" si="65"/>
        <v>30</v>
      </c>
      <c r="V467" s="7">
        <v>33848</v>
      </c>
      <c r="W467" t="s">
        <v>2522</v>
      </c>
      <c r="X467" s="2">
        <v>1.1479999999999999</v>
      </c>
      <c r="Y467" s="6">
        <f t="shared" si="62"/>
        <v>3.0645204345853019E-2</v>
      </c>
      <c r="AA467">
        <v>189294</v>
      </c>
      <c r="AB467">
        <v>16318</v>
      </c>
      <c r="AC467">
        <v>15582531</v>
      </c>
      <c r="AD467" t="s">
        <v>4</v>
      </c>
      <c r="AE467">
        <v>39</v>
      </c>
      <c r="AF467">
        <v>9</v>
      </c>
      <c r="AH467" t="s">
        <v>6509</v>
      </c>
      <c r="AI467" t="s">
        <v>6508</v>
      </c>
      <c r="AK467" t="s">
        <v>6507</v>
      </c>
      <c r="AL467">
        <v>8</v>
      </c>
      <c r="AM467" s="5">
        <f t="shared" si="66"/>
        <v>0.26666666666666666</v>
      </c>
      <c r="AN467" s="4">
        <f t="shared" si="63"/>
        <v>4.0388741638268334E-4</v>
      </c>
      <c r="AO467" s="3"/>
      <c r="AP467">
        <v>0</v>
      </c>
      <c r="AR467" t="s">
        <v>0</v>
      </c>
      <c r="AT467" s="2" t="s">
        <v>16</v>
      </c>
      <c r="AU467" s="1">
        <f t="shared" si="67"/>
        <v>2.1572809267011919</v>
      </c>
      <c r="AV467" s="1">
        <f t="shared" si="68"/>
        <v>1.552454588111785</v>
      </c>
      <c r="AW467" s="1">
        <f t="shared" si="69"/>
        <v>0.94762824952237834</v>
      </c>
    </row>
    <row r="468" spans="1:49" x14ac:dyDescent="0.2">
      <c r="A468">
        <v>466</v>
      </c>
      <c r="B468" t="s">
        <v>6506</v>
      </c>
      <c r="C468" t="s">
        <v>6505</v>
      </c>
      <c r="F468" t="s">
        <v>6504</v>
      </c>
      <c r="G468" t="s">
        <v>12</v>
      </c>
      <c r="H468" t="s">
        <v>11</v>
      </c>
      <c r="I468" t="s">
        <v>6503</v>
      </c>
      <c r="N468">
        <v>4</v>
      </c>
      <c r="O468" t="s">
        <v>6502</v>
      </c>
      <c r="P468" t="s">
        <v>6501</v>
      </c>
      <c r="Q468" t="s">
        <v>1572</v>
      </c>
      <c r="R468" s="7">
        <v>33604</v>
      </c>
      <c r="S468" s="8">
        <f t="shared" si="64"/>
        <v>1992</v>
      </c>
      <c r="T468" s="8">
        <v>1992</v>
      </c>
      <c r="U468" s="8">
        <f t="shared" si="65"/>
        <v>30</v>
      </c>
      <c r="V468" s="7" t="s">
        <v>6361</v>
      </c>
      <c r="W468" t="s">
        <v>1367</v>
      </c>
      <c r="X468" s="2">
        <v>0.371</v>
      </c>
      <c r="Y468" s="6">
        <f t="shared" si="62"/>
        <v>9.9036331117695747E-3</v>
      </c>
      <c r="AA468">
        <v>486604</v>
      </c>
      <c r="AB468">
        <v>28580</v>
      </c>
      <c r="AC468" t="s">
        <v>1366</v>
      </c>
      <c r="AD468" t="s">
        <v>4</v>
      </c>
      <c r="AE468">
        <v>27</v>
      </c>
      <c r="AF468">
        <v>5</v>
      </c>
      <c r="AH468" t="s">
        <v>6500</v>
      </c>
      <c r="AI468" t="s">
        <v>6499</v>
      </c>
      <c r="AK468" t="s">
        <v>6498</v>
      </c>
      <c r="AL468">
        <v>3</v>
      </c>
      <c r="AM468" s="5">
        <f t="shared" si="66"/>
        <v>0.1</v>
      </c>
      <c r="AN468" s="4">
        <f t="shared" si="63"/>
        <v>1.5145778114350627E-4</v>
      </c>
      <c r="AO468" s="3"/>
      <c r="AP468">
        <v>0</v>
      </c>
      <c r="AR468" t="s">
        <v>0</v>
      </c>
      <c r="AT468" s="2">
        <v>1.431</v>
      </c>
      <c r="AU468" s="1">
        <f t="shared" si="67"/>
        <v>0.6977980512581754</v>
      </c>
      <c r="AV468" s="1">
        <f t="shared" si="68"/>
        <v>0.50275454464565406</v>
      </c>
      <c r="AW468" s="1">
        <f t="shared" si="69"/>
        <v>0.30771103803313271</v>
      </c>
    </row>
    <row r="469" spans="1:49" x14ac:dyDescent="0.2">
      <c r="A469">
        <v>467</v>
      </c>
      <c r="B469" t="s">
        <v>6497</v>
      </c>
      <c r="C469" t="s">
        <v>6496</v>
      </c>
      <c r="F469" t="s">
        <v>6495</v>
      </c>
      <c r="G469" t="s">
        <v>12</v>
      </c>
      <c r="H469" t="s">
        <v>11</v>
      </c>
      <c r="I469" t="s">
        <v>6494</v>
      </c>
      <c r="J469">
        <v>60021508</v>
      </c>
      <c r="K469" t="s">
        <v>6493</v>
      </c>
      <c r="L469" t="s">
        <v>6492</v>
      </c>
      <c r="M469" t="s">
        <v>7</v>
      </c>
      <c r="N469">
        <v>2</v>
      </c>
      <c r="O469" t="s">
        <v>6491</v>
      </c>
      <c r="P469" t="s">
        <v>6490</v>
      </c>
      <c r="Q469" t="s">
        <v>6489</v>
      </c>
      <c r="R469" s="7">
        <v>33604</v>
      </c>
      <c r="S469" s="8">
        <f t="shared" si="64"/>
        <v>1992</v>
      </c>
      <c r="T469" s="8">
        <v>1992</v>
      </c>
      <c r="U469" s="8">
        <f t="shared" si="65"/>
        <v>30</v>
      </c>
      <c r="V469" s="7">
        <v>33848</v>
      </c>
      <c r="W469" t="s">
        <v>2743</v>
      </c>
      <c r="X469" s="2">
        <v>1.6379999999999999</v>
      </c>
      <c r="Y469" s="6">
        <f t="shared" si="62"/>
        <v>4.3725474493473214E-2</v>
      </c>
      <c r="AA469" t="s">
        <v>2742</v>
      </c>
      <c r="AB469">
        <v>17391</v>
      </c>
      <c r="AC469">
        <v>19410476</v>
      </c>
      <c r="AD469" t="s">
        <v>4</v>
      </c>
      <c r="AE469">
        <v>40</v>
      </c>
      <c r="AF469">
        <v>9</v>
      </c>
      <c r="AH469" t="s">
        <v>6488</v>
      </c>
      <c r="AI469" t="s">
        <v>6487</v>
      </c>
      <c r="AK469" t="s">
        <v>6486</v>
      </c>
      <c r="AL469">
        <v>21</v>
      </c>
      <c r="AM469" s="5">
        <f t="shared" si="66"/>
        <v>0.7</v>
      </c>
      <c r="AN469" s="4">
        <f t="shared" si="63"/>
        <v>1.0602044680045437E-3</v>
      </c>
      <c r="AO469" s="3"/>
      <c r="AP469">
        <v>0</v>
      </c>
      <c r="AR469" t="s">
        <v>0</v>
      </c>
      <c r="AT469" s="2">
        <v>4.931</v>
      </c>
      <c r="AU469" s="1">
        <f t="shared" si="67"/>
        <v>3.0925893485832612</v>
      </c>
      <c r="AV469" s="1">
        <f t="shared" si="68"/>
        <v>2.2392839480738882</v>
      </c>
      <c r="AW469" s="1">
        <f t="shared" si="69"/>
        <v>1.3859785475645143</v>
      </c>
    </row>
    <row r="470" spans="1:49" x14ac:dyDescent="0.2">
      <c r="A470">
        <v>468</v>
      </c>
      <c r="B470" t="s">
        <v>6485</v>
      </c>
      <c r="C470" t="s">
        <v>6484</v>
      </c>
      <c r="F470" t="s">
        <v>6483</v>
      </c>
      <c r="G470" t="s">
        <v>12</v>
      </c>
      <c r="H470" t="s">
        <v>11</v>
      </c>
      <c r="I470" t="s">
        <v>6482</v>
      </c>
      <c r="J470" t="s">
        <v>6401</v>
      </c>
      <c r="K470" t="s">
        <v>6404</v>
      </c>
      <c r="L470" t="s">
        <v>233</v>
      </c>
      <c r="M470" t="s">
        <v>125</v>
      </c>
      <c r="N470">
        <v>4</v>
      </c>
      <c r="O470" t="s">
        <v>6481</v>
      </c>
      <c r="P470" t="s">
        <v>6480</v>
      </c>
      <c r="Q470" t="s">
        <v>6479</v>
      </c>
      <c r="R470" s="7">
        <v>33604</v>
      </c>
      <c r="S470" s="8">
        <f t="shared" si="64"/>
        <v>1992</v>
      </c>
      <c r="T470" s="8">
        <v>1992</v>
      </c>
      <c r="U470" s="8">
        <f t="shared" si="65"/>
        <v>30</v>
      </c>
      <c r="V470" s="7">
        <v>33848</v>
      </c>
      <c r="W470" t="s">
        <v>5014</v>
      </c>
      <c r="X470" s="2">
        <v>0.46700000000000003</v>
      </c>
      <c r="Y470" s="6">
        <f t="shared" si="62"/>
        <v>1.2466298283548225E-2</v>
      </c>
      <c r="AA470">
        <v>10518223</v>
      </c>
      <c r="AB470">
        <v>26026</v>
      </c>
      <c r="AC470">
        <v>15582515</v>
      </c>
      <c r="AD470" t="s">
        <v>4</v>
      </c>
      <c r="AE470">
        <v>2</v>
      </c>
      <c r="AF470">
        <v>3</v>
      </c>
      <c r="AH470" t="s">
        <v>6478</v>
      </c>
      <c r="AI470" t="s">
        <v>6477</v>
      </c>
      <c r="AK470" t="s">
        <v>6476</v>
      </c>
      <c r="AL470">
        <v>38</v>
      </c>
      <c r="AM470" s="5">
        <f t="shared" si="66"/>
        <v>1.2666666666666666</v>
      </c>
      <c r="AN470" s="4">
        <f t="shared" si="63"/>
        <v>1.9184652278177456E-3</v>
      </c>
      <c r="AO470" s="3"/>
      <c r="AP470">
        <v>0</v>
      </c>
      <c r="AR470" t="s">
        <v>0</v>
      </c>
      <c r="AT470" s="2" t="s">
        <v>16</v>
      </c>
      <c r="AU470" s="1">
        <f t="shared" si="67"/>
        <v>0.93019483668290814</v>
      </c>
      <c r="AV470" s="1">
        <f t="shared" si="68"/>
        <v>0.7192381755682985</v>
      </c>
      <c r="AW470" s="1">
        <f t="shared" si="69"/>
        <v>0.50828151445368897</v>
      </c>
    </row>
    <row r="471" spans="1:49" x14ac:dyDescent="0.2">
      <c r="A471">
        <v>469</v>
      </c>
      <c r="B471" t="s">
        <v>6475</v>
      </c>
      <c r="C471" t="s">
        <v>6474</v>
      </c>
      <c r="F471" t="s">
        <v>6473</v>
      </c>
      <c r="G471" t="s">
        <v>12</v>
      </c>
      <c r="H471" t="s">
        <v>11</v>
      </c>
      <c r="I471" t="s">
        <v>6472</v>
      </c>
      <c r="J471" t="s">
        <v>6471</v>
      </c>
      <c r="K471" t="s">
        <v>6470</v>
      </c>
      <c r="L471" t="s">
        <v>6469</v>
      </c>
      <c r="M471" t="s">
        <v>6468</v>
      </c>
      <c r="N471">
        <v>6</v>
      </c>
      <c r="O471" t="s">
        <v>6467</v>
      </c>
      <c r="P471" t="s">
        <v>6466</v>
      </c>
      <c r="Q471" t="s">
        <v>6465</v>
      </c>
      <c r="R471" s="7">
        <v>33604</v>
      </c>
      <c r="S471" s="8">
        <f t="shared" si="64"/>
        <v>1992</v>
      </c>
      <c r="T471" s="8">
        <v>1992</v>
      </c>
      <c r="U471" s="8">
        <f t="shared" si="65"/>
        <v>30</v>
      </c>
      <c r="V471" s="7">
        <v>33848</v>
      </c>
      <c r="W471" t="s">
        <v>20</v>
      </c>
      <c r="X471" s="2">
        <v>0.94</v>
      </c>
      <c r="Y471" s="6">
        <f t="shared" si="62"/>
        <v>2.5092763140332611E-2</v>
      </c>
      <c r="AA471">
        <v>10518207</v>
      </c>
      <c r="AB471">
        <v>63372</v>
      </c>
      <c r="AD471" t="s">
        <v>4</v>
      </c>
      <c r="AE471">
        <v>2</v>
      </c>
      <c r="AF471">
        <v>9</v>
      </c>
      <c r="AH471" t="s">
        <v>6464</v>
      </c>
      <c r="AI471" t="s">
        <v>6463</v>
      </c>
      <c r="AK471" t="s">
        <v>6462</v>
      </c>
      <c r="AL471">
        <v>16</v>
      </c>
      <c r="AM471" s="5">
        <f t="shared" si="66"/>
        <v>0.53333333333333333</v>
      </c>
      <c r="AN471" s="4">
        <f t="shared" si="63"/>
        <v>8.0777483276536668E-4</v>
      </c>
      <c r="AO471" s="3"/>
      <c r="AP471">
        <v>0</v>
      </c>
      <c r="AR471" t="s">
        <v>0</v>
      </c>
      <c r="AT471" s="2" t="s">
        <v>16</v>
      </c>
      <c r="AU471" s="1">
        <f t="shared" si="67"/>
        <v>1.7807266648062436</v>
      </c>
      <c r="AV471" s="1">
        <f t="shared" si="68"/>
        <v>1.295026898654899</v>
      </c>
      <c r="AW471" s="1">
        <f t="shared" si="69"/>
        <v>0.80932713250355393</v>
      </c>
    </row>
    <row r="472" spans="1:49" x14ac:dyDescent="0.2">
      <c r="A472">
        <v>470</v>
      </c>
      <c r="B472" t="s">
        <v>6461</v>
      </c>
      <c r="C472" t="s">
        <v>6460</v>
      </c>
      <c r="F472" t="s">
        <v>6459</v>
      </c>
      <c r="G472" t="s">
        <v>12</v>
      </c>
      <c r="H472" t="s">
        <v>11</v>
      </c>
      <c r="I472" t="s">
        <v>2654</v>
      </c>
      <c r="J472">
        <v>60000221</v>
      </c>
      <c r="K472" t="s">
        <v>6165</v>
      </c>
      <c r="L472" t="s">
        <v>6164</v>
      </c>
      <c r="M472" t="s">
        <v>7</v>
      </c>
      <c r="N472">
        <v>2</v>
      </c>
      <c r="O472" t="s">
        <v>6458</v>
      </c>
      <c r="P472" t="s">
        <v>6457</v>
      </c>
      <c r="Q472" t="s">
        <v>6456</v>
      </c>
      <c r="R472" s="7">
        <v>33604</v>
      </c>
      <c r="S472" s="8">
        <f t="shared" si="64"/>
        <v>1992</v>
      </c>
      <c r="T472" s="8">
        <v>1992</v>
      </c>
      <c r="U472" s="8">
        <f t="shared" si="65"/>
        <v>30</v>
      </c>
      <c r="V472" s="7">
        <v>33848</v>
      </c>
      <c r="W472" t="s">
        <v>136</v>
      </c>
      <c r="X472" s="2">
        <v>1.3720000000000001</v>
      </c>
      <c r="Y472" s="6">
        <f t="shared" si="62"/>
        <v>3.662475641333654E-2</v>
      </c>
      <c r="AA472">
        <v>189480</v>
      </c>
      <c r="AB472">
        <v>17366</v>
      </c>
      <c r="AC472">
        <v>15579670</v>
      </c>
      <c r="AD472" t="s">
        <v>4</v>
      </c>
      <c r="AE472">
        <v>40</v>
      </c>
      <c r="AF472">
        <v>9</v>
      </c>
      <c r="AH472" t="s">
        <v>6455</v>
      </c>
      <c r="AI472" t="s">
        <v>6454</v>
      </c>
      <c r="AK472" t="s">
        <v>6453</v>
      </c>
      <c r="AL472">
        <v>68</v>
      </c>
      <c r="AM472" s="5">
        <f t="shared" si="66"/>
        <v>2.2666666666666666</v>
      </c>
      <c r="AN472" s="4">
        <f t="shared" si="63"/>
        <v>3.4330430392528082E-3</v>
      </c>
      <c r="AO472" s="3"/>
      <c r="AP472">
        <v>0</v>
      </c>
      <c r="AR472" t="s">
        <v>0</v>
      </c>
      <c r="AT472" s="2" t="s">
        <v>16</v>
      </c>
      <c r="AU472" s="1">
        <f t="shared" si="67"/>
        <v>2.666724240111142</v>
      </c>
      <c r="AV472" s="1">
        <f t="shared" si="68"/>
        <v>2.0028899726294673</v>
      </c>
      <c r="AW472" s="1">
        <f t="shared" si="69"/>
        <v>1.3390557051477927</v>
      </c>
    </row>
    <row r="473" spans="1:49" x14ac:dyDescent="0.2">
      <c r="A473">
        <v>471</v>
      </c>
      <c r="B473" t="s">
        <v>6452</v>
      </c>
      <c r="C473" t="s">
        <v>6451</v>
      </c>
      <c r="F473" t="s">
        <v>6450</v>
      </c>
      <c r="G473" t="s">
        <v>12</v>
      </c>
      <c r="H473" t="s">
        <v>11</v>
      </c>
      <c r="I473" t="s">
        <v>6449</v>
      </c>
      <c r="N473">
        <v>5</v>
      </c>
      <c r="O473" t="s">
        <v>6448</v>
      </c>
      <c r="P473" t="s">
        <v>6447</v>
      </c>
      <c r="Q473" t="s">
        <v>2445</v>
      </c>
      <c r="R473" s="7">
        <v>33604</v>
      </c>
      <c r="S473" s="8">
        <f t="shared" si="64"/>
        <v>1992</v>
      </c>
      <c r="T473" s="8">
        <v>1992</v>
      </c>
      <c r="U473" s="8">
        <f t="shared" si="65"/>
        <v>30</v>
      </c>
      <c r="V473" s="7" t="s">
        <v>6361</v>
      </c>
      <c r="W473" t="s">
        <v>1367</v>
      </c>
      <c r="X473" s="2">
        <v>0.371</v>
      </c>
      <c r="Y473" s="6">
        <f t="shared" si="62"/>
        <v>9.9036331117695747E-3</v>
      </c>
      <c r="AA473">
        <v>486604</v>
      </c>
      <c r="AB473">
        <v>28580</v>
      </c>
      <c r="AC473" t="s">
        <v>1366</v>
      </c>
      <c r="AD473" t="s">
        <v>4</v>
      </c>
      <c r="AE473">
        <v>27</v>
      </c>
      <c r="AF473">
        <v>5</v>
      </c>
      <c r="AH473" t="s">
        <v>6446</v>
      </c>
      <c r="AI473" t="s">
        <v>6445</v>
      </c>
      <c r="AK473" t="s">
        <v>6444</v>
      </c>
      <c r="AL473">
        <v>5</v>
      </c>
      <c r="AM473" s="5">
        <f t="shared" si="66"/>
        <v>0.16666666666666666</v>
      </c>
      <c r="AN473" s="4">
        <f t="shared" si="63"/>
        <v>2.5242963523917705E-4</v>
      </c>
      <c r="AO473" s="3"/>
      <c r="AP473">
        <v>0</v>
      </c>
      <c r="AR473" t="s">
        <v>0</v>
      </c>
      <c r="AT473" s="2">
        <v>1.431</v>
      </c>
      <c r="AU473" s="1">
        <f t="shared" si="67"/>
        <v>0.70082720688104549</v>
      </c>
      <c r="AV473" s="1">
        <f t="shared" si="68"/>
        <v>0.50780313735043758</v>
      </c>
      <c r="AW473" s="1">
        <f t="shared" si="69"/>
        <v>0.31477906781982962</v>
      </c>
    </row>
    <row r="474" spans="1:49" x14ac:dyDescent="0.2">
      <c r="A474">
        <v>472</v>
      </c>
      <c r="B474" t="s">
        <v>6443</v>
      </c>
      <c r="C474" t="s">
        <v>6442</v>
      </c>
      <c r="F474" t="s">
        <v>6441</v>
      </c>
      <c r="G474" t="s">
        <v>12</v>
      </c>
      <c r="H474" t="s">
        <v>11</v>
      </c>
      <c r="I474" t="s">
        <v>6440</v>
      </c>
      <c r="J474" t="s">
        <v>6439</v>
      </c>
      <c r="K474" t="s">
        <v>6438</v>
      </c>
      <c r="L474" t="s">
        <v>6437</v>
      </c>
      <c r="M474" t="s">
        <v>6436</v>
      </c>
      <c r="N474">
        <v>3</v>
      </c>
      <c r="O474" t="s">
        <v>6435</v>
      </c>
      <c r="P474" t="s">
        <v>6434</v>
      </c>
      <c r="Q474" t="s">
        <v>6433</v>
      </c>
      <c r="R474" s="7">
        <v>33604</v>
      </c>
      <c r="S474" s="8">
        <f t="shared" si="64"/>
        <v>1992</v>
      </c>
      <c r="T474" s="8">
        <v>1992</v>
      </c>
      <c r="U474" s="8">
        <f t="shared" si="65"/>
        <v>30</v>
      </c>
      <c r="V474" s="7">
        <v>33848</v>
      </c>
      <c r="W474" t="s">
        <v>599</v>
      </c>
      <c r="X474" s="2">
        <v>0.375</v>
      </c>
      <c r="Y474" s="6">
        <f t="shared" si="62"/>
        <v>1.0010410827260351E-2</v>
      </c>
      <c r="AA474">
        <v>135194</v>
      </c>
      <c r="AB474">
        <v>24918</v>
      </c>
      <c r="AD474" t="s">
        <v>4</v>
      </c>
      <c r="AE474">
        <v>28</v>
      </c>
      <c r="AF474">
        <v>20</v>
      </c>
      <c r="AH474" t="s">
        <v>6432</v>
      </c>
      <c r="AI474" t="s">
        <v>6431</v>
      </c>
      <c r="AJ474" t="s">
        <v>6430</v>
      </c>
      <c r="AK474" t="s">
        <v>6429</v>
      </c>
      <c r="AL474">
        <v>3</v>
      </c>
      <c r="AM474" s="5">
        <f t="shared" si="66"/>
        <v>0.1</v>
      </c>
      <c r="AN474" s="4">
        <f t="shared" si="63"/>
        <v>1.5145778114350627E-4</v>
      </c>
      <c r="AO474" s="3"/>
      <c r="AP474">
        <v>0</v>
      </c>
      <c r="AR474" t="s">
        <v>0</v>
      </c>
      <c r="AT474" s="2">
        <v>1.3140000000000001</v>
      </c>
      <c r="AU474" s="1">
        <f t="shared" si="67"/>
        <v>0.70527249134252978</v>
      </c>
      <c r="AV474" s="1">
        <f t="shared" si="68"/>
        <v>0.50809343042019284</v>
      </c>
      <c r="AW474" s="1">
        <f t="shared" si="69"/>
        <v>0.31091436949785595</v>
      </c>
    </row>
    <row r="475" spans="1:49" x14ac:dyDescent="0.2">
      <c r="A475">
        <v>473</v>
      </c>
      <c r="B475" t="s">
        <v>6428</v>
      </c>
      <c r="C475" t="s">
        <v>6427</v>
      </c>
      <c r="D475" t="s">
        <v>6426</v>
      </c>
      <c r="F475" t="s">
        <v>6425</v>
      </c>
      <c r="G475" t="s">
        <v>12</v>
      </c>
      <c r="H475" t="s">
        <v>11</v>
      </c>
      <c r="I475" t="s">
        <v>6424</v>
      </c>
      <c r="J475">
        <v>60085149</v>
      </c>
      <c r="K475" t="s">
        <v>4656</v>
      </c>
      <c r="L475" t="s">
        <v>4655</v>
      </c>
      <c r="M475" t="s">
        <v>817</v>
      </c>
      <c r="N475">
        <v>4</v>
      </c>
      <c r="O475" t="s">
        <v>6423</v>
      </c>
      <c r="P475" t="s">
        <v>6422</v>
      </c>
      <c r="Q475" t="s">
        <v>4652</v>
      </c>
      <c r="R475" s="7">
        <v>33604</v>
      </c>
      <c r="S475" s="8">
        <f t="shared" si="64"/>
        <v>1992</v>
      </c>
      <c r="T475" s="8">
        <v>1992</v>
      </c>
      <c r="U475" s="8">
        <f t="shared" si="65"/>
        <v>30</v>
      </c>
      <c r="V475" s="7">
        <v>33848</v>
      </c>
      <c r="W475" t="s">
        <v>6421</v>
      </c>
      <c r="X475" s="2">
        <v>0.55300000000000005</v>
      </c>
      <c r="Y475" s="6">
        <f t="shared" si="62"/>
        <v>1.4762019166599933E-2</v>
      </c>
      <c r="AA475">
        <v>1679317</v>
      </c>
      <c r="AB475">
        <v>26696</v>
      </c>
      <c r="AD475" t="s">
        <v>4</v>
      </c>
      <c r="AE475">
        <v>19</v>
      </c>
      <c r="AF475" s="9">
        <v>44287</v>
      </c>
      <c r="AH475" t="s">
        <v>6420</v>
      </c>
      <c r="AI475" t="s">
        <v>6419</v>
      </c>
      <c r="AK475" t="s">
        <v>6418</v>
      </c>
      <c r="AL475">
        <v>8</v>
      </c>
      <c r="AM475" s="5">
        <f t="shared" si="66"/>
        <v>0.26666666666666666</v>
      </c>
      <c r="AN475" s="4">
        <f t="shared" si="63"/>
        <v>4.0388741638268334E-4</v>
      </c>
      <c r="AO475" s="3"/>
      <c r="AP475">
        <v>0</v>
      </c>
      <c r="AR475" t="s">
        <v>0</v>
      </c>
      <c r="AT475" s="2">
        <v>2.5230000000000001</v>
      </c>
      <c r="AU475" s="1">
        <f t="shared" si="67"/>
        <v>1.0454579641534756</v>
      </c>
      <c r="AV475" s="1">
        <f t="shared" si="68"/>
        <v>0.75829532914913089</v>
      </c>
      <c r="AW475" s="1">
        <f t="shared" si="69"/>
        <v>0.47113269414478581</v>
      </c>
    </row>
    <row r="476" spans="1:49" x14ac:dyDescent="0.2">
      <c r="A476">
        <v>474</v>
      </c>
      <c r="B476" t="s">
        <v>6417</v>
      </c>
      <c r="C476" t="s">
        <v>6416</v>
      </c>
      <c r="F476" t="s">
        <v>6415</v>
      </c>
      <c r="G476" t="s">
        <v>12</v>
      </c>
      <c r="H476" t="s">
        <v>11</v>
      </c>
      <c r="I476" t="s">
        <v>6414</v>
      </c>
      <c r="N476">
        <v>2</v>
      </c>
      <c r="O476" t="s">
        <v>6413</v>
      </c>
      <c r="P476" t="s">
        <v>6412</v>
      </c>
      <c r="Q476" t="s">
        <v>720</v>
      </c>
      <c r="R476" s="7">
        <v>33604</v>
      </c>
      <c r="S476" s="8">
        <f t="shared" si="64"/>
        <v>1992</v>
      </c>
      <c r="T476" s="8">
        <v>1992</v>
      </c>
      <c r="U476" s="8">
        <f t="shared" si="65"/>
        <v>30</v>
      </c>
      <c r="V476" s="7" t="s">
        <v>6361</v>
      </c>
      <c r="W476" t="s">
        <v>1367</v>
      </c>
      <c r="X476" s="2">
        <v>0.371</v>
      </c>
      <c r="Y476" s="6">
        <f t="shared" si="62"/>
        <v>9.9036331117695747E-3</v>
      </c>
      <c r="AA476">
        <v>486604</v>
      </c>
      <c r="AB476">
        <v>28580</v>
      </c>
      <c r="AC476" t="s">
        <v>1366</v>
      </c>
      <c r="AD476" t="s">
        <v>4</v>
      </c>
      <c r="AE476">
        <v>27</v>
      </c>
      <c r="AF476">
        <v>5</v>
      </c>
      <c r="AH476" t="s">
        <v>6411</v>
      </c>
      <c r="AI476" t="s">
        <v>6410</v>
      </c>
      <c r="AK476" t="s">
        <v>6409</v>
      </c>
      <c r="AL476">
        <v>5</v>
      </c>
      <c r="AM476" s="5">
        <f t="shared" si="66"/>
        <v>0.16666666666666666</v>
      </c>
      <c r="AN476" s="4">
        <f t="shared" si="63"/>
        <v>2.5242963523917705E-4</v>
      </c>
      <c r="AO476" s="3"/>
      <c r="AP476">
        <v>0</v>
      </c>
      <c r="AR476" t="s">
        <v>0</v>
      </c>
      <c r="AT476" s="2">
        <v>1.431</v>
      </c>
      <c r="AU476" s="1">
        <f t="shared" si="67"/>
        <v>0.70082720688104549</v>
      </c>
      <c r="AV476" s="1">
        <f t="shared" si="68"/>
        <v>0.50780313735043758</v>
      </c>
      <c r="AW476" s="1">
        <f t="shared" si="69"/>
        <v>0.31477906781982962</v>
      </c>
    </row>
    <row r="477" spans="1:49" x14ac:dyDescent="0.2">
      <c r="A477">
        <v>475</v>
      </c>
      <c r="B477" t="s">
        <v>6408</v>
      </c>
      <c r="C477" t="s">
        <v>6407</v>
      </c>
      <c r="F477" t="s">
        <v>6406</v>
      </c>
      <c r="G477" t="s">
        <v>12</v>
      </c>
      <c r="H477" t="s">
        <v>11</v>
      </c>
      <c r="I477" t="s">
        <v>6405</v>
      </c>
      <c r="J477" t="s">
        <v>6401</v>
      </c>
      <c r="K477" t="s">
        <v>6404</v>
      </c>
      <c r="L477" t="s">
        <v>233</v>
      </c>
      <c r="M477" t="s">
        <v>125</v>
      </c>
      <c r="N477">
        <v>2</v>
      </c>
      <c r="O477" t="s">
        <v>6403</v>
      </c>
      <c r="P477" t="s">
        <v>6402</v>
      </c>
      <c r="Q477" t="s">
        <v>6401</v>
      </c>
      <c r="R477" s="7">
        <v>33604</v>
      </c>
      <c r="S477" s="8">
        <f t="shared" si="64"/>
        <v>1992</v>
      </c>
      <c r="T477" s="8">
        <v>1992</v>
      </c>
      <c r="U477" s="8">
        <f t="shared" si="65"/>
        <v>30</v>
      </c>
      <c r="V477" s="7">
        <v>33848</v>
      </c>
      <c r="W477" t="s">
        <v>136</v>
      </c>
      <c r="X477" s="2">
        <v>1.3720000000000001</v>
      </c>
      <c r="Y477" s="6">
        <f t="shared" si="62"/>
        <v>3.662475641333654E-2</v>
      </c>
      <c r="AA477">
        <v>189480</v>
      </c>
      <c r="AB477">
        <v>17366</v>
      </c>
      <c r="AC477">
        <v>15579670</v>
      </c>
      <c r="AD477" t="s">
        <v>4</v>
      </c>
      <c r="AE477">
        <v>40</v>
      </c>
      <c r="AF477">
        <v>9</v>
      </c>
      <c r="AH477" t="s">
        <v>6400</v>
      </c>
      <c r="AI477" t="s">
        <v>6399</v>
      </c>
      <c r="AK477" t="s">
        <v>6398</v>
      </c>
      <c r="AL477">
        <v>149</v>
      </c>
      <c r="AM477" s="5">
        <f t="shared" si="66"/>
        <v>4.9666666666666668</v>
      </c>
      <c r="AN477" s="4">
        <f t="shared" si="63"/>
        <v>7.5224031301274769E-3</v>
      </c>
      <c r="AO477" s="3"/>
      <c r="AP477">
        <v>0</v>
      </c>
      <c r="AQ477" t="s">
        <v>2118</v>
      </c>
      <c r="AR477" t="s">
        <v>6397</v>
      </c>
      <c r="AS477" t="s">
        <v>2117</v>
      </c>
      <c r="AT477" s="2" t="s">
        <v>16</v>
      </c>
      <c r="AU477" s="1">
        <f t="shared" si="67"/>
        <v>2.789405042837382</v>
      </c>
      <c r="AV477" s="1">
        <f t="shared" si="68"/>
        <v>2.2073579771732006</v>
      </c>
      <c r="AW477" s="1">
        <f t="shared" si="69"/>
        <v>1.6253109115090196</v>
      </c>
    </row>
    <row r="478" spans="1:49" x14ac:dyDescent="0.2">
      <c r="A478">
        <v>476</v>
      </c>
      <c r="B478" t="s">
        <v>6396</v>
      </c>
      <c r="C478" t="s">
        <v>6395</v>
      </c>
      <c r="F478" t="s">
        <v>6394</v>
      </c>
      <c r="G478" t="s">
        <v>12</v>
      </c>
      <c r="H478" t="s">
        <v>11</v>
      </c>
      <c r="I478" t="s">
        <v>6393</v>
      </c>
      <c r="J478" t="s">
        <v>6392</v>
      </c>
      <c r="K478" t="s">
        <v>6391</v>
      </c>
      <c r="L478" t="s">
        <v>5807</v>
      </c>
      <c r="M478" t="s">
        <v>5806</v>
      </c>
      <c r="N478">
        <v>2</v>
      </c>
      <c r="O478" t="s">
        <v>6390</v>
      </c>
      <c r="P478" t="s">
        <v>6389</v>
      </c>
      <c r="Q478" t="s">
        <v>6388</v>
      </c>
      <c r="R478" s="7">
        <v>33604</v>
      </c>
      <c r="S478" s="8">
        <f t="shared" si="64"/>
        <v>1992</v>
      </c>
      <c r="T478" s="8">
        <v>1992</v>
      </c>
      <c r="U478" s="8">
        <f t="shared" si="65"/>
        <v>30</v>
      </c>
      <c r="V478" s="7">
        <v>33848</v>
      </c>
      <c r="W478" t="s">
        <v>1458</v>
      </c>
      <c r="X478" s="2">
        <v>0.30399999999999999</v>
      </c>
      <c r="Y478" s="6">
        <f t="shared" si="62"/>
        <v>8.115106377299057E-3</v>
      </c>
      <c r="AA478">
        <v>8952477</v>
      </c>
      <c r="AB478">
        <v>12250</v>
      </c>
      <c r="AC478">
        <v>10982760</v>
      </c>
      <c r="AD478" t="s">
        <v>4</v>
      </c>
      <c r="AE478">
        <v>5</v>
      </c>
      <c r="AF478">
        <v>10</v>
      </c>
      <c r="AH478" t="s">
        <v>6387</v>
      </c>
      <c r="AI478" t="s">
        <v>6386</v>
      </c>
      <c r="AJ478" t="s">
        <v>6385</v>
      </c>
      <c r="AK478" t="s">
        <v>6384</v>
      </c>
      <c r="AL478">
        <v>3</v>
      </c>
      <c r="AM478" s="5">
        <f t="shared" si="66"/>
        <v>0.1</v>
      </c>
      <c r="AN478" s="4">
        <f t="shared" si="63"/>
        <v>1.5145778114350627E-4</v>
      </c>
      <c r="AO478" s="3"/>
      <c r="AP478">
        <v>0</v>
      </c>
      <c r="AR478" t="s">
        <v>0</v>
      </c>
      <c r="AT478" s="2" t="s">
        <v>16</v>
      </c>
      <c r="AU478" s="1">
        <f t="shared" si="67"/>
        <v>0.57260117984523917</v>
      </c>
      <c r="AV478" s="1">
        <f t="shared" si="68"/>
        <v>0.41332820792212815</v>
      </c>
      <c r="AW478" s="1">
        <f t="shared" si="69"/>
        <v>0.25405523599901714</v>
      </c>
    </row>
    <row r="479" spans="1:49" x14ac:dyDescent="0.2">
      <c r="A479">
        <v>477</v>
      </c>
      <c r="B479" t="s">
        <v>6383</v>
      </c>
      <c r="C479" t="s">
        <v>6382</v>
      </c>
      <c r="F479" t="s">
        <v>6381</v>
      </c>
      <c r="G479" t="s">
        <v>12</v>
      </c>
      <c r="H479" t="s">
        <v>11</v>
      </c>
      <c r="I479" t="s">
        <v>6380</v>
      </c>
      <c r="J479" t="s">
        <v>6379</v>
      </c>
      <c r="K479" t="s">
        <v>6378</v>
      </c>
      <c r="L479" t="s">
        <v>6377</v>
      </c>
      <c r="M479" t="s">
        <v>6376</v>
      </c>
      <c r="N479">
        <v>2</v>
      </c>
      <c r="O479" t="s">
        <v>6375</v>
      </c>
      <c r="P479" t="s">
        <v>6374</v>
      </c>
      <c r="Q479" t="s">
        <v>6373</v>
      </c>
      <c r="R479" s="7">
        <v>33604</v>
      </c>
      <c r="S479" s="8">
        <f t="shared" si="64"/>
        <v>1992</v>
      </c>
      <c r="T479" s="8">
        <v>1992</v>
      </c>
      <c r="U479" s="8">
        <f t="shared" si="65"/>
        <v>30</v>
      </c>
      <c r="V479" s="7">
        <v>33848</v>
      </c>
      <c r="W479" t="s">
        <v>136</v>
      </c>
      <c r="X479" s="2">
        <v>1.3720000000000001</v>
      </c>
      <c r="Y479" s="6">
        <f t="shared" si="62"/>
        <v>3.662475641333654E-2</v>
      </c>
      <c r="AA479">
        <v>189480</v>
      </c>
      <c r="AB479">
        <v>17366</v>
      </c>
      <c r="AC479">
        <v>15579670</v>
      </c>
      <c r="AD479" t="s">
        <v>4</v>
      </c>
      <c r="AE479">
        <v>40</v>
      </c>
      <c r="AF479">
        <v>9</v>
      </c>
      <c r="AH479" t="s">
        <v>6372</v>
      </c>
      <c r="AI479" t="s">
        <v>6371</v>
      </c>
      <c r="AK479" t="s">
        <v>6370</v>
      </c>
      <c r="AL479">
        <v>4</v>
      </c>
      <c r="AM479" s="5">
        <f t="shared" si="66"/>
        <v>0.13333333333333333</v>
      </c>
      <c r="AN479" s="4">
        <f t="shared" si="63"/>
        <v>2.0194370819134167E-4</v>
      </c>
      <c r="AO479" s="3"/>
      <c r="AP479">
        <v>0</v>
      </c>
      <c r="AQ479" t="s">
        <v>6369</v>
      </c>
      <c r="AR479" t="s">
        <v>0</v>
      </c>
      <c r="AS479" t="s">
        <v>6368</v>
      </c>
      <c r="AT479" s="2" t="s">
        <v>16</v>
      </c>
      <c r="AU479" s="1">
        <f t="shared" si="67"/>
        <v>2.569791260179298</v>
      </c>
      <c r="AV479" s="1">
        <f t="shared" si="68"/>
        <v>1.841335006076394</v>
      </c>
      <c r="AW479" s="1">
        <f t="shared" si="69"/>
        <v>1.1128787519734902</v>
      </c>
    </row>
    <row r="480" spans="1:49" x14ac:dyDescent="0.2">
      <c r="A480">
        <v>478</v>
      </c>
      <c r="B480" t="s">
        <v>6367</v>
      </c>
      <c r="C480" t="s">
        <v>6366</v>
      </c>
      <c r="F480" t="s">
        <v>6365</v>
      </c>
      <c r="G480" t="s">
        <v>12</v>
      </c>
      <c r="H480" t="s">
        <v>11</v>
      </c>
      <c r="I480" t="s">
        <v>6364</v>
      </c>
      <c r="N480">
        <v>2</v>
      </c>
      <c r="O480" t="s">
        <v>6363</v>
      </c>
      <c r="P480" t="s">
        <v>6362</v>
      </c>
      <c r="Q480" t="s">
        <v>720</v>
      </c>
      <c r="R480" s="7">
        <v>33604</v>
      </c>
      <c r="S480" s="8">
        <f t="shared" si="64"/>
        <v>1992</v>
      </c>
      <c r="T480" s="8">
        <v>1992</v>
      </c>
      <c r="U480" s="8">
        <f t="shared" si="65"/>
        <v>30</v>
      </c>
      <c r="V480" s="7" t="s">
        <v>6361</v>
      </c>
      <c r="W480" t="s">
        <v>1367</v>
      </c>
      <c r="X480" s="2">
        <v>0.371</v>
      </c>
      <c r="Y480" s="6">
        <f t="shared" si="62"/>
        <v>9.9036331117695747E-3</v>
      </c>
      <c r="AA480">
        <v>486604</v>
      </c>
      <c r="AB480">
        <v>28580</v>
      </c>
      <c r="AC480" t="s">
        <v>1366</v>
      </c>
      <c r="AD480" t="s">
        <v>4</v>
      </c>
      <c r="AE480">
        <v>27</v>
      </c>
      <c r="AF480">
        <v>5</v>
      </c>
      <c r="AH480" t="s">
        <v>6360</v>
      </c>
      <c r="AI480" t="s">
        <v>6359</v>
      </c>
      <c r="AK480" t="s">
        <v>6358</v>
      </c>
      <c r="AL480">
        <v>36</v>
      </c>
      <c r="AM480" s="5">
        <f t="shared" si="66"/>
        <v>1.2</v>
      </c>
      <c r="AN480" s="4">
        <f t="shared" si="63"/>
        <v>1.8174933737220749E-3</v>
      </c>
      <c r="AO480" s="3"/>
      <c r="AP480">
        <v>0</v>
      </c>
      <c r="AR480" t="s">
        <v>0</v>
      </c>
      <c r="AT480" s="2">
        <v>1.431</v>
      </c>
      <c r="AU480" s="1">
        <f t="shared" si="67"/>
        <v>0.7477791190355324</v>
      </c>
      <c r="AV480" s="1">
        <f t="shared" si="68"/>
        <v>0.58605632427458243</v>
      </c>
      <c r="AW480" s="1">
        <f t="shared" si="69"/>
        <v>0.42433352951363251</v>
      </c>
    </row>
    <row r="481" spans="1:49" x14ac:dyDescent="0.2">
      <c r="A481">
        <v>479</v>
      </c>
      <c r="B481" t="s">
        <v>6357</v>
      </c>
      <c r="C481" t="s">
        <v>6356</v>
      </c>
      <c r="F481" t="s">
        <v>6355</v>
      </c>
      <c r="G481" t="s">
        <v>12</v>
      </c>
      <c r="H481" t="s">
        <v>11</v>
      </c>
      <c r="I481" t="s">
        <v>6354</v>
      </c>
      <c r="J481">
        <v>60103907</v>
      </c>
      <c r="K481" t="s">
        <v>668</v>
      </c>
      <c r="L481" t="s">
        <v>667</v>
      </c>
      <c r="M481" t="s">
        <v>151</v>
      </c>
      <c r="N481">
        <v>4</v>
      </c>
      <c r="O481" t="s">
        <v>6353</v>
      </c>
      <c r="P481" t="s">
        <v>6352</v>
      </c>
      <c r="Q481" t="s">
        <v>6351</v>
      </c>
      <c r="R481" s="7">
        <v>33604</v>
      </c>
      <c r="S481" s="8">
        <f t="shared" si="64"/>
        <v>1992</v>
      </c>
      <c r="T481" s="8">
        <v>1992</v>
      </c>
      <c r="U481" s="8">
        <f t="shared" si="65"/>
        <v>30</v>
      </c>
      <c r="V481" s="7">
        <v>33848</v>
      </c>
      <c r="W481" t="s">
        <v>3220</v>
      </c>
      <c r="X481" s="2">
        <v>0.78200000000000003</v>
      </c>
      <c r="Y481" s="6">
        <f t="shared" si="62"/>
        <v>2.0875043378446919E-2</v>
      </c>
      <c r="AA481">
        <v>189316</v>
      </c>
      <c r="AB481">
        <v>19901</v>
      </c>
      <c r="AC481">
        <v>15579611</v>
      </c>
      <c r="AD481" t="s">
        <v>4</v>
      </c>
      <c r="AE481">
        <v>38</v>
      </c>
      <c r="AF481">
        <v>3</v>
      </c>
      <c r="AH481" t="s">
        <v>6350</v>
      </c>
      <c r="AI481" t="s">
        <v>6349</v>
      </c>
      <c r="AK481" t="s">
        <v>6348</v>
      </c>
      <c r="AL481">
        <v>0</v>
      </c>
      <c r="AM481" s="5">
        <f t="shared" si="66"/>
        <v>0</v>
      </c>
      <c r="AN481" s="4">
        <f t="shared" si="63"/>
        <v>0</v>
      </c>
      <c r="AO481" s="3"/>
      <c r="AP481">
        <v>0</v>
      </c>
      <c r="AR481" t="s">
        <v>0</v>
      </c>
      <c r="AT481" s="2">
        <v>3.863</v>
      </c>
      <c r="AU481" s="1">
        <f t="shared" si="67"/>
        <v>1.4612530364912841</v>
      </c>
      <c r="AV481" s="1">
        <f t="shared" si="68"/>
        <v>1.0437521689223459</v>
      </c>
      <c r="AW481" s="1">
        <f t="shared" si="69"/>
        <v>0.62625130135340756</v>
      </c>
    </row>
    <row r="482" spans="1:49" x14ac:dyDescent="0.2">
      <c r="A482">
        <v>480</v>
      </c>
      <c r="B482" t="s">
        <v>6347</v>
      </c>
      <c r="C482" t="s">
        <v>6346</v>
      </c>
      <c r="F482" t="s">
        <v>6345</v>
      </c>
      <c r="G482" t="s">
        <v>12</v>
      </c>
      <c r="H482" t="s">
        <v>11</v>
      </c>
      <c r="I482" t="s">
        <v>6344</v>
      </c>
      <c r="J482" t="s">
        <v>6343</v>
      </c>
      <c r="K482" t="s">
        <v>6342</v>
      </c>
      <c r="L482" t="s">
        <v>6341</v>
      </c>
      <c r="M482" t="s">
        <v>167</v>
      </c>
      <c r="N482">
        <v>2</v>
      </c>
      <c r="O482" t="s">
        <v>6340</v>
      </c>
      <c r="P482" t="s">
        <v>6339</v>
      </c>
      <c r="Q482" t="s">
        <v>6338</v>
      </c>
      <c r="R482" s="7">
        <v>33604</v>
      </c>
      <c r="S482" s="8">
        <f t="shared" si="64"/>
        <v>1992</v>
      </c>
      <c r="T482" s="8">
        <v>1992</v>
      </c>
      <c r="U482" s="8">
        <f t="shared" si="65"/>
        <v>30</v>
      </c>
      <c r="V482" s="7">
        <v>33848</v>
      </c>
      <c r="W482" t="s">
        <v>3960</v>
      </c>
      <c r="X482" s="2">
        <v>0.251</v>
      </c>
      <c r="Y482" s="6">
        <f t="shared" si="62"/>
        <v>6.7003016470462617E-3</v>
      </c>
      <c r="AA482">
        <v>207217</v>
      </c>
      <c r="AB482">
        <v>26145</v>
      </c>
      <c r="AC482">
        <v>13623060</v>
      </c>
      <c r="AD482" t="s">
        <v>4</v>
      </c>
      <c r="AE482">
        <v>73</v>
      </c>
      <c r="AF482">
        <v>3</v>
      </c>
      <c r="AH482" t="s">
        <v>6337</v>
      </c>
      <c r="AI482" t="s">
        <v>6336</v>
      </c>
      <c r="AK482" t="s">
        <v>6335</v>
      </c>
      <c r="AL482">
        <v>6</v>
      </c>
      <c r="AM482" s="5">
        <f t="shared" si="66"/>
        <v>0.2</v>
      </c>
      <c r="AN482" s="4">
        <f t="shared" si="63"/>
        <v>3.0291556228701253E-4</v>
      </c>
      <c r="AO482" s="3"/>
      <c r="AP482">
        <v>0</v>
      </c>
      <c r="AR482" t="s">
        <v>0</v>
      </c>
      <c r="AT482" s="2">
        <v>1.3360000000000001</v>
      </c>
      <c r="AU482" s="1">
        <f t="shared" si="67"/>
        <v>0.47810858216184859</v>
      </c>
      <c r="AV482" s="1">
        <f t="shared" si="68"/>
        <v>0.35016086046666373</v>
      </c>
      <c r="AW482" s="1">
        <f t="shared" si="69"/>
        <v>0.22221313877147869</v>
      </c>
    </row>
    <row r="483" spans="1:49" x14ac:dyDescent="0.2">
      <c r="A483">
        <v>481</v>
      </c>
      <c r="B483" t="s">
        <v>6334</v>
      </c>
      <c r="C483" t="s">
        <v>6333</v>
      </c>
      <c r="F483" t="s">
        <v>6332</v>
      </c>
      <c r="G483" t="s">
        <v>12</v>
      </c>
      <c r="H483" t="s">
        <v>11</v>
      </c>
      <c r="I483" t="s">
        <v>6331</v>
      </c>
      <c r="J483">
        <v>115993656</v>
      </c>
      <c r="K483" t="s">
        <v>6330</v>
      </c>
      <c r="L483" t="s">
        <v>6329</v>
      </c>
      <c r="M483" t="s">
        <v>7</v>
      </c>
      <c r="N483">
        <v>1</v>
      </c>
      <c r="O483" t="s">
        <v>6328</v>
      </c>
      <c r="P483">
        <v>6602918387</v>
      </c>
      <c r="Q483">
        <v>115993656</v>
      </c>
      <c r="R483" s="7">
        <v>33604</v>
      </c>
      <c r="S483" s="8">
        <f t="shared" si="64"/>
        <v>1992</v>
      </c>
      <c r="T483" s="8">
        <v>1992</v>
      </c>
      <c r="U483" s="8">
        <f t="shared" si="65"/>
        <v>30</v>
      </c>
      <c r="V483" s="7">
        <v>33848</v>
      </c>
      <c r="W483" t="s">
        <v>3220</v>
      </c>
      <c r="X483" s="2">
        <v>0.78200000000000003</v>
      </c>
      <c r="Y483" s="6">
        <f t="shared" si="62"/>
        <v>2.0875043378446919E-2</v>
      </c>
      <c r="AA483">
        <v>189316</v>
      </c>
      <c r="AB483">
        <v>19901</v>
      </c>
      <c r="AC483">
        <v>15579611</v>
      </c>
      <c r="AD483" t="s">
        <v>4</v>
      </c>
      <c r="AE483">
        <v>38</v>
      </c>
      <c r="AF483">
        <v>3</v>
      </c>
      <c r="AH483" t="s">
        <v>6327</v>
      </c>
      <c r="AI483" t="s">
        <v>6326</v>
      </c>
      <c r="AK483" t="s">
        <v>6325</v>
      </c>
      <c r="AL483">
        <v>1</v>
      </c>
      <c r="AM483" s="5">
        <f t="shared" si="66"/>
        <v>3.3333333333333333E-2</v>
      </c>
      <c r="AN483" s="4">
        <f t="shared" si="63"/>
        <v>5.0485927047835418E-5</v>
      </c>
      <c r="AO483" s="3"/>
      <c r="AP483">
        <v>0</v>
      </c>
      <c r="AR483" t="s">
        <v>0</v>
      </c>
      <c r="AT483" s="2">
        <v>3.863</v>
      </c>
      <c r="AU483" s="1">
        <f t="shared" si="67"/>
        <v>1.4627676143027191</v>
      </c>
      <c r="AV483" s="1">
        <f t="shared" si="68"/>
        <v>1.0462764652747376</v>
      </c>
      <c r="AW483" s="1">
        <f t="shared" si="69"/>
        <v>0.62978531624675604</v>
      </c>
    </row>
    <row r="484" spans="1:49" x14ac:dyDescent="0.2">
      <c r="A484">
        <v>482</v>
      </c>
      <c r="B484" t="s">
        <v>6324</v>
      </c>
      <c r="C484" t="s">
        <v>6323</v>
      </c>
      <c r="F484" t="s">
        <v>6322</v>
      </c>
      <c r="G484" t="s">
        <v>12</v>
      </c>
      <c r="H484" t="s">
        <v>11</v>
      </c>
      <c r="I484" t="s">
        <v>6321</v>
      </c>
      <c r="J484" t="s">
        <v>6320</v>
      </c>
      <c r="K484" t="s">
        <v>6319</v>
      </c>
      <c r="L484" t="s">
        <v>6318</v>
      </c>
      <c r="M484" t="s">
        <v>6317</v>
      </c>
      <c r="N484">
        <v>5</v>
      </c>
      <c r="O484" t="s">
        <v>6316</v>
      </c>
      <c r="P484" t="s">
        <v>6315</v>
      </c>
      <c r="Q484" t="s">
        <v>6314</v>
      </c>
      <c r="R484" s="7">
        <v>33604</v>
      </c>
      <c r="S484" s="8">
        <f t="shared" si="64"/>
        <v>1992</v>
      </c>
      <c r="T484" s="8">
        <v>1992</v>
      </c>
      <c r="U484" s="8">
        <f t="shared" si="65"/>
        <v>30</v>
      </c>
      <c r="V484" s="7">
        <v>33848</v>
      </c>
      <c r="W484" t="s">
        <v>414</v>
      </c>
      <c r="X484" s="2">
        <v>2.141</v>
      </c>
      <c r="Y484" s="6">
        <f t="shared" si="62"/>
        <v>5.7152772216438434E-2</v>
      </c>
      <c r="AA484">
        <v>1962892</v>
      </c>
      <c r="AB484">
        <v>17360</v>
      </c>
      <c r="AC484">
        <v>15580644</v>
      </c>
      <c r="AD484" t="s">
        <v>4</v>
      </c>
      <c r="AE484">
        <v>30</v>
      </c>
      <c r="AF484">
        <v>5</v>
      </c>
      <c r="AH484" t="s">
        <v>6313</v>
      </c>
      <c r="AI484" t="s">
        <v>6312</v>
      </c>
      <c r="AK484" t="s">
        <v>6311</v>
      </c>
      <c r="AL484">
        <v>60</v>
      </c>
      <c r="AM484" s="5">
        <f t="shared" si="66"/>
        <v>2</v>
      </c>
      <c r="AN484" s="4">
        <f t="shared" si="63"/>
        <v>3.0291556228701248E-3</v>
      </c>
      <c r="AO484" s="3"/>
      <c r="AP484">
        <v>0</v>
      </c>
      <c r="AR484" t="s">
        <v>0</v>
      </c>
      <c r="AT484" s="2" t="s">
        <v>16</v>
      </c>
      <c r="AU484" s="1">
        <f t="shared" si="67"/>
        <v>4.0915687238367937</v>
      </c>
      <c r="AV484" s="1">
        <f t="shared" si="68"/>
        <v>3.0090963919654277</v>
      </c>
      <c r="AW484" s="1">
        <f t="shared" si="69"/>
        <v>1.9266240600940616</v>
      </c>
    </row>
    <row r="485" spans="1:49" x14ac:dyDescent="0.2">
      <c r="A485">
        <v>483</v>
      </c>
      <c r="B485" t="s">
        <v>6310</v>
      </c>
      <c r="C485" t="s">
        <v>6309</v>
      </c>
      <c r="F485" t="s">
        <v>6308</v>
      </c>
      <c r="G485" t="s">
        <v>12</v>
      </c>
      <c r="H485" t="s">
        <v>11</v>
      </c>
      <c r="I485" t="s">
        <v>101</v>
      </c>
      <c r="J485">
        <v>60014313</v>
      </c>
      <c r="K485" t="s">
        <v>100</v>
      </c>
      <c r="L485" t="s">
        <v>99</v>
      </c>
      <c r="M485" t="s">
        <v>7</v>
      </c>
      <c r="N485">
        <v>1</v>
      </c>
      <c r="O485" t="s">
        <v>98</v>
      </c>
      <c r="P485">
        <v>7006061921</v>
      </c>
      <c r="Q485">
        <v>60014313</v>
      </c>
      <c r="R485" s="7">
        <v>33604</v>
      </c>
      <c r="S485" s="8">
        <f t="shared" si="64"/>
        <v>1992</v>
      </c>
      <c r="T485" s="8">
        <v>1992</v>
      </c>
      <c r="U485" s="8">
        <f t="shared" si="65"/>
        <v>30</v>
      </c>
      <c r="V485" s="7">
        <v>33848</v>
      </c>
      <c r="W485" t="s">
        <v>97</v>
      </c>
      <c r="X485" s="2">
        <v>1.6519999999999999</v>
      </c>
      <c r="Y485" s="6">
        <f t="shared" si="62"/>
        <v>4.409919649769093E-2</v>
      </c>
      <c r="AA485" t="s">
        <v>96</v>
      </c>
      <c r="AB485">
        <v>17337</v>
      </c>
      <c r="AC485">
        <v>15582221</v>
      </c>
      <c r="AD485" t="s">
        <v>4</v>
      </c>
      <c r="AE485">
        <v>40</v>
      </c>
      <c r="AF485">
        <v>9</v>
      </c>
      <c r="AH485" t="s">
        <v>6307</v>
      </c>
      <c r="AI485" t="s">
        <v>6306</v>
      </c>
      <c r="AK485" t="s">
        <v>6305</v>
      </c>
      <c r="AL485">
        <v>164</v>
      </c>
      <c r="AM485" s="5">
        <f t="shared" si="66"/>
        <v>5.4666666666666668</v>
      </c>
      <c r="AN485" s="4">
        <f t="shared" si="63"/>
        <v>8.2796920358450092E-3</v>
      </c>
      <c r="AO485" s="3"/>
      <c r="AP485">
        <v>0</v>
      </c>
      <c r="AR485" t="s">
        <v>0</v>
      </c>
      <c r="AT485" s="2" t="s">
        <v>16</v>
      </c>
      <c r="AU485" s="1">
        <f t="shared" si="67"/>
        <v>3.3353345159137153</v>
      </c>
      <c r="AV485" s="1">
        <f t="shared" si="68"/>
        <v>2.6189444266767969</v>
      </c>
      <c r="AW485" s="1">
        <f t="shared" si="69"/>
        <v>1.9025543374398786</v>
      </c>
    </row>
    <row r="486" spans="1:49" x14ac:dyDescent="0.2">
      <c r="A486">
        <v>484</v>
      </c>
      <c r="B486" t="s">
        <v>6304</v>
      </c>
      <c r="C486" t="s">
        <v>6303</v>
      </c>
      <c r="F486" t="s">
        <v>6302</v>
      </c>
      <c r="G486" t="s">
        <v>12</v>
      </c>
      <c r="H486" t="s">
        <v>11</v>
      </c>
      <c r="I486" t="s">
        <v>6301</v>
      </c>
      <c r="J486">
        <v>60007742</v>
      </c>
      <c r="K486" t="s">
        <v>6300</v>
      </c>
      <c r="L486" t="s">
        <v>6299</v>
      </c>
      <c r="M486" t="s">
        <v>7</v>
      </c>
      <c r="N486">
        <v>1</v>
      </c>
      <c r="O486" t="s">
        <v>6298</v>
      </c>
      <c r="P486">
        <v>7102112940</v>
      </c>
      <c r="Q486">
        <v>60007742</v>
      </c>
      <c r="R486" s="7">
        <v>33604</v>
      </c>
      <c r="S486" s="8">
        <f t="shared" si="64"/>
        <v>1992</v>
      </c>
      <c r="T486" s="8">
        <v>1992</v>
      </c>
      <c r="U486" s="8">
        <f t="shared" si="65"/>
        <v>30</v>
      </c>
      <c r="V486" s="7" t="s">
        <v>6173</v>
      </c>
      <c r="W486" t="s">
        <v>1789</v>
      </c>
      <c r="X486" s="2">
        <v>0.33800000000000002</v>
      </c>
      <c r="Y486" s="6">
        <f t="shared" si="62"/>
        <v>9.0227169589706634E-3</v>
      </c>
      <c r="AA486">
        <v>7372884</v>
      </c>
      <c r="AB486">
        <v>70506</v>
      </c>
      <c r="AC486">
        <v>10991247</v>
      </c>
      <c r="AD486" t="s">
        <v>4</v>
      </c>
      <c r="AE486">
        <v>10</v>
      </c>
      <c r="AF486">
        <v>5</v>
      </c>
      <c r="AH486" t="s">
        <v>6297</v>
      </c>
      <c r="AI486" t="s">
        <v>6296</v>
      </c>
      <c r="AK486" t="s">
        <v>6295</v>
      </c>
      <c r="AL486">
        <v>1</v>
      </c>
      <c r="AM486" s="5">
        <f t="shared" si="66"/>
        <v>3.3333333333333333E-2</v>
      </c>
      <c r="AN486" s="4">
        <f t="shared" si="63"/>
        <v>5.0485927047835418E-5</v>
      </c>
      <c r="AO486" s="3"/>
      <c r="AP486">
        <v>0</v>
      </c>
      <c r="AR486" t="s">
        <v>0</v>
      </c>
      <c r="AT486" s="2" t="s">
        <v>16</v>
      </c>
      <c r="AU486" s="1">
        <f t="shared" si="67"/>
        <v>0.6331047649393815</v>
      </c>
      <c r="AV486" s="1">
        <f t="shared" si="68"/>
        <v>0.45366014430092494</v>
      </c>
      <c r="AW486" s="1">
        <f t="shared" si="69"/>
        <v>0.27421552366246837</v>
      </c>
    </row>
    <row r="487" spans="1:49" x14ac:dyDescent="0.2">
      <c r="A487">
        <v>485</v>
      </c>
      <c r="B487" t="s">
        <v>6294</v>
      </c>
      <c r="C487" t="s">
        <v>6293</v>
      </c>
      <c r="F487" t="s">
        <v>6292</v>
      </c>
      <c r="G487" t="s">
        <v>12</v>
      </c>
      <c r="H487" t="s">
        <v>11</v>
      </c>
      <c r="I487" t="s">
        <v>6291</v>
      </c>
      <c r="J487">
        <v>60009037</v>
      </c>
      <c r="K487" t="s">
        <v>2673</v>
      </c>
      <c r="L487" t="s">
        <v>2672</v>
      </c>
      <c r="M487" t="s">
        <v>7</v>
      </c>
      <c r="N487">
        <v>2</v>
      </c>
      <c r="O487" t="s">
        <v>6290</v>
      </c>
      <c r="P487" t="s">
        <v>6289</v>
      </c>
      <c r="Q487" t="s">
        <v>4801</v>
      </c>
      <c r="R487" s="7">
        <v>33604</v>
      </c>
      <c r="S487" s="8">
        <f t="shared" si="64"/>
        <v>1992</v>
      </c>
      <c r="T487" s="8">
        <v>1992</v>
      </c>
      <c r="U487" s="8">
        <f t="shared" si="65"/>
        <v>30</v>
      </c>
      <c r="V487" s="7">
        <v>33848</v>
      </c>
      <c r="W487" t="s">
        <v>414</v>
      </c>
      <c r="X487" s="2">
        <v>2.141</v>
      </c>
      <c r="Y487" s="6">
        <f t="shared" si="62"/>
        <v>5.7152772216438434E-2</v>
      </c>
      <c r="AA487">
        <v>1962892</v>
      </c>
      <c r="AB487">
        <v>17360</v>
      </c>
      <c r="AC487">
        <v>15580644</v>
      </c>
      <c r="AD487" t="s">
        <v>4</v>
      </c>
      <c r="AE487">
        <v>30</v>
      </c>
      <c r="AF487">
        <v>5</v>
      </c>
      <c r="AH487" t="s">
        <v>6288</v>
      </c>
      <c r="AI487" t="s">
        <v>6287</v>
      </c>
      <c r="AK487" t="s">
        <v>6286</v>
      </c>
      <c r="AL487">
        <v>60</v>
      </c>
      <c r="AM487" s="5">
        <f t="shared" si="66"/>
        <v>2</v>
      </c>
      <c r="AN487" s="4">
        <f t="shared" si="63"/>
        <v>3.0291556228701248E-3</v>
      </c>
      <c r="AO487" s="3"/>
      <c r="AP487">
        <v>0</v>
      </c>
      <c r="AR487" t="s">
        <v>0</v>
      </c>
      <c r="AT487" s="2" t="s">
        <v>16</v>
      </c>
      <c r="AU487" s="1">
        <f t="shared" si="67"/>
        <v>4.0915687238367937</v>
      </c>
      <c r="AV487" s="1">
        <f t="shared" si="68"/>
        <v>3.0090963919654277</v>
      </c>
      <c r="AW487" s="1">
        <f t="shared" si="69"/>
        <v>1.9266240600940616</v>
      </c>
    </row>
    <row r="488" spans="1:49" x14ac:dyDescent="0.2">
      <c r="A488">
        <v>486</v>
      </c>
      <c r="B488" t="s">
        <v>6285</v>
      </c>
      <c r="C488" t="s">
        <v>6284</v>
      </c>
      <c r="F488" t="s">
        <v>6283</v>
      </c>
      <c r="G488" t="s">
        <v>12</v>
      </c>
      <c r="H488" t="s">
        <v>11</v>
      </c>
      <c r="I488" t="s">
        <v>6282</v>
      </c>
      <c r="J488" t="s">
        <v>6281</v>
      </c>
      <c r="K488" t="s">
        <v>6280</v>
      </c>
      <c r="L488" t="s">
        <v>6279</v>
      </c>
      <c r="M488" t="s">
        <v>125</v>
      </c>
      <c r="N488">
        <v>2</v>
      </c>
      <c r="O488" t="s">
        <v>6278</v>
      </c>
      <c r="P488" t="s">
        <v>6277</v>
      </c>
      <c r="Q488" t="s">
        <v>6276</v>
      </c>
      <c r="R488" s="7">
        <v>33604</v>
      </c>
      <c r="S488" s="8">
        <f t="shared" si="64"/>
        <v>1992</v>
      </c>
      <c r="T488" s="8">
        <v>1992</v>
      </c>
      <c r="U488" s="8">
        <f t="shared" si="65"/>
        <v>30</v>
      </c>
      <c r="V488" s="7">
        <v>33848</v>
      </c>
      <c r="W488" t="s">
        <v>414</v>
      </c>
      <c r="X488" s="2">
        <v>2.141</v>
      </c>
      <c r="Y488" s="6">
        <f t="shared" si="62"/>
        <v>5.7152772216438434E-2</v>
      </c>
      <c r="AA488">
        <v>1962892</v>
      </c>
      <c r="AB488">
        <v>17360</v>
      </c>
      <c r="AC488">
        <v>15580644</v>
      </c>
      <c r="AD488" t="s">
        <v>4</v>
      </c>
      <c r="AE488">
        <v>30</v>
      </c>
      <c r="AF488">
        <v>5</v>
      </c>
      <c r="AH488" t="s">
        <v>6275</v>
      </c>
      <c r="AI488" t="s">
        <v>6274</v>
      </c>
      <c r="AK488" t="s">
        <v>6273</v>
      </c>
      <c r="AL488">
        <v>7</v>
      </c>
      <c r="AM488" s="5">
        <f t="shared" si="66"/>
        <v>0.23333333333333334</v>
      </c>
      <c r="AN488" s="4">
        <f t="shared" si="63"/>
        <v>3.5340148933484791E-4</v>
      </c>
      <c r="AO488" s="3"/>
      <c r="AP488">
        <v>0</v>
      </c>
      <c r="AR488" t="s">
        <v>0</v>
      </c>
      <c r="AT488" s="2" t="s">
        <v>16</v>
      </c>
      <c r="AU488" s="1">
        <f t="shared" si="67"/>
        <v>4.0112960998307354</v>
      </c>
      <c r="AV488" s="1">
        <f t="shared" si="68"/>
        <v>2.875308685288664</v>
      </c>
      <c r="AW488" s="1">
        <f t="shared" si="69"/>
        <v>1.7393212707465924</v>
      </c>
    </row>
    <row r="489" spans="1:49" x14ac:dyDescent="0.2">
      <c r="A489">
        <v>487</v>
      </c>
      <c r="B489" t="s">
        <v>6272</v>
      </c>
      <c r="C489" t="s">
        <v>6271</v>
      </c>
      <c r="F489" t="s">
        <v>6270</v>
      </c>
      <c r="G489" t="s">
        <v>12</v>
      </c>
      <c r="H489" t="s">
        <v>11</v>
      </c>
      <c r="I489" t="s">
        <v>6269</v>
      </c>
      <c r="J489">
        <v>60029170</v>
      </c>
      <c r="K489" t="s">
        <v>2407</v>
      </c>
      <c r="L489" t="s">
        <v>2406</v>
      </c>
      <c r="M489" t="s">
        <v>1091</v>
      </c>
      <c r="N489">
        <v>2</v>
      </c>
      <c r="O489" t="s">
        <v>6268</v>
      </c>
      <c r="P489" t="s">
        <v>6267</v>
      </c>
      <c r="Q489" t="s">
        <v>6266</v>
      </c>
      <c r="R489" s="7">
        <v>33604</v>
      </c>
      <c r="S489" s="8">
        <f t="shared" si="64"/>
        <v>1992</v>
      </c>
      <c r="T489" s="8">
        <v>1992</v>
      </c>
      <c r="U489" s="8">
        <f t="shared" si="65"/>
        <v>30</v>
      </c>
      <c r="V489" s="7">
        <v>33848</v>
      </c>
      <c r="W489" t="s">
        <v>97</v>
      </c>
      <c r="X489" s="2">
        <v>1.6519999999999999</v>
      </c>
      <c r="Y489" s="6">
        <f t="shared" si="62"/>
        <v>4.409919649769093E-2</v>
      </c>
      <c r="AA489" t="s">
        <v>96</v>
      </c>
      <c r="AB489">
        <v>17337</v>
      </c>
      <c r="AC489">
        <v>15582221</v>
      </c>
      <c r="AD489" t="s">
        <v>4</v>
      </c>
      <c r="AE489">
        <v>40</v>
      </c>
      <c r="AF489">
        <v>9</v>
      </c>
      <c r="AH489" t="s">
        <v>6265</v>
      </c>
      <c r="AI489" t="s">
        <v>6264</v>
      </c>
      <c r="AK489" t="s">
        <v>6263</v>
      </c>
      <c r="AL489">
        <v>38</v>
      </c>
      <c r="AM489" s="5">
        <f t="shared" si="66"/>
        <v>1.2666666666666666</v>
      </c>
      <c r="AN489" s="4">
        <f t="shared" si="63"/>
        <v>1.9184652278177456E-3</v>
      </c>
      <c r="AO489" s="3"/>
      <c r="AP489">
        <v>0</v>
      </c>
      <c r="AR489" t="s">
        <v>0</v>
      </c>
      <c r="AT489" s="2" t="s">
        <v>16</v>
      </c>
      <c r="AU489" s="1">
        <f t="shared" si="67"/>
        <v>3.1444977116728974</v>
      </c>
      <c r="AV489" s="1">
        <f t="shared" si="68"/>
        <v>2.3008830862754337</v>
      </c>
      <c r="AW489" s="1">
        <f t="shared" si="69"/>
        <v>1.45726846087797</v>
      </c>
    </row>
    <row r="490" spans="1:49" x14ac:dyDescent="0.2">
      <c r="A490">
        <v>488</v>
      </c>
      <c r="B490" t="s">
        <v>6262</v>
      </c>
      <c r="C490" t="s">
        <v>6261</v>
      </c>
      <c r="D490" t="s">
        <v>6260</v>
      </c>
      <c r="F490" t="s">
        <v>6259</v>
      </c>
      <c r="G490" t="s">
        <v>12</v>
      </c>
      <c r="H490" t="s">
        <v>11</v>
      </c>
      <c r="I490" t="s">
        <v>6258</v>
      </c>
      <c r="N490">
        <v>1</v>
      </c>
      <c r="O490" t="s">
        <v>6257</v>
      </c>
      <c r="P490">
        <v>24315983100</v>
      </c>
      <c r="R490" s="7">
        <v>33604</v>
      </c>
      <c r="S490" s="8">
        <f t="shared" si="64"/>
        <v>1992</v>
      </c>
      <c r="T490" s="8">
        <v>1992</v>
      </c>
      <c r="U490" s="8">
        <f t="shared" si="65"/>
        <v>30</v>
      </c>
      <c r="V490" s="7">
        <v>33848</v>
      </c>
      <c r="W490" t="s">
        <v>6256</v>
      </c>
      <c r="X490" s="2" t="s">
        <v>16</v>
      </c>
      <c r="Y490" s="6" t="e">
        <f t="shared" si="62"/>
        <v>#VALUE!</v>
      </c>
      <c r="AA490">
        <v>1656074</v>
      </c>
      <c r="AB490">
        <v>33904</v>
      </c>
      <c r="AD490" t="s">
        <v>4</v>
      </c>
      <c r="AE490">
        <v>35</v>
      </c>
      <c r="AF490" s="9">
        <v>44317</v>
      </c>
      <c r="AH490" t="s">
        <v>6255</v>
      </c>
      <c r="AI490" t="s">
        <v>6254</v>
      </c>
      <c r="AK490" t="s">
        <v>6253</v>
      </c>
      <c r="AL490">
        <v>0</v>
      </c>
      <c r="AM490" s="5">
        <f t="shared" si="66"/>
        <v>0</v>
      </c>
      <c r="AN490" s="4">
        <f t="shared" si="63"/>
        <v>0</v>
      </c>
      <c r="AO490" s="3"/>
      <c r="AP490">
        <v>0</v>
      </c>
      <c r="AR490" t="s">
        <v>0</v>
      </c>
      <c r="AT490" s="2" t="s">
        <v>16</v>
      </c>
      <c r="AU490" s="1" t="e">
        <f t="shared" si="67"/>
        <v>#VALUE!</v>
      </c>
      <c r="AV490" s="1" t="e">
        <f t="shared" si="68"/>
        <v>#VALUE!</v>
      </c>
      <c r="AW490" s="1" t="e">
        <f t="shared" si="69"/>
        <v>#VALUE!</v>
      </c>
    </row>
    <row r="491" spans="1:49" x14ac:dyDescent="0.2">
      <c r="A491">
        <v>489</v>
      </c>
      <c r="B491" t="s">
        <v>6252</v>
      </c>
      <c r="C491" t="s">
        <v>6251</v>
      </c>
      <c r="F491" t="s">
        <v>6250</v>
      </c>
      <c r="G491" t="s">
        <v>12</v>
      </c>
      <c r="H491" t="s">
        <v>11</v>
      </c>
      <c r="I491" t="s">
        <v>6249</v>
      </c>
      <c r="J491">
        <v>60027090</v>
      </c>
      <c r="K491" t="s">
        <v>2475</v>
      </c>
      <c r="L491" t="s">
        <v>2474</v>
      </c>
      <c r="M491" t="s">
        <v>7</v>
      </c>
      <c r="N491">
        <v>3</v>
      </c>
      <c r="O491" t="s">
        <v>6248</v>
      </c>
      <c r="P491" t="s">
        <v>6247</v>
      </c>
      <c r="Q491" t="s">
        <v>6246</v>
      </c>
      <c r="R491" s="7">
        <v>33604</v>
      </c>
      <c r="S491" s="8">
        <f t="shared" si="64"/>
        <v>1992</v>
      </c>
      <c r="T491" s="8">
        <v>1992</v>
      </c>
      <c r="U491" s="8">
        <f t="shared" si="65"/>
        <v>30</v>
      </c>
      <c r="V491" s="7">
        <v>33848</v>
      </c>
      <c r="W491" t="s">
        <v>6245</v>
      </c>
      <c r="X491" s="2" t="s">
        <v>16</v>
      </c>
      <c r="Y491" s="6" t="e">
        <f t="shared" si="62"/>
        <v>#VALUE!</v>
      </c>
      <c r="AA491">
        <v>10500472</v>
      </c>
      <c r="AB491">
        <v>20979</v>
      </c>
      <c r="AD491" t="s">
        <v>4</v>
      </c>
      <c r="AE491">
        <v>114</v>
      </c>
      <c r="AF491">
        <v>3</v>
      </c>
      <c r="AH491" t="s">
        <v>6244</v>
      </c>
      <c r="AI491" t="s">
        <v>6243</v>
      </c>
      <c r="AK491" t="s">
        <v>6242</v>
      </c>
      <c r="AL491">
        <v>13</v>
      </c>
      <c r="AM491" s="5">
        <f t="shared" si="66"/>
        <v>0.43333333333333335</v>
      </c>
      <c r="AN491" s="4">
        <f t="shared" si="63"/>
        <v>6.5631705162186044E-4</v>
      </c>
      <c r="AO491" s="3"/>
      <c r="AP491">
        <v>0</v>
      </c>
      <c r="AR491" t="s">
        <v>0</v>
      </c>
      <c r="AT491" s="2" t="s">
        <v>16</v>
      </c>
      <c r="AU491" s="1" t="e">
        <f t="shared" si="67"/>
        <v>#VALUE!</v>
      </c>
      <c r="AV491" s="1" t="e">
        <f t="shared" si="68"/>
        <v>#VALUE!</v>
      </c>
      <c r="AW491" s="1" t="e">
        <f t="shared" si="69"/>
        <v>#VALUE!</v>
      </c>
    </row>
    <row r="492" spans="1:49" x14ac:dyDescent="0.2">
      <c r="A492">
        <v>490</v>
      </c>
      <c r="B492" t="s">
        <v>6241</v>
      </c>
      <c r="C492" t="s">
        <v>6240</v>
      </c>
      <c r="F492" t="s">
        <v>6239</v>
      </c>
      <c r="G492" t="s">
        <v>12</v>
      </c>
      <c r="H492" t="s">
        <v>11</v>
      </c>
      <c r="I492" t="s">
        <v>6238</v>
      </c>
      <c r="J492" t="s">
        <v>6237</v>
      </c>
      <c r="K492" t="s">
        <v>6236</v>
      </c>
      <c r="L492" t="s">
        <v>6235</v>
      </c>
      <c r="M492" t="s">
        <v>6234</v>
      </c>
      <c r="N492">
        <v>9</v>
      </c>
      <c r="O492" t="s">
        <v>6233</v>
      </c>
      <c r="P492" t="s">
        <v>6232</v>
      </c>
      <c r="Q492" t="s">
        <v>6231</v>
      </c>
      <c r="R492" s="7">
        <v>33604</v>
      </c>
      <c r="S492" s="8">
        <f t="shared" si="64"/>
        <v>1992</v>
      </c>
      <c r="T492" s="8">
        <v>1992</v>
      </c>
      <c r="U492" s="8">
        <f t="shared" si="65"/>
        <v>30</v>
      </c>
      <c r="V492" s="7">
        <v>33848</v>
      </c>
      <c r="W492" t="s">
        <v>414</v>
      </c>
      <c r="X492" s="2">
        <v>2.141</v>
      </c>
      <c r="Y492" s="6">
        <f t="shared" si="62"/>
        <v>5.7152772216438434E-2</v>
      </c>
      <c r="AA492">
        <v>1962892</v>
      </c>
      <c r="AB492">
        <v>17360</v>
      </c>
      <c r="AC492">
        <v>15580644</v>
      </c>
      <c r="AD492" t="s">
        <v>4</v>
      </c>
      <c r="AE492">
        <v>30</v>
      </c>
      <c r="AF492">
        <v>5</v>
      </c>
      <c r="AH492" t="s">
        <v>6230</v>
      </c>
      <c r="AI492" t="s">
        <v>6229</v>
      </c>
      <c r="AK492" t="s">
        <v>6228</v>
      </c>
      <c r="AL492">
        <v>174</v>
      </c>
      <c r="AM492" s="5">
        <f t="shared" si="66"/>
        <v>5.8</v>
      </c>
      <c r="AN492" s="4">
        <f t="shared" si="63"/>
        <v>8.7845513063233623E-3</v>
      </c>
      <c r="AO492" s="3"/>
      <c r="AP492">
        <v>0</v>
      </c>
      <c r="AR492" t="s">
        <v>0</v>
      </c>
      <c r="AT492" s="2" t="s">
        <v>16</v>
      </c>
      <c r="AU492" s="1">
        <f t="shared" si="67"/>
        <v>4.2642305943403906</v>
      </c>
      <c r="AV492" s="1">
        <f t="shared" si="68"/>
        <v>3.29686617613809</v>
      </c>
      <c r="AW492" s="1">
        <f t="shared" si="69"/>
        <v>2.3295017579357884</v>
      </c>
    </row>
    <row r="493" spans="1:49" x14ac:dyDescent="0.2">
      <c r="A493">
        <v>491</v>
      </c>
      <c r="B493" t="s">
        <v>6227</v>
      </c>
      <c r="C493" t="s">
        <v>6226</v>
      </c>
      <c r="F493" t="s">
        <v>6225</v>
      </c>
      <c r="G493" t="s">
        <v>12</v>
      </c>
      <c r="H493" t="s">
        <v>11</v>
      </c>
      <c r="I493" t="s">
        <v>5864</v>
      </c>
      <c r="J493">
        <v>60024751</v>
      </c>
      <c r="K493" t="s">
        <v>6224</v>
      </c>
      <c r="L493" t="s">
        <v>6223</v>
      </c>
      <c r="M493" t="s">
        <v>151</v>
      </c>
      <c r="N493">
        <v>3</v>
      </c>
      <c r="O493" t="s">
        <v>6222</v>
      </c>
      <c r="P493" t="s">
        <v>6221</v>
      </c>
      <c r="Q493" t="s">
        <v>6220</v>
      </c>
      <c r="R493" s="7">
        <v>33604</v>
      </c>
      <c r="S493" s="8">
        <f t="shared" si="64"/>
        <v>1992</v>
      </c>
      <c r="T493" s="8">
        <v>1992</v>
      </c>
      <c r="U493" s="8">
        <f t="shared" si="65"/>
        <v>30</v>
      </c>
      <c r="V493" s="7">
        <v>1992</v>
      </c>
      <c r="W493" t="s">
        <v>665</v>
      </c>
      <c r="X493" s="2">
        <v>0.111</v>
      </c>
      <c r="Y493" s="6">
        <f t="shared" si="62"/>
        <v>2.9630816048690639E-3</v>
      </c>
      <c r="AA493">
        <v>87566621</v>
      </c>
      <c r="AB493">
        <v>24890</v>
      </c>
      <c r="AC493">
        <v>15206424</v>
      </c>
      <c r="AD493" t="s">
        <v>4</v>
      </c>
      <c r="AE493">
        <v>75</v>
      </c>
      <c r="AF493">
        <v>9</v>
      </c>
      <c r="AH493" t="s">
        <v>6219</v>
      </c>
      <c r="AI493" t="s">
        <v>6218</v>
      </c>
      <c r="AJ493" t="s">
        <v>6217</v>
      </c>
      <c r="AK493" t="s">
        <v>6216</v>
      </c>
      <c r="AL493">
        <v>5</v>
      </c>
      <c r="AM493" s="5">
        <f t="shared" si="66"/>
        <v>0.16666666666666666</v>
      </c>
      <c r="AN493" s="4">
        <f t="shared" si="63"/>
        <v>2.5242963523917705E-4</v>
      </c>
      <c r="AO493" s="3"/>
      <c r="AP493">
        <v>0</v>
      </c>
      <c r="AR493" t="s">
        <v>0</v>
      </c>
      <c r="AT493" s="2" t="s">
        <v>16</v>
      </c>
      <c r="AU493" s="1">
        <f t="shared" si="67"/>
        <v>0.21498860139800977</v>
      </c>
      <c r="AV493" s="1">
        <f t="shared" si="68"/>
        <v>0.16077556200541204</v>
      </c>
      <c r="AW493" s="1">
        <f t="shared" si="69"/>
        <v>0.10656252261281431</v>
      </c>
    </row>
    <row r="494" spans="1:49" x14ac:dyDescent="0.2">
      <c r="A494">
        <v>492</v>
      </c>
      <c r="B494" t="s">
        <v>6215</v>
      </c>
      <c r="C494" t="s">
        <v>6214</v>
      </c>
      <c r="F494" t="s">
        <v>6213</v>
      </c>
      <c r="G494" t="s">
        <v>12</v>
      </c>
      <c r="H494" t="s">
        <v>11</v>
      </c>
      <c r="I494" t="s">
        <v>6212</v>
      </c>
      <c r="J494" t="s">
        <v>6211</v>
      </c>
      <c r="K494" t="s">
        <v>6210</v>
      </c>
      <c r="L494" t="s">
        <v>6209</v>
      </c>
      <c r="M494" t="s">
        <v>125</v>
      </c>
      <c r="N494">
        <v>1</v>
      </c>
      <c r="O494" t="s">
        <v>6208</v>
      </c>
      <c r="P494">
        <v>7005269165</v>
      </c>
      <c r="Q494" t="s">
        <v>6207</v>
      </c>
      <c r="R494" s="7">
        <v>33604</v>
      </c>
      <c r="S494" s="8">
        <f t="shared" si="64"/>
        <v>1992</v>
      </c>
      <c r="T494" s="8">
        <v>1992</v>
      </c>
      <c r="U494" s="8">
        <f t="shared" si="65"/>
        <v>30</v>
      </c>
      <c r="V494" s="7">
        <v>33848</v>
      </c>
      <c r="W494" t="s">
        <v>97</v>
      </c>
      <c r="X494" s="2">
        <v>1.6519999999999999</v>
      </c>
      <c r="Y494" s="6">
        <f t="shared" si="62"/>
        <v>4.409919649769093E-2</v>
      </c>
      <c r="AA494" t="s">
        <v>96</v>
      </c>
      <c r="AB494">
        <v>17337</v>
      </c>
      <c r="AC494">
        <v>15582221</v>
      </c>
      <c r="AD494" t="s">
        <v>4</v>
      </c>
      <c r="AE494">
        <v>40</v>
      </c>
      <c r="AF494">
        <v>9</v>
      </c>
      <c r="AH494" t="s">
        <v>6206</v>
      </c>
      <c r="AI494" t="s">
        <v>6205</v>
      </c>
      <c r="AK494" t="s">
        <v>6204</v>
      </c>
      <c r="AL494">
        <v>13</v>
      </c>
      <c r="AM494" s="5">
        <f t="shared" si="66"/>
        <v>0.43333333333333335</v>
      </c>
      <c r="AN494" s="4">
        <f t="shared" si="63"/>
        <v>6.5631705162186044E-4</v>
      </c>
      <c r="AO494" s="3"/>
      <c r="AP494">
        <v>0</v>
      </c>
      <c r="AR494" t="s">
        <v>0</v>
      </c>
      <c r="AT494" s="2" t="s">
        <v>16</v>
      </c>
      <c r="AU494" s="1">
        <f t="shared" si="67"/>
        <v>3.1066332663870209</v>
      </c>
      <c r="AV494" s="1">
        <f t="shared" si="68"/>
        <v>2.2377756774656397</v>
      </c>
      <c r="AW494" s="1">
        <f t="shared" si="69"/>
        <v>1.368918088544258</v>
      </c>
    </row>
    <row r="495" spans="1:49" x14ac:dyDescent="0.2">
      <c r="A495">
        <v>493</v>
      </c>
      <c r="B495" t="s">
        <v>6203</v>
      </c>
      <c r="C495" t="s">
        <v>6202</v>
      </c>
      <c r="F495" t="s">
        <v>6201</v>
      </c>
      <c r="G495" t="s">
        <v>12</v>
      </c>
      <c r="H495" t="s">
        <v>11</v>
      </c>
      <c r="I495" t="s">
        <v>6200</v>
      </c>
      <c r="J495">
        <v>60009037</v>
      </c>
      <c r="K495" t="s">
        <v>2673</v>
      </c>
      <c r="L495" t="s">
        <v>2672</v>
      </c>
      <c r="M495" t="s">
        <v>7</v>
      </c>
      <c r="N495">
        <v>2</v>
      </c>
      <c r="O495" t="s">
        <v>6199</v>
      </c>
      <c r="P495" t="s">
        <v>6198</v>
      </c>
      <c r="Q495" t="s">
        <v>4801</v>
      </c>
      <c r="R495" s="7">
        <v>33604</v>
      </c>
      <c r="S495" s="8">
        <f t="shared" si="64"/>
        <v>1992</v>
      </c>
      <c r="T495" s="8">
        <v>1992</v>
      </c>
      <c r="U495" s="8">
        <f t="shared" si="65"/>
        <v>30</v>
      </c>
      <c r="V495" s="7">
        <v>33848</v>
      </c>
      <c r="W495" t="s">
        <v>97</v>
      </c>
      <c r="X495" s="2">
        <v>1.6519999999999999</v>
      </c>
      <c r="Y495" s="6">
        <f t="shared" si="62"/>
        <v>4.409919649769093E-2</v>
      </c>
      <c r="AA495" t="s">
        <v>96</v>
      </c>
      <c r="AB495">
        <v>17337</v>
      </c>
      <c r="AC495">
        <v>15582221</v>
      </c>
      <c r="AD495" t="s">
        <v>4</v>
      </c>
      <c r="AE495">
        <v>40</v>
      </c>
      <c r="AF495">
        <v>9</v>
      </c>
      <c r="AH495" t="s">
        <v>6197</v>
      </c>
      <c r="AI495" t="s">
        <v>6196</v>
      </c>
      <c r="AK495" t="s">
        <v>6195</v>
      </c>
      <c r="AL495">
        <v>2</v>
      </c>
      <c r="AM495" s="5">
        <f t="shared" si="66"/>
        <v>6.6666666666666666E-2</v>
      </c>
      <c r="AN495" s="4">
        <f t="shared" si="63"/>
        <v>1.0097185409567084E-4</v>
      </c>
      <c r="AO495" s="3"/>
      <c r="AP495">
        <v>0</v>
      </c>
      <c r="AR495" t="s">
        <v>0</v>
      </c>
      <c r="AT495" s="2" t="s">
        <v>16</v>
      </c>
      <c r="AU495" s="1">
        <f t="shared" si="67"/>
        <v>3.0899729104612352</v>
      </c>
      <c r="AV495" s="1">
        <f t="shared" si="68"/>
        <v>2.21000841758933</v>
      </c>
      <c r="AW495" s="1">
        <f t="shared" si="69"/>
        <v>1.3300439247174247</v>
      </c>
    </row>
    <row r="496" spans="1:49" x14ac:dyDescent="0.2">
      <c r="A496">
        <v>494</v>
      </c>
      <c r="B496" t="s">
        <v>6194</v>
      </c>
      <c r="C496" t="s">
        <v>6193</v>
      </c>
      <c r="F496" t="s">
        <v>6192</v>
      </c>
      <c r="G496" t="s">
        <v>12</v>
      </c>
      <c r="H496" t="s">
        <v>11</v>
      </c>
      <c r="I496" t="s">
        <v>6191</v>
      </c>
      <c r="J496" t="s">
        <v>6190</v>
      </c>
      <c r="K496" t="s">
        <v>6189</v>
      </c>
      <c r="L496" t="s">
        <v>6188</v>
      </c>
      <c r="M496" t="s">
        <v>6187</v>
      </c>
      <c r="N496">
        <v>7</v>
      </c>
      <c r="O496" t="s">
        <v>6186</v>
      </c>
      <c r="P496" t="s">
        <v>6185</v>
      </c>
      <c r="Q496" t="s">
        <v>6184</v>
      </c>
      <c r="R496" s="7">
        <v>33604</v>
      </c>
      <c r="S496" s="8">
        <f t="shared" si="64"/>
        <v>1992</v>
      </c>
      <c r="T496" s="8">
        <v>1992</v>
      </c>
      <c r="U496" s="8">
        <f t="shared" si="65"/>
        <v>30</v>
      </c>
      <c r="V496" s="7">
        <v>33848</v>
      </c>
      <c r="W496" t="s">
        <v>97</v>
      </c>
      <c r="X496" s="2">
        <v>1.6519999999999999</v>
      </c>
      <c r="Y496" s="6">
        <f t="shared" si="62"/>
        <v>4.409919649769093E-2</v>
      </c>
      <c r="AA496" t="s">
        <v>96</v>
      </c>
      <c r="AB496">
        <v>17337</v>
      </c>
      <c r="AC496">
        <v>15582221</v>
      </c>
      <c r="AD496" t="s">
        <v>4</v>
      </c>
      <c r="AE496">
        <v>40</v>
      </c>
      <c r="AF496">
        <v>9</v>
      </c>
      <c r="AH496" t="s">
        <v>6183</v>
      </c>
      <c r="AI496" t="s">
        <v>6182</v>
      </c>
      <c r="AK496" t="s">
        <v>6181</v>
      </c>
      <c r="AL496">
        <v>2</v>
      </c>
      <c r="AM496" s="5">
        <f t="shared" si="66"/>
        <v>6.6666666666666666E-2</v>
      </c>
      <c r="AN496" s="4">
        <f t="shared" si="63"/>
        <v>1.0097185409567084E-4</v>
      </c>
      <c r="AO496" s="3"/>
      <c r="AP496">
        <v>0</v>
      </c>
      <c r="AR496" t="s">
        <v>0</v>
      </c>
      <c r="AT496" s="2" t="s">
        <v>16</v>
      </c>
      <c r="AU496" s="1">
        <f t="shared" si="67"/>
        <v>3.0899729104612352</v>
      </c>
      <c r="AV496" s="1">
        <f t="shared" si="68"/>
        <v>2.21000841758933</v>
      </c>
      <c r="AW496" s="1">
        <f t="shared" si="69"/>
        <v>1.3300439247174247</v>
      </c>
    </row>
    <row r="497" spans="1:49" x14ac:dyDescent="0.2">
      <c r="A497">
        <v>495</v>
      </c>
      <c r="B497" t="s">
        <v>6180</v>
      </c>
      <c r="C497" t="s">
        <v>6179</v>
      </c>
      <c r="F497" t="s">
        <v>6178</v>
      </c>
      <c r="G497" t="s">
        <v>12</v>
      </c>
      <c r="H497" t="s">
        <v>11</v>
      </c>
      <c r="I497" t="s">
        <v>6177</v>
      </c>
      <c r="J497">
        <v>60026717</v>
      </c>
      <c r="K497" t="s">
        <v>2909</v>
      </c>
      <c r="L497" t="s">
        <v>2908</v>
      </c>
      <c r="M497" t="s">
        <v>7</v>
      </c>
      <c r="N497">
        <v>6</v>
      </c>
      <c r="O497" t="s">
        <v>6176</v>
      </c>
      <c r="P497" t="s">
        <v>6175</v>
      </c>
      <c r="Q497" t="s">
        <v>6174</v>
      </c>
      <c r="R497" s="7">
        <v>33604</v>
      </c>
      <c r="S497" s="8">
        <f t="shared" si="64"/>
        <v>1992</v>
      </c>
      <c r="T497" s="8">
        <v>1992</v>
      </c>
      <c r="U497" s="8">
        <f t="shared" si="65"/>
        <v>30</v>
      </c>
      <c r="V497" s="7" t="s">
        <v>6173</v>
      </c>
      <c r="W497" t="s">
        <v>1789</v>
      </c>
      <c r="X497" s="2">
        <v>0.33800000000000002</v>
      </c>
      <c r="Y497" s="6">
        <f t="shared" si="62"/>
        <v>9.0227169589706634E-3</v>
      </c>
      <c r="AA497">
        <v>7372884</v>
      </c>
      <c r="AB497">
        <v>70506</v>
      </c>
      <c r="AC497">
        <v>10991247</v>
      </c>
      <c r="AD497" t="s">
        <v>4</v>
      </c>
      <c r="AE497">
        <v>10</v>
      </c>
      <c r="AF497">
        <v>5</v>
      </c>
      <c r="AH497" t="s">
        <v>6172</v>
      </c>
      <c r="AI497" t="s">
        <v>6171</v>
      </c>
      <c r="AK497" t="s">
        <v>6170</v>
      </c>
      <c r="AL497">
        <v>0</v>
      </c>
      <c r="AM497" s="5">
        <f t="shared" si="66"/>
        <v>0</v>
      </c>
      <c r="AN497" s="4">
        <f t="shared" si="63"/>
        <v>0</v>
      </c>
      <c r="AO497" s="3"/>
      <c r="AP497">
        <v>0</v>
      </c>
      <c r="AR497" t="s">
        <v>0</v>
      </c>
      <c r="AT497" s="2" t="s">
        <v>16</v>
      </c>
      <c r="AU497" s="1">
        <f t="shared" si="67"/>
        <v>0.63159018712794635</v>
      </c>
      <c r="AV497" s="1">
        <f t="shared" si="68"/>
        <v>0.45113584794853318</v>
      </c>
      <c r="AW497" s="1">
        <f t="shared" si="69"/>
        <v>0.27068150876911989</v>
      </c>
    </row>
    <row r="498" spans="1:49" x14ac:dyDescent="0.2">
      <c r="A498">
        <v>496</v>
      </c>
      <c r="B498" t="s">
        <v>6169</v>
      </c>
      <c r="C498" t="s">
        <v>6168</v>
      </c>
      <c r="F498" t="s">
        <v>6167</v>
      </c>
      <c r="G498" t="s">
        <v>12</v>
      </c>
      <c r="H498" t="s">
        <v>11</v>
      </c>
      <c r="I498" t="s">
        <v>6166</v>
      </c>
      <c r="J498">
        <v>60000221</v>
      </c>
      <c r="K498" t="s">
        <v>6165</v>
      </c>
      <c r="L498" t="s">
        <v>6164</v>
      </c>
      <c r="M498" t="s">
        <v>7</v>
      </c>
      <c r="N498">
        <v>3</v>
      </c>
      <c r="O498" t="s">
        <v>6163</v>
      </c>
      <c r="P498" t="s">
        <v>6162</v>
      </c>
      <c r="Q498" t="s">
        <v>6161</v>
      </c>
      <c r="R498" s="7">
        <v>33604</v>
      </c>
      <c r="S498" s="8">
        <f t="shared" si="64"/>
        <v>1992</v>
      </c>
      <c r="T498" s="8">
        <v>1992</v>
      </c>
      <c r="U498" s="8">
        <f t="shared" si="65"/>
        <v>30</v>
      </c>
      <c r="V498" s="7">
        <v>33848</v>
      </c>
      <c r="W498" t="s">
        <v>414</v>
      </c>
      <c r="X498" s="2">
        <v>2.141</v>
      </c>
      <c r="Y498" s="6">
        <f t="shared" si="62"/>
        <v>5.7152772216438434E-2</v>
      </c>
      <c r="AA498">
        <v>1962892</v>
      </c>
      <c r="AB498">
        <v>17360</v>
      </c>
      <c r="AC498">
        <v>15580644</v>
      </c>
      <c r="AD498" t="s">
        <v>4</v>
      </c>
      <c r="AE498">
        <v>30</v>
      </c>
      <c r="AF498">
        <v>5</v>
      </c>
      <c r="AH498" t="s">
        <v>6160</v>
      </c>
      <c r="AI498" t="s">
        <v>6159</v>
      </c>
      <c r="AK498" t="s">
        <v>6158</v>
      </c>
      <c r="AL498">
        <v>4</v>
      </c>
      <c r="AM498" s="5">
        <f t="shared" si="66"/>
        <v>0.13333333333333333</v>
      </c>
      <c r="AN498" s="4">
        <f t="shared" si="63"/>
        <v>2.0194370819134167E-4</v>
      </c>
      <c r="AO498" s="3"/>
      <c r="AP498">
        <v>0</v>
      </c>
      <c r="AR498" t="s">
        <v>0</v>
      </c>
      <c r="AT498" s="2" t="s">
        <v>16</v>
      </c>
      <c r="AU498" s="1">
        <f t="shared" si="67"/>
        <v>4.0067523663964302</v>
      </c>
      <c r="AV498" s="1">
        <f t="shared" si="68"/>
        <v>2.8677357962314889</v>
      </c>
      <c r="AW498" s="1">
        <f t="shared" si="69"/>
        <v>1.7287192260665467</v>
      </c>
    </row>
    <row r="499" spans="1:49" x14ac:dyDescent="0.2">
      <c r="A499">
        <v>497</v>
      </c>
      <c r="B499" t="s">
        <v>6157</v>
      </c>
      <c r="C499" t="s">
        <v>6156</v>
      </c>
      <c r="F499" t="s">
        <v>6155</v>
      </c>
      <c r="G499" t="s">
        <v>12</v>
      </c>
      <c r="H499" t="s">
        <v>11</v>
      </c>
      <c r="I499" t="s">
        <v>6154</v>
      </c>
      <c r="J499">
        <v>60029428</v>
      </c>
      <c r="K499" t="s">
        <v>6153</v>
      </c>
      <c r="L499" t="s">
        <v>6152</v>
      </c>
      <c r="M499" t="s">
        <v>817</v>
      </c>
      <c r="N499">
        <v>3</v>
      </c>
      <c r="O499" t="s">
        <v>6151</v>
      </c>
      <c r="P499" t="s">
        <v>6150</v>
      </c>
      <c r="Q499" t="s">
        <v>6149</v>
      </c>
      <c r="R499" s="7">
        <v>33604</v>
      </c>
      <c r="S499" s="8">
        <f t="shared" si="64"/>
        <v>1992</v>
      </c>
      <c r="T499" s="8">
        <v>1992</v>
      </c>
      <c r="U499" s="8">
        <f t="shared" si="65"/>
        <v>30</v>
      </c>
      <c r="V499" s="7">
        <v>33848</v>
      </c>
      <c r="W499" t="s">
        <v>414</v>
      </c>
      <c r="X499" s="2">
        <v>2.141</v>
      </c>
      <c r="Y499" s="6">
        <f t="shared" si="62"/>
        <v>5.7152772216438434E-2</v>
      </c>
      <c r="AA499">
        <v>1962892</v>
      </c>
      <c r="AB499">
        <v>17360</v>
      </c>
      <c r="AC499">
        <v>15580644</v>
      </c>
      <c r="AD499" t="s">
        <v>4</v>
      </c>
      <c r="AE499">
        <v>30</v>
      </c>
      <c r="AF499">
        <v>5</v>
      </c>
      <c r="AH499" t="s">
        <v>6148</v>
      </c>
      <c r="AI499" t="s">
        <v>6147</v>
      </c>
      <c r="AK499" t="s">
        <v>6146</v>
      </c>
      <c r="AL499">
        <v>19</v>
      </c>
      <c r="AM499" s="5">
        <f t="shared" si="66"/>
        <v>0.6333333333333333</v>
      </c>
      <c r="AN499" s="4">
        <f t="shared" si="63"/>
        <v>9.5923261390887281E-4</v>
      </c>
      <c r="AO499" s="3"/>
      <c r="AP499">
        <v>0</v>
      </c>
      <c r="AR499" t="s">
        <v>0</v>
      </c>
      <c r="AT499" s="2" t="s">
        <v>16</v>
      </c>
      <c r="AU499" s="1">
        <f t="shared" si="67"/>
        <v>4.0294710335679564</v>
      </c>
      <c r="AV499" s="1">
        <f t="shared" si="68"/>
        <v>2.9056002415173654</v>
      </c>
      <c r="AW499" s="1">
        <f t="shared" si="69"/>
        <v>1.7817294494667741</v>
      </c>
    </row>
    <row r="500" spans="1:49" x14ac:dyDescent="0.2">
      <c r="A500">
        <v>498</v>
      </c>
      <c r="B500" t="s">
        <v>6145</v>
      </c>
      <c r="C500" t="s">
        <v>6144</v>
      </c>
      <c r="F500" t="s">
        <v>6143</v>
      </c>
      <c r="G500" t="s">
        <v>12</v>
      </c>
      <c r="H500" t="s">
        <v>11</v>
      </c>
      <c r="I500" t="s">
        <v>6142</v>
      </c>
      <c r="J500">
        <v>60009415</v>
      </c>
      <c r="K500" t="s">
        <v>5974</v>
      </c>
      <c r="L500" t="s">
        <v>5973</v>
      </c>
      <c r="M500" t="s">
        <v>7</v>
      </c>
      <c r="N500">
        <v>1</v>
      </c>
      <c r="O500" t="s">
        <v>6141</v>
      </c>
      <c r="P500">
        <v>7004273844</v>
      </c>
      <c r="Q500">
        <v>60009415</v>
      </c>
      <c r="R500" s="7">
        <v>33604</v>
      </c>
      <c r="S500" s="8">
        <f t="shared" si="64"/>
        <v>1992</v>
      </c>
      <c r="T500" s="8">
        <v>1992</v>
      </c>
      <c r="U500" s="8">
        <f t="shared" si="65"/>
        <v>30</v>
      </c>
      <c r="V500" s="7">
        <v>33848</v>
      </c>
      <c r="W500" t="s">
        <v>97</v>
      </c>
      <c r="X500" s="2">
        <v>1.6519999999999999</v>
      </c>
      <c r="Y500" s="6">
        <f t="shared" si="62"/>
        <v>4.409919649769093E-2</v>
      </c>
      <c r="AA500" t="s">
        <v>96</v>
      </c>
      <c r="AB500">
        <v>17337</v>
      </c>
      <c r="AC500">
        <v>15582221</v>
      </c>
      <c r="AD500" t="s">
        <v>4</v>
      </c>
      <c r="AE500">
        <v>40</v>
      </c>
      <c r="AF500">
        <v>9</v>
      </c>
      <c r="AH500" t="s">
        <v>6140</v>
      </c>
      <c r="AI500" t="s">
        <v>6139</v>
      </c>
      <c r="AK500" t="s">
        <v>6138</v>
      </c>
      <c r="AL500">
        <v>9</v>
      </c>
      <c r="AM500" s="5">
        <f t="shared" si="66"/>
        <v>0.3</v>
      </c>
      <c r="AN500" s="4">
        <f t="shared" si="63"/>
        <v>4.5437334343051872E-4</v>
      </c>
      <c r="AO500" s="3"/>
      <c r="AP500">
        <v>0</v>
      </c>
      <c r="AR500" t="s">
        <v>0</v>
      </c>
      <c r="AT500" s="2" t="s">
        <v>16</v>
      </c>
      <c r="AU500" s="1">
        <f t="shared" si="67"/>
        <v>3.1005749551412807</v>
      </c>
      <c r="AV500" s="1">
        <f t="shared" si="68"/>
        <v>2.2276784920560724</v>
      </c>
      <c r="AW500" s="1">
        <f t="shared" si="69"/>
        <v>1.3547820289708641</v>
      </c>
    </row>
    <row r="501" spans="1:49" x14ac:dyDescent="0.2">
      <c r="A501">
        <v>499</v>
      </c>
      <c r="B501" t="s">
        <v>6137</v>
      </c>
      <c r="C501" t="s">
        <v>6136</v>
      </c>
      <c r="F501" t="s">
        <v>6135</v>
      </c>
      <c r="G501" t="s">
        <v>12</v>
      </c>
      <c r="H501" t="s">
        <v>11</v>
      </c>
      <c r="I501" t="s">
        <v>6134</v>
      </c>
      <c r="J501">
        <v>60014264</v>
      </c>
      <c r="K501" t="s">
        <v>6133</v>
      </c>
      <c r="L501" t="s">
        <v>6132</v>
      </c>
      <c r="M501" t="s">
        <v>817</v>
      </c>
      <c r="N501">
        <v>2</v>
      </c>
      <c r="O501" t="s">
        <v>6131</v>
      </c>
      <c r="P501" t="s">
        <v>6130</v>
      </c>
      <c r="Q501" t="s">
        <v>6129</v>
      </c>
      <c r="R501" s="7">
        <v>33604</v>
      </c>
      <c r="S501" s="8">
        <f t="shared" si="64"/>
        <v>1992</v>
      </c>
      <c r="T501" s="8">
        <v>1992</v>
      </c>
      <c r="U501" s="8">
        <f t="shared" si="65"/>
        <v>30</v>
      </c>
      <c r="V501" s="7">
        <v>33848</v>
      </c>
      <c r="W501" t="s">
        <v>97</v>
      </c>
      <c r="X501" s="2">
        <v>1.6519999999999999</v>
      </c>
      <c r="Y501" s="6">
        <f t="shared" si="62"/>
        <v>4.409919649769093E-2</v>
      </c>
      <c r="AA501" t="s">
        <v>96</v>
      </c>
      <c r="AB501">
        <v>17337</v>
      </c>
      <c r="AC501">
        <v>15582221</v>
      </c>
      <c r="AD501" t="s">
        <v>4</v>
      </c>
      <c r="AE501">
        <v>40</v>
      </c>
      <c r="AF501">
        <v>9</v>
      </c>
      <c r="AH501" t="s">
        <v>6128</v>
      </c>
      <c r="AI501" t="s">
        <v>6127</v>
      </c>
      <c r="AK501" t="s">
        <v>6126</v>
      </c>
      <c r="AL501">
        <v>18</v>
      </c>
      <c r="AM501" s="5">
        <f t="shared" si="66"/>
        <v>0.6</v>
      </c>
      <c r="AN501" s="4">
        <f t="shared" si="63"/>
        <v>9.0874668686103744E-4</v>
      </c>
      <c r="AO501" s="3"/>
      <c r="AP501">
        <v>0</v>
      </c>
      <c r="AR501" t="s">
        <v>0</v>
      </c>
      <c r="AT501" s="2" t="s">
        <v>16</v>
      </c>
      <c r="AU501" s="1">
        <f t="shared" si="67"/>
        <v>3.1142061554441964</v>
      </c>
      <c r="AV501" s="1">
        <f t="shared" si="68"/>
        <v>2.2503971592275982</v>
      </c>
      <c r="AW501" s="1">
        <f t="shared" si="69"/>
        <v>1.3865881630110004</v>
      </c>
    </row>
    <row r="502" spans="1:49" x14ac:dyDescent="0.2">
      <c r="A502">
        <v>500</v>
      </c>
      <c r="B502" t="s">
        <v>6125</v>
      </c>
      <c r="C502" t="s">
        <v>6124</v>
      </c>
      <c r="F502" t="s">
        <v>6123</v>
      </c>
      <c r="G502" t="s">
        <v>12</v>
      </c>
      <c r="H502" t="s">
        <v>11</v>
      </c>
      <c r="I502" t="s">
        <v>6122</v>
      </c>
      <c r="J502" t="s">
        <v>6121</v>
      </c>
      <c r="K502" t="s">
        <v>6120</v>
      </c>
      <c r="L502" t="s">
        <v>1979</v>
      </c>
      <c r="M502" t="s">
        <v>125</v>
      </c>
      <c r="N502">
        <v>1</v>
      </c>
      <c r="O502" t="s">
        <v>6119</v>
      </c>
      <c r="P502">
        <v>7006382310</v>
      </c>
      <c r="Q502" t="s">
        <v>6118</v>
      </c>
      <c r="R502" s="7">
        <v>33604</v>
      </c>
      <c r="S502" s="8">
        <f t="shared" si="64"/>
        <v>1992</v>
      </c>
      <c r="T502" s="8">
        <v>1992</v>
      </c>
      <c r="U502" s="8">
        <f t="shared" si="65"/>
        <v>30</v>
      </c>
      <c r="V502" s="7">
        <v>33848</v>
      </c>
      <c r="W502" t="s">
        <v>97</v>
      </c>
      <c r="X502" s="2">
        <v>1.6519999999999999</v>
      </c>
      <c r="Y502" s="6">
        <f t="shared" si="62"/>
        <v>4.409919649769093E-2</v>
      </c>
      <c r="AA502" t="s">
        <v>96</v>
      </c>
      <c r="AB502">
        <v>17337</v>
      </c>
      <c r="AC502">
        <v>15582221</v>
      </c>
      <c r="AD502" t="s">
        <v>4</v>
      </c>
      <c r="AE502">
        <v>40</v>
      </c>
      <c r="AF502">
        <v>9</v>
      </c>
      <c r="AH502" t="s">
        <v>6117</v>
      </c>
      <c r="AI502" t="s">
        <v>6116</v>
      </c>
      <c r="AK502" t="s">
        <v>6115</v>
      </c>
      <c r="AL502">
        <v>2</v>
      </c>
      <c r="AM502" s="5">
        <f t="shared" si="66"/>
        <v>6.6666666666666666E-2</v>
      </c>
      <c r="AN502" s="4">
        <f t="shared" si="63"/>
        <v>1.0097185409567084E-4</v>
      </c>
      <c r="AO502" s="3"/>
      <c r="AP502">
        <v>0</v>
      </c>
      <c r="AR502" t="s">
        <v>0</v>
      </c>
      <c r="AT502" s="2" t="s">
        <v>16</v>
      </c>
      <c r="AU502" s="1">
        <f t="shared" si="67"/>
        <v>3.0899729104612352</v>
      </c>
      <c r="AV502" s="1">
        <f t="shared" si="68"/>
        <v>2.21000841758933</v>
      </c>
      <c r="AW502" s="1">
        <f t="shared" si="69"/>
        <v>1.3300439247174247</v>
      </c>
    </row>
    <row r="503" spans="1:49" x14ac:dyDescent="0.2">
      <c r="A503">
        <v>501</v>
      </c>
      <c r="B503" t="s">
        <v>6114</v>
      </c>
      <c r="C503" t="s">
        <v>6113</v>
      </c>
      <c r="F503" t="s">
        <v>6112</v>
      </c>
      <c r="G503" t="s">
        <v>12</v>
      </c>
      <c r="H503" t="s">
        <v>11</v>
      </c>
      <c r="I503" t="s">
        <v>6111</v>
      </c>
      <c r="J503" t="s">
        <v>6110</v>
      </c>
      <c r="K503" t="s">
        <v>6109</v>
      </c>
      <c r="L503" t="s">
        <v>6108</v>
      </c>
      <c r="M503" t="s">
        <v>6107</v>
      </c>
      <c r="N503">
        <v>1</v>
      </c>
      <c r="O503" t="s">
        <v>6106</v>
      </c>
      <c r="P503">
        <v>7501573533</v>
      </c>
      <c r="Q503" t="s">
        <v>6105</v>
      </c>
      <c r="R503" s="7">
        <v>33604</v>
      </c>
      <c r="S503" s="8">
        <f t="shared" si="64"/>
        <v>1992</v>
      </c>
      <c r="T503" s="8">
        <v>1992</v>
      </c>
      <c r="U503" s="8">
        <f t="shared" si="65"/>
        <v>30</v>
      </c>
      <c r="V503" s="7">
        <v>33848</v>
      </c>
      <c r="W503" t="s">
        <v>97</v>
      </c>
      <c r="X503" s="2">
        <v>1.6519999999999999</v>
      </c>
      <c r="Y503" s="6">
        <f t="shared" si="62"/>
        <v>4.409919649769093E-2</v>
      </c>
      <c r="AA503" t="s">
        <v>96</v>
      </c>
      <c r="AB503">
        <v>17337</v>
      </c>
      <c r="AC503">
        <v>15582221</v>
      </c>
      <c r="AD503" t="s">
        <v>4</v>
      </c>
      <c r="AE503">
        <v>40</v>
      </c>
      <c r="AF503">
        <v>9</v>
      </c>
      <c r="AH503" t="s">
        <v>6104</v>
      </c>
      <c r="AI503" t="s">
        <v>6103</v>
      </c>
      <c r="AK503" t="s">
        <v>6102</v>
      </c>
      <c r="AL503">
        <v>8</v>
      </c>
      <c r="AM503" s="5">
        <f t="shared" si="66"/>
        <v>0.26666666666666666</v>
      </c>
      <c r="AN503" s="4">
        <f t="shared" si="63"/>
        <v>4.0388741638268334E-4</v>
      </c>
      <c r="AO503" s="3"/>
      <c r="AP503">
        <v>0</v>
      </c>
      <c r="AR503" t="s">
        <v>0</v>
      </c>
      <c r="AT503" s="2" t="s">
        <v>16</v>
      </c>
      <c r="AU503" s="1">
        <f t="shared" si="67"/>
        <v>3.0990603773298453</v>
      </c>
      <c r="AV503" s="1">
        <f t="shared" si="68"/>
        <v>2.2251541957036807</v>
      </c>
      <c r="AW503" s="1">
        <f t="shared" si="69"/>
        <v>1.3512480140775156</v>
      </c>
    </row>
    <row r="504" spans="1:49" x14ac:dyDescent="0.2">
      <c r="A504">
        <v>502</v>
      </c>
      <c r="B504" t="s">
        <v>6101</v>
      </c>
      <c r="C504" t="s">
        <v>6100</v>
      </c>
      <c r="F504" t="s">
        <v>6099</v>
      </c>
      <c r="G504" t="s">
        <v>12</v>
      </c>
      <c r="H504" t="s">
        <v>11</v>
      </c>
      <c r="I504" t="s">
        <v>6098</v>
      </c>
      <c r="J504">
        <v>60005429</v>
      </c>
      <c r="K504" t="s">
        <v>6097</v>
      </c>
      <c r="L504" t="s">
        <v>6096</v>
      </c>
      <c r="M504" t="s">
        <v>3610</v>
      </c>
      <c r="N504">
        <v>2</v>
      </c>
      <c r="O504" t="s">
        <v>6095</v>
      </c>
      <c r="P504" t="s">
        <v>6094</v>
      </c>
      <c r="Q504" t="s">
        <v>6093</v>
      </c>
      <c r="R504" s="7">
        <v>33604</v>
      </c>
      <c r="S504" s="8">
        <f t="shared" si="64"/>
        <v>1992</v>
      </c>
      <c r="T504" s="8">
        <v>1992</v>
      </c>
      <c r="U504" s="8">
        <f t="shared" si="65"/>
        <v>30</v>
      </c>
      <c r="V504" s="7">
        <v>33848</v>
      </c>
      <c r="W504" t="s">
        <v>97</v>
      </c>
      <c r="X504" s="2">
        <v>1.6519999999999999</v>
      </c>
      <c r="Y504" s="6">
        <f t="shared" si="62"/>
        <v>4.409919649769093E-2</v>
      </c>
      <c r="AA504" t="s">
        <v>96</v>
      </c>
      <c r="AB504">
        <v>17337</v>
      </c>
      <c r="AC504">
        <v>15582221</v>
      </c>
      <c r="AD504" t="s">
        <v>4</v>
      </c>
      <c r="AE504">
        <v>40</v>
      </c>
      <c r="AF504">
        <v>9</v>
      </c>
      <c r="AH504" t="s">
        <v>6092</v>
      </c>
      <c r="AI504" t="s">
        <v>6091</v>
      </c>
      <c r="AK504" t="s">
        <v>6090</v>
      </c>
      <c r="AL504">
        <v>5</v>
      </c>
      <c r="AM504" s="5">
        <f t="shared" si="66"/>
        <v>0.16666666666666666</v>
      </c>
      <c r="AN504" s="4">
        <f t="shared" si="63"/>
        <v>2.5242963523917705E-4</v>
      </c>
      <c r="AO504" s="3"/>
      <c r="AP504">
        <v>0</v>
      </c>
      <c r="AR504" t="s">
        <v>0</v>
      </c>
      <c r="AT504" s="2" t="s">
        <v>16</v>
      </c>
      <c r="AU504" s="1">
        <f t="shared" si="67"/>
        <v>3.0945166438955405</v>
      </c>
      <c r="AV504" s="1">
        <f t="shared" si="68"/>
        <v>2.2175813066465055</v>
      </c>
      <c r="AW504" s="1">
        <f t="shared" si="69"/>
        <v>1.3406459693974702</v>
      </c>
    </row>
    <row r="505" spans="1:49" x14ac:dyDescent="0.2">
      <c r="A505">
        <v>503</v>
      </c>
      <c r="B505" t="s">
        <v>6089</v>
      </c>
      <c r="C505" t="s">
        <v>6088</v>
      </c>
      <c r="F505" t="s">
        <v>6087</v>
      </c>
      <c r="G505" t="s">
        <v>12</v>
      </c>
      <c r="H505" t="s">
        <v>11</v>
      </c>
      <c r="I505" t="s">
        <v>6086</v>
      </c>
      <c r="J505">
        <v>60006711</v>
      </c>
      <c r="K505" t="s">
        <v>6085</v>
      </c>
      <c r="L505" t="s">
        <v>1289</v>
      </c>
      <c r="M505" t="s">
        <v>7</v>
      </c>
      <c r="N505">
        <v>1</v>
      </c>
      <c r="O505" t="s">
        <v>6084</v>
      </c>
      <c r="P505">
        <v>35608504900</v>
      </c>
      <c r="Q505">
        <v>60006711</v>
      </c>
      <c r="R505" s="7">
        <v>33604</v>
      </c>
      <c r="S505" s="8">
        <f t="shared" si="64"/>
        <v>1992</v>
      </c>
      <c r="T505" s="8">
        <v>1992</v>
      </c>
      <c r="U505" s="8">
        <f t="shared" si="65"/>
        <v>30</v>
      </c>
      <c r="V505" s="7">
        <v>33817</v>
      </c>
      <c r="W505" t="s">
        <v>97</v>
      </c>
      <c r="X505" s="2">
        <v>1.6519999999999999</v>
      </c>
      <c r="Y505" s="6">
        <f t="shared" si="62"/>
        <v>4.409919649769093E-2</v>
      </c>
      <c r="AA505" t="s">
        <v>96</v>
      </c>
      <c r="AB505">
        <v>17337</v>
      </c>
      <c r="AC505">
        <v>15582221</v>
      </c>
      <c r="AD505" t="s">
        <v>4</v>
      </c>
      <c r="AE505">
        <v>40</v>
      </c>
      <c r="AF505">
        <v>8</v>
      </c>
      <c r="AH505" t="s">
        <v>6083</v>
      </c>
      <c r="AI505" t="s">
        <v>6082</v>
      </c>
      <c r="AK505" t="s">
        <v>6081</v>
      </c>
      <c r="AL505">
        <v>3</v>
      </c>
      <c r="AM505" s="5">
        <f t="shared" si="66"/>
        <v>0.1</v>
      </c>
      <c r="AN505" s="4">
        <f t="shared" si="63"/>
        <v>1.5145778114350627E-4</v>
      </c>
      <c r="AO505" s="3"/>
      <c r="AP505">
        <v>0</v>
      </c>
      <c r="AR505" t="s">
        <v>0</v>
      </c>
      <c r="AT505" s="2" t="s">
        <v>16</v>
      </c>
      <c r="AU505" s="1">
        <f t="shared" si="67"/>
        <v>3.0914874882726702</v>
      </c>
      <c r="AV505" s="1">
        <f t="shared" si="68"/>
        <v>2.2125327139417217</v>
      </c>
      <c r="AW505" s="1">
        <f t="shared" si="69"/>
        <v>1.3335779396107732</v>
      </c>
    </row>
    <row r="506" spans="1:49" x14ac:dyDescent="0.2">
      <c r="A506">
        <v>504</v>
      </c>
      <c r="B506" t="s">
        <v>6080</v>
      </c>
      <c r="C506" t="s">
        <v>6079</v>
      </c>
      <c r="F506" t="s">
        <v>6078</v>
      </c>
      <c r="G506" t="s">
        <v>12</v>
      </c>
      <c r="H506" t="s">
        <v>11</v>
      </c>
      <c r="I506" t="s">
        <v>6077</v>
      </c>
      <c r="J506">
        <v>60013301</v>
      </c>
      <c r="K506" t="s">
        <v>6076</v>
      </c>
      <c r="L506" t="s">
        <v>5484</v>
      </c>
      <c r="M506" t="s">
        <v>7</v>
      </c>
      <c r="N506">
        <v>1</v>
      </c>
      <c r="O506" t="s">
        <v>6075</v>
      </c>
      <c r="P506">
        <v>57197413373</v>
      </c>
      <c r="Q506">
        <v>60013301</v>
      </c>
      <c r="R506" s="7">
        <v>33604</v>
      </c>
      <c r="S506" s="8">
        <f t="shared" si="64"/>
        <v>1992</v>
      </c>
      <c r="T506" s="8">
        <v>1992</v>
      </c>
      <c r="U506" s="8">
        <f t="shared" si="65"/>
        <v>30</v>
      </c>
      <c r="V506" s="7">
        <v>33817</v>
      </c>
      <c r="W506" t="s">
        <v>2799</v>
      </c>
      <c r="X506" s="2">
        <v>0.88100000000000001</v>
      </c>
      <c r="Y506" s="6">
        <f t="shared" si="62"/>
        <v>2.3517791836843653E-2</v>
      </c>
      <c r="AA506">
        <v>10459243</v>
      </c>
      <c r="AB506">
        <v>17248</v>
      </c>
      <c r="AD506" t="s">
        <v>4</v>
      </c>
      <c r="AE506">
        <v>34</v>
      </c>
      <c r="AF506">
        <v>4</v>
      </c>
      <c r="AH506" s="10">
        <v>42552</v>
      </c>
      <c r="AI506" t="s">
        <v>6074</v>
      </c>
      <c r="AK506" t="s">
        <v>6073</v>
      </c>
      <c r="AL506">
        <v>11</v>
      </c>
      <c r="AM506" s="5">
        <f t="shared" si="66"/>
        <v>0.36666666666666664</v>
      </c>
      <c r="AN506" s="4">
        <f t="shared" si="63"/>
        <v>5.5534519752618958E-4</v>
      </c>
      <c r="AO506" s="3"/>
      <c r="AP506">
        <v>0</v>
      </c>
      <c r="AR506" t="s">
        <v>0</v>
      </c>
      <c r="AT506" s="2" t="s">
        <v>16</v>
      </c>
      <c r="AU506" s="1">
        <f t="shared" si="67"/>
        <v>1.6629057845048412</v>
      </c>
      <c r="AV506" s="1">
        <f t="shared" si="68"/>
        <v>1.203656851718492</v>
      </c>
      <c r="AW506" s="1">
        <f t="shared" si="69"/>
        <v>0.74440791893214286</v>
      </c>
    </row>
    <row r="507" spans="1:49" x14ac:dyDescent="0.2">
      <c r="A507">
        <v>505</v>
      </c>
      <c r="B507" t="s">
        <v>6072</v>
      </c>
      <c r="C507" t="s">
        <v>6071</v>
      </c>
      <c r="D507" t="s">
        <v>6070</v>
      </c>
      <c r="F507" t="s">
        <v>6069</v>
      </c>
      <c r="G507" t="s">
        <v>12</v>
      </c>
      <c r="H507" t="s">
        <v>11</v>
      </c>
      <c r="I507" t="s">
        <v>6068</v>
      </c>
      <c r="J507">
        <v>60005681</v>
      </c>
      <c r="K507" t="s">
        <v>2368</v>
      </c>
      <c r="L507" t="s">
        <v>2367</v>
      </c>
      <c r="M507" t="s">
        <v>1548</v>
      </c>
      <c r="N507">
        <v>1</v>
      </c>
      <c r="O507" t="s">
        <v>6067</v>
      </c>
      <c r="P507">
        <v>7102353782</v>
      </c>
      <c r="Q507">
        <v>60005681</v>
      </c>
      <c r="R507" s="7">
        <v>33604</v>
      </c>
      <c r="S507" s="8">
        <f t="shared" si="64"/>
        <v>1992</v>
      </c>
      <c r="T507" s="8">
        <v>1992</v>
      </c>
      <c r="U507" s="8">
        <f t="shared" si="65"/>
        <v>30</v>
      </c>
      <c r="V507" s="7">
        <v>33817</v>
      </c>
      <c r="W507" t="s">
        <v>2955</v>
      </c>
      <c r="X507" s="2">
        <v>0.90700000000000003</v>
      </c>
      <c r="Y507" s="6">
        <f t="shared" si="62"/>
        <v>2.4211846987533703E-2</v>
      </c>
      <c r="AA507">
        <v>1651684</v>
      </c>
      <c r="AB507">
        <v>25548</v>
      </c>
      <c r="AD507" t="s">
        <v>4</v>
      </c>
      <c r="AE507">
        <v>28</v>
      </c>
      <c r="AF507">
        <v>2</v>
      </c>
      <c r="AH507" t="s">
        <v>6066</v>
      </c>
      <c r="AI507" t="s">
        <v>6065</v>
      </c>
      <c r="AJ507" t="s">
        <v>6064</v>
      </c>
      <c r="AK507" t="s">
        <v>6063</v>
      </c>
      <c r="AL507">
        <v>22</v>
      </c>
      <c r="AM507" s="5">
        <f t="shared" si="66"/>
        <v>0.73333333333333328</v>
      </c>
      <c r="AN507" s="4">
        <f t="shared" si="63"/>
        <v>1.1106903950523792E-3</v>
      </c>
      <c r="AO507" s="3"/>
      <c r="AP507">
        <v>0</v>
      </c>
      <c r="AR507" t="s">
        <v>0</v>
      </c>
      <c r="AT507" s="2">
        <v>4.6619999999999999</v>
      </c>
      <c r="AU507" s="1">
        <f t="shared" si="67"/>
        <v>1.7281500009789303</v>
      </c>
      <c r="AV507" s="1">
        <f t="shared" si="68"/>
        <v>1.2661268691293042</v>
      </c>
      <c r="AW507" s="1">
        <f t="shared" si="69"/>
        <v>0.80410373727967754</v>
      </c>
    </row>
    <row r="508" spans="1:49" x14ac:dyDescent="0.2">
      <c r="A508">
        <v>506</v>
      </c>
      <c r="B508" t="s">
        <v>6062</v>
      </c>
      <c r="C508" t="s">
        <v>6061</v>
      </c>
      <c r="F508" t="s">
        <v>6060</v>
      </c>
      <c r="G508" t="s">
        <v>12</v>
      </c>
      <c r="H508" t="s">
        <v>11</v>
      </c>
      <c r="I508" t="s">
        <v>6059</v>
      </c>
      <c r="J508">
        <v>60003424</v>
      </c>
      <c r="K508" t="s">
        <v>6058</v>
      </c>
      <c r="L508" t="s">
        <v>6057</v>
      </c>
      <c r="M508" t="s">
        <v>7</v>
      </c>
      <c r="N508">
        <v>1</v>
      </c>
      <c r="O508" t="s">
        <v>6056</v>
      </c>
      <c r="P508">
        <v>7202192285</v>
      </c>
      <c r="Q508">
        <v>60003424</v>
      </c>
      <c r="R508" s="7">
        <v>33604</v>
      </c>
      <c r="S508" s="8">
        <f t="shared" si="64"/>
        <v>1992</v>
      </c>
      <c r="T508" s="8">
        <v>1992</v>
      </c>
      <c r="U508" s="8">
        <f t="shared" si="65"/>
        <v>30</v>
      </c>
      <c r="V508" s="7" t="s">
        <v>5674</v>
      </c>
      <c r="W508" s="11" t="s">
        <v>2692</v>
      </c>
      <c r="X508" s="2">
        <v>2.383</v>
      </c>
      <c r="Y508" s="6">
        <f t="shared" si="62"/>
        <v>6.3612824003630442E-2</v>
      </c>
      <c r="AA508" t="s">
        <v>2691</v>
      </c>
      <c r="AB508">
        <v>101151</v>
      </c>
      <c r="AD508" t="s">
        <v>4</v>
      </c>
      <c r="AE508">
        <v>139</v>
      </c>
      <c r="AF508">
        <v>4</v>
      </c>
      <c r="AH508" t="s">
        <v>6055</v>
      </c>
      <c r="AI508" t="s">
        <v>6054</v>
      </c>
      <c r="AK508" t="s">
        <v>6053</v>
      </c>
      <c r="AL508">
        <v>0</v>
      </c>
      <c r="AM508" s="5">
        <f t="shared" si="66"/>
        <v>0</v>
      </c>
      <c r="AN508" s="4">
        <f t="shared" si="63"/>
        <v>0</v>
      </c>
      <c r="AO508" s="3"/>
      <c r="AP508">
        <v>0</v>
      </c>
      <c r="AR508" t="s">
        <v>0</v>
      </c>
      <c r="AT508" s="2" t="s">
        <v>16</v>
      </c>
      <c r="AU508" s="1">
        <f t="shared" si="67"/>
        <v>4.4528976802541305</v>
      </c>
      <c r="AV508" s="1">
        <f t="shared" si="68"/>
        <v>3.1806412001815221</v>
      </c>
      <c r="AW508" s="1">
        <f t="shared" si="69"/>
        <v>1.9083847201089132</v>
      </c>
    </row>
    <row r="509" spans="1:49" x14ac:dyDescent="0.2">
      <c r="A509">
        <v>507</v>
      </c>
      <c r="B509" t="s">
        <v>6052</v>
      </c>
      <c r="C509" t="s">
        <v>6051</v>
      </c>
      <c r="F509" t="s">
        <v>6050</v>
      </c>
      <c r="G509" t="s">
        <v>12</v>
      </c>
      <c r="H509" t="s">
        <v>11</v>
      </c>
      <c r="I509" t="s">
        <v>6049</v>
      </c>
      <c r="J509">
        <v>60030035</v>
      </c>
      <c r="K509" t="s">
        <v>6048</v>
      </c>
      <c r="L509" t="s">
        <v>6047</v>
      </c>
      <c r="M509" t="s">
        <v>6046</v>
      </c>
      <c r="N509">
        <v>1</v>
      </c>
      <c r="O509" t="s">
        <v>6045</v>
      </c>
      <c r="P509">
        <v>7004329585</v>
      </c>
      <c r="Q509">
        <v>60030035</v>
      </c>
      <c r="R509" s="7">
        <v>33604</v>
      </c>
      <c r="S509" s="8">
        <f t="shared" si="64"/>
        <v>1992</v>
      </c>
      <c r="T509" s="8">
        <v>1992</v>
      </c>
      <c r="U509" s="8">
        <f t="shared" si="65"/>
        <v>30</v>
      </c>
      <c r="V509" s="7" t="s">
        <v>5674</v>
      </c>
      <c r="W509" s="11" t="s">
        <v>5765</v>
      </c>
      <c r="X509" s="2">
        <v>2.383</v>
      </c>
      <c r="Y509" s="6">
        <f t="shared" si="62"/>
        <v>6.3612824003630442E-2</v>
      </c>
      <c r="AA509">
        <v>2673932</v>
      </c>
      <c r="AB509">
        <v>12118</v>
      </c>
      <c r="AD509" t="s">
        <v>4</v>
      </c>
      <c r="AE509">
        <v>139</v>
      </c>
      <c r="AF509">
        <v>4</v>
      </c>
      <c r="AH509" t="s">
        <v>6044</v>
      </c>
      <c r="AI509" t="s">
        <v>6043</v>
      </c>
      <c r="AK509" t="s">
        <v>6042</v>
      </c>
      <c r="AL509">
        <v>6</v>
      </c>
      <c r="AM509" s="5">
        <f t="shared" si="66"/>
        <v>0.2</v>
      </c>
      <c r="AN509" s="4">
        <f t="shared" si="63"/>
        <v>3.0291556228701253E-4</v>
      </c>
      <c r="AO509" s="3"/>
      <c r="AP509">
        <v>0</v>
      </c>
      <c r="AR509" t="s">
        <v>0</v>
      </c>
      <c r="AT509" s="2" t="s">
        <v>16</v>
      </c>
      <c r="AU509" s="1">
        <f t="shared" si="67"/>
        <v>4.461985147122741</v>
      </c>
      <c r="AV509" s="1">
        <f t="shared" si="68"/>
        <v>3.1957869782958728</v>
      </c>
      <c r="AW509" s="1">
        <f t="shared" si="69"/>
        <v>1.9295888094690041</v>
      </c>
    </row>
    <row r="510" spans="1:49" x14ac:dyDescent="0.2">
      <c r="A510">
        <v>508</v>
      </c>
      <c r="B510" t="s">
        <v>6041</v>
      </c>
      <c r="C510" t="s">
        <v>6040</v>
      </c>
      <c r="F510" t="s">
        <v>6039</v>
      </c>
      <c r="G510" t="s">
        <v>12</v>
      </c>
      <c r="H510" t="s">
        <v>11</v>
      </c>
      <c r="I510" t="s">
        <v>6038</v>
      </c>
      <c r="J510">
        <v>60031159</v>
      </c>
      <c r="K510" t="s">
        <v>6037</v>
      </c>
      <c r="L510" t="s">
        <v>6036</v>
      </c>
      <c r="M510" t="s">
        <v>273</v>
      </c>
      <c r="N510">
        <v>1</v>
      </c>
      <c r="O510" t="s">
        <v>6035</v>
      </c>
      <c r="P510">
        <v>7003941584</v>
      </c>
      <c r="Q510">
        <v>60031159</v>
      </c>
      <c r="R510" s="7">
        <v>33604</v>
      </c>
      <c r="S510" s="8">
        <f t="shared" si="64"/>
        <v>1992</v>
      </c>
      <c r="T510" s="8">
        <v>1992</v>
      </c>
      <c r="U510" s="8">
        <f t="shared" si="65"/>
        <v>30</v>
      </c>
      <c r="V510" s="7">
        <v>33817</v>
      </c>
      <c r="W510" t="s">
        <v>97</v>
      </c>
      <c r="X510" s="2">
        <v>1.6519999999999999</v>
      </c>
      <c r="Y510" s="6">
        <f t="shared" si="62"/>
        <v>4.409919649769093E-2</v>
      </c>
      <c r="AA510" t="s">
        <v>96</v>
      </c>
      <c r="AB510">
        <v>17337</v>
      </c>
      <c r="AC510">
        <v>15582221</v>
      </c>
      <c r="AD510" t="s">
        <v>4</v>
      </c>
      <c r="AE510">
        <v>40</v>
      </c>
      <c r="AF510">
        <v>8</v>
      </c>
      <c r="AH510" t="s">
        <v>6034</v>
      </c>
      <c r="AI510" t="s">
        <v>6033</v>
      </c>
      <c r="AK510" t="s">
        <v>6032</v>
      </c>
      <c r="AL510">
        <v>5</v>
      </c>
      <c r="AM510" s="5">
        <f t="shared" si="66"/>
        <v>0.16666666666666666</v>
      </c>
      <c r="AN510" s="4">
        <f t="shared" si="63"/>
        <v>2.5242963523917705E-4</v>
      </c>
      <c r="AO510" s="3"/>
      <c r="AP510">
        <v>0</v>
      </c>
      <c r="AR510" t="s">
        <v>0</v>
      </c>
      <c r="AT510" s="2" t="s">
        <v>16</v>
      </c>
      <c r="AU510" s="1">
        <f t="shared" si="67"/>
        <v>3.0945166438955405</v>
      </c>
      <c r="AV510" s="1">
        <f t="shared" si="68"/>
        <v>2.2175813066465055</v>
      </c>
      <c r="AW510" s="1">
        <f t="shared" si="69"/>
        <v>1.3406459693974702</v>
      </c>
    </row>
    <row r="511" spans="1:49" x14ac:dyDescent="0.2">
      <c r="A511">
        <v>509</v>
      </c>
      <c r="B511" t="s">
        <v>6031</v>
      </c>
      <c r="C511" t="s">
        <v>6030</v>
      </c>
      <c r="F511" t="s">
        <v>6029</v>
      </c>
      <c r="G511" t="s">
        <v>12</v>
      </c>
      <c r="H511" t="s">
        <v>11</v>
      </c>
      <c r="I511" t="s">
        <v>6028</v>
      </c>
      <c r="J511">
        <v>60025778</v>
      </c>
      <c r="K511" t="s">
        <v>25</v>
      </c>
      <c r="L511" t="s">
        <v>24</v>
      </c>
      <c r="M511" t="s">
        <v>7</v>
      </c>
      <c r="N511">
        <v>2</v>
      </c>
      <c r="O511" t="s">
        <v>6027</v>
      </c>
      <c r="P511" t="s">
        <v>6026</v>
      </c>
      <c r="Q511" t="s">
        <v>21</v>
      </c>
      <c r="R511" s="7">
        <v>33604</v>
      </c>
      <c r="S511" s="8">
        <f t="shared" si="64"/>
        <v>1992</v>
      </c>
      <c r="T511" s="8">
        <v>1992</v>
      </c>
      <c r="U511" s="8">
        <f t="shared" si="65"/>
        <v>30</v>
      </c>
      <c r="V511" s="7">
        <v>33817</v>
      </c>
      <c r="W511" t="s">
        <v>97</v>
      </c>
      <c r="X511" s="2">
        <v>1.6519999999999999</v>
      </c>
      <c r="Y511" s="6">
        <f t="shared" si="62"/>
        <v>4.409919649769093E-2</v>
      </c>
      <c r="AA511" t="s">
        <v>96</v>
      </c>
      <c r="AB511">
        <v>17337</v>
      </c>
      <c r="AC511">
        <v>15582221</v>
      </c>
      <c r="AD511" t="s">
        <v>4</v>
      </c>
      <c r="AE511">
        <v>40</v>
      </c>
      <c r="AF511">
        <v>8</v>
      </c>
      <c r="AH511" t="s">
        <v>6025</v>
      </c>
      <c r="AI511" t="s">
        <v>6024</v>
      </c>
      <c r="AK511" t="s">
        <v>6023</v>
      </c>
      <c r="AL511">
        <v>16</v>
      </c>
      <c r="AM511" s="5">
        <f t="shared" si="66"/>
        <v>0.53333333333333333</v>
      </c>
      <c r="AN511" s="4">
        <f t="shared" si="63"/>
        <v>8.0777483276536668E-4</v>
      </c>
      <c r="AO511" s="3"/>
      <c r="AP511">
        <v>0</v>
      </c>
      <c r="AR511" t="s">
        <v>0</v>
      </c>
      <c r="AT511" s="2" t="s">
        <v>16</v>
      </c>
      <c r="AU511" s="1">
        <f t="shared" si="67"/>
        <v>3.1111769998213261</v>
      </c>
      <c r="AV511" s="1">
        <f t="shared" si="68"/>
        <v>2.2453485665228148</v>
      </c>
      <c r="AW511" s="1">
        <f t="shared" si="69"/>
        <v>1.3795201332243034</v>
      </c>
    </row>
    <row r="512" spans="1:49" x14ac:dyDescent="0.2">
      <c r="A512">
        <v>510</v>
      </c>
      <c r="B512" t="s">
        <v>6022</v>
      </c>
      <c r="C512" t="s">
        <v>6021</v>
      </c>
      <c r="F512" t="s">
        <v>6020</v>
      </c>
      <c r="G512" t="s">
        <v>12</v>
      </c>
      <c r="H512" t="s">
        <v>11</v>
      </c>
      <c r="I512" t="s">
        <v>6019</v>
      </c>
      <c r="J512">
        <v>60015710</v>
      </c>
      <c r="K512" t="s">
        <v>6018</v>
      </c>
      <c r="L512" t="s">
        <v>6017</v>
      </c>
      <c r="M512" t="s">
        <v>7</v>
      </c>
      <c r="N512">
        <v>1</v>
      </c>
      <c r="O512" t="s">
        <v>6016</v>
      </c>
      <c r="P512">
        <v>7201780943</v>
      </c>
      <c r="Q512">
        <v>60015710</v>
      </c>
      <c r="R512" s="7">
        <v>33604</v>
      </c>
      <c r="S512" s="8">
        <f t="shared" si="64"/>
        <v>1992</v>
      </c>
      <c r="T512" s="8">
        <v>1992</v>
      </c>
      <c r="U512" s="8">
        <f t="shared" si="65"/>
        <v>30</v>
      </c>
      <c r="V512" s="7">
        <v>33817</v>
      </c>
      <c r="W512" t="s">
        <v>529</v>
      </c>
      <c r="X512" s="2">
        <v>0.65500000000000003</v>
      </c>
      <c r="Y512" s="6">
        <f t="shared" si="62"/>
        <v>1.7484850911614749E-2</v>
      </c>
      <c r="AA512">
        <v>189375</v>
      </c>
      <c r="AB512">
        <v>26051</v>
      </c>
      <c r="AC512" t="s">
        <v>528</v>
      </c>
      <c r="AD512" t="s">
        <v>4</v>
      </c>
      <c r="AE512">
        <v>34</v>
      </c>
      <c r="AF512">
        <v>3</v>
      </c>
      <c r="AH512" t="s">
        <v>6015</v>
      </c>
      <c r="AI512" t="s">
        <v>6014</v>
      </c>
      <c r="AK512" t="s">
        <v>6013</v>
      </c>
      <c r="AL512">
        <v>10</v>
      </c>
      <c r="AM512" s="5">
        <f t="shared" si="66"/>
        <v>0.33333333333333331</v>
      </c>
      <c r="AN512" s="4">
        <f t="shared" si="63"/>
        <v>5.048592704783541E-4</v>
      </c>
      <c r="AO512" s="3"/>
      <c r="AP512">
        <v>0</v>
      </c>
      <c r="AR512" t="s">
        <v>0</v>
      </c>
      <c r="AT512" s="2" t="s">
        <v>16</v>
      </c>
      <c r="AU512" s="1">
        <f t="shared" si="67"/>
        <v>1.2390853419273828</v>
      </c>
      <c r="AV512" s="1">
        <f t="shared" si="68"/>
        <v>0.89948550910465519</v>
      </c>
      <c r="AW512" s="1">
        <f t="shared" si="69"/>
        <v>0.5598856762819272</v>
      </c>
    </row>
    <row r="513" spans="1:49" x14ac:dyDescent="0.2">
      <c r="A513">
        <v>511</v>
      </c>
      <c r="B513" t="s">
        <v>6012</v>
      </c>
      <c r="C513" t="s">
        <v>6011</v>
      </c>
      <c r="F513" t="s">
        <v>6010</v>
      </c>
      <c r="G513" t="s">
        <v>12</v>
      </c>
      <c r="H513" t="s">
        <v>11</v>
      </c>
      <c r="I513" t="s">
        <v>6009</v>
      </c>
      <c r="J513">
        <v>60020444</v>
      </c>
      <c r="K513" t="s">
        <v>6008</v>
      </c>
      <c r="L513" t="s">
        <v>1223</v>
      </c>
      <c r="M513" t="s">
        <v>7</v>
      </c>
      <c r="N513">
        <v>2</v>
      </c>
      <c r="O513" t="s">
        <v>6007</v>
      </c>
      <c r="P513" t="s">
        <v>6006</v>
      </c>
      <c r="Q513" t="s">
        <v>6005</v>
      </c>
      <c r="R513" s="7">
        <v>33604</v>
      </c>
      <c r="S513" s="8">
        <f t="shared" si="64"/>
        <v>1992</v>
      </c>
      <c r="T513" s="8">
        <v>1992</v>
      </c>
      <c r="U513" s="8">
        <f t="shared" si="65"/>
        <v>30</v>
      </c>
      <c r="V513" s="7" t="s">
        <v>5674</v>
      </c>
      <c r="W513" s="11" t="s">
        <v>2692</v>
      </c>
      <c r="X513" s="2">
        <v>2.383</v>
      </c>
      <c r="Y513" s="6">
        <f t="shared" si="62"/>
        <v>6.3612824003630442E-2</v>
      </c>
      <c r="AA513" t="s">
        <v>2691</v>
      </c>
      <c r="AB513">
        <v>101151</v>
      </c>
      <c r="AD513" t="s">
        <v>4</v>
      </c>
      <c r="AE513">
        <v>139</v>
      </c>
      <c r="AF513">
        <v>4</v>
      </c>
      <c r="AH513" t="s">
        <v>6004</v>
      </c>
      <c r="AI513" t="s">
        <v>6003</v>
      </c>
      <c r="AK513" t="s">
        <v>6002</v>
      </c>
      <c r="AL513">
        <v>14</v>
      </c>
      <c r="AM513" s="5">
        <f t="shared" si="66"/>
        <v>0.46666666666666667</v>
      </c>
      <c r="AN513" s="4">
        <f t="shared" si="63"/>
        <v>7.0680297866969582E-4</v>
      </c>
      <c r="AO513" s="3"/>
      <c r="AP513">
        <v>0</v>
      </c>
      <c r="AR513" t="s">
        <v>0</v>
      </c>
      <c r="AT513" s="2" t="s">
        <v>16</v>
      </c>
      <c r="AU513" s="1">
        <f t="shared" si="67"/>
        <v>4.4741017696142222</v>
      </c>
      <c r="AV513" s="1">
        <f t="shared" si="68"/>
        <v>3.2159813491150069</v>
      </c>
      <c r="AW513" s="1">
        <f t="shared" si="69"/>
        <v>1.957860928615792</v>
      </c>
    </row>
    <row r="514" spans="1:49" x14ac:dyDescent="0.2">
      <c r="A514">
        <v>512</v>
      </c>
      <c r="B514" t="s">
        <v>6001</v>
      </c>
      <c r="C514" t="s">
        <v>6000</v>
      </c>
      <c r="F514" t="s">
        <v>5999</v>
      </c>
      <c r="G514" t="s">
        <v>12</v>
      </c>
      <c r="H514" t="s">
        <v>11</v>
      </c>
      <c r="I514" t="s">
        <v>5998</v>
      </c>
      <c r="J514" t="s">
        <v>5997</v>
      </c>
      <c r="K514" t="s">
        <v>5996</v>
      </c>
      <c r="L514" t="s">
        <v>5995</v>
      </c>
      <c r="M514" t="s">
        <v>125</v>
      </c>
      <c r="N514">
        <v>1</v>
      </c>
      <c r="O514" t="s">
        <v>5994</v>
      </c>
      <c r="P514">
        <v>7006894465</v>
      </c>
      <c r="Q514" t="s">
        <v>5993</v>
      </c>
      <c r="R514" s="7">
        <v>33604</v>
      </c>
      <c r="S514" s="8">
        <f t="shared" si="64"/>
        <v>1992</v>
      </c>
      <c r="T514" s="8">
        <v>1992</v>
      </c>
      <c r="U514" s="8">
        <f t="shared" si="65"/>
        <v>30</v>
      </c>
      <c r="V514" s="7">
        <v>33817</v>
      </c>
      <c r="W514" t="s">
        <v>97</v>
      </c>
      <c r="X514" s="2">
        <v>1.6519999999999999</v>
      </c>
      <c r="Y514" s="6">
        <f t="shared" ref="Y514:Y577" si="70">(X514-$Z$4)/($Z$3-$Z$4)</f>
        <v>4.409919649769093E-2</v>
      </c>
      <c r="AA514" t="s">
        <v>96</v>
      </c>
      <c r="AB514">
        <v>17337</v>
      </c>
      <c r="AC514">
        <v>15582221</v>
      </c>
      <c r="AD514" t="s">
        <v>4</v>
      </c>
      <c r="AE514">
        <v>40</v>
      </c>
      <c r="AF514">
        <v>8</v>
      </c>
      <c r="AH514" t="s">
        <v>5992</v>
      </c>
      <c r="AI514" t="s">
        <v>5991</v>
      </c>
      <c r="AK514" t="s">
        <v>5990</v>
      </c>
      <c r="AL514">
        <v>3</v>
      </c>
      <c r="AM514" s="5">
        <f t="shared" si="66"/>
        <v>0.1</v>
      </c>
      <c r="AN514" s="4">
        <f t="shared" ref="AN514:AN577" si="71">(AM514-$AO$4)/($AO$3-$AO$4)</f>
        <v>1.5145778114350627E-4</v>
      </c>
      <c r="AO514" s="3"/>
      <c r="AP514">
        <v>0</v>
      </c>
      <c r="AR514" t="s">
        <v>0</v>
      </c>
      <c r="AT514" s="2" t="s">
        <v>16</v>
      </c>
      <c r="AU514" s="1">
        <f t="shared" si="67"/>
        <v>3.0914874882726702</v>
      </c>
      <c r="AV514" s="1">
        <f t="shared" si="68"/>
        <v>2.2125327139417217</v>
      </c>
      <c r="AW514" s="1">
        <f t="shared" si="69"/>
        <v>1.3335779396107732</v>
      </c>
    </row>
    <row r="515" spans="1:49" x14ac:dyDescent="0.2">
      <c r="A515">
        <v>513</v>
      </c>
      <c r="B515" t="s">
        <v>5989</v>
      </c>
      <c r="C515" t="s">
        <v>5988</v>
      </c>
      <c r="F515" t="s">
        <v>5987</v>
      </c>
      <c r="G515" t="s">
        <v>12</v>
      </c>
      <c r="H515" t="s">
        <v>11</v>
      </c>
      <c r="I515" t="s">
        <v>5986</v>
      </c>
      <c r="J515">
        <v>115568232</v>
      </c>
      <c r="K515" t="s">
        <v>5985</v>
      </c>
      <c r="M515" t="s">
        <v>817</v>
      </c>
      <c r="N515">
        <v>5</v>
      </c>
      <c r="O515" t="s">
        <v>5984</v>
      </c>
      <c r="P515" t="s">
        <v>5983</v>
      </c>
      <c r="Q515" t="s">
        <v>5982</v>
      </c>
      <c r="R515" s="7">
        <v>33604</v>
      </c>
      <c r="S515" s="8">
        <f t="shared" si="64"/>
        <v>1992</v>
      </c>
      <c r="T515" s="8">
        <v>1992</v>
      </c>
      <c r="U515" s="8">
        <f t="shared" si="65"/>
        <v>30</v>
      </c>
      <c r="V515" s="7">
        <v>33817</v>
      </c>
      <c r="W515" t="s">
        <v>297</v>
      </c>
      <c r="X515" s="2">
        <v>0.76700000000000002</v>
      </c>
      <c r="Y515" s="6">
        <f t="shared" si="70"/>
        <v>2.0474626945356504E-2</v>
      </c>
      <c r="AA515">
        <v>983063</v>
      </c>
      <c r="AB515">
        <v>26048</v>
      </c>
      <c r="AD515" t="s">
        <v>4</v>
      </c>
      <c r="AE515">
        <v>38</v>
      </c>
      <c r="AF515">
        <v>3</v>
      </c>
      <c r="AH515" t="s">
        <v>5981</v>
      </c>
      <c r="AI515" t="s">
        <v>5980</v>
      </c>
      <c r="AK515" t="s">
        <v>5979</v>
      </c>
      <c r="AL515">
        <v>0</v>
      </c>
      <c r="AM515" s="5">
        <f t="shared" si="66"/>
        <v>0</v>
      </c>
      <c r="AN515" s="4">
        <f t="shared" si="71"/>
        <v>0</v>
      </c>
      <c r="AO515" s="3"/>
      <c r="AP515">
        <v>0</v>
      </c>
      <c r="AR515" t="s">
        <v>0</v>
      </c>
      <c r="AT515" s="2" t="s">
        <v>16</v>
      </c>
      <c r="AU515" s="1">
        <f t="shared" si="67"/>
        <v>1.4332238861749553</v>
      </c>
      <c r="AV515" s="1">
        <f t="shared" si="68"/>
        <v>1.0237313472678251</v>
      </c>
      <c r="AW515" s="1">
        <f t="shared" si="69"/>
        <v>0.61423880836069511</v>
      </c>
    </row>
    <row r="516" spans="1:49" x14ac:dyDescent="0.2">
      <c r="A516">
        <v>514</v>
      </c>
      <c r="B516" t="s">
        <v>5978</v>
      </c>
      <c r="C516" t="s">
        <v>5977</v>
      </c>
      <c r="F516" t="s">
        <v>5976</v>
      </c>
      <c r="G516" t="s">
        <v>12</v>
      </c>
      <c r="H516" t="s">
        <v>11</v>
      </c>
      <c r="I516" t="s">
        <v>5975</v>
      </c>
      <c r="J516">
        <v>60009415</v>
      </c>
      <c r="K516" t="s">
        <v>5974</v>
      </c>
      <c r="L516" t="s">
        <v>5973</v>
      </c>
      <c r="M516" t="s">
        <v>7</v>
      </c>
      <c r="N516">
        <v>2</v>
      </c>
      <c r="O516" t="s">
        <v>5972</v>
      </c>
      <c r="P516" t="s">
        <v>5971</v>
      </c>
      <c r="Q516" t="s">
        <v>5970</v>
      </c>
      <c r="R516" s="7">
        <v>33604</v>
      </c>
      <c r="S516" s="8">
        <f t="shared" si="64"/>
        <v>1992</v>
      </c>
      <c r="T516" s="8">
        <v>1992</v>
      </c>
      <c r="U516" s="8">
        <f t="shared" si="65"/>
        <v>30</v>
      </c>
      <c r="V516" s="7">
        <v>33817</v>
      </c>
      <c r="W516" t="s">
        <v>2743</v>
      </c>
      <c r="X516" s="2">
        <v>1.6379999999999999</v>
      </c>
      <c r="Y516" s="6">
        <f t="shared" si="70"/>
        <v>4.3725474493473214E-2</v>
      </c>
      <c r="AA516" t="s">
        <v>2742</v>
      </c>
      <c r="AB516">
        <v>17391</v>
      </c>
      <c r="AC516">
        <v>19410476</v>
      </c>
      <c r="AD516" t="s">
        <v>4</v>
      </c>
      <c r="AE516">
        <v>40</v>
      </c>
      <c r="AF516">
        <v>8</v>
      </c>
      <c r="AH516" t="s">
        <v>5969</v>
      </c>
      <c r="AI516" t="s">
        <v>5968</v>
      </c>
      <c r="AK516" t="s">
        <v>5967</v>
      </c>
      <c r="AL516">
        <v>6</v>
      </c>
      <c r="AM516" s="5">
        <f t="shared" si="66"/>
        <v>0.2</v>
      </c>
      <c r="AN516" s="4">
        <f t="shared" si="71"/>
        <v>3.0291556228701253E-4</v>
      </c>
      <c r="AO516" s="3"/>
      <c r="AP516">
        <v>0</v>
      </c>
      <c r="AR516" t="s">
        <v>0</v>
      </c>
      <c r="AT516" s="2">
        <v>4.931</v>
      </c>
      <c r="AU516" s="1">
        <f t="shared" si="67"/>
        <v>3.0698706814117354</v>
      </c>
      <c r="AV516" s="1">
        <f t="shared" si="68"/>
        <v>2.2014195027880112</v>
      </c>
      <c r="AW516" s="1">
        <f t="shared" si="69"/>
        <v>1.3329683241642873</v>
      </c>
    </row>
    <row r="517" spans="1:49" x14ac:dyDescent="0.2">
      <c r="A517">
        <v>515</v>
      </c>
      <c r="B517" t="s">
        <v>5966</v>
      </c>
      <c r="C517" t="s">
        <v>5965</v>
      </c>
      <c r="F517" t="s">
        <v>5964</v>
      </c>
      <c r="G517" t="s">
        <v>12</v>
      </c>
      <c r="H517" t="s">
        <v>11</v>
      </c>
      <c r="I517" t="s">
        <v>3559</v>
      </c>
      <c r="J517" t="s">
        <v>3553</v>
      </c>
      <c r="K517" t="s">
        <v>3558</v>
      </c>
      <c r="L517" t="s">
        <v>3557</v>
      </c>
      <c r="M517" t="s">
        <v>3556</v>
      </c>
      <c r="N517">
        <v>1</v>
      </c>
      <c r="O517" t="s">
        <v>5963</v>
      </c>
      <c r="P517">
        <v>7402099663</v>
      </c>
      <c r="Q517" t="s">
        <v>5962</v>
      </c>
      <c r="R517" s="7">
        <v>33604</v>
      </c>
      <c r="S517" s="8">
        <f t="shared" si="64"/>
        <v>1992</v>
      </c>
      <c r="T517" s="8">
        <v>1992</v>
      </c>
      <c r="U517" s="8">
        <f t="shared" si="65"/>
        <v>30</v>
      </c>
      <c r="V517" s="7">
        <v>33817</v>
      </c>
      <c r="W517" t="s">
        <v>97</v>
      </c>
      <c r="X517" s="2">
        <v>1.6519999999999999</v>
      </c>
      <c r="Y517" s="6">
        <f t="shared" si="70"/>
        <v>4.409919649769093E-2</v>
      </c>
      <c r="AA517" t="s">
        <v>96</v>
      </c>
      <c r="AB517">
        <v>17337</v>
      </c>
      <c r="AC517">
        <v>15582221</v>
      </c>
      <c r="AD517" t="s">
        <v>4</v>
      </c>
      <c r="AE517">
        <v>40</v>
      </c>
      <c r="AF517">
        <v>8</v>
      </c>
      <c r="AH517" t="s">
        <v>5961</v>
      </c>
      <c r="AI517" t="s">
        <v>5960</v>
      </c>
      <c r="AK517" t="s">
        <v>5959</v>
      </c>
      <c r="AL517">
        <v>21</v>
      </c>
      <c r="AM517" s="5">
        <f t="shared" si="66"/>
        <v>0.7</v>
      </c>
      <c r="AN517" s="4">
        <f t="shared" si="71"/>
        <v>1.0602044680045437E-3</v>
      </c>
      <c r="AO517" s="3"/>
      <c r="AP517">
        <v>0</v>
      </c>
      <c r="AR517" t="s">
        <v>0</v>
      </c>
      <c r="AT517" s="2" t="s">
        <v>16</v>
      </c>
      <c r="AU517" s="1">
        <f t="shared" si="67"/>
        <v>3.1187498888785017</v>
      </c>
      <c r="AV517" s="1">
        <f t="shared" si="68"/>
        <v>2.2579700482847738</v>
      </c>
      <c r="AW517" s="1">
        <f t="shared" si="69"/>
        <v>1.3971902076910458</v>
      </c>
    </row>
    <row r="518" spans="1:49" x14ac:dyDescent="0.2">
      <c r="A518">
        <v>516</v>
      </c>
      <c r="B518" t="s">
        <v>5958</v>
      </c>
      <c r="C518" t="s">
        <v>5957</v>
      </c>
      <c r="F518" t="s">
        <v>5956</v>
      </c>
      <c r="G518" t="s">
        <v>12</v>
      </c>
      <c r="H518" t="s">
        <v>11</v>
      </c>
      <c r="I518" t="s">
        <v>5955</v>
      </c>
      <c r="J518" t="s">
        <v>5954</v>
      </c>
      <c r="K518" t="s">
        <v>5953</v>
      </c>
      <c r="L518" t="s">
        <v>5952</v>
      </c>
      <c r="M518" t="s">
        <v>904</v>
      </c>
      <c r="N518">
        <v>4</v>
      </c>
      <c r="O518" t="s">
        <v>5951</v>
      </c>
      <c r="P518" t="s">
        <v>5950</v>
      </c>
      <c r="Q518" t="s">
        <v>5949</v>
      </c>
      <c r="R518" s="7">
        <v>33604</v>
      </c>
      <c r="S518" s="8">
        <f t="shared" si="64"/>
        <v>1992</v>
      </c>
      <c r="T518" s="8">
        <v>1992</v>
      </c>
      <c r="U518" s="8">
        <f t="shared" si="65"/>
        <v>30</v>
      </c>
      <c r="V518" s="7">
        <v>33817</v>
      </c>
      <c r="W518" t="s">
        <v>529</v>
      </c>
      <c r="X518" s="2">
        <v>0.65500000000000003</v>
      </c>
      <c r="Y518" s="6">
        <f t="shared" si="70"/>
        <v>1.7484850911614749E-2</v>
      </c>
      <c r="AA518">
        <v>189375</v>
      </c>
      <c r="AB518">
        <v>26051</v>
      </c>
      <c r="AC518" t="s">
        <v>528</v>
      </c>
      <c r="AD518" t="s">
        <v>4</v>
      </c>
      <c r="AE518">
        <v>34</v>
      </c>
      <c r="AF518">
        <v>3</v>
      </c>
      <c r="AH518" t="s">
        <v>5948</v>
      </c>
      <c r="AI518" t="s">
        <v>5947</v>
      </c>
      <c r="AK518" t="s">
        <v>5946</v>
      </c>
      <c r="AL518">
        <v>24</v>
      </c>
      <c r="AM518" s="5">
        <f t="shared" si="66"/>
        <v>0.8</v>
      </c>
      <c r="AN518" s="4">
        <f t="shared" si="71"/>
        <v>1.2116622491480501E-3</v>
      </c>
      <c r="AO518" s="3"/>
      <c r="AP518">
        <v>0</v>
      </c>
      <c r="AR518" t="s">
        <v>0</v>
      </c>
      <c r="AT518" s="2" t="s">
        <v>16</v>
      </c>
      <c r="AU518" s="1">
        <f t="shared" si="67"/>
        <v>1.2602894312874737</v>
      </c>
      <c r="AV518" s="1">
        <f t="shared" si="68"/>
        <v>0.93482565803813999</v>
      </c>
      <c r="AW518" s="1">
        <f t="shared" si="69"/>
        <v>0.60936188478880593</v>
      </c>
    </row>
    <row r="519" spans="1:49" x14ac:dyDescent="0.2">
      <c r="A519">
        <v>517</v>
      </c>
      <c r="B519" t="s">
        <v>5945</v>
      </c>
      <c r="C519" t="s">
        <v>5944</v>
      </c>
      <c r="F519" t="s">
        <v>5943</v>
      </c>
      <c r="G519" t="s">
        <v>12</v>
      </c>
      <c r="H519" t="s">
        <v>11</v>
      </c>
      <c r="I519" t="s">
        <v>4882</v>
      </c>
      <c r="J519">
        <v>60022195</v>
      </c>
      <c r="K519" t="s">
        <v>2052</v>
      </c>
      <c r="L519" t="s">
        <v>2051</v>
      </c>
      <c r="M519" t="s">
        <v>7</v>
      </c>
      <c r="N519">
        <v>1</v>
      </c>
      <c r="O519" t="s">
        <v>4881</v>
      </c>
      <c r="P519">
        <v>7005553277</v>
      </c>
      <c r="Q519">
        <v>60022195</v>
      </c>
      <c r="R519" s="7">
        <v>33604</v>
      </c>
      <c r="S519" s="8">
        <f t="shared" si="64"/>
        <v>1992</v>
      </c>
      <c r="T519" s="8">
        <v>1992</v>
      </c>
      <c r="U519" s="8">
        <f t="shared" si="65"/>
        <v>30</v>
      </c>
      <c r="V519" s="7">
        <v>33817</v>
      </c>
      <c r="W519" t="s">
        <v>97</v>
      </c>
      <c r="X519" s="2">
        <v>1.6519999999999999</v>
      </c>
      <c r="Y519" s="6">
        <f t="shared" si="70"/>
        <v>4.409919649769093E-2</v>
      </c>
      <c r="AA519" t="s">
        <v>96</v>
      </c>
      <c r="AB519">
        <v>17337</v>
      </c>
      <c r="AC519">
        <v>15582221</v>
      </c>
      <c r="AD519" t="s">
        <v>4</v>
      </c>
      <c r="AE519">
        <v>40</v>
      </c>
      <c r="AF519">
        <v>8</v>
      </c>
      <c r="AH519" t="s">
        <v>5942</v>
      </c>
      <c r="AI519" t="s">
        <v>5941</v>
      </c>
      <c r="AK519" t="s">
        <v>5940</v>
      </c>
      <c r="AL519">
        <v>5</v>
      </c>
      <c r="AM519" s="5">
        <f t="shared" si="66"/>
        <v>0.16666666666666666</v>
      </c>
      <c r="AN519" s="4">
        <f t="shared" si="71"/>
        <v>2.5242963523917705E-4</v>
      </c>
      <c r="AO519" s="3"/>
      <c r="AP519">
        <v>0</v>
      </c>
      <c r="AR519" t="s">
        <v>0</v>
      </c>
      <c r="AT519" s="2" t="s">
        <v>16</v>
      </c>
      <c r="AU519" s="1">
        <f t="shared" si="67"/>
        <v>3.0945166438955405</v>
      </c>
      <c r="AV519" s="1">
        <f t="shared" si="68"/>
        <v>2.2175813066465055</v>
      </c>
      <c r="AW519" s="1">
        <f t="shared" si="69"/>
        <v>1.3406459693974702</v>
      </c>
    </row>
    <row r="520" spans="1:49" x14ac:dyDescent="0.2">
      <c r="A520">
        <v>518</v>
      </c>
      <c r="B520" t="s">
        <v>5939</v>
      </c>
      <c r="C520" t="s">
        <v>5938</v>
      </c>
      <c r="F520" t="s">
        <v>5937</v>
      </c>
      <c r="G520" t="s">
        <v>12</v>
      </c>
      <c r="H520" t="s">
        <v>11</v>
      </c>
      <c r="I520" t="s">
        <v>1524</v>
      </c>
      <c r="J520">
        <v>60033252</v>
      </c>
      <c r="K520" t="s">
        <v>5936</v>
      </c>
      <c r="L520" t="s">
        <v>5935</v>
      </c>
      <c r="M520" t="s">
        <v>7</v>
      </c>
      <c r="N520">
        <v>2</v>
      </c>
      <c r="O520" t="s">
        <v>5934</v>
      </c>
      <c r="P520" t="s">
        <v>5933</v>
      </c>
      <c r="Q520" t="s">
        <v>5932</v>
      </c>
      <c r="R520" s="7">
        <v>33604</v>
      </c>
      <c r="S520" s="8">
        <f t="shared" si="64"/>
        <v>1992</v>
      </c>
      <c r="T520" s="8">
        <v>1992</v>
      </c>
      <c r="U520" s="8">
        <f t="shared" si="65"/>
        <v>30</v>
      </c>
      <c r="V520" s="7">
        <v>33817</v>
      </c>
      <c r="W520" t="s">
        <v>529</v>
      </c>
      <c r="X520" s="2">
        <v>0.65500000000000003</v>
      </c>
      <c r="Y520" s="6">
        <f t="shared" si="70"/>
        <v>1.7484850911614749E-2</v>
      </c>
      <c r="AA520">
        <v>189375</v>
      </c>
      <c r="AB520">
        <v>26051</v>
      </c>
      <c r="AC520" t="s">
        <v>528</v>
      </c>
      <c r="AD520" t="s">
        <v>4</v>
      </c>
      <c r="AE520">
        <v>34</v>
      </c>
      <c r="AF520">
        <v>3</v>
      </c>
      <c r="AH520" t="s">
        <v>5931</v>
      </c>
      <c r="AI520" t="s">
        <v>5930</v>
      </c>
      <c r="AK520" t="s">
        <v>5929</v>
      </c>
      <c r="AL520">
        <v>6</v>
      </c>
      <c r="AM520" s="5">
        <f t="shared" si="66"/>
        <v>0.2</v>
      </c>
      <c r="AN520" s="4">
        <f t="shared" si="71"/>
        <v>3.0291556228701253E-4</v>
      </c>
      <c r="AO520" s="3"/>
      <c r="AP520">
        <v>0</v>
      </c>
      <c r="AR520" t="s">
        <v>0</v>
      </c>
      <c r="AT520" s="2" t="s">
        <v>16</v>
      </c>
      <c r="AU520" s="1">
        <f t="shared" si="67"/>
        <v>1.2330270306816427</v>
      </c>
      <c r="AV520" s="1">
        <f t="shared" si="68"/>
        <v>0.88938832369508813</v>
      </c>
      <c r="AW520" s="1">
        <f t="shared" si="69"/>
        <v>0.54574961670853339</v>
      </c>
    </row>
    <row r="521" spans="1:49" x14ac:dyDescent="0.2">
      <c r="A521">
        <v>519</v>
      </c>
      <c r="B521" t="s">
        <v>5928</v>
      </c>
      <c r="C521" t="s">
        <v>5927</v>
      </c>
      <c r="F521" t="s">
        <v>5926</v>
      </c>
      <c r="G521" t="s">
        <v>12</v>
      </c>
      <c r="H521" t="s">
        <v>11</v>
      </c>
      <c r="I521" t="s">
        <v>5925</v>
      </c>
      <c r="J521">
        <v>60017293</v>
      </c>
      <c r="K521" t="s">
        <v>3978</v>
      </c>
      <c r="L521" t="s">
        <v>3977</v>
      </c>
      <c r="M521" t="s">
        <v>338</v>
      </c>
      <c r="N521">
        <v>3</v>
      </c>
      <c r="O521" t="s">
        <v>5924</v>
      </c>
      <c r="P521" t="s">
        <v>5923</v>
      </c>
      <c r="Q521" t="s">
        <v>5922</v>
      </c>
      <c r="R521" s="7">
        <v>33604</v>
      </c>
      <c r="S521" s="8">
        <f t="shared" si="64"/>
        <v>1992</v>
      </c>
      <c r="T521" s="8">
        <v>1992</v>
      </c>
      <c r="U521" s="8">
        <f t="shared" si="65"/>
        <v>30</v>
      </c>
      <c r="V521" s="7" t="s">
        <v>5674</v>
      </c>
      <c r="W521" s="11" t="s">
        <v>2692</v>
      </c>
      <c r="X521" s="2">
        <v>2.383</v>
      </c>
      <c r="Y521" s="6">
        <f t="shared" si="70"/>
        <v>6.3612824003630442E-2</v>
      </c>
      <c r="AA521" t="s">
        <v>2691</v>
      </c>
      <c r="AB521">
        <v>101151</v>
      </c>
      <c r="AD521" t="s">
        <v>4</v>
      </c>
      <c r="AE521">
        <v>139</v>
      </c>
      <c r="AF521">
        <v>4</v>
      </c>
      <c r="AH521" t="s">
        <v>5921</v>
      </c>
      <c r="AI521" t="s">
        <v>5920</v>
      </c>
      <c r="AK521" t="s">
        <v>5919</v>
      </c>
      <c r="AL521">
        <v>22</v>
      </c>
      <c r="AM521" s="5">
        <f t="shared" si="66"/>
        <v>0.73333333333333328</v>
      </c>
      <c r="AN521" s="4">
        <f t="shared" si="71"/>
        <v>1.1106903950523792E-3</v>
      </c>
      <c r="AO521" s="3"/>
      <c r="AP521">
        <v>0</v>
      </c>
      <c r="AR521" t="s">
        <v>0</v>
      </c>
      <c r="AT521" s="2" t="s">
        <v>16</v>
      </c>
      <c r="AU521" s="1">
        <f t="shared" si="67"/>
        <v>4.4862183921057026</v>
      </c>
      <c r="AV521" s="1">
        <f t="shared" si="68"/>
        <v>3.236175719934141</v>
      </c>
      <c r="AW521" s="1">
        <f t="shared" si="69"/>
        <v>1.9861330477625796</v>
      </c>
    </row>
    <row r="522" spans="1:49" x14ac:dyDescent="0.2">
      <c r="A522">
        <v>520</v>
      </c>
      <c r="B522" t="s">
        <v>5918</v>
      </c>
      <c r="C522" t="s">
        <v>5917</v>
      </c>
      <c r="F522" t="s">
        <v>5916</v>
      </c>
      <c r="G522" t="s">
        <v>12</v>
      </c>
      <c r="H522" t="s">
        <v>11</v>
      </c>
      <c r="I522" t="s">
        <v>5915</v>
      </c>
      <c r="J522">
        <v>60028156</v>
      </c>
      <c r="K522" t="s">
        <v>5914</v>
      </c>
      <c r="L522" t="s">
        <v>5913</v>
      </c>
      <c r="M522" t="s">
        <v>7</v>
      </c>
      <c r="N522">
        <v>2</v>
      </c>
      <c r="O522" t="s">
        <v>5912</v>
      </c>
      <c r="P522" t="s">
        <v>5911</v>
      </c>
      <c r="Q522" t="s">
        <v>5910</v>
      </c>
      <c r="R522" s="7">
        <v>33604</v>
      </c>
      <c r="S522" s="8">
        <f t="shared" si="64"/>
        <v>1992</v>
      </c>
      <c r="T522" s="8">
        <v>1992</v>
      </c>
      <c r="U522" s="8">
        <f t="shared" si="65"/>
        <v>30</v>
      </c>
      <c r="V522" s="7">
        <v>33817</v>
      </c>
      <c r="W522" t="s">
        <v>529</v>
      </c>
      <c r="X522" s="2">
        <v>0.65500000000000003</v>
      </c>
      <c r="Y522" s="6">
        <f t="shared" si="70"/>
        <v>1.7484850911614749E-2</v>
      </c>
      <c r="AA522">
        <v>189375</v>
      </c>
      <c r="AB522">
        <v>26051</v>
      </c>
      <c r="AC522" t="s">
        <v>528</v>
      </c>
      <c r="AD522" t="s">
        <v>4</v>
      </c>
      <c r="AE522">
        <v>34</v>
      </c>
      <c r="AF522">
        <v>3</v>
      </c>
      <c r="AH522" t="s">
        <v>5909</v>
      </c>
      <c r="AI522" t="s">
        <v>5908</v>
      </c>
      <c r="AK522" t="s">
        <v>5907</v>
      </c>
      <c r="AL522">
        <v>19</v>
      </c>
      <c r="AM522" s="5">
        <f t="shared" si="66"/>
        <v>0.6333333333333333</v>
      </c>
      <c r="AN522" s="4">
        <f t="shared" si="71"/>
        <v>9.5923261390887281E-4</v>
      </c>
      <c r="AO522" s="3"/>
      <c r="AP522">
        <v>0</v>
      </c>
      <c r="AQ522" t="s">
        <v>5906</v>
      </c>
      <c r="AR522" t="s">
        <v>5905</v>
      </c>
      <c r="AS522" t="s">
        <v>5904</v>
      </c>
      <c r="AT522" s="2" t="s">
        <v>16</v>
      </c>
      <c r="AU522" s="1">
        <f t="shared" si="67"/>
        <v>1.2527165422302984</v>
      </c>
      <c r="AV522" s="1">
        <f t="shared" si="68"/>
        <v>0.92220417627618101</v>
      </c>
      <c r="AW522" s="1">
        <f t="shared" si="69"/>
        <v>0.59169181032206353</v>
      </c>
    </row>
    <row r="523" spans="1:49" x14ac:dyDescent="0.2">
      <c r="A523">
        <v>521</v>
      </c>
      <c r="B523" t="s">
        <v>5903</v>
      </c>
      <c r="C523" t="s">
        <v>5902</v>
      </c>
      <c r="F523" t="s">
        <v>5901</v>
      </c>
      <c r="G523" t="s">
        <v>12</v>
      </c>
      <c r="H523" t="s">
        <v>11</v>
      </c>
      <c r="I523" t="s">
        <v>5900</v>
      </c>
      <c r="J523">
        <v>60028333</v>
      </c>
      <c r="K523" t="s">
        <v>5899</v>
      </c>
      <c r="L523" t="s">
        <v>5898</v>
      </c>
      <c r="M523" t="s">
        <v>2620</v>
      </c>
      <c r="N523">
        <v>1</v>
      </c>
      <c r="O523" t="s">
        <v>5897</v>
      </c>
      <c r="P523">
        <v>7102344747</v>
      </c>
      <c r="Q523">
        <v>60028333</v>
      </c>
      <c r="R523" s="7">
        <v>33604</v>
      </c>
      <c r="S523" s="8">
        <f t="shared" si="64"/>
        <v>1992</v>
      </c>
      <c r="T523" s="8">
        <v>1992</v>
      </c>
      <c r="U523" s="8">
        <f t="shared" si="65"/>
        <v>30</v>
      </c>
      <c r="V523" s="7">
        <v>33817</v>
      </c>
      <c r="W523" t="s">
        <v>97</v>
      </c>
      <c r="X523" s="2">
        <v>1.6519999999999999</v>
      </c>
      <c r="Y523" s="6">
        <f t="shared" si="70"/>
        <v>4.409919649769093E-2</v>
      </c>
      <c r="AA523" t="s">
        <v>96</v>
      </c>
      <c r="AB523">
        <v>17337</v>
      </c>
      <c r="AC523">
        <v>15582221</v>
      </c>
      <c r="AD523" t="s">
        <v>4</v>
      </c>
      <c r="AE523">
        <v>40</v>
      </c>
      <c r="AF523">
        <v>8</v>
      </c>
      <c r="AH523" t="s">
        <v>5896</v>
      </c>
      <c r="AI523" t="s">
        <v>5895</v>
      </c>
      <c r="AK523" t="s">
        <v>5894</v>
      </c>
      <c r="AL523">
        <v>15</v>
      </c>
      <c r="AM523" s="5">
        <f t="shared" si="66"/>
        <v>0.5</v>
      </c>
      <c r="AN523" s="4">
        <f t="shared" si="71"/>
        <v>7.572889057175312E-4</v>
      </c>
      <c r="AO523" s="3"/>
      <c r="AP523">
        <v>0</v>
      </c>
      <c r="AR523" t="s">
        <v>0</v>
      </c>
      <c r="AT523" s="2" t="s">
        <v>16</v>
      </c>
      <c r="AU523" s="1">
        <f t="shared" si="67"/>
        <v>3.1096624220098912</v>
      </c>
      <c r="AV523" s="1">
        <f t="shared" si="68"/>
        <v>2.2428242701704231</v>
      </c>
      <c r="AW523" s="1">
        <f t="shared" si="69"/>
        <v>1.375986118330955</v>
      </c>
    </row>
    <row r="524" spans="1:49" x14ac:dyDescent="0.2">
      <c r="A524">
        <v>522</v>
      </c>
      <c r="B524" t="s">
        <v>5893</v>
      </c>
      <c r="C524" t="s">
        <v>5892</v>
      </c>
      <c r="F524" t="s">
        <v>5891</v>
      </c>
      <c r="G524" t="s">
        <v>12</v>
      </c>
      <c r="H524" t="s">
        <v>11</v>
      </c>
      <c r="I524" t="s">
        <v>328</v>
      </c>
      <c r="J524">
        <v>60007843</v>
      </c>
      <c r="K524" t="s">
        <v>5417</v>
      </c>
      <c r="L524" t="s">
        <v>182</v>
      </c>
      <c r="M524" t="s">
        <v>7</v>
      </c>
      <c r="N524">
        <v>2</v>
      </c>
      <c r="O524" t="s">
        <v>5890</v>
      </c>
      <c r="P524" t="s">
        <v>323</v>
      </c>
      <c r="Q524" t="s">
        <v>5414</v>
      </c>
      <c r="R524" s="7">
        <v>33604</v>
      </c>
      <c r="S524" s="8">
        <f t="shared" si="64"/>
        <v>1992</v>
      </c>
      <c r="T524" s="8">
        <v>1992</v>
      </c>
      <c r="U524" s="8">
        <f t="shared" si="65"/>
        <v>30</v>
      </c>
      <c r="V524" s="7">
        <v>33817</v>
      </c>
      <c r="W524" t="s">
        <v>529</v>
      </c>
      <c r="X524" s="2">
        <v>0.65500000000000003</v>
      </c>
      <c r="Y524" s="6">
        <f t="shared" si="70"/>
        <v>1.7484850911614749E-2</v>
      </c>
      <c r="AA524">
        <v>189375</v>
      </c>
      <c r="AB524">
        <v>26051</v>
      </c>
      <c r="AC524" t="s">
        <v>528</v>
      </c>
      <c r="AD524" t="s">
        <v>4</v>
      </c>
      <c r="AE524">
        <v>34</v>
      </c>
      <c r="AF524">
        <v>3</v>
      </c>
      <c r="AH524" t="s">
        <v>1446</v>
      </c>
      <c r="AI524" t="s">
        <v>5889</v>
      </c>
      <c r="AK524" t="s">
        <v>5888</v>
      </c>
      <c r="AL524">
        <v>16</v>
      </c>
      <c r="AM524" s="5">
        <f t="shared" si="66"/>
        <v>0.53333333333333333</v>
      </c>
      <c r="AN524" s="4">
        <f t="shared" si="71"/>
        <v>8.0777483276536668E-4</v>
      </c>
      <c r="AO524" s="3"/>
      <c r="AP524">
        <v>0</v>
      </c>
      <c r="AR524" t="s">
        <v>0</v>
      </c>
      <c r="AS524" t="s">
        <v>5887</v>
      </c>
      <c r="AT524" s="2" t="s">
        <v>16</v>
      </c>
      <c r="AU524" s="1">
        <f t="shared" si="67"/>
        <v>1.2481728087959933</v>
      </c>
      <c r="AV524" s="1">
        <f t="shared" si="68"/>
        <v>0.91463128721900577</v>
      </c>
      <c r="AW524" s="1">
        <f t="shared" si="69"/>
        <v>0.58108976564201809</v>
      </c>
    </row>
    <row r="525" spans="1:49" x14ac:dyDescent="0.2">
      <c r="A525">
        <v>523</v>
      </c>
      <c r="B525" t="s">
        <v>5886</v>
      </c>
      <c r="C525" t="s">
        <v>5885</v>
      </c>
      <c r="F525" t="s">
        <v>5884</v>
      </c>
      <c r="G525" t="s">
        <v>12</v>
      </c>
      <c r="H525" t="s">
        <v>11</v>
      </c>
      <c r="I525" t="s">
        <v>5883</v>
      </c>
      <c r="J525">
        <v>60010065</v>
      </c>
      <c r="K525" t="s">
        <v>2090</v>
      </c>
      <c r="L525" t="s">
        <v>1656</v>
      </c>
      <c r="M525" t="s">
        <v>7</v>
      </c>
      <c r="N525">
        <v>1</v>
      </c>
      <c r="O525" t="s">
        <v>5882</v>
      </c>
      <c r="P525">
        <v>7006392487</v>
      </c>
      <c r="Q525">
        <v>60010065</v>
      </c>
      <c r="R525" s="7">
        <v>33604</v>
      </c>
      <c r="S525" s="8">
        <f t="shared" si="64"/>
        <v>1992</v>
      </c>
      <c r="T525" s="8">
        <v>1992</v>
      </c>
      <c r="U525" s="8">
        <f t="shared" si="65"/>
        <v>30</v>
      </c>
      <c r="V525" s="7">
        <v>33817</v>
      </c>
      <c r="W525" t="s">
        <v>97</v>
      </c>
      <c r="X525" s="2">
        <v>1.6519999999999999</v>
      </c>
      <c r="Y525" s="6">
        <f t="shared" si="70"/>
        <v>4.409919649769093E-2</v>
      </c>
      <c r="AA525" t="s">
        <v>96</v>
      </c>
      <c r="AB525">
        <v>17337</v>
      </c>
      <c r="AC525">
        <v>15582221</v>
      </c>
      <c r="AD525" t="s">
        <v>4</v>
      </c>
      <c r="AE525">
        <v>40</v>
      </c>
      <c r="AF525">
        <v>8</v>
      </c>
      <c r="AH525" t="s">
        <v>5881</v>
      </c>
      <c r="AI525" t="s">
        <v>5880</v>
      </c>
      <c r="AK525" t="s">
        <v>5879</v>
      </c>
      <c r="AL525">
        <v>66</v>
      </c>
      <c r="AM525" s="5">
        <f t="shared" si="66"/>
        <v>2.2000000000000002</v>
      </c>
      <c r="AN525" s="4">
        <f t="shared" si="71"/>
        <v>3.3320711851571377E-3</v>
      </c>
      <c r="AO525" s="3"/>
      <c r="AP525">
        <v>0</v>
      </c>
      <c r="AR525" t="s">
        <v>0</v>
      </c>
      <c r="AT525" s="2" t="s">
        <v>16</v>
      </c>
      <c r="AU525" s="1">
        <f t="shared" si="67"/>
        <v>3.1869058903930791</v>
      </c>
      <c r="AV525" s="1">
        <f t="shared" si="68"/>
        <v>2.3715633841424033</v>
      </c>
      <c r="AW525" s="1">
        <f t="shared" si="69"/>
        <v>1.5562208778917275</v>
      </c>
    </row>
    <row r="526" spans="1:49" x14ac:dyDescent="0.2">
      <c r="A526">
        <v>524</v>
      </c>
      <c r="B526" t="s">
        <v>5878</v>
      </c>
      <c r="C526" t="s">
        <v>5877</v>
      </c>
      <c r="F526" t="s">
        <v>5876</v>
      </c>
      <c r="G526" t="s">
        <v>12</v>
      </c>
      <c r="H526" t="s">
        <v>11</v>
      </c>
      <c r="I526" t="s">
        <v>5875</v>
      </c>
      <c r="J526">
        <v>60022148</v>
      </c>
      <c r="K526" t="s">
        <v>5874</v>
      </c>
      <c r="L526" t="s">
        <v>2733</v>
      </c>
      <c r="M526" t="s">
        <v>856</v>
      </c>
      <c r="N526">
        <v>2</v>
      </c>
      <c r="O526" t="s">
        <v>5873</v>
      </c>
      <c r="P526" t="s">
        <v>5872</v>
      </c>
      <c r="Q526" t="s">
        <v>5871</v>
      </c>
      <c r="R526" s="7">
        <v>33604</v>
      </c>
      <c r="S526" s="8">
        <f t="shared" si="64"/>
        <v>1992</v>
      </c>
      <c r="T526" s="8">
        <v>1992</v>
      </c>
      <c r="U526" s="8">
        <f t="shared" si="65"/>
        <v>30</v>
      </c>
      <c r="V526" s="7" t="s">
        <v>5674</v>
      </c>
      <c r="W526" s="11" t="s">
        <v>5765</v>
      </c>
      <c r="X526" s="2">
        <v>2.383</v>
      </c>
      <c r="Y526" s="6">
        <f t="shared" si="70"/>
        <v>6.3612824003630442E-2</v>
      </c>
      <c r="AA526">
        <v>2673932</v>
      </c>
      <c r="AB526">
        <v>12118</v>
      </c>
      <c r="AD526" t="s">
        <v>4</v>
      </c>
      <c r="AE526">
        <v>139</v>
      </c>
      <c r="AF526">
        <v>4</v>
      </c>
      <c r="AH526" t="s">
        <v>5870</v>
      </c>
      <c r="AI526" t="s">
        <v>5869</v>
      </c>
      <c r="AK526" t="s">
        <v>5868</v>
      </c>
      <c r="AL526">
        <v>7</v>
      </c>
      <c r="AM526" s="5">
        <f t="shared" si="66"/>
        <v>0.23333333333333334</v>
      </c>
      <c r="AN526" s="4">
        <f t="shared" si="71"/>
        <v>3.5340148933484791E-4</v>
      </c>
      <c r="AO526" s="3"/>
      <c r="AP526">
        <v>0</v>
      </c>
      <c r="AR526" t="s">
        <v>0</v>
      </c>
      <c r="AT526" s="2" t="s">
        <v>16</v>
      </c>
      <c r="AU526" s="1">
        <f t="shared" si="67"/>
        <v>4.4634997249341763</v>
      </c>
      <c r="AV526" s="1">
        <f t="shared" si="68"/>
        <v>3.1983112746482649</v>
      </c>
      <c r="AW526" s="1">
        <f t="shared" si="69"/>
        <v>1.9331228243623526</v>
      </c>
    </row>
    <row r="527" spans="1:49" x14ac:dyDescent="0.2">
      <c r="A527">
        <v>525</v>
      </c>
      <c r="B527" t="s">
        <v>5867</v>
      </c>
      <c r="C527" t="s">
        <v>5866</v>
      </c>
      <c r="F527" t="s">
        <v>5865</v>
      </c>
      <c r="G527" t="s">
        <v>12</v>
      </c>
      <c r="H527" t="s">
        <v>11</v>
      </c>
      <c r="I527" t="s">
        <v>5864</v>
      </c>
      <c r="J527">
        <v>115567821</v>
      </c>
      <c r="K527" t="s">
        <v>5863</v>
      </c>
      <c r="L527" t="s">
        <v>5862</v>
      </c>
      <c r="M527" t="s">
        <v>617</v>
      </c>
      <c r="N527">
        <v>8</v>
      </c>
      <c r="O527" t="s">
        <v>5861</v>
      </c>
      <c r="P527" t="s">
        <v>5860</v>
      </c>
      <c r="Q527" t="s">
        <v>5859</v>
      </c>
      <c r="R527" s="7">
        <v>33604</v>
      </c>
      <c r="S527" s="8">
        <f t="shared" si="64"/>
        <v>1992</v>
      </c>
      <c r="T527" s="8">
        <v>1992</v>
      </c>
      <c r="U527" s="8">
        <f t="shared" si="65"/>
        <v>30</v>
      </c>
      <c r="V527" s="7">
        <v>33817</v>
      </c>
      <c r="W527" t="s">
        <v>297</v>
      </c>
      <c r="X527" s="2">
        <v>0.76700000000000002</v>
      </c>
      <c r="Y527" s="6">
        <f t="shared" si="70"/>
        <v>2.0474626945356504E-2</v>
      </c>
      <c r="AA527">
        <v>983063</v>
      </c>
      <c r="AB527">
        <v>26048</v>
      </c>
      <c r="AD527" t="s">
        <v>4</v>
      </c>
      <c r="AE527">
        <v>38</v>
      </c>
      <c r="AF527">
        <v>3</v>
      </c>
      <c r="AH527" t="s">
        <v>5858</v>
      </c>
      <c r="AI527" t="s">
        <v>5857</v>
      </c>
      <c r="AK527" t="s">
        <v>5856</v>
      </c>
      <c r="AL527">
        <v>2</v>
      </c>
      <c r="AM527" s="5">
        <f t="shared" si="66"/>
        <v>6.6666666666666666E-2</v>
      </c>
      <c r="AN527" s="4">
        <f t="shared" si="71"/>
        <v>1.0097185409567084E-4</v>
      </c>
      <c r="AO527" s="3"/>
      <c r="AP527">
        <v>0</v>
      </c>
      <c r="AR527" t="s">
        <v>0</v>
      </c>
      <c r="AT527" s="2" t="s">
        <v>16</v>
      </c>
      <c r="AU527" s="1">
        <f t="shared" si="67"/>
        <v>1.4362530417978254</v>
      </c>
      <c r="AV527" s="1">
        <f t="shared" si="68"/>
        <v>1.0287799399726087</v>
      </c>
      <c r="AW527" s="1">
        <f t="shared" si="69"/>
        <v>0.62130683814739207</v>
      </c>
    </row>
    <row r="528" spans="1:49" x14ac:dyDescent="0.2">
      <c r="A528">
        <v>526</v>
      </c>
      <c r="B528" t="s">
        <v>5855</v>
      </c>
      <c r="C528" t="s">
        <v>5854</v>
      </c>
      <c r="F528" t="s">
        <v>5853</v>
      </c>
      <c r="G528" t="s">
        <v>12</v>
      </c>
      <c r="H528" t="s">
        <v>11</v>
      </c>
      <c r="I528" t="s">
        <v>3040</v>
      </c>
      <c r="J528">
        <v>60005304</v>
      </c>
      <c r="K528" t="s">
        <v>1244</v>
      </c>
      <c r="L528" t="s">
        <v>1243</v>
      </c>
      <c r="M528" t="s">
        <v>7</v>
      </c>
      <c r="N528">
        <v>2</v>
      </c>
      <c r="O528" t="s">
        <v>5852</v>
      </c>
      <c r="P528" t="s">
        <v>5851</v>
      </c>
      <c r="Q528" t="s">
        <v>5850</v>
      </c>
      <c r="R528" s="7">
        <v>33604</v>
      </c>
      <c r="S528" s="8">
        <f t="shared" si="64"/>
        <v>1992</v>
      </c>
      <c r="T528" s="8">
        <v>1992</v>
      </c>
      <c r="U528" s="8">
        <f t="shared" si="65"/>
        <v>30</v>
      </c>
      <c r="V528" s="7">
        <v>33817</v>
      </c>
      <c r="W528" t="s">
        <v>2799</v>
      </c>
      <c r="X528" s="2">
        <v>0.88100000000000001</v>
      </c>
      <c r="Y528" s="6">
        <f t="shared" si="70"/>
        <v>2.3517791836843653E-2</v>
      </c>
      <c r="AA528">
        <v>10459243</v>
      </c>
      <c r="AB528">
        <v>17248</v>
      </c>
      <c r="AD528" t="s">
        <v>4</v>
      </c>
      <c r="AE528">
        <v>34</v>
      </c>
      <c r="AF528">
        <v>4</v>
      </c>
      <c r="AH528" t="s">
        <v>5849</v>
      </c>
      <c r="AI528" t="s">
        <v>5848</v>
      </c>
      <c r="AK528" t="s">
        <v>5847</v>
      </c>
      <c r="AL528">
        <v>0</v>
      </c>
      <c r="AM528" s="5">
        <f t="shared" si="66"/>
        <v>0</v>
      </c>
      <c r="AN528" s="4">
        <f t="shared" si="71"/>
        <v>0</v>
      </c>
      <c r="AO528" s="3"/>
      <c r="AP528">
        <v>0</v>
      </c>
      <c r="AR528" t="s">
        <v>0</v>
      </c>
      <c r="AT528" s="2" t="s">
        <v>16</v>
      </c>
      <c r="AU528" s="1">
        <f t="shared" si="67"/>
        <v>1.6462454285790555</v>
      </c>
      <c r="AV528" s="1">
        <f t="shared" si="68"/>
        <v>1.1758895918421826</v>
      </c>
      <c r="AW528" s="1">
        <f t="shared" si="69"/>
        <v>0.70553375510530958</v>
      </c>
    </row>
    <row r="529" spans="1:49" x14ac:dyDescent="0.2">
      <c r="A529">
        <v>527</v>
      </c>
      <c r="B529" t="s">
        <v>5846</v>
      </c>
      <c r="C529" t="s">
        <v>5845</v>
      </c>
      <c r="F529" t="s">
        <v>5844</v>
      </c>
      <c r="G529" t="s">
        <v>12</v>
      </c>
      <c r="H529" t="s">
        <v>11</v>
      </c>
      <c r="I529" t="s">
        <v>5843</v>
      </c>
      <c r="J529">
        <v>60027271</v>
      </c>
      <c r="K529" t="s">
        <v>1224</v>
      </c>
      <c r="L529" t="s">
        <v>1223</v>
      </c>
      <c r="M529" t="s">
        <v>7</v>
      </c>
      <c r="N529">
        <v>3</v>
      </c>
      <c r="O529" t="s">
        <v>5842</v>
      </c>
      <c r="P529" t="s">
        <v>5841</v>
      </c>
      <c r="Q529" t="s">
        <v>5840</v>
      </c>
      <c r="R529" s="7">
        <v>33604</v>
      </c>
      <c r="S529" s="8">
        <f t="shared" si="64"/>
        <v>1992</v>
      </c>
      <c r="T529" s="8">
        <v>1992</v>
      </c>
      <c r="U529" s="8">
        <f t="shared" si="65"/>
        <v>30</v>
      </c>
      <c r="V529" s="7" t="s">
        <v>5674</v>
      </c>
      <c r="W529" s="11" t="s">
        <v>5765</v>
      </c>
      <c r="X529" s="2">
        <v>2.383</v>
      </c>
      <c r="Y529" s="6">
        <f t="shared" si="70"/>
        <v>6.3612824003630442E-2</v>
      </c>
      <c r="AA529">
        <v>2673932</v>
      </c>
      <c r="AB529">
        <v>12118</v>
      </c>
      <c r="AD529" t="s">
        <v>4</v>
      </c>
      <c r="AE529">
        <v>139</v>
      </c>
      <c r="AF529">
        <v>4</v>
      </c>
      <c r="AH529" t="s">
        <v>5839</v>
      </c>
      <c r="AI529" t="s">
        <v>5838</v>
      </c>
      <c r="AK529" t="s">
        <v>5837</v>
      </c>
      <c r="AL529">
        <v>74</v>
      </c>
      <c r="AM529" s="5">
        <f t="shared" si="66"/>
        <v>2.4666666666666668</v>
      </c>
      <c r="AN529" s="4">
        <f t="shared" si="71"/>
        <v>3.7359586015398212E-3</v>
      </c>
      <c r="AO529" s="3"/>
      <c r="AP529">
        <v>0</v>
      </c>
      <c r="AR529" t="s">
        <v>0</v>
      </c>
      <c r="AT529" s="2" t="s">
        <v>16</v>
      </c>
      <c r="AU529" s="1">
        <f t="shared" si="67"/>
        <v>4.5649764383003255</v>
      </c>
      <c r="AV529" s="1">
        <f t="shared" si="68"/>
        <v>3.3674391302585129</v>
      </c>
      <c r="AW529" s="1">
        <f t="shared" si="69"/>
        <v>2.1699018222167008</v>
      </c>
    </row>
    <row r="530" spans="1:49" x14ac:dyDescent="0.2">
      <c r="A530">
        <v>528</v>
      </c>
      <c r="B530" t="s">
        <v>5836</v>
      </c>
      <c r="C530" t="s">
        <v>5835</v>
      </c>
      <c r="F530" t="s">
        <v>5834</v>
      </c>
      <c r="G530" t="s">
        <v>12</v>
      </c>
      <c r="H530" t="s">
        <v>11</v>
      </c>
      <c r="I530" t="s">
        <v>5833</v>
      </c>
      <c r="J530">
        <v>114684001</v>
      </c>
      <c r="K530" t="s">
        <v>5832</v>
      </c>
      <c r="L530" t="s">
        <v>5831</v>
      </c>
      <c r="M530" t="s">
        <v>817</v>
      </c>
      <c r="N530">
        <v>2</v>
      </c>
      <c r="O530" t="s">
        <v>5830</v>
      </c>
      <c r="P530" t="s">
        <v>5829</v>
      </c>
      <c r="Q530" t="s">
        <v>5828</v>
      </c>
      <c r="R530" s="7">
        <v>33604</v>
      </c>
      <c r="S530" s="8">
        <f t="shared" ref="S530:S593" si="72">YEAR(R530)</f>
        <v>1992</v>
      </c>
      <c r="T530" s="8">
        <v>1992</v>
      </c>
      <c r="U530" s="8">
        <f t="shared" ref="U530:U593" si="73">2022-T530</f>
        <v>30</v>
      </c>
      <c r="V530" s="7" t="s">
        <v>5674</v>
      </c>
      <c r="W530" s="11" t="s">
        <v>5765</v>
      </c>
      <c r="X530" s="2">
        <v>2.383</v>
      </c>
      <c r="Y530" s="6">
        <f t="shared" si="70"/>
        <v>6.3612824003630442E-2</v>
      </c>
      <c r="AA530">
        <v>2673932</v>
      </c>
      <c r="AB530">
        <v>12118</v>
      </c>
      <c r="AD530" t="s">
        <v>4</v>
      </c>
      <c r="AE530">
        <v>139</v>
      </c>
      <c r="AF530">
        <v>4</v>
      </c>
      <c r="AH530" t="s">
        <v>5827</v>
      </c>
      <c r="AI530" t="s">
        <v>5826</v>
      </c>
      <c r="AK530" t="s">
        <v>5825</v>
      </c>
      <c r="AL530">
        <v>22</v>
      </c>
      <c r="AM530" s="5">
        <f t="shared" ref="AM530:AM593" si="74">AL530/U530</f>
        <v>0.73333333333333328</v>
      </c>
      <c r="AN530" s="4">
        <f t="shared" si="71"/>
        <v>1.1106903950523792E-3</v>
      </c>
      <c r="AO530" s="3"/>
      <c r="AP530">
        <v>0</v>
      </c>
      <c r="AR530" t="s">
        <v>0</v>
      </c>
      <c r="AT530" s="2" t="s">
        <v>16</v>
      </c>
      <c r="AU530" s="1">
        <f t="shared" ref="AU530:AU593" si="75">(Y530*0.7+AN530*0.3)*100</f>
        <v>4.4862183921057026</v>
      </c>
      <c r="AV530" s="1">
        <f t="shared" ref="AV530:AV593" si="76">(Y530*0.5+AN530*0.5)*100</f>
        <v>3.236175719934141</v>
      </c>
      <c r="AW530" s="1">
        <f t="shared" ref="AW530:AW593" si="77">(Y530*0.3+AN530*0.7)*100</f>
        <v>1.9861330477625796</v>
      </c>
    </row>
    <row r="531" spans="1:49" x14ac:dyDescent="0.2">
      <c r="A531">
        <v>529</v>
      </c>
      <c r="B531" t="s">
        <v>5824</v>
      </c>
      <c r="C531" t="s">
        <v>5823</v>
      </c>
      <c r="F531" t="s">
        <v>5822</v>
      </c>
      <c r="G531" t="s">
        <v>12</v>
      </c>
      <c r="H531" t="s">
        <v>11</v>
      </c>
      <c r="I531" t="s">
        <v>5821</v>
      </c>
      <c r="J531">
        <v>60017592</v>
      </c>
      <c r="K531" t="s">
        <v>5820</v>
      </c>
      <c r="L531" t="s">
        <v>2169</v>
      </c>
      <c r="M531" t="s">
        <v>393</v>
      </c>
      <c r="N531">
        <v>3</v>
      </c>
      <c r="O531" t="s">
        <v>5819</v>
      </c>
      <c r="P531" t="s">
        <v>5818</v>
      </c>
      <c r="Q531" t="s">
        <v>5817</v>
      </c>
      <c r="R531" s="7">
        <v>33604</v>
      </c>
      <c r="S531" s="8">
        <f t="shared" si="72"/>
        <v>1992</v>
      </c>
      <c r="T531" s="8">
        <v>1992</v>
      </c>
      <c r="U531" s="8">
        <f t="shared" si="73"/>
        <v>30</v>
      </c>
      <c r="V531" s="7">
        <v>33817</v>
      </c>
      <c r="W531" t="s">
        <v>2873</v>
      </c>
      <c r="X531" s="2">
        <v>1.365</v>
      </c>
      <c r="Y531" s="6">
        <f t="shared" si="70"/>
        <v>3.6437895411227675E-2</v>
      </c>
      <c r="AA531">
        <v>189545</v>
      </c>
      <c r="AB531">
        <v>17393</v>
      </c>
      <c r="AC531">
        <v>19399359</v>
      </c>
      <c r="AD531" t="s">
        <v>4</v>
      </c>
      <c r="AE531">
        <v>41</v>
      </c>
      <c r="AF531">
        <v>3</v>
      </c>
      <c r="AH531" t="s">
        <v>5816</v>
      </c>
      <c r="AI531" t="s">
        <v>5815</v>
      </c>
      <c r="AK531" t="s">
        <v>5814</v>
      </c>
      <c r="AL531">
        <v>19</v>
      </c>
      <c r="AM531" s="5">
        <f t="shared" si="74"/>
        <v>0.6333333333333333</v>
      </c>
      <c r="AN531" s="4">
        <f t="shared" si="71"/>
        <v>9.5923261390887281E-4</v>
      </c>
      <c r="AO531" s="3"/>
      <c r="AP531">
        <v>0</v>
      </c>
      <c r="AR531" t="s">
        <v>0</v>
      </c>
      <c r="AT531" s="2" t="s">
        <v>16</v>
      </c>
      <c r="AU531" s="1">
        <f t="shared" si="75"/>
        <v>2.5794296572032032</v>
      </c>
      <c r="AV531" s="1">
        <f t="shared" si="76"/>
        <v>1.8698564012568273</v>
      </c>
      <c r="AW531" s="1">
        <f t="shared" si="77"/>
        <v>1.1602831453104514</v>
      </c>
    </row>
    <row r="532" spans="1:49" x14ac:dyDescent="0.2">
      <c r="A532">
        <v>530</v>
      </c>
      <c r="B532" t="s">
        <v>5813</v>
      </c>
      <c r="C532" t="s">
        <v>5812</v>
      </c>
      <c r="F532" t="s">
        <v>5811</v>
      </c>
      <c r="G532" t="s">
        <v>12</v>
      </c>
      <c r="H532" t="s">
        <v>11</v>
      </c>
      <c r="I532" t="s">
        <v>5810</v>
      </c>
      <c r="J532" t="s">
        <v>5809</v>
      </c>
      <c r="K532" t="s">
        <v>5808</v>
      </c>
      <c r="L532" t="s">
        <v>5807</v>
      </c>
      <c r="M532" t="s">
        <v>5806</v>
      </c>
      <c r="N532">
        <v>1</v>
      </c>
      <c r="O532" t="s">
        <v>5805</v>
      </c>
      <c r="P532">
        <v>6602733011</v>
      </c>
      <c r="Q532" t="s">
        <v>5804</v>
      </c>
      <c r="R532" s="7">
        <v>33604</v>
      </c>
      <c r="S532" s="8">
        <f t="shared" si="72"/>
        <v>1992</v>
      </c>
      <c r="T532" s="8">
        <v>1992</v>
      </c>
      <c r="U532" s="8">
        <f t="shared" si="73"/>
        <v>30</v>
      </c>
      <c r="V532" s="7">
        <v>33817</v>
      </c>
      <c r="W532" t="s">
        <v>97</v>
      </c>
      <c r="X532" s="2">
        <v>1.6519999999999999</v>
      </c>
      <c r="Y532" s="6">
        <f t="shared" si="70"/>
        <v>4.409919649769093E-2</v>
      </c>
      <c r="AA532" t="s">
        <v>96</v>
      </c>
      <c r="AB532">
        <v>17337</v>
      </c>
      <c r="AC532">
        <v>15582221</v>
      </c>
      <c r="AD532" t="s">
        <v>4</v>
      </c>
      <c r="AE532">
        <v>40</v>
      </c>
      <c r="AF532">
        <v>8</v>
      </c>
      <c r="AH532" t="s">
        <v>5803</v>
      </c>
      <c r="AI532" t="s">
        <v>5802</v>
      </c>
      <c r="AK532" t="s">
        <v>5801</v>
      </c>
      <c r="AL532">
        <v>27</v>
      </c>
      <c r="AM532" s="5">
        <f t="shared" si="74"/>
        <v>0.9</v>
      </c>
      <c r="AN532" s="4">
        <f t="shared" si="71"/>
        <v>1.3631200302915562E-3</v>
      </c>
      <c r="AO532" s="3"/>
      <c r="AP532">
        <v>0</v>
      </c>
      <c r="AR532" t="s">
        <v>0</v>
      </c>
      <c r="AT532" s="2" t="s">
        <v>16</v>
      </c>
      <c r="AU532" s="1">
        <f t="shared" si="75"/>
        <v>3.1278373557471117</v>
      </c>
      <c r="AV532" s="1">
        <f t="shared" si="76"/>
        <v>2.2731158263991245</v>
      </c>
      <c r="AW532" s="1">
        <f t="shared" si="77"/>
        <v>1.4183942970511367</v>
      </c>
    </row>
    <row r="533" spans="1:49" x14ac:dyDescent="0.2">
      <c r="A533">
        <v>531</v>
      </c>
      <c r="B533" t="s">
        <v>5800</v>
      </c>
      <c r="C533" t="s">
        <v>5799</v>
      </c>
      <c r="F533" t="s">
        <v>5798</v>
      </c>
      <c r="G533" t="s">
        <v>12</v>
      </c>
      <c r="H533" t="s">
        <v>11</v>
      </c>
      <c r="I533" t="s">
        <v>5797</v>
      </c>
      <c r="J533">
        <v>60005837</v>
      </c>
      <c r="K533" t="s">
        <v>1290</v>
      </c>
      <c r="L533" t="s">
        <v>1289</v>
      </c>
      <c r="M533" t="s">
        <v>7</v>
      </c>
      <c r="N533">
        <v>2</v>
      </c>
      <c r="O533" t="s">
        <v>5796</v>
      </c>
      <c r="P533" t="s">
        <v>5795</v>
      </c>
      <c r="Q533" t="s">
        <v>5794</v>
      </c>
      <c r="R533" s="7">
        <v>33604</v>
      </c>
      <c r="S533" s="8">
        <f t="shared" si="72"/>
        <v>1992</v>
      </c>
      <c r="T533" s="8">
        <v>1992</v>
      </c>
      <c r="U533" s="8">
        <f t="shared" si="73"/>
        <v>30</v>
      </c>
      <c r="V533" s="7">
        <v>33817</v>
      </c>
      <c r="W533" t="s">
        <v>97</v>
      </c>
      <c r="X533" s="2">
        <v>1.6519999999999999</v>
      </c>
      <c r="Y533" s="6">
        <f t="shared" si="70"/>
        <v>4.409919649769093E-2</v>
      </c>
      <c r="AA533" t="s">
        <v>96</v>
      </c>
      <c r="AB533">
        <v>17337</v>
      </c>
      <c r="AC533">
        <v>15582221</v>
      </c>
      <c r="AD533" t="s">
        <v>4</v>
      </c>
      <c r="AE533">
        <v>40</v>
      </c>
      <c r="AF533">
        <v>8</v>
      </c>
      <c r="AH533" t="s">
        <v>5793</v>
      </c>
      <c r="AI533" t="s">
        <v>5792</v>
      </c>
      <c r="AK533" t="s">
        <v>5791</v>
      </c>
      <c r="AL533">
        <v>6</v>
      </c>
      <c r="AM533" s="5">
        <f t="shared" si="74"/>
        <v>0.2</v>
      </c>
      <c r="AN533" s="4">
        <f t="shared" si="71"/>
        <v>3.0291556228701253E-4</v>
      </c>
      <c r="AO533" s="3"/>
      <c r="AP533">
        <v>0</v>
      </c>
      <c r="AR533" t="s">
        <v>0</v>
      </c>
      <c r="AT533" s="2" t="s">
        <v>16</v>
      </c>
      <c r="AU533" s="1">
        <f t="shared" si="75"/>
        <v>3.0960312217069754</v>
      </c>
      <c r="AV533" s="1">
        <f t="shared" si="76"/>
        <v>2.2201056029988968</v>
      </c>
      <c r="AW533" s="1">
        <f t="shared" si="77"/>
        <v>1.3441799842908186</v>
      </c>
    </row>
    <row r="534" spans="1:49" x14ac:dyDescent="0.2">
      <c r="A534">
        <v>532</v>
      </c>
      <c r="B534" t="s">
        <v>5790</v>
      </c>
      <c r="C534" t="s">
        <v>5789</v>
      </c>
      <c r="F534" t="s">
        <v>5788</v>
      </c>
      <c r="G534" t="s">
        <v>12</v>
      </c>
      <c r="H534" t="s">
        <v>11</v>
      </c>
      <c r="I534" t="s">
        <v>5787</v>
      </c>
      <c r="J534">
        <v>60001881</v>
      </c>
      <c r="K534" t="s">
        <v>2555</v>
      </c>
      <c r="L534" t="s">
        <v>2554</v>
      </c>
      <c r="M534" t="s">
        <v>856</v>
      </c>
      <c r="N534">
        <v>3</v>
      </c>
      <c r="O534" t="s">
        <v>5786</v>
      </c>
      <c r="P534" t="s">
        <v>5785</v>
      </c>
      <c r="Q534" t="s">
        <v>2551</v>
      </c>
      <c r="R534" s="7">
        <v>33604</v>
      </c>
      <c r="S534" s="8">
        <f t="shared" si="72"/>
        <v>1992</v>
      </c>
      <c r="T534" s="8">
        <v>1992</v>
      </c>
      <c r="U534" s="8">
        <f t="shared" si="73"/>
        <v>30</v>
      </c>
      <c r="V534" s="7" t="s">
        <v>5674</v>
      </c>
      <c r="W534" s="11" t="s">
        <v>2692</v>
      </c>
      <c r="X534" s="2">
        <v>2.383</v>
      </c>
      <c r="Y534" s="6">
        <f t="shared" si="70"/>
        <v>6.3612824003630442E-2</v>
      </c>
      <c r="AA534" t="s">
        <v>2691</v>
      </c>
      <c r="AB534">
        <v>101151</v>
      </c>
      <c r="AD534" t="s">
        <v>4</v>
      </c>
      <c r="AE534">
        <v>139</v>
      </c>
      <c r="AF534">
        <v>4</v>
      </c>
      <c r="AH534" t="s">
        <v>5784</v>
      </c>
      <c r="AI534" t="s">
        <v>5783</v>
      </c>
      <c r="AK534" t="s">
        <v>5782</v>
      </c>
      <c r="AL534">
        <v>8</v>
      </c>
      <c r="AM534" s="5">
        <f t="shared" si="74"/>
        <v>0.26666666666666666</v>
      </c>
      <c r="AN534" s="4">
        <f t="shared" si="71"/>
        <v>4.0388741638268334E-4</v>
      </c>
      <c r="AO534" s="3"/>
      <c r="AP534">
        <v>0</v>
      </c>
      <c r="AR534" t="s">
        <v>0</v>
      </c>
      <c r="AT534" s="2" t="s">
        <v>16</v>
      </c>
      <c r="AU534" s="1">
        <f t="shared" si="75"/>
        <v>4.4650143027456117</v>
      </c>
      <c r="AV534" s="1">
        <f t="shared" si="76"/>
        <v>3.2008355710006562</v>
      </c>
      <c r="AW534" s="1">
        <f t="shared" si="77"/>
        <v>1.9366568392557011</v>
      </c>
    </row>
    <row r="535" spans="1:49" x14ac:dyDescent="0.2">
      <c r="A535">
        <v>533</v>
      </c>
      <c r="B535" t="s">
        <v>5781</v>
      </c>
      <c r="C535" t="s">
        <v>5780</v>
      </c>
      <c r="F535" t="s">
        <v>5779</v>
      </c>
      <c r="G535" t="s">
        <v>12</v>
      </c>
      <c r="H535" t="s">
        <v>11</v>
      </c>
      <c r="I535" t="s">
        <v>5778</v>
      </c>
      <c r="J535">
        <v>60030551</v>
      </c>
      <c r="K535" t="s">
        <v>2975</v>
      </c>
      <c r="L535" t="s">
        <v>2974</v>
      </c>
      <c r="M535" t="s">
        <v>7</v>
      </c>
      <c r="N535">
        <v>2</v>
      </c>
      <c r="O535" t="s">
        <v>5777</v>
      </c>
      <c r="P535" t="s">
        <v>5776</v>
      </c>
      <c r="Q535" t="s">
        <v>2971</v>
      </c>
      <c r="R535" s="7">
        <v>33604</v>
      </c>
      <c r="S535" s="8">
        <f t="shared" si="72"/>
        <v>1992</v>
      </c>
      <c r="T535" s="8">
        <v>1992</v>
      </c>
      <c r="U535" s="8">
        <f t="shared" si="73"/>
        <v>30</v>
      </c>
      <c r="V535" s="7">
        <v>33817</v>
      </c>
      <c r="W535" t="s">
        <v>97</v>
      </c>
      <c r="X535" s="2">
        <v>1.6519999999999999</v>
      </c>
      <c r="Y535" s="6">
        <f t="shared" si="70"/>
        <v>4.409919649769093E-2</v>
      </c>
      <c r="AA535" t="s">
        <v>96</v>
      </c>
      <c r="AB535">
        <v>17337</v>
      </c>
      <c r="AC535">
        <v>15582221</v>
      </c>
      <c r="AD535" t="s">
        <v>4</v>
      </c>
      <c r="AE535">
        <v>40</v>
      </c>
      <c r="AF535">
        <v>8</v>
      </c>
      <c r="AH535" t="s">
        <v>5775</v>
      </c>
      <c r="AI535" t="s">
        <v>5774</v>
      </c>
      <c r="AK535" t="s">
        <v>5773</v>
      </c>
      <c r="AL535">
        <v>13</v>
      </c>
      <c r="AM535" s="5">
        <f t="shared" si="74"/>
        <v>0.43333333333333335</v>
      </c>
      <c r="AN535" s="4">
        <f t="shared" si="71"/>
        <v>6.5631705162186044E-4</v>
      </c>
      <c r="AO535" s="3"/>
      <c r="AP535">
        <v>0</v>
      </c>
      <c r="AR535" t="s">
        <v>0</v>
      </c>
      <c r="AT535" s="2" t="s">
        <v>16</v>
      </c>
      <c r="AU535" s="1">
        <f t="shared" si="75"/>
        <v>3.1066332663870209</v>
      </c>
      <c r="AV535" s="1">
        <f t="shared" si="76"/>
        <v>2.2377756774656397</v>
      </c>
      <c r="AW535" s="1">
        <f t="shared" si="77"/>
        <v>1.368918088544258</v>
      </c>
    </row>
    <row r="536" spans="1:49" x14ac:dyDescent="0.2">
      <c r="A536">
        <v>534</v>
      </c>
      <c r="B536" t="s">
        <v>5772</v>
      </c>
      <c r="C536" t="s">
        <v>5771</v>
      </c>
      <c r="F536" t="s">
        <v>5770</v>
      </c>
      <c r="G536" t="s">
        <v>12</v>
      </c>
      <c r="H536" t="s">
        <v>11</v>
      </c>
      <c r="I536" t="s">
        <v>5769</v>
      </c>
      <c r="J536">
        <v>60002286</v>
      </c>
      <c r="K536" t="s">
        <v>5768</v>
      </c>
      <c r="L536" t="s">
        <v>5767</v>
      </c>
      <c r="M536" t="s">
        <v>273</v>
      </c>
      <c r="N536">
        <v>1</v>
      </c>
      <c r="O536" t="s">
        <v>5766</v>
      </c>
      <c r="P536">
        <v>8686801100</v>
      </c>
      <c r="Q536">
        <v>60002286</v>
      </c>
      <c r="R536" s="7">
        <v>33604</v>
      </c>
      <c r="S536" s="8">
        <f t="shared" si="72"/>
        <v>1992</v>
      </c>
      <c r="T536" s="8">
        <v>1992</v>
      </c>
      <c r="U536" s="8">
        <f t="shared" si="73"/>
        <v>30</v>
      </c>
      <c r="V536" s="7" t="s">
        <v>5674</v>
      </c>
      <c r="W536" s="11" t="s">
        <v>5765</v>
      </c>
      <c r="X536" s="2">
        <v>2.383</v>
      </c>
      <c r="Y536" s="6">
        <f t="shared" si="70"/>
        <v>6.3612824003630442E-2</v>
      </c>
      <c r="AA536">
        <v>2673932</v>
      </c>
      <c r="AB536">
        <v>12118</v>
      </c>
      <c r="AD536" t="s">
        <v>4</v>
      </c>
      <c r="AE536">
        <v>139</v>
      </c>
      <c r="AF536">
        <v>4</v>
      </c>
      <c r="AH536" t="s">
        <v>5764</v>
      </c>
      <c r="AI536" t="s">
        <v>5763</v>
      </c>
      <c r="AK536" t="s">
        <v>5762</v>
      </c>
      <c r="AL536">
        <v>12</v>
      </c>
      <c r="AM536" s="5">
        <f t="shared" si="74"/>
        <v>0.4</v>
      </c>
      <c r="AN536" s="4">
        <f t="shared" si="71"/>
        <v>6.0583112457402507E-4</v>
      </c>
      <c r="AO536" s="3"/>
      <c r="AP536">
        <v>0</v>
      </c>
      <c r="AR536" t="s">
        <v>0</v>
      </c>
      <c r="AT536" s="2" t="s">
        <v>16</v>
      </c>
      <c r="AU536" s="1">
        <f t="shared" si="75"/>
        <v>4.4710726139913515</v>
      </c>
      <c r="AV536" s="1">
        <f t="shared" si="76"/>
        <v>3.210932756410223</v>
      </c>
      <c r="AW536" s="1">
        <f t="shared" si="77"/>
        <v>1.950792898829095</v>
      </c>
    </row>
    <row r="537" spans="1:49" x14ac:dyDescent="0.2">
      <c r="A537">
        <v>535</v>
      </c>
      <c r="B537" t="s">
        <v>5761</v>
      </c>
      <c r="C537" t="s">
        <v>5760</v>
      </c>
      <c r="F537" t="s">
        <v>5759</v>
      </c>
      <c r="G537" t="s">
        <v>12</v>
      </c>
      <c r="H537" t="s">
        <v>11</v>
      </c>
      <c r="I537" t="s">
        <v>5758</v>
      </c>
      <c r="J537" t="s">
        <v>5757</v>
      </c>
      <c r="K537" t="s">
        <v>5756</v>
      </c>
      <c r="L537" t="s">
        <v>5755</v>
      </c>
      <c r="M537" t="s">
        <v>904</v>
      </c>
      <c r="N537">
        <v>6</v>
      </c>
      <c r="O537" t="s">
        <v>5754</v>
      </c>
      <c r="P537" t="s">
        <v>5753</v>
      </c>
      <c r="Q537" t="s">
        <v>5752</v>
      </c>
      <c r="R537" s="7">
        <v>33604</v>
      </c>
      <c r="S537" s="8">
        <f t="shared" si="72"/>
        <v>1992</v>
      </c>
      <c r="T537" s="8">
        <v>1992</v>
      </c>
      <c r="U537" s="8">
        <f t="shared" si="73"/>
        <v>30</v>
      </c>
      <c r="V537" s="7">
        <v>33817</v>
      </c>
      <c r="W537" t="s">
        <v>529</v>
      </c>
      <c r="X537" s="2">
        <v>0.65500000000000003</v>
      </c>
      <c r="Y537" s="6">
        <f t="shared" si="70"/>
        <v>1.7484850911614749E-2</v>
      </c>
      <c r="AA537">
        <v>189375</v>
      </c>
      <c r="AB537">
        <v>26051</v>
      </c>
      <c r="AC537" t="s">
        <v>528</v>
      </c>
      <c r="AD537" t="s">
        <v>4</v>
      </c>
      <c r="AE537">
        <v>34</v>
      </c>
      <c r="AF537">
        <v>3</v>
      </c>
      <c r="AH537" t="s">
        <v>5751</v>
      </c>
      <c r="AI537" t="s">
        <v>5750</v>
      </c>
      <c r="AK537" t="s">
        <v>5749</v>
      </c>
      <c r="AL537">
        <v>7</v>
      </c>
      <c r="AM537" s="5">
        <f t="shared" si="74"/>
        <v>0.23333333333333334</v>
      </c>
      <c r="AN537" s="4">
        <f t="shared" si="71"/>
        <v>3.5340148933484791E-4</v>
      </c>
      <c r="AO537" s="3"/>
      <c r="AP537">
        <v>0</v>
      </c>
      <c r="AR537" t="s">
        <v>0</v>
      </c>
      <c r="AT537" s="2" t="s">
        <v>16</v>
      </c>
      <c r="AU537" s="1">
        <f t="shared" si="75"/>
        <v>1.2345416084930778</v>
      </c>
      <c r="AV537" s="1">
        <f t="shared" si="76"/>
        <v>0.89191262004747973</v>
      </c>
      <c r="AW537" s="1">
        <f t="shared" si="77"/>
        <v>0.54928363160188176</v>
      </c>
    </row>
    <row r="538" spans="1:49" x14ac:dyDescent="0.2">
      <c r="A538">
        <v>536</v>
      </c>
      <c r="B538" t="s">
        <v>5748</v>
      </c>
      <c r="C538" t="s">
        <v>5747</v>
      </c>
      <c r="F538" t="s">
        <v>5746</v>
      </c>
      <c r="G538" t="s">
        <v>12</v>
      </c>
      <c r="H538" t="s">
        <v>11</v>
      </c>
      <c r="I538" t="s">
        <v>5745</v>
      </c>
      <c r="J538" t="s">
        <v>5740</v>
      </c>
      <c r="K538" t="s">
        <v>5744</v>
      </c>
      <c r="L538" t="s">
        <v>5743</v>
      </c>
      <c r="M538" t="s">
        <v>125</v>
      </c>
      <c r="N538">
        <v>2</v>
      </c>
      <c r="O538" t="s">
        <v>5742</v>
      </c>
      <c r="P538" t="s">
        <v>5741</v>
      </c>
      <c r="Q538" t="s">
        <v>5740</v>
      </c>
      <c r="R538" s="7">
        <v>33604</v>
      </c>
      <c r="S538" s="8">
        <f t="shared" si="72"/>
        <v>1992</v>
      </c>
      <c r="T538" s="8">
        <v>1992</v>
      </c>
      <c r="U538" s="8">
        <f t="shared" si="73"/>
        <v>30</v>
      </c>
      <c r="V538" s="7">
        <v>33817</v>
      </c>
      <c r="W538" t="s">
        <v>529</v>
      </c>
      <c r="X538" s="2">
        <v>0.65500000000000003</v>
      </c>
      <c r="Y538" s="6">
        <f t="shared" si="70"/>
        <v>1.7484850911614749E-2</v>
      </c>
      <c r="AA538">
        <v>189375</v>
      </c>
      <c r="AB538">
        <v>26051</v>
      </c>
      <c r="AC538" t="s">
        <v>528</v>
      </c>
      <c r="AD538" t="s">
        <v>4</v>
      </c>
      <c r="AE538">
        <v>34</v>
      </c>
      <c r="AF538">
        <v>3</v>
      </c>
      <c r="AH538" t="s">
        <v>5739</v>
      </c>
      <c r="AI538" t="s">
        <v>5738</v>
      </c>
      <c r="AK538" t="s">
        <v>5737</v>
      </c>
      <c r="AL538">
        <v>19</v>
      </c>
      <c r="AM538" s="5">
        <f t="shared" si="74"/>
        <v>0.6333333333333333</v>
      </c>
      <c r="AN538" s="4">
        <f t="shared" si="71"/>
        <v>9.5923261390887281E-4</v>
      </c>
      <c r="AO538" s="3"/>
      <c r="AP538">
        <v>0</v>
      </c>
      <c r="AQ538" t="s">
        <v>4107</v>
      </c>
      <c r="AR538" t="s">
        <v>5736</v>
      </c>
      <c r="AS538" t="s">
        <v>4106</v>
      </c>
      <c r="AT538" s="2" t="s">
        <v>16</v>
      </c>
      <c r="AU538" s="1">
        <f t="shared" si="75"/>
        <v>1.2527165422302984</v>
      </c>
      <c r="AV538" s="1">
        <f t="shared" si="76"/>
        <v>0.92220417627618101</v>
      </c>
      <c r="AW538" s="1">
        <f t="shared" si="77"/>
        <v>0.59169181032206353</v>
      </c>
    </row>
    <row r="539" spans="1:49" x14ac:dyDescent="0.2">
      <c r="A539">
        <v>537</v>
      </c>
      <c r="B539" t="s">
        <v>5735</v>
      </c>
      <c r="C539" t="s">
        <v>5734</v>
      </c>
      <c r="F539" t="s">
        <v>5733</v>
      </c>
      <c r="G539" t="s">
        <v>12</v>
      </c>
      <c r="H539" t="s">
        <v>11</v>
      </c>
      <c r="I539" t="s">
        <v>5732</v>
      </c>
      <c r="J539">
        <v>60012370</v>
      </c>
      <c r="K539" t="s">
        <v>3612</v>
      </c>
      <c r="L539" t="s">
        <v>3611</v>
      </c>
      <c r="M539" t="s">
        <v>3610</v>
      </c>
      <c r="N539">
        <v>1</v>
      </c>
      <c r="O539" t="s">
        <v>5731</v>
      </c>
      <c r="P539">
        <v>7501435107</v>
      </c>
      <c r="Q539">
        <v>60012370</v>
      </c>
      <c r="R539" s="7">
        <v>33604</v>
      </c>
      <c r="S539" s="8">
        <f t="shared" si="72"/>
        <v>1992</v>
      </c>
      <c r="T539" s="8">
        <v>1992</v>
      </c>
      <c r="U539" s="8">
        <f t="shared" si="73"/>
        <v>30</v>
      </c>
      <c r="V539" s="7" t="s">
        <v>5674</v>
      </c>
      <c r="W539" s="11" t="s">
        <v>2809</v>
      </c>
      <c r="X539" s="2">
        <v>2.383</v>
      </c>
      <c r="Y539" s="6">
        <f t="shared" si="70"/>
        <v>6.3612824003630442E-2</v>
      </c>
      <c r="AA539" t="s">
        <v>2808</v>
      </c>
      <c r="AB539">
        <v>96433</v>
      </c>
      <c r="AD539" t="s">
        <v>4</v>
      </c>
      <c r="AE539">
        <v>139</v>
      </c>
      <c r="AF539">
        <v>4</v>
      </c>
      <c r="AH539" t="s">
        <v>5730</v>
      </c>
      <c r="AI539" t="s">
        <v>5729</v>
      </c>
      <c r="AK539" t="s">
        <v>5728</v>
      </c>
      <c r="AL539">
        <v>1</v>
      </c>
      <c r="AM539" s="5">
        <f t="shared" si="74"/>
        <v>3.3333333333333333E-2</v>
      </c>
      <c r="AN539" s="4">
        <f t="shared" si="71"/>
        <v>5.0485927047835418E-5</v>
      </c>
      <c r="AO539" s="3"/>
      <c r="AP539">
        <v>0</v>
      </c>
      <c r="AR539" t="s">
        <v>0</v>
      </c>
      <c r="AT539" s="2" t="s">
        <v>16</v>
      </c>
      <c r="AU539" s="1">
        <f t="shared" si="75"/>
        <v>4.4544122580655658</v>
      </c>
      <c r="AV539" s="1">
        <f t="shared" si="76"/>
        <v>3.1831654965339138</v>
      </c>
      <c r="AW539" s="1">
        <f t="shared" si="77"/>
        <v>1.9119187350022617</v>
      </c>
    </row>
    <row r="540" spans="1:49" x14ac:dyDescent="0.2">
      <c r="A540">
        <v>538</v>
      </c>
      <c r="B540" t="s">
        <v>5727</v>
      </c>
      <c r="C540" t="s">
        <v>5726</v>
      </c>
      <c r="F540" t="s">
        <v>5725</v>
      </c>
      <c r="G540" t="s">
        <v>12</v>
      </c>
      <c r="H540" t="s">
        <v>11</v>
      </c>
      <c r="I540" t="s">
        <v>2963</v>
      </c>
      <c r="J540">
        <v>60003858</v>
      </c>
      <c r="K540" t="s">
        <v>5724</v>
      </c>
      <c r="L540" t="s">
        <v>5723</v>
      </c>
      <c r="M540" t="s">
        <v>1091</v>
      </c>
      <c r="N540">
        <v>2</v>
      </c>
      <c r="O540" t="s">
        <v>5722</v>
      </c>
      <c r="P540" t="s">
        <v>5721</v>
      </c>
      <c r="Q540" t="s">
        <v>5720</v>
      </c>
      <c r="R540" s="7">
        <v>33604</v>
      </c>
      <c r="S540" s="8">
        <f t="shared" si="72"/>
        <v>1992</v>
      </c>
      <c r="T540" s="8">
        <v>1992</v>
      </c>
      <c r="U540" s="8">
        <f t="shared" si="73"/>
        <v>30</v>
      </c>
      <c r="V540" s="7" t="s">
        <v>5674</v>
      </c>
      <c r="W540" s="11" t="s">
        <v>2809</v>
      </c>
      <c r="X540" s="2">
        <v>2.383</v>
      </c>
      <c r="Y540" s="6">
        <f t="shared" si="70"/>
        <v>6.3612824003630442E-2</v>
      </c>
      <c r="AA540" t="s">
        <v>2808</v>
      </c>
      <c r="AB540">
        <v>96433</v>
      </c>
      <c r="AD540" t="s">
        <v>4</v>
      </c>
      <c r="AE540">
        <v>139</v>
      </c>
      <c r="AF540">
        <v>4</v>
      </c>
      <c r="AH540" t="s">
        <v>5719</v>
      </c>
      <c r="AI540" t="s">
        <v>5718</v>
      </c>
      <c r="AK540" t="s">
        <v>5717</v>
      </c>
      <c r="AL540">
        <v>27</v>
      </c>
      <c r="AM540" s="5">
        <f t="shared" si="74"/>
        <v>0.9</v>
      </c>
      <c r="AN540" s="4">
        <f t="shared" si="71"/>
        <v>1.3631200302915562E-3</v>
      </c>
      <c r="AO540" s="3"/>
      <c r="AP540">
        <v>0</v>
      </c>
      <c r="AR540" t="s">
        <v>0</v>
      </c>
      <c r="AT540" s="2" t="s">
        <v>16</v>
      </c>
      <c r="AU540" s="1">
        <f t="shared" si="75"/>
        <v>4.4937912811628777</v>
      </c>
      <c r="AV540" s="1">
        <f t="shared" si="76"/>
        <v>3.2487972016961</v>
      </c>
      <c r="AW540" s="1">
        <f t="shared" si="77"/>
        <v>2.0038031222293222</v>
      </c>
    </row>
    <row r="541" spans="1:49" x14ac:dyDescent="0.2">
      <c r="A541">
        <v>539</v>
      </c>
      <c r="B541" t="s">
        <v>5716</v>
      </c>
      <c r="E541">
        <v>1402606</v>
      </c>
      <c r="F541" t="s">
        <v>5715</v>
      </c>
      <c r="G541" t="s">
        <v>12</v>
      </c>
      <c r="H541" t="s">
        <v>11</v>
      </c>
      <c r="I541" t="s">
        <v>5714</v>
      </c>
      <c r="J541">
        <v>60007776</v>
      </c>
      <c r="K541" t="s">
        <v>2848</v>
      </c>
      <c r="L541" t="s">
        <v>2847</v>
      </c>
      <c r="M541" t="s">
        <v>7</v>
      </c>
      <c r="N541">
        <v>4</v>
      </c>
      <c r="O541" t="s">
        <v>5713</v>
      </c>
      <c r="P541" t="s">
        <v>5712</v>
      </c>
      <c r="Q541" t="s">
        <v>5711</v>
      </c>
      <c r="R541" s="7">
        <v>33604</v>
      </c>
      <c r="S541" s="8">
        <f t="shared" si="72"/>
        <v>1992</v>
      </c>
      <c r="T541" s="8">
        <v>1992</v>
      </c>
      <c r="U541" s="8">
        <f t="shared" si="73"/>
        <v>30</v>
      </c>
      <c r="V541" s="7">
        <v>33817</v>
      </c>
      <c r="W541" t="s">
        <v>5710</v>
      </c>
      <c r="X541" s="2" t="s">
        <v>16</v>
      </c>
      <c r="Y541" s="6" t="e">
        <f t="shared" si="70"/>
        <v>#VALUE!</v>
      </c>
      <c r="AA541">
        <v>220949</v>
      </c>
      <c r="AB541">
        <v>29605</v>
      </c>
      <c r="AD541" t="s">
        <v>4</v>
      </c>
      <c r="AE541">
        <v>169</v>
      </c>
      <c r="AH541" t="s">
        <v>5709</v>
      </c>
      <c r="AI541" t="s">
        <v>5708</v>
      </c>
      <c r="AK541" t="s">
        <v>5707</v>
      </c>
      <c r="AL541">
        <v>6</v>
      </c>
      <c r="AM541" s="5">
        <f t="shared" si="74"/>
        <v>0.2</v>
      </c>
      <c r="AN541" s="4">
        <f t="shared" si="71"/>
        <v>3.0291556228701253E-4</v>
      </c>
      <c r="AO541" s="3"/>
      <c r="AP541">
        <v>0</v>
      </c>
      <c r="AQ541" t="s">
        <v>5706</v>
      </c>
      <c r="AR541" t="s">
        <v>5705</v>
      </c>
      <c r="AS541" t="s">
        <v>5704</v>
      </c>
      <c r="AT541" s="2" t="s">
        <v>16</v>
      </c>
      <c r="AU541" s="1" t="e">
        <f t="shared" si="75"/>
        <v>#VALUE!</v>
      </c>
      <c r="AV541" s="1" t="e">
        <f t="shared" si="76"/>
        <v>#VALUE!</v>
      </c>
      <c r="AW541" s="1" t="e">
        <f t="shared" si="77"/>
        <v>#VALUE!</v>
      </c>
    </row>
    <row r="542" spans="1:49" x14ac:dyDescent="0.2">
      <c r="A542">
        <v>540</v>
      </c>
      <c r="B542" t="s">
        <v>5703</v>
      </c>
      <c r="C542" t="s">
        <v>5702</v>
      </c>
      <c r="F542" t="s">
        <v>5701</v>
      </c>
      <c r="G542" t="s">
        <v>12</v>
      </c>
      <c r="H542" t="s">
        <v>11</v>
      </c>
      <c r="I542" t="s">
        <v>5700</v>
      </c>
      <c r="J542">
        <v>60011001</v>
      </c>
      <c r="K542" t="s">
        <v>804</v>
      </c>
      <c r="L542" t="s">
        <v>803</v>
      </c>
      <c r="M542" t="s">
        <v>151</v>
      </c>
      <c r="N542">
        <v>2</v>
      </c>
      <c r="O542" t="s">
        <v>5699</v>
      </c>
      <c r="P542" t="s">
        <v>5698</v>
      </c>
      <c r="Q542" t="s">
        <v>4642</v>
      </c>
      <c r="R542" s="7">
        <v>33604</v>
      </c>
      <c r="S542" s="8">
        <f t="shared" si="72"/>
        <v>1992</v>
      </c>
      <c r="T542" s="8">
        <v>1992</v>
      </c>
      <c r="U542" s="8">
        <f t="shared" si="73"/>
        <v>30</v>
      </c>
      <c r="V542" s="7" t="s">
        <v>5674</v>
      </c>
      <c r="W542" s="11" t="s">
        <v>2809</v>
      </c>
      <c r="X542" s="2">
        <v>2.383</v>
      </c>
      <c r="Y542" s="6">
        <f t="shared" si="70"/>
        <v>6.3612824003630442E-2</v>
      </c>
      <c r="AA542" t="s">
        <v>2808</v>
      </c>
      <c r="AB542">
        <v>96433</v>
      </c>
      <c r="AD542" t="s">
        <v>4</v>
      </c>
      <c r="AE542">
        <v>139</v>
      </c>
      <c r="AF542">
        <v>4</v>
      </c>
      <c r="AH542" t="s">
        <v>5697</v>
      </c>
      <c r="AI542" t="s">
        <v>5696</v>
      </c>
      <c r="AK542" t="s">
        <v>5695</v>
      </c>
      <c r="AL542">
        <v>6</v>
      </c>
      <c r="AM542" s="5">
        <f t="shared" si="74"/>
        <v>0.2</v>
      </c>
      <c r="AN542" s="4">
        <f t="shared" si="71"/>
        <v>3.0291556228701253E-4</v>
      </c>
      <c r="AO542" s="3"/>
      <c r="AP542">
        <v>0</v>
      </c>
      <c r="AR542" t="s">
        <v>0</v>
      </c>
      <c r="AT542" s="2" t="s">
        <v>16</v>
      </c>
      <c r="AU542" s="1">
        <f t="shared" si="75"/>
        <v>4.461985147122741</v>
      </c>
      <c r="AV542" s="1">
        <f t="shared" si="76"/>
        <v>3.1957869782958728</v>
      </c>
      <c r="AW542" s="1">
        <f t="shared" si="77"/>
        <v>1.9295888094690041</v>
      </c>
    </row>
    <row r="543" spans="1:49" x14ac:dyDescent="0.2">
      <c r="A543">
        <v>541</v>
      </c>
      <c r="B543" t="s">
        <v>5694</v>
      </c>
      <c r="C543" t="s">
        <v>5693</v>
      </c>
      <c r="F543" t="s">
        <v>5692</v>
      </c>
      <c r="G543" t="s">
        <v>12</v>
      </c>
      <c r="H543" t="s">
        <v>11</v>
      </c>
      <c r="I543" t="s">
        <v>5691</v>
      </c>
      <c r="J543">
        <v>60101699</v>
      </c>
      <c r="K543" t="s">
        <v>5212</v>
      </c>
      <c r="L543" t="s">
        <v>667</v>
      </c>
      <c r="M543" t="s">
        <v>151</v>
      </c>
      <c r="N543">
        <v>4</v>
      </c>
      <c r="O543" t="s">
        <v>5690</v>
      </c>
      <c r="P543" t="s">
        <v>5689</v>
      </c>
      <c r="Q543" t="s">
        <v>5688</v>
      </c>
      <c r="R543" s="7">
        <v>33604</v>
      </c>
      <c r="S543" s="8">
        <f t="shared" si="72"/>
        <v>1992</v>
      </c>
      <c r="T543" s="8">
        <v>1992</v>
      </c>
      <c r="U543" s="8">
        <f t="shared" si="73"/>
        <v>30</v>
      </c>
      <c r="V543" s="7">
        <v>1992</v>
      </c>
      <c r="W543" t="s">
        <v>665</v>
      </c>
      <c r="X543" s="2">
        <v>0.111</v>
      </c>
      <c r="Y543" s="6">
        <f t="shared" si="70"/>
        <v>2.9630816048690639E-3</v>
      </c>
      <c r="AA543">
        <v>87566621</v>
      </c>
      <c r="AB543">
        <v>24890</v>
      </c>
      <c r="AC543">
        <v>15206424</v>
      </c>
      <c r="AD543" t="s">
        <v>4</v>
      </c>
      <c r="AE543">
        <v>75</v>
      </c>
      <c r="AF543">
        <v>8</v>
      </c>
      <c r="AH543" t="s">
        <v>5687</v>
      </c>
      <c r="AI543" t="s">
        <v>5686</v>
      </c>
      <c r="AJ543" t="s">
        <v>5685</v>
      </c>
      <c r="AK543" t="s">
        <v>5684</v>
      </c>
      <c r="AL543">
        <v>0</v>
      </c>
      <c r="AM543" s="5">
        <f t="shared" si="74"/>
        <v>0</v>
      </c>
      <c r="AN543" s="4">
        <f t="shared" si="71"/>
        <v>0</v>
      </c>
      <c r="AO543" s="3"/>
      <c r="AP543">
        <v>0</v>
      </c>
      <c r="AR543" t="s">
        <v>0</v>
      </c>
      <c r="AT543" s="2" t="s">
        <v>16</v>
      </c>
      <c r="AU543" s="1">
        <f t="shared" si="75"/>
        <v>0.20741571234083445</v>
      </c>
      <c r="AV543" s="1">
        <f t="shared" si="76"/>
        <v>0.1481540802434532</v>
      </c>
      <c r="AW543" s="1">
        <f t="shared" si="77"/>
        <v>8.8892448146071903E-2</v>
      </c>
    </row>
    <row r="544" spans="1:49" x14ac:dyDescent="0.2">
      <c r="A544">
        <v>542</v>
      </c>
      <c r="B544" t="s">
        <v>5683</v>
      </c>
      <c r="C544" t="s">
        <v>5682</v>
      </c>
      <c r="F544" t="s">
        <v>5681</v>
      </c>
      <c r="G544" t="s">
        <v>12</v>
      </c>
      <c r="H544" t="s">
        <v>11</v>
      </c>
      <c r="I544" t="s">
        <v>5680</v>
      </c>
      <c r="J544">
        <v>60011357</v>
      </c>
      <c r="K544" t="s">
        <v>5679</v>
      </c>
      <c r="L544" t="s">
        <v>5678</v>
      </c>
      <c r="M544" t="s">
        <v>3610</v>
      </c>
      <c r="N544">
        <v>2</v>
      </c>
      <c r="O544" t="s">
        <v>5677</v>
      </c>
      <c r="P544" t="s">
        <v>5676</v>
      </c>
      <c r="Q544" t="s">
        <v>5675</v>
      </c>
      <c r="R544" s="7">
        <v>33604</v>
      </c>
      <c r="S544" s="8">
        <f t="shared" si="72"/>
        <v>1992</v>
      </c>
      <c r="T544" s="8">
        <v>1992</v>
      </c>
      <c r="U544" s="8">
        <f t="shared" si="73"/>
        <v>30</v>
      </c>
      <c r="V544" s="7" t="s">
        <v>5674</v>
      </c>
      <c r="W544" s="11" t="s">
        <v>2809</v>
      </c>
      <c r="X544" s="2">
        <v>2.383</v>
      </c>
      <c r="Y544" s="6">
        <f t="shared" si="70"/>
        <v>6.3612824003630442E-2</v>
      </c>
      <c r="AA544" t="s">
        <v>2808</v>
      </c>
      <c r="AB544">
        <v>96433</v>
      </c>
      <c r="AD544" t="s">
        <v>4</v>
      </c>
      <c r="AE544">
        <v>139</v>
      </c>
      <c r="AF544">
        <v>4</v>
      </c>
      <c r="AH544" t="s">
        <v>5673</v>
      </c>
      <c r="AI544" t="s">
        <v>5672</v>
      </c>
      <c r="AK544" t="s">
        <v>5671</v>
      </c>
      <c r="AL544">
        <v>29</v>
      </c>
      <c r="AM544" s="5">
        <f t="shared" si="74"/>
        <v>0.96666666666666667</v>
      </c>
      <c r="AN544" s="4">
        <f t="shared" si="71"/>
        <v>1.4640918843872271E-3</v>
      </c>
      <c r="AO544" s="3"/>
      <c r="AP544">
        <v>0</v>
      </c>
      <c r="AR544" t="s">
        <v>0</v>
      </c>
      <c r="AT544" s="2" t="s">
        <v>16</v>
      </c>
      <c r="AU544" s="1">
        <f t="shared" si="75"/>
        <v>4.4968204367857476</v>
      </c>
      <c r="AV544" s="1">
        <f t="shared" si="76"/>
        <v>3.2538457944008838</v>
      </c>
      <c r="AW544" s="1">
        <f t="shared" si="77"/>
        <v>2.0108711520160192</v>
      </c>
    </row>
    <row r="545" spans="1:49" x14ac:dyDescent="0.2">
      <c r="A545">
        <v>543</v>
      </c>
      <c r="B545" t="s">
        <v>5670</v>
      </c>
      <c r="C545" t="s">
        <v>5669</v>
      </c>
      <c r="E545">
        <v>1380487</v>
      </c>
      <c r="F545" t="s">
        <v>5668</v>
      </c>
      <c r="G545" t="s">
        <v>12</v>
      </c>
      <c r="H545" t="s">
        <v>11</v>
      </c>
      <c r="I545" t="s">
        <v>5667</v>
      </c>
      <c r="J545" t="s">
        <v>5666</v>
      </c>
      <c r="K545" t="s">
        <v>5665</v>
      </c>
      <c r="L545" t="s">
        <v>5664</v>
      </c>
      <c r="M545" t="s">
        <v>125</v>
      </c>
      <c r="N545">
        <v>4</v>
      </c>
      <c r="O545" t="s">
        <v>5663</v>
      </c>
      <c r="P545" t="s">
        <v>5662</v>
      </c>
      <c r="Q545" t="s">
        <v>5661</v>
      </c>
      <c r="R545" s="7">
        <v>33604</v>
      </c>
      <c r="S545" s="8">
        <f t="shared" si="72"/>
        <v>1992</v>
      </c>
      <c r="T545" s="8">
        <v>1992</v>
      </c>
      <c r="U545" s="8">
        <f t="shared" si="73"/>
        <v>30</v>
      </c>
      <c r="V545" s="7">
        <v>33817</v>
      </c>
      <c r="W545" t="s">
        <v>2522</v>
      </c>
      <c r="X545" s="2">
        <v>1.1479999999999999</v>
      </c>
      <c r="Y545" s="6">
        <f t="shared" si="70"/>
        <v>3.0645204345853019E-2</v>
      </c>
      <c r="AA545">
        <v>189294</v>
      </c>
      <c r="AB545">
        <v>16318</v>
      </c>
      <c r="AC545">
        <v>15582531</v>
      </c>
      <c r="AD545" t="s">
        <v>4</v>
      </c>
      <c r="AE545">
        <v>39</v>
      </c>
      <c r="AF545">
        <v>8</v>
      </c>
      <c r="AH545" t="s">
        <v>5660</v>
      </c>
      <c r="AI545" t="s">
        <v>5659</v>
      </c>
      <c r="AK545" t="s">
        <v>5658</v>
      </c>
      <c r="AL545">
        <v>54</v>
      </c>
      <c r="AM545" s="5">
        <f t="shared" si="74"/>
        <v>1.8</v>
      </c>
      <c r="AN545" s="4">
        <f t="shared" si="71"/>
        <v>2.7262400605831123E-3</v>
      </c>
      <c r="AO545" s="3"/>
      <c r="AP545">
        <v>0</v>
      </c>
      <c r="AQ545" t="s">
        <v>895</v>
      </c>
      <c r="AR545" t="s">
        <v>5657</v>
      </c>
      <c r="AS545" t="s">
        <v>893</v>
      </c>
      <c r="AT545" s="2" t="s">
        <v>16</v>
      </c>
      <c r="AU545" s="1">
        <f t="shared" si="75"/>
        <v>2.2269515060272047</v>
      </c>
      <c r="AV545" s="1">
        <f t="shared" si="76"/>
        <v>1.6685722203218063</v>
      </c>
      <c r="AW545" s="1">
        <f t="shared" si="77"/>
        <v>1.1101929346164083</v>
      </c>
    </row>
    <row r="546" spans="1:49" x14ac:dyDescent="0.2">
      <c r="A546">
        <v>544</v>
      </c>
      <c r="B546" t="s">
        <v>5656</v>
      </c>
      <c r="C546" t="s">
        <v>5655</v>
      </c>
      <c r="E546">
        <v>1517508</v>
      </c>
      <c r="F546" t="s">
        <v>5654</v>
      </c>
      <c r="G546" t="s">
        <v>12</v>
      </c>
      <c r="H546" t="s">
        <v>11</v>
      </c>
      <c r="I546" t="s">
        <v>5653</v>
      </c>
      <c r="J546">
        <v>60013959</v>
      </c>
      <c r="K546" t="s">
        <v>1011</v>
      </c>
      <c r="L546" t="s">
        <v>1010</v>
      </c>
      <c r="M546" t="s">
        <v>7</v>
      </c>
      <c r="N546">
        <v>3</v>
      </c>
      <c r="O546" t="s">
        <v>5652</v>
      </c>
      <c r="P546" t="s">
        <v>5651</v>
      </c>
      <c r="Q546" t="s">
        <v>1007</v>
      </c>
      <c r="R546" s="7">
        <v>33604</v>
      </c>
      <c r="S546" s="8">
        <f t="shared" si="72"/>
        <v>1992</v>
      </c>
      <c r="T546" s="8">
        <v>1992</v>
      </c>
      <c r="U546" s="8">
        <f t="shared" si="73"/>
        <v>30</v>
      </c>
      <c r="V546" s="7">
        <v>33817</v>
      </c>
      <c r="W546" t="s">
        <v>5650</v>
      </c>
      <c r="X546" s="2" t="s">
        <v>16</v>
      </c>
      <c r="Y546" s="6" t="e">
        <f t="shared" si="70"/>
        <v>#VALUE!</v>
      </c>
      <c r="AA546">
        <v>220493</v>
      </c>
      <c r="AB546">
        <v>20465</v>
      </c>
      <c r="AD546" t="s">
        <v>4</v>
      </c>
      <c r="AE546">
        <v>85</v>
      </c>
      <c r="AF546">
        <v>4</v>
      </c>
      <c r="AH546" t="s">
        <v>5649</v>
      </c>
      <c r="AI546" t="s">
        <v>5648</v>
      </c>
      <c r="AK546" t="s">
        <v>5647</v>
      </c>
      <c r="AL546">
        <v>25</v>
      </c>
      <c r="AM546" s="5">
        <f t="shared" si="74"/>
        <v>0.83333333333333337</v>
      </c>
      <c r="AN546" s="4">
        <f t="shared" si="71"/>
        <v>1.2621481761958854E-3</v>
      </c>
      <c r="AO546" s="3"/>
      <c r="AP546">
        <v>0</v>
      </c>
      <c r="AR546" t="s">
        <v>0</v>
      </c>
      <c r="AT546" s="2">
        <v>2.3809999999999998</v>
      </c>
      <c r="AU546" s="1" t="e">
        <f t="shared" si="75"/>
        <v>#VALUE!</v>
      </c>
      <c r="AV546" s="1" t="e">
        <f t="shared" si="76"/>
        <v>#VALUE!</v>
      </c>
      <c r="AW546" s="1" t="e">
        <f t="shared" si="77"/>
        <v>#VALUE!</v>
      </c>
    </row>
    <row r="547" spans="1:49" x14ac:dyDescent="0.2">
      <c r="A547">
        <v>545</v>
      </c>
      <c r="B547" t="s">
        <v>5646</v>
      </c>
      <c r="C547" t="s">
        <v>5645</v>
      </c>
      <c r="F547" t="s">
        <v>5644</v>
      </c>
      <c r="G547" t="s">
        <v>12</v>
      </c>
      <c r="H547" t="s">
        <v>11</v>
      </c>
      <c r="I547" t="s">
        <v>5643</v>
      </c>
      <c r="J547">
        <v>60025488</v>
      </c>
      <c r="K547" t="s">
        <v>1678</v>
      </c>
      <c r="L547" t="s">
        <v>1677</v>
      </c>
      <c r="M547" t="s">
        <v>7</v>
      </c>
      <c r="N547">
        <v>2</v>
      </c>
      <c r="O547" t="s">
        <v>5642</v>
      </c>
      <c r="P547" t="s">
        <v>5641</v>
      </c>
      <c r="Q547" t="s">
        <v>3410</v>
      </c>
      <c r="R547" s="7">
        <v>33604</v>
      </c>
      <c r="S547" s="8">
        <f t="shared" si="72"/>
        <v>1992</v>
      </c>
      <c r="T547" s="8">
        <v>1992</v>
      </c>
      <c r="U547" s="8">
        <f t="shared" si="73"/>
        <v>30</v>
      </c>
      <c r="V547" s="7">
        <v>33817</v>
      </c>
      <c r="W547" t="s">
        <v>136</v>
      </c>
      <c r="X547" s="2">
        <v>1.3720000000000001</v>
      </c>
      <c r="Y547" s="6">
        <f t="shared" si="70"/>
        <v>3.662475641333654E-2</v>
      </c>
      <c r="AA547">
        <v>189480</v>
      </c>
      <c r="AB547">
        <v>17366</v>
      </c>
      <c r="AC547">
        <v>15579670</v>
      </c>
      <c r="AD547" t="s">
        <v>4</v>
      </c>
      <c r="AE547">
        <v>40</v>
      </c>
      <c r="AF547">
        <v>8</v>
      </c>
      <c r="AH547" t="s">
        <v>5640</v>
      </c>
      <c r="AI547" t="s">
        <v>5639</v>
      </c>
      <c r="AK547" t="s">
        <v>5638</v>
      </c>
      <c r="AL547">
        <v>25</v>
      </c>
      <c r="AM547" s="5">
        <f t="shared" si="74"/>
        <v>0.83333333333333337</v>
      </c>
      <c r="AN547" s="4">
        <f t="shared" si="71"/>
        <v>1.2621481761958854E-3</v>
      </c>
      <c r="AO547" s="3"/>
      <c r="AP547">
        <v>0</v>
      </c>
      <c r="AR547" t="s">
        <v>0</v>
      </c>
      <c r="AT547" s="2" t="s">
        <v>16</v>
      </c>
      <c r="AU547" s="1">
        <f t="shared" si="75"/>
        <v>2.6015973942194339</v>
      </c>
      <c r="AV547" s="1">
        <f t="shared" si="76"/>
        <v>1.8943452294766212</v>
      </c>
      <c r="AW547" s="1">
        <f t="shared" si="77"/>
        <v>1.1870930647338083</v>
      </c>
    </row>
    <row r="548" spans="1:49" x14ac:dyDescent="0.2">
      <c r="A548">
        <v>546</v>
      </c>
      <c r="B548" t="s">
        <v>5637</v>
      </c>
      <c r="C548" t="s">
        <v>5636</v>
      </c>
      <c r="F548" t="s">
        <v>5635</v>
      </c>
      <c r="G548" t="s">
        <v>12</v>
      </c>
      <c r="H548" t="s">
        <v>11</v>
      </c>
      <c r="I548" t="s">
        <v>5634</v>
      </c>
      <c r="J548">
        <v>60025555</v>
      </c>
      <c r="K548" t="s">
        <v>2889</v>
      </c>
      <c r="L548" t="s">
        <v>667</v>
      </c>
      <c r="M548" t="s">
        <v>151</v>
      </c>
      <c r="N548">
        <v>3</v>
      </c>
      <c r="O548" t="s">
        <v>5633</v>
      </c>
      <c r="P548" t="s">
        <v>5632</v>
      </c>
      <c r="Q548" t="s">
        <v>4146</v>
      </c>
      <c r="R548" s="7">
        <v>33604</v>
      </c>
      <c r="S548" s="8">
        <f t="shared" si="72"/>
        <v>1992</v>
      </c>
      <c r="T548" s="8">
        <v>1992</v>
      </c>
      <c r="U548" s="8">
        <f t="shared" si="73"/>
        <v>30</v>
      </c>
      <c r="V548" s="7">
        <v>1992</v>
      </c>
      <c r="W548" t="s">
        <v>665</v>
      </c>
      <c r="X548" s="2">
        <v>0.111</v>
      </c>
      <c r="Y548" s="6">
        <f t="shared" si="70"/>
        <v>2.9630816048690639E-3</v>
      </c>
      <c r="AA548">
        <v>87566621</v>
      </c>
      <c r="AB548">
        <v>24890</v>
      </c>
      <c r="AC548">
        <v>15206424</v>
      </c>
      <c r="AD548" t="s">
        <v>4</v>
      </c>
      <c r="AE548">
        <v>75</v>
      </c>
      <c r="AF548">
        <v>8</v>
      </c>
      <c r="AH548" t="s">
        <v>5631</v>
      </c>
      <c r="AI548" t="s">
        <v>5630</v>
      </c>
      <c r="AJ548" t="s">
        <v>5629</v>
      </c>
      <c r="AK548" t="s">
        <v>5628</v>
      </c>
      <c r="AL548">
        <v>1</v>
      </c>
      <c r="AM548" s="5">
        <f t="shared" si="74"/>
        <v>3.3333333333333333E-2</v>
      </c>
      <c r="AN548" s="4">
        <f t="shared" si="71"/>
        <v>5.0485927047835418E-5</v>
      </c>
      <c r="AO548" s="3"/>
      <c r="AP548">
        <v>0</v>
      </c>
      <c r="AR548" t="s">
        <v>0</v>
      </c>
      <c r="AT548" s="2" t="s">
        <v>16</v>
      </c>
      <c r="AU548" s="1">
        <f t="shared" si="75"/>
        <v>0.20893029015226949</v>
      </c>
      <c r="AV548" s="1">
        <f t="shared" si="76"/>
        <v>0.15067837659584496</v>
      </c>
      <c r="AW548" s="1">
        <f t="shared" si="77"/>
        <v>9.2426463039420384E-2</v>
      </c>
    </row>
    <row r="549" spans="1:49" x14ac:dyDescent="0.2">
      <c r="A549">
        <v>547</v>
      </c>
      <c r="B549" t="s">
        <v>5627</v>
      </c>
      <c r="C549" t="s">
        <v>5626</v>
      </c>
      <c r="F549" t="s">
        <v>5625</v>
      </c>
      <c r="G549" t="s">
        <v>12</v>
      </c>
      <c r="H549" t="s">
        <v>11</v>
      </c>
      <c r="I549" t="s">
        <v>5624</v>
      </c>
      <c r="J549">
        <v>60028186</v>
      </c>
      <c r="K549" t="s">
        <v>4549</v>
      </c>
      <c r="L549" t="s">
        <v>4548</v>
      </c>
      <c r="M549" t="s">
        <v>219</v>
      </c>
      <c r="N549">
        <v>4</v>
      </c>
      <c r="O549" t="s">
        <v>5623</v>
      </c>
      <c r="P549" t="s">
        <v>5622</v>
      </c>
      <c r="Q549" t="s">
        <v>5621</v>
      </c>
      <c r="R549" s="7">
        <v>33604</v>
      </c>
      <c r="S549" s="8">
        <f t="shared" si="72"/>
        <v>1992</v>
      </c>
      <c r="T549" s="8">
        <v>1992</v>
      </c>
      <c r="U549" s="8">
        <f t="shared" si="73"/>
        <v>30</v>
      </c>
      <c r="V549" s="7">
        <v>33786</v>
      </c>
      <c r="W549" t="s">
        <v>1458</v>
      </c>
      <c r="X549" s="2">
        <v>0.30399999999999999</v>
      </c>
      <c r="Y549" s="6">
        <f t="shared" si="70"/>
        <v>8.115106377299057E-3</v>
      </c>
      <c r="AA549">
        <v>8952477</v>
      </c>
      <c r="AB549">
        <v>12250</v>
      </c>
      <c r="AC549">
        <v>10982760</v>
      </c>
      <c r="AD549" t="s">
        <v>4</v>
      </c>
      <c r="AE549">
        <v>5</v>
      </c>
      <c r="AF549">
        <v>8</v>
      </c>
      <c r="AH549" t="s">
        <v>5620</v>
      </c>
      <c r="AI549" t="s">
        <v>5619</v>
      </c>
      <c r="AJ549" t="s">
        <v>5618</v>
      </c>
      <c r="AK549" t="s">
        <v>5617</v>
      </c>
      <c r="AL549">
        <v>0</v>
      </c>
      <c r="AM549" s="5">
        <f t="shared" si="74"/>
        <v>0</v>
      </c>
      <c r="AN549" s="4">
        <f t="shared" si="71"/>
        <v>0</v>
      </c>
      <c r="AO549" s="3"/>
      <c r="AP549">
        <v>0</v>
      </c>
      <c r="AR549" t="s">
        <v>0</v>
      </c>
      <c r="AT549" s="2" t="s">
        <v>16</v>
      </c>
      <c r="AU549" s="1">
        <f t="shared" si="75"/>
        <v>0.56805744641093392</v>
      </c>
      <c r="AV549" s="1">
        <f t="shared" si="76"/>
        <v>0.40575531886495286</v>
      </c>
      <c r="AW549" s="1">
        <f t="shared" si="77"/>
        <v>0.24345319131897172</v>
      </c>
    </row>
    <row r="550" spans="1:49" x14ac:dyDescent="0.2">
      <c r="A550">
        <v>548</v>
      </c>
      <c r="B550" t="s">
        <v>5616</v>
      </c>
      <c r="C550" t="s">
        <v>5615</v>
      </c>
      <c r="F550" t="s">
        <v>5614</v>
      </c>
      <c r="G550" t="s">
        <v>12</v>
      </c>
      <c r="H550" t="s">
        <v>11</v>
      </c>
      <c r="I550" t="s">
        <v>5613</v>
      </c>
      <c r="J550">
        <v>60032083</v>
      </c>
      <c r="K550" t="s">
        <v>5612</v>
      </c>
      <c r="L550" t="s">
        <v>5611</v>
      </c>
      <c r="M550" t="s">
        <v>7</v>
      </c>
      <c r="N550">
        <v>1</v>
      </c>
      <c r="O550" t="s">
        <v>5610</v>
      </c>
      <c r="P550">
        <v>57205008279</v>
      </c>
      <c r="Q550">
        <v>60032083</v>
      </c>
      <c r="R550" s="7">
        <v>33604</v>
      </c>
      <c r="S550" s="8">
        <f t="shared" si="72"/>
        <v>1992</v>
      </c>
      <c r="T550" s="8">
        <v>1992</v>
      </c>
      <c r="U550" s="8">
        <f t="shared" si="73"/>
        <v>30</v>
      </c>
      <c r="V550" s="7">
        <v>33786</v>
      </c>
      <c r="W550" t="s">
        <v>1353</v>
      </c>
      <c r="X550" s="2">
        <v>1.778</v>
      </c>
      <c r="Y550" s="6">
        <f t="shared" si="70"/>
        <v>4.7462694535650413E-2</v>
      </c>
      <c r="AA550">
        <v>10577149</v>
      </c>
      <c r="AB550">
        <v>25534</v>
      </c>
      <c r="AC550">
        <v>19410042</v>
      </c>
      <c r="AD550" t="s">
        <v>4</v>
      </c>
      <c r="AE550">
        <v>1</v>
      </c>
      <c r="AF550">
        <v>3</v>
      </c>
      <c r="AH550" t="s">
        <v>5609</v>
      </c>
      <c r="AI550" t="s">
        <v>5608</v>
      </c>
      <c r="AK550" t="s">
        <v>5607</v>
      </c>
      <c r="AL550">
        <v>29</v>
      </c>
      <c r="AM550" s="5">
        <f t="shared" si="74"/>
        <v>0.96666666666666667</v>
      </c>
      <c r="AN550" s="4">
        <f t="shared" si="71"/>
        <v>1.4640918843872271E-3</v>
      </c>
      <c r="AO550" s="3"/>
      <c r="AP550">
        <v>0</v>
      </c>
      <c r="AR550" t="s">
        <v>0</v>
      </c>
      <c r="AT550" s="2">
        <v>10.856</v>
      </c>
      <c r="AU550" s="1">
        <f t="shared" si="75"/>
        <v>3.3663113740271458</v>
      </c>
      <c r="AV550" s="1">
        <f t="shared" si="76"/>
        <v>2.446339321001882</v>
      </c>
      <c r="AW550" s="1">
        <f t="shared" si="77"/>
        <v>1.5263672679766183</v>
      </c>
    </row>
    <row r="551" spans="1:49" x14ac:dyDescent="0.2">
      <c r="A551">
        <v>549</v>
      </c>
      <c r="B551" t="s">
        <v>5606</v>
      </c>
      <c r="C551" t="s">
        <v>5605</v>
      </c>
      <c r="F551" t="s">
        <v>5604</v>
      </c>
      <c r="G551" t="s">
        <v>12</v>
      </c>
      <c r="H551" t="s">
        <v>11</v>
      </c>
      <c r="I551" t="s">
        <v>5603</v>
      </c>
      <c r="J551">
        <v>60010065</v>
      </c>
      <c r="K551" t="s">
        <v>2090</v>
      </c>
      <c r="L551" t="s">
        <v>1656</v>
      </c>
      <c r="M551" t="s">
        <v>7</v>
      </c>
      <c r="N551">
        <v>1</v>
      </c>
      <c r="O551" t="s">
        <v>5602</v>
      </c>
      <c r="P551">
        <v>7005543330</v>
      </c>
      <c r="Q551">
        <v>60010065</v>
      </c>
      <c r="R551" s="7">
        <v>33604</v>
      </c>
      <c r="S551" s="8">
        <f t="shared" si="72"/>
        <v>1992</v>
      </c>
      <c r="T551" s="8">
        <v>1992</v>
      </c>
      <c r="U551" s="8">
        <f t="shared" si="73"/>
        <v>30</v>
      </c>
      <c r="V551" s="7">
        <v>33786</v>
      </c>
      <c r="W551" t="s">
        <v>97</v>
      </c>
      <c r="X551" s="2">
        <v>1.6519999999999999</v>
      </c>
      <c r="Y551" s="6">
        <f t="shared" si="70"/>
        <v>4.409919649769093E-2</v>
      </c>
      <c r="AA551" t="s">
        <v>96</v>
      </c>
      <c r="AB551">
        <v>17337</v>
      </c>
      <c r="AC551">
        <v>15582221</v>
      </c>
      <c r="AD551" t="s">
        <v>4</v>
      </c>
      <c r="AE551">
        <v>40</v>
      </c>
      <c r="AF551">
        <v>7</v>
      </c>
      <c r="AH551" t="s">
        <v>5601</v>
      </c>
      <c r="AI551" t="s">
        <v>5600</v>
      </c>
      <c r="AK551" t="s">
        <v>5599</v>
      </c>
      <c r="AL551">
        <v>25</v>
      </c>
      <c r="AM551" s="5">
        <f t="shared" si="74"/>
        <v>0.83333333333333337</v>
      </c>
      <c r="AN551" s="4">
        <f t="shared" si="71"/>
        <v>1.2621481761958854E-3</v>
      </c>
      <c r="AO551" s="3"/>
      <c r="AP551">
        <v>0</v>
      </c>
      <c r="AR551" t="s">
        <v>0</v>
      </c>
      <c r="AT551" s="2" t="s">
        <v>16</v>
      </c>
      <c r="AU551" s="1">
        <f t="shared" si="75"/>
        <v>3.1248082001242414</v>
      </c>
      <c r="AV551" s="1">
        <f t="shared" si="76"/>
        <v>2.268067233694341</v>
      </c>
      <c r="AW551" s="1">
        <f t="shared" si="77"/>
        <v>1.4113262672644398</v>
      </c>
    </row>
    <row r="552" spans="1:49" x14ac:dyDescent="0.2">
      <c r="A552">
        <v>550</v>
      </c>
      <c r="B552" t="s">
        <v>5598</v>
      </c>
      <c r="C552" t="s">
        <v>5597</v>
      </c>
      <c r="F552" t="s">
        <v>5596</v>
      </c>
      <c r="G552" t="s">
        <v>12</v>
      </c>
      <c r="H552" t="s">
        <v>11</v>
      </c>
      <c r="I552" t="s">
        <v>5595</v>
      </c>
      <c r="J552">
        <v>60006288</v>
      </c>
      <c r="K552" t="s">
        <v>5594</v>
      </c>
      <c r="L552" t="s">
        <v>5593</v>
      </c>
      <c r="M552" t="s">
        <v>273</v>
      </c>
      <c r="N552">
        <v>2</v>
      </c>
      <c r="O552" t="s">
        <v>5592</v>
      </c>
      <c r="P552" t="s">
        <v>5591</v>
      </c>
      <c r="Q552" t="s">
        <v>5590</v>
      </c>
      <c r="R552" s="7">
        <v>33604</v>
      </c>
      <c r="S552" s="8">
        <f t="shared" si="72"/>
        <v>1992</v>
      </c>
      <c r="T552" s="8">
        <v>1992</v>
      </c>
      <c r="U552" s="8">
        <f t="shared" si="73"/>
        <v>30</v>
      </c>
      <c r="V552" s="7">
        <v>33786</v>
      </c>
      <c r="W552" t="s">
        <v>414</v>
      </c>
      <c r="X552" s="2">
        <v>2.141</v>
      </c>
      <c r="Y552" s="6">
        <f t="shared" si="70"/>
        <v>5.7152772216438434E-2</v>
      </c>
      <c r="AA552">
        <v>1962892</v>
      </c>
      <c r="AB552">
        <v>17360</v>
      </c>
      <c r="AC552">
        <v>15580644</v>
      </c>
      <c r="AD552" t="s">
        <v>4</v>
      </c>
      <c r="AE552">
        <v>30</v>
      </c>
      <c r="AF552">
        <v>4</v>
      </c>
      <c r="AH552" t="s">
        <v>5589</v>
      </c>
      <c r="AI552" t="s">
        <v>5588</v>
      </c>
      <c r="AK552" t="s">
        <v>5587</v>
      </c>
      <c r="AL552">
        <v>7</v>
      </c>
      <c r="AM552" s="5">
        <f t="shared" si="74"/>
        <v>0.23333333333333334</v>
      </c>
      <c r="AN552" s="4">
        <f t="shared" si="71"/>
        <v>3.5340148933484791E-4</v>
      </c>
      <c r="AO552" s="3"/>
      <c r="AP552">
        <v>0</v>
      </c>
      <c r="AR552" t="s">
        <v>0</v>
      </c>
      <c r="AT552" s="2" t="s">
        <v>16</v>
      </c>
      <c r="AU552" s="1">
        <f t="shared" si="75"/>
        <v>4.0112960998307354</v>
      </c>
      <c r="AV552" s="1">
        <f t="shared" si="76"/>
        <v>2.875308685288664</v>
      </c>
      <c r="AW552" s="1">
        <f t="shared" si="77"/>
        <v>1.7393212707465924</v>
      </c>
    </row>
    <row r="553" spans="1:49" x14ac:dyDescent="0.2">
      <c r="A553">
        <v>551</v>
      </c>
      <c r="B553" t="s">
        <v>5586</v>
      </c>
      <c r="C553" t="s">
        <v>5585</v>
      </c>
      <c r="F553" t="s">
        <v>5584</v>
      </c>
      <c r="G553" t="s">
        <v>12</v>
      </c>
      <c r="H553" t="s">
        <v>11</v>
      </c>
      <c r="I553" t="s">
        <v>5583</v>
      </c>
      <c r="J553" t="s">
        <v>5582</v>
      </c>
      <c r="K553" t="s">
        <v>5581</v>
      </c>
      <c r="L553" t="s">
        <v>5580</v>
      </c>
      <c r="M553" t="s">
        <v>1462</v>
      </c>
      <c r="N553">
        <v>3</v>
      </c>
      <c r="O553" t="s">
        <v>5579</v>
      </c>
      <c r="P553" t="s">
        <v>5578</v>
      </c>
      <c r="Q553" t="s">
        <v>5577</v>
      </c>
      <c r="R553" s="7">
        <v>33604</v>
      </c>
      <c r="S553" s="8">
        <f t="shared" si="72"/>
        <v>1992</v>
      </c>
      <c r="T553" s="8">
        <v>1992</v>
      </c>
      <c r="U553" s="8">
        <f t="shared" si="73"/>
        <v>30</v>
      </c>
      <c r="V553" s="7">
        <v>33786</v>
      </c>
      <c r="W553" t="s">
        <v>3960</v>
      </c>
      <c r="X553" s="2">
        <v>0.251</v>
      </c>
      <c r="Y553" s="6">
        <f t="shared" si="70"/>
        <v>6.7003016470462617E-3</v>
      </c>
      <c r="AA553">
        <v>207217</v>
      </c>
      <c r="AB553">
        <v>26145</v>
      </c>
      <c r="AC553">
        <v>13623060</v>
      </c>
      <c r="AD553" t="s">
        <v>4</v>
      </c>
      <c r="AE553">
        <v>73</v>
      </c>
      <c r="AF553">
        <v>1</v>
      </c>
      <c r="AH553" t="s">
        <v>5576</v>
      </c>
      <c r="AI553" t="s">
        <v>5575</v>
      </c>
      <c r="AK553" t="s">
        <v>5574</v>
      </c>
      <c r="AL553">
        <v>3</v>
      </c>
      <c r="AM553" s="5">
        <f t="shared" si="74"/>
        <v>0.1</v>
      </c>
      <c r="AN553" s="4">
        <f t="shared" si="71"/>
        <v>1.5145778114350627E-4</v>
      </c>
      <c r="AO553" s="3"/>
      <c r="AP553">
        <v>0</v>
      </c>
      <c r="AQ553" t="s">
        <v>5573</v>
      </c>
      <c r="AR553" t="s">
        <v>0</v>
      </c>
      <c r="AS553" t="s">
        <v>5572</v>
      </c>
      <c r="AT553" s="2">
        <v>1.3360000000000001</v>
      </c>
      <c r="AU553" s="1">
        <f t="shared" si="75"/>
        <v>0.47356484872754345</v>
      </c>
      <c r="AV553" s="1">
        <f t="shared" si="76"/>
        <v>0.34258797140948843</v>
      </c>
      <c r="AW553" s="1">
        <f t="shared" si="77"/>
        <v>0.21161109409143325</v>
      </c>
    </row>
    <row r="554" spans="1:49" x14ac:dyDescent="0.2">
      <c r="A554">
        <v>552</v>
      </c>
      <c r="B554" t="s">
        <v>5571</v>
      </c>
      <c r="C554" t="s">
        <v>5570</v>
      </c>
      <c r="F554" t="s">
        <v>5569</v>
      </c>
      <c r="G554" t="s">
        <v>12</v>
      </c>
      <c r="H554" t="s">
        <v>11</v>
      </c>
      <c r="I554" t="s">
        <v>535</v>
      </c>
      <c r="J554">
        <v>60001439</v>
      </c>
      <c r="K554" t="s">
        <v>534</v>
      </c>
      <c r="L554" t="s">
        <v>533</v>
      </c>
      <c r="M554" t="s">
        <v>7</v>
      </c>
      <c r="N554">
        <v>3</v>
      </c>
      <c r="O554" t="s">
        <v>5568</v>
      </c>
      <c r="P554" t="s">
        <v>5567</v>
      </c>
      <c r="Q554" t="s">
        <v>5566</v>
      </c>
      <c r="R554" s="7">
        <v>33604</v>
      </c>
      <c r="S554" s="8">
        <f t="shared" si="72"/>
        <v>1992</v>
      </c>
      <c r="T554" s="8">
        <v>1992</v>
      </c>
      <c r="U554" s="8">
        <f t="shared" si="73"/>
        <v>30</v>
      </c>
      <c r="V554" s="7">
        <v>33786</v>
      </c>
      <c r="W554" t="s">
        <v>97</v>
      </c>
      <c r="X554" s="2">
        <v>1.6519999999999999</v>
      </c>
      <c r="Y554" s="6">
        <f t="shared" si="70"/>
        <v>4.409919649769093E-2</v>
      </c>
      <c r="AA554" t="s">
        <v>96</v>
      </c>
      <c r="AB554">
        <v>17337</v>
      </c>
      <c r="AC554">
        <v>15582221</v>
      </c>
      <c r="AD554" t="s">
        <v>4</v>
      </c>
      <c r="AE554">
        <v>40</v>
      </c>
      <c r="AF554">
        <v>7</v>
      </c>
      <c r="AH554" t="s">
        <v>5565</v>
      </c>
      <c r="AI554" t="s">
        <v>5564</v>
      </c>
      <c r="AK554" t="s">
        <v>5563</v>
      </c>
      <c r="AL554">
        <v>47</v>
      </c>
      <c r="AM554" s="5">
        <f t="shared" si="74"/>
        <v>1.5666666666666667</v>
      </c>
      <c r="AN554" s="4">
        <f t="shared" si="71"/>
        <v>2.3728385712482643E-3</v>
      </c>
      <c r="AO554" s="3"/>
      <c r="AP554">
        <v>0</v>
      </c>
      <c r="AR554" t="s">
        <v>0</v>
      </c>
      <c r="AT554" s="2" t="s">
        <v>16</v>
      </c>
      <c r="AU554" s="1">
        <f t="shared" si="75"/>
        <v>3.1581289119758131</v>
      </c>
      <c r="AV554" s="1">
        <f t="shared" si="76"/>
        <v>2.32360175344696</v>
      </c>
      <c r="AW554" s="1">
        <f t="shared" si="77"/>
        <v>1.4890745949181063</v>
      </c>
    </row>
    <row r="555" spans="1:49" x14ac:dyDescent="0.2">
      <c r="A555">
        <v>553</v>
      </c>
      <c r="B555" t="s">
        <v>5562</v>
      </c>
      <c r="C555" t="s">
        <v>5561</v>
      </c>
      <c r="F555" t="s">
        <v>5560</v>
      </c>
      <c r="G555" t="s">
        <v>12</v>
      </c>
      <c r="H555" t="s">
        <v>11</v>
      </c>
      <c r="I555" t="s">
        <v>5559</v>
      </c>
      <c r="J555">
        <v>60024621</v>
      </c>
      <c r="K555" t="s">
        <v>5558</v>
      </c>
      <c r="L555" t="s">
        <v>745</v>
      </c>
      <c r="M555" t="s">
        <v>151</v>
      </c>
      <c r="N555">
        <v>1</v>
      </c>
      <c r="O555" t="s">
        <v>5557</v>
      </c>
      <c r="P555">
        <v>7404437743</v>
      </c>
      <c r="Q555">
        <v>60024621</v>
      </c>
      <c r="R555" s="7">
        <v>33604</v>
      </c>
      <c r="S555" s="8">
        <f t="shared" si="72"/>
        <v>1992</v>
      </c>
      <c r="T555" s="8">
        <v>1992</v>
      </c>
      <c r="U555" s="8">
        <f t="shared" si="73"/>
        <v>30</v>
      </c>
      <c r="V555" s="7">
        <v>33786</v>
      </c>
      <c r="W555" t="s">
        <v>414</v>
      </c>
      <c r="X555" s="2">
        <v>2.141</v>
      </c>
      <c r="Y555" s="6">
        <f t="shared" si="70"/>
        <v>5.7152772216438434E-2</v>
      </c>
      <c r="AA555">
        <v>1962892</v>
      </c>
      <c r="AB555">
        <v>17360</v>
      </c>
      <c r="AC555">
        <v>15580644</v>
      </c>
      <c r="AD555" t="s">
        <v>4</v>
      </c>
      <c r="AE555">
        <v>30</v>
      </c>
      <c r="AF555">
        <v>4</v>
      </c>
      <c r="AH555" t="s">
        <v>5556</v>
      </c>
      <c r="AI555" t="s">
        <v>5555</v>
      </c>
      <c r="AK555" t="s">
        <v>5554</v>
      </c>
      <c r="AL555">
        <v>1</v>
      </c>
      <c r="AM555" s="5">
        <f t="shared" si="74"/>
        <v>3.3333333333333333E-2</v>
      </c>
      <c r="AN555" s="4">
        <f t="shared" si="71"/>
        <v>5.0485927047835418E-5</v>
      </c>
      <c r="AO555" s="3"/>
      <c r="AP555">
        <v>0</v>
      </c>
      <c r="AR555" t="s">
        <v>0</v>
      </c>
      <c r="AT555" s="2" t="s">
        <v>16</v>
      </c>
      <c r="AU555" s="1">
        <f t="shared" si="75"/>
        <v>4.0022086329621249</v>
      </c>
      <c r="AV555" s="1">
        <f t="shared" si="76"/>
        <v>2.8601629071743138</v>
      </c>
      <c r="AW555" s="1">
        <f t="shared" si="77"/>
        <v>1.7181171813865015</v>
      </c>
    </row>
    <row r="556" spans="1:49" x14ac:dyDescent="0.2">
      <c r="A556">
        <v>554</v>
      </c>
      <c r="B556" t="s">
        <v>5553</v>
      </c>
      <c r="C556" t="s">
        <v>5552</v>
      </c>
      <c r="F556" t="s">
        <v>5551</v>
      </c>
      <c r="G556" t="s">
        <v>12</v>
      </c>
      <c r="H556" t="s">
        <v>11</v>
      </c>
      <c r="I556" t="s">
        <v>5550</v>
      </c>
      <c r="J556">
        <v>60011976</v>
      </c>
      <c r="K556" t="s">
        <v>5549</v>
      </c>
      <c r="L556" t="s">
        <v>5548</v>
      </c>
      <c r="M556" t="s">
        <v>7</v>
      </c>
      <c r="N556">
        <v>1</v>
      </c>
      <c r="O556" t="s">
        <v>5547</v>
      </c>
      <c r="P556">
        <v>6603033627</v>
      </c>
      <c r="Q556">
        <v>60011976</v>
      </c>
      <c r="R556" s="7">
        <v>33604</v>
      </c>
      <c r="S556" s="8">
        <f t="shared" si="72"/>
        <v>1992</v>
      </c>
      <c r="T556" s="8">
        <v>1992</v>
      </c>
      <c r="U556" s="8">
        <f t="shared" si="73"/>
        <v>30</v>
      </c>
      <c r="V556" s="7">
        <v>33786</v>
      </c>
      <c r="W556" t="s">
        <v>97</v>
      </c>
      <c r="X556" s="2">
        <v>1.6519999999999999</v>
      </c>
      <c r="Y556" s="6">
        <f t="shared" si="70"/>
        <v>4.409919649769093E-2</v>
      </c>
      <c r="AA556" t="s">
        <v>96</v>
      </c>
      <c r="AB556">
        <v>17337</v>
      </c>
      <c r="AC556">
        <v>15582221</v>
      </c>
      <c r="AD556" t="s">
        <v>4</v>
      </c>
      <c r="AE556">
        <v>40</v>
      </c>
      <c r="AF556">
        <v>7</v>
      </c>
      <c r="AH556" t="s">
        <v>5546</v>
      </c>
      <c r="AI556" t="s">
        <v>5545</v>
      </c>
      <c r="AK556" t="s">
        <v>5544</v>
      </c>
      <c r="AL556">
        <v>20</v>
      </c>
      <c r="AM556" s="5">
        <f t="shared" si="74"/>
        <v>0.66666666666666663</v>
      </c>
      <c r="AN556" s="4">
        <f t="shared" si="71"/>
        <v>1.0097185409567082E-3</v>
      </c>
      <c r="AO556" s="3"/>
      <c r="AP556">
        <v>0</v>
      </c>
      <c r="AR556" t="s">
        <v>0</v>
      </c>
      <c r="AT556" s="2" t="s">
        <v>16</v>
      </c>
      <c r="AU556" s="1">
        <f t="shared" si="75"/>
        <v>3.1172353110670663</v>
      </c>
      <c r="AV556" s="1">
        <f t="shared" si="76"/>
        <v>2.2554457519323821</v>
      </c>
      <c r="AW556" s="1">
        <f t="shared" si="77"/>
        <v>1.3936561927976974</v>
      </c>
    </row>
    <row r="557" spans="1:49" x14ac:dyDescent="0.2">
      <c r="A557">
        <v>555</v>
      </c>
      <c r="B557" t="s">
        <v>5543</v>
      </c>
      <c r="C557" t="s">
        <v>5542</v>
      </c>
      <c r="F557" t="s">
        <v>5541</v>
      </c>
      <c r="G557" t="s">
        <v>12</v>
      </c>
      <c r="H557" t="s">
        <v>11</v>
      </c>
      <c r="I557" t="s">
        <v>5540</v>
      </c>
      <c r="J557">
        <v>60103653</v>
      </c>
      <c r="K557" t="s">
        <v>2662</v>
      </c>
      <c r="L557" t="s">
        <v>657</v>
      </c>
      <c r="M557" t="s">
        <v>656</v>
      </c>
      <c r="N557">
        <v>2</v>
      </c>
      <c r="O557" t="s">
        <v>5539</v>
      </c>
      <c r="P557" t="s">
        <v>5538</v>
      </c>
      <c r="Q557" t="s">
        <v>5537</v>
      </c>
      <c r="R557" s="7">
        <v>33604</v>
      </c>
      <c r="S557" s="8">
        <f t="shared" si="72"/>
        <v>1992</v>
      </c>
      <c r="T557" s="8">
        <v>1992</v>
      </c>
      <c r="U557" s="8">
        <f t="shared" si="73"/>
        <v>30</v>
      </c>
      <c r="V557" s="7">
        <v>33786</v>
      </c>
      <c r="W557" t="s">
        <v>414</v>
      </c>
      <c r="X557" s="2">
        <v>2.141</v>
      </c>
      <c r="Y557" s="6">
        <f t="shared" si="70"/>
        <v>5.7152772216438434E-2</v>
      </c>
      <c r="AA557">
        <v>1962892</v>
      </c>
      <c r="AB557">
        <v>17360</v>
      </c>
      <c r="AC557">
        <v>15580644</v>
      </c>
      <c r="AD557" t="s">
        <v>4</v>
      </c>
      <c r="AE557">
        <v>30</v>
      </c>
      <c r="AF557">
        <v>4</v>
      </c>
      <c r="AH557" t="s">
        <v>5536</v>
      </c>
      <c r="AI557" t="s">
        <v>5535</v>
      </c>
      <c r="AJ557" t="s">
        <v>5534</v>
      </c>
      <c r="AK557" t="s">
        <v>5533</v>
      </c>
      <c r="AL557">
        <v>10</v>
      </c>
      <c r="AM557" s="5">
        <f t="shared" si="74"/>
        <v>0.33333333333333331</v>
      </c>
      <c r="AN557" s="4">
        <f t="shared" si="71"/>
        <v>5.048592704783541E-4</v>
      </c>
      <c r="AO557" s="3"/>
      <c r="AP557">
        <v>0</v>
      </c>
      <c r="AR557" t="s">
        <v>0</v>
      </c>
      <c r="AT557" s="2" t="s">
        <v>16</v>
      </c>
      <c r="AU557" s="1">
        <f t="shared" si="75"/>
        <v>4.0158398332650407</v>
      </c>
      <c r="AV557" s="1">
        <f t="shared" si="76"/>
        <v>2.8828815743458391</v>
      </c>
      <c r="AW557" s="1">
        <f t="shared" si="77"/>
        <v>1.7499233154266376</v>
      </c>
    </row>
    <row r="558" spans="1:49" x14ac:dyDescent="0.2">
      <c r="A558">
        <v>556</v>
      </c>
      <c r="B558" t="s">
        <v>5532</v>
      </c>
      <c r="C558" t="s">
        <v>5531</v>
      </c>
      <c r="F558" t="s">
        <v>5530</v>
      </c>
      <c r="G558" t="s">
        <v>12</v>
      </c>
      <c r="H558" t="s">
        <v>11</v>
      </c>
      <c r="I558" t="s">
        <v>5529</v>
      </c>
      <c r="J558">
        <v>60025104</v>
      </c>
      <c r="K558" t="s">
        <v>5528</v>
      </c>
      <c r="M558" t="s">
        <v>856</v>
      </c>
      <c r="N558">
        <v>2</v>
      </c>
      <c r="O558" t="s">
        <v>5527</v>
      </c>
      <c r="P558" t="s">
        <v>5526</v>
      </c>
      <c r="Q558" t="s">
        <v>5525</v>
      </c>
      <c r="R558" s="7">
        <v>33604</v>
      </c>
      <c r="S558" s="8">
        <f t="shared" si="72"/>
        <v>1992</v>
      </c>
      <c r="T558" s="8">
        <v>1992</v>
      </c>
      <c r="U558" s="8">
        <f t="shared" si="73"/>
        <v>30</v>
      </c>
      <c r="V558" s="7" t="s">
        <v>5220</v>
      </c>
      <c r="W558" t="s">
        <v>4593</v>
      </c>
      <c r="X558" s="2" t="s">
        <v>16</v>
      </c>
      <c r="Y558" s="6" t="e">
        <f t="shared" si="70"/>
        <v>#VALUE!</v>
      </c>
      <c r="AA558">
        <v>7481896</v>
      </c>
      <c r="AB558">
        <v>78193</v>
      </c>
      <c r="AD558" t="s">
        <v>4</v>
      </c>
      <c r="AE558">
        <v>21</v>
      </c>
      <c r="AF558">
        <v>4</v>
      </c>
      <c r="AH558" t="s">
        <v>5524</v>
      </c>
      <c r="AI558" t="s">
        <v>5523</v>
      </c>
      <c r="AK558" t="s">
        <v>5522</v>
      </c>
      <c r="AL558">
        <v>17</v>
      </c>
      <c r="AM558" s="5">
        <f t="shared" si="74"/>
        <v>0.56666666666666665</v>
      </c>
      <c r="AN558" s="4">
        <f t="shared" si="71"/>
        <v>8.5826075981320206E-4</v>
      </c>
      <c r="AO558" s="3"/>
      <c r="AP558">
        <v>0</v>
      </c>
      <c r="AR558" t="s">
        <v>0</v>
      </c>
      <c r="AT558" s="2" t="s">
        <v>16</v>
      </c>
      <c r="AU558" s="1" t="e">
        <f t="shared" si="75"/>
        <v>#VALUE!</v>
      </c>
      <c r="AV558" s="1" t="e">
        <f t="shared" si="76"/>
        <v>#VALUE!</v>
      </c>
      <c r="AW558" s="1" t="e">
        <f t="shared" si="77"/>
        <v>#VALUE!</v>
      </c>
    </row>
    <row r="559" spans="1:49" x14ac:dyDescent="0.2">
      <c r="A559">
        <v>557</v>
      </c>
      <c r="B559" t="s">
        <v>5521</v>
      </c>
      <c r="C559" t="s">
        <v>5520</v>
      </c>
      <c r="F559" t="s">
        <v>5519</v>
      </c>
      <c r="G559" t="s">
        <v>12</v>
      </c>
      <c r="H559" t="s">
        <v>11</v>
      </c>
      <c r="I559" t="s">
        <v>5518</v>
      </c>
      <c r="J559" t="s">
        <v>5517</v>
      </c>
      <c r="K559" t="s">
        <v>5516</v>
      </c>
      <c r="L559" t="s">
        <v>5515</v>
      </c>
      <c r="M559" t="s">
        <v>5514</v>
      </c>
      <c r="N559">
        <v>6</v>
      </c>
      <c r="O559" t="s">
        <v>5513</v>
      </c>
      <c r="P559" t="s">
        <v>5512</v>
      </c>
      <c r="Q559" t="s">
        <v>5511</v>
      </c>
      <c r="R559" s="7">
        <v>33604</v>
      </c>
      <c r="S559" s="8">
        <f t="shared" si="72"/>
        <v>1992</v>
      </c>
      <c r="T559" s="8">
        <v>1992</v>
      </c>
      <c r="U559" s="8">
        <f t="shared" si="73"/>
        <v>30</v>
      </c>
      <c r="V559" s="7">
        <v>1992</v>
      </c>
      <c r="W559" t="s">
        <v>3880</v>
      </c>
      <c r="X559" s="2">
        <v>0.33500000000000002</v>
      </c>
      <c r="Y559" s="6">
        <f t="shared" si="70"/>
        <v>8.94263367235258E-3</v>
      </c>
      <c r="AA559">
        <v>10501827</v>
      </c>
      <c r="AB559">
        <v>78233</v>
      </c>
      <c r="AC559">
        <v>15226301</v>
      </c>
      <c r="AD559" t="s">
        <v>4</v>
      </c>
      <c r="AE559">
        <v>2</v>
      </c>
      <c r="AF559">
        <v>3</v>
      </c>
      <c r="AH559" t="s">
        <v>5510</v>
      </c>
      <c r="AI559" t="s">
        <v>5509</v>
      </c>
      <c r="AK559" t="s">
        <v>5508</v>
      </c>
      <c r="AL559">
        <v>10</v>
      </c>
      <c r="AM559" s="5">
        <f t="shared" si="74"/>
        <v>0.33333333333333331</v>
      </c>
      <c r="AN559" s="4">
        <f t="shared" si="71"/>
        <v>5.048592704783541E-4</v>
      </c>
      <c r="AO559" s="3"/>
      <c r="AP559">
        <v>0</v>
      </c>
      <c r="AR559" t="s">
        <v>0</v>
      </c>
      <c r="AT559" s="2" t="s">
        <v>16</v>
      </c>
      <c r="AU559" s="1">
        <f t="shared" si="75"/>
        <v>0.64113013517903128</v>
      </c>
      <c r="AV559" s="1">
        <f t="shared" si="76"/>
        <v>0.47237464714154676</v>
      </c>
      <c r="AW559" s="1">
        <f t="shared" si="77"/>
        <v>0.30361915910406218</v>
      </c>
    </row>
    <row r="560" spans="1:49" x14ac:dyDescent="0.2">
      <c r="A560">
        <v>558</v>
      </c>
      <c r="B560" t="s">
        <v>5507</v>
      </c>
      <c r="C560" t="s">
        <v>5506</v>
      </c>
      <c r="F560" t="s">
        <v>5505</v>
      </c>
      <c r="G560" t="s">
        <v>12</v>
      </c>
      <c r="H560" t="s">
        <v>11</v>
      </c>
      <c r="I560" t="s">
        <v>5504</v>
      </c>
      <c r="J560" t="s">
        <v>5499</v>
      </c>
      <c r="K560" t="s">
        <v>5503</v>
      </c>
      <c r="L560" t="s">
        <v>5502</v>
      </c>
      <c r="M560" t="s">
        <v>3512</v>
      </c>
      <c r="N560">
        <v>2</v>
      </c>
      <c r="O560" t="s">
        <v>5501</v>
      </c>
      <c r="P560" t="s">
        <v>5500</v>
      </c>
      <c r="Q560" t="s">
        <v>5499</v>
      </c>
      <c r="R560" s="7">
        <v>33604</v>
      </c>
      <c r="S560" s="8">
        <f t="shared" si="72"/>
        <v>1992</v>
      </c>
      <c r="T560" s="8">
        <v>1992</v>
      </c>
      <c r="U560" s="8">
        <f t="shared" si="73"/>
        <v>30</v>
      </c>
      <c r="V560" s="7">
        <v>1992</v>
      </c>
      <c r="W560" t="s">
        <v>3880</v>
      </c>
      <c r="X560" s="2">
        <v>0.33500000000000002</v>
      </c>
      <c r="Y560" s="6">
        <f t="shared" si="70"/>
        <v>8.94263367235258E-3</v>
      </c>
      <c r="AA560">
        <v>10501827</v>
      </c>
      <c r="AB560">
        <v>78233</v>
      </c>
      <c r="AC560">
        <v>15226301</v>
      </c>
      <c r="AD560" t="s">
        <v>4</v>
      </c>
      <c r="AE560">
        <v>2</v>
      </c>
      <c r="AF560">
        <v>3</v>
      </c>
      <c r="AH560" t="s">
        <v>5498</v>
      </c>
      <c r="AI560" t="s">
        <v>5497</v>
      </c>
      <c r="AK560" t="s">
        <v>5496</v>
      </c>
      <c r="AL560">
        <v>12</v>
      </c>
      <c r="AM560" s="5">
        <f t="shared" si="74"/>
        <v>0.4</v>
      </c>
      <c r="AN560" s="4">
        <f t="shared" si="71"/>
        <v>6.0583112457402507E-4</v>
      </c>
      <c r="AO560" s="3"/>
      <c r="AP560">
        <v>0</v>
      </c>
      <c r="AR560" t="s">
        <v>0</v>
      </c>
      <c r="AT560" s="2" t="s">
        <v>16</v>
      </c>
      <c r="AU560" s="1">
        <f t="shared" si="75"/>
        <v>0.64415929080190137</v>
      </c>
      <c r="AV560" s="1">
        <f t="shared" si="76"/>
        <v>0.47742323984633028</v>
      </c>
      <c r="AW560" s="1">
        <f t="shared" si="77"/>
        <v>0.31068718889075914</v>
      </c>
    </row>
    <row r="561" spans="1:49" x14ac:dyDescent="0.2">
      <c r="A561">
        <v>559</v>
      </c>
      <c r="B561" t="s">
        <v>5495</v>
      </c>
      <c r="C561" t="s">
        <v>5494</v>
      </c>
      <c r="F561" t="s">
        <v>5493</v>
      </c>
      <c r="G561" t="s">
        <v>12</v>
      </c>
      <c r="H561" t="s">
        <v>11</v>
      </c>
      <c r="I561" t="s">
        <v>2947</v>
      </c>
      <c r="J561">
        <v>60021211</v>
      </c>
      <c r="K561" t="s">
        <v>2946</v>
      </c>
      <c r="L561" t="s">
        <v>2945</v>
      </c>
      <c r="M561" t="s">
        <v>7</v>
      </c>
      <c r="N561">
        <v>1</v>
      </c>
      <c r="O561" t="s">
        <v>2944</v>
      </c>
      <c r="P561">
        <v>7103231658</v>
      </c>
      <c r="Q561">
        <v>60021211</v>
      </c>
      <c r="R561" s="7">
        <v>33604</v>
      </c>
      <c r="S561" s="8">
        <f t="shared" si="72"/>
        <v>1992</v>
      </c>
      <c r="T561" s="8">
        <v>1992</v>
      </c>
      <c r="U561" s="8">
        <f t="shared" si="73"/>
        <v>30</v>
      </c>
      <c r="V561" s="7">
        <v>33786</v>
      </c>
      <c r="W561" t="s">
        <v>1975</v>
      </c>
      <c r="X561" s="2">
        <v>0.81</v>
      </c>
      <c r="Y561" s="6">
        <f t="shared" si="70"/>
        <v>2.1622487386882359E-2</v>
      </c>
      <c r="AA561">
        <v>10411135</v>
      </c>
      <c r="AB561">
        <v>12116</v>
      </c>
      <c r="AC561">
        <v>19410174</v>
      </c>
      <c r="AD561" t="s">
        <v>4</v>
      </c>
      <c r="AE561">
        <v>4</v>
      </c>
      <c r="AF561">
        <v>7</v>
      </c>
      <c r="AH561" t="s">
        <v>5492</v>
      </c>
      <c r="AI561" t="s">
        <v>5491</v>
      </c>
      <c r="AK561" t="s">
        <v>5490</v>
      </c>
      <c r="AL561">
        <v>19</v>
      </c>
      <c r="AM561" s="5">
        <f t="shared" si="74"/>
        <v>0.6333333333333333</v>
      </c>
      <c r="AN561" s="4">
        <f t="shared" si="71"/>
        <v>9.5923261390887281E-4</v>
      </c>
      <c r="AO561" s="3"/>
      <c r="AP561">
        <v>0</v>
      </c>
      <c r="AR561" t="s">
        <v>0</v>
      </c>
      <c r="AT561" s="2">
        <v>2.468</v>
      </c>
      <c r="AU561" s="1">
        <f t="shared" si="75"/>
        <v>1.5423510954990309</v>
      </c>
      <c r="AV561" s="1">
        <f t="shared" si="76"/>
        <v>1.1290860000395615</v>
      </c>
      <c r="AW561" s="1">
        <f t="shared" si="77"/>
        <v>0.71582090458009184</v>
      </c>
    </row>
    <row r="562" spans="1:49" x14ac:dyDescent="0.2">
      <c r="A562">
        <v>560</v>
      </c>
      <c r="B562" t="s">
        <v>5489</v>
      </c>
      <c r="C562" t="s">
        <v>5488</v>
      </c>
      <c r="F562" t="s">
        <v>5487</v>
      </c>
      <c r="G562" t="s">
        <v>12</v>
      </c>
      <c r="H562" t="s">
        <v>11</v>
      </c>
      <c r="I562" t="s">
        <v>5486</v>
      </c>
      <c r="J562">
        <v>60032503</v>
      </c>
      <c r="K562" t="s">
        <v>5485</v>
      </c>
      <c r="L562" t="s">
        <v>5484</v>
      </c>
      <c r="M562" t="s">
        <v>7</v>
      </c>
      <c r="N562">
        <v>1</v>
      </c>
      <c r="O562" t="s">
        <v>5483</v>
      </c>
      <c r="P562">
        <v>55605400600</v>
      </c>
      <c r="Q562">
        <v>60032503</v>
      </c>
      <c r="R562" s="7">
        <v>33604</v>
      </c>
      <c r="S562" s="8">
        <f t="shared" si="72"/>
        <v>1992</v>
      </c>
      <c r="T562" s="8">
        <v>1992</v>
      </c>
      <c r="U562" s="8">
        <f t="shared" si="73"/>
        <v>30</v>
      </c>
      <c r="V562" s="7">
        <v>33786</v>
      </c>
      <c r="W562" t="s">
        <v>97</v>
      </c>
      <c r="X562" s="2">
        <v>1.6519999999999999</v>
      </c>
      <c r="Y562" s="6">
        <f t="shared" si="70"/>
        <v>4.409919649769093E-2</v>
      </c>
      <c r="AA562" t="s">
        <v>96</v>
      </c>
      <c r="AB562">
        <v>17337</v>
      </c>
      <c r="AC562">
        <v>15582221</v>
      </c>
      <c r="AD562" t="s">
        <v>4</v>
      </c>
      <c r="AE562">
        <v>40</v>
      </c>
      <c r="AF562">
        <v>7</v>
      </c>
      <c r="AH562" t="s">
        <v>5482</v>
      </c>
      <c r="AI562" t="s">
        <v>5481</v>
      </c>
      <c r="AK562" t="s">
        <v>5480</v>
      </c>
      <c r="AL562">
        <v>100</v>
      </c>
      <c r="AM562" s="5">
        <f t="shared" si="74"/>
        <v>3.3333333333333335</v>
      </c>
      <c r="AN562" s="4">
        <f t="shared" si="71"/>
        <v>5.0485927047835416E-3</v>
      </c>
      <c r="AO562" s="3"/>
      <c r="AP562">
        <v>0</v>
      </c>
      <c r="AR562" t="s">
        <v>0</v>
      </c>
      <c r="AT562" s="2" t="s">
        <v>16</v>
      </c>
      <c r="AU562" s="1">
        <f t="shared" si="75"/>
        <v>3.238401535981871</v>
      </c>
      <c r="AV562" s="1">
        <f t="shared" si="76"/>
        <v>2.4573894601237236</v>
      </c>
      <c r="AW562" s="1">
        <f t="shared" si="77"/>
        <v>1.6763773842655756</v>
      </c>
    </row>
    <row r="563" spans="1:49" x14ac:dyDescent="0.2">
      <c r="A563">
        <v>561</v>
      </c>
      <c r="B563" t="s">
        <v>5479</v>
      </c>
      <c r="C563" t="s">
        <v>5478</v>
      </c>
      <c r="F563" t="s">
        <v>5477</v>
      </c>
      <c r="G563" t="s">
        <v>12</v>
      </c>
      <c r="H563" t="s">
        <v>11</v>
      </c>
      <c r="I563" t="s">
        <v>4066</v>
      </c>
      <c r="J563">
        <v>60025063</v>
      </c>
      <c r="K563" t="s">
        <v>4065</v>
      </c>
      <c r="L563" t="s">
        <v>4064</v>
      </c>
      <c r="M563" t="s">
        <v>367</v>
      </c>
      <c r="N563">
        <v>2</v>
      </c>
      <c r="O563" t="s">
        <v>5476</v>
      </c>
      <c r="P563" t="s">
        <v>4062</v>
      </c>
      <c r="Q563" t="s">
        <v>4061</v>
      </c>
      <c r="R563" s="7">
        <v>33604</v>
      </c>
      <c r="S563" s="8">
        <f t="shared" si="72"/>
        <v>1992</v>
      </c>
      <c r="T563" s="8">
        <v>1992</v>
      </c>
      <c r="U563" s="8">
        <f t="shared" si="73"/>
        <v>30</v>
      </c>
      <c r="V563" s="7">
        <v>33786</v>
      </c>
      <c r="W563" t="s">
        <v>97</v>
      </c>
      <c r="X563" s="2">
        <v>1.6519999999999999</v>
      </c>
      <c r="Y563" s="6">
        <f t="shared" si="70"/>
        <v>4.409919649769093E-2</v>
      </c>
      <c r="AA563" t="s">
        <v>96</v>
      </c>
      <c r="AB563">
        <v>17337</v>
      </c>
      <c r="AC563">
        <v>15582221</v>
      </c>
      <c r="AD563" t="s">
        <v>4</v>
      </c>
      <c r="AE563">
        <v>40</v>
      </c>
      <c r="AF563">
        <v>7</v>
      </c>
      <c r="AH563" t="s">
        <v>5475</v>
      </c>
      <c r="AI563" t="s">
        <v>5474</v>
      </c>
      <c r="AK563" t="s">
        <v>5473</v>
      </c>
      <c r="AL563">
        <v>81</v>
      </c>
      <c r="AM563" s="5">
        <f t="shared" si="74"/>
        <v>2.7</v>
      </c>
      <c r="AN563" s="4">
        <f t="shared" si="71"/>
        <v>4.0893600908746691E-3</v>
      </c>
      <c r="AO563" s="3"/>
      <c r="AP563">
        <v>0</v>
      </c>
      <c r="AR563" t="s">
        <v>0</v>
      </c>
      <c r="AT563" s="2" t="s">
        <v>16</v>
      </c>
      <c r="AU563" s="1">
        <f t="shared" si="75"/>
        <v>3.2096245575646054</v>
      </c>
      <c r="AV563" s="1">
        <f t="shared" si="76"/>
        <v>2.4094278294282798</v>
      </c>
      <c r="AW563" s="1">
        <f t="shared" si="77"/>
        <v>1.6092311012919545</v>
      </c>
    </row>
    <row r="564" spans="1:49" x14ac:dyDescent="0.2">
      <c r="A564">
        <v>562</v>
      </c>
      <c r="B564" t="s">
        <v>5472</v>
      </c>
      <c r="C564" t="s">
        <v>5471</v>
      </c>
      <c r="F564" t="s">
        <v>5470</v>
      </c>
      <c r="G564" t="s">
        <v>12</v>
      </c>
      <c r="H564" t="s">
        <v>11</v>
      </c>
      <c r="I564" t="s">
        <v>5469</v>
      </c>
      <c r="J564">
        <v>60003500</v>
      </c>
      <c r="K564" t="s">
        <v>1690</v>
      </c>
      <c r="L564" t="s">
        <v>1689</v>
      </c>
      <c r="M564" t="s">
        <v>7</v>
      </c>
      <c r="N564">
        <v>3</v>
      </c>
      <c r="O564" t="s">
        <v>5468</v>
      </c>
      <c r="P564" t="s">
        <v>5467</v>
      </c>
      <c r="Q564" t="s">
        <v>5466</v>
      </c>
      <c r="R564" s="7">
        <v>33604</v>
      </c>
      <c r="S564" s="8">
        <f t="shared" si="72"/>
        <v>1992</v>
      </c>
      <c r="T564" s="8">
        <v>1992</v>
      </c>
      <c r="U564" s="8">
        <f t="shared" si="73"/>
        <v>30</v>
      </c>
      <c r="V564" s="7">
        <v>33786</v>
      </c>
      <c r="W564" t="s">
        <v>97</v>
      </c>
      <c r="X564" s="2">
        <v>1.6519999999999999</v>
      </c>
      <c r="Y564" s="6">
        <f t="shared" si="70"/>
        <v>4.409919649769093E-2</v>
      </c>
      <c r="AA564" t="s">
        <v>96</v>
      </c>
      <c r="AB564">
        <v>17337</v>
      </c>
      <c r="AC564">
        <v>15582221</v>
      </c>
      <c r="AD564" t="s">
        <v>4</v>
      </c>
      <c r="AE564">
        <v>40</v>
      </c>
      <c r="AF564">
        <v>7</v>
      </c>
      <c r="AH564" t="s">
        <v>5465</v>
      </c>
      <c r="AI564" t="s">
        <v>5464</v>
      </c>
      <c r="AK564" t="s">
        <v>5463</v>
      </c>
      <c r="AL564">
        <v>44</v>
      </c>
      <c r="AM564" s="5">
        <f t="shared" si="74"/>
        <v>1.4666666666666666</v>
      </c>
      <c r="AN564" s="4">
        <f t="shared" si="71"/>
        <v>2.2213807901047583E-3</v>
      </c>
      <c r="AO564" s="3"/>
      <c r="AP564">
        <v>0</v>
      </c>
      <c r="AR564" t="s">
        <v>0</v>
      </c>
      <c r="AT564" s="2" t="s">
        <v>16</v>
      </c>
      <c r="AU564" s="1">
        <f t="shared" si="75"/>
        <v>3.1535851785415079</v>
      </c>
      <c r="AV564" s="1">
        <f t="shared" si="76"/>
        <v>2.3160288643897844</v>
      </c>
      <c r="AW564" s="1">
        <f t="shared" si="77"/>
        <v>1.4784725502380609</v>
      </c>
    </row>
    <row r="565" spans="1:49" x14ac:dyDescent="0.2">
      <c r="A565">
        <v>563</v>
      </c>
      <c r="B565" t="s">
        <v>5462</v>
      </c>
      <c r="C565" t="s">
        <v>5461</v>
      </c>
      <c r="F565" t="s">
        <v>5460</v>
      </c>
      <c r="G565" t="s">
        <v>12</v>
      </c>
      <c r="H565" t="s">
        <v>11</v>
      </c>
      <c r="I565" t="s">
        <v>5459</v>
      </c>
      <c r="J565">
        <v>60015272</v>
      </c>
      <c r="K565" t="s">
        <v>2835</v>
      </c>
      <c r="L565" t="s">
        <v>1934</v>
      </c>
      <c r="M565" t="s">
        <v>7</v>
      </c>
      <c r="N565">
        <v>1</v>
      </c>
      <c r="O565" t="s">
        <v>5458</v>
      </c>
      <c r="P565">
        <v>7102630816</v>
      </c>
      <c r="Q565">
        <v>60015272</v>
      </c>
      <c r="R565" s="7">
        <v>33604</v>
      </c>
      <c r="S565" s="8">
        <f t="shared" si="72"/>
        <v>1992</v>
      </c>
      <c r="T565" s="8">
        <v>1992</v>
      </c>
      <c r="U565" s="8">
        <f t="shared" si="73"/>
        <v>30</v>
      </c>
      <c r="V565" s="7">
        <v>33786</v>
      </c>
      <c r="W565" t="s">
        <v>97</v>
      </c>
      <c r="X565" s="2">
        <v>1.6519999999999999</v>
      </c>
      <c r="Y565" s="6">
        <f t="shared" si="70"/>
        <v>4.409919649769093E-2</v>
      </c>
      <c r="AA565" t="s">
        <v>96</v>
      </c>
      <c r="AB565">
        <v>17337</v>
      </c>
      <c r="AC565">
        <v>15582221</v>
      </c>
      <c r="AD565" t="s">
        <v>4</v>
      </c>
      <c r="AE565">
        <v>40</v>
      </c>
      <c r="AF565">
        <v>7</v>
      </c>
      <c r="AH565" t="s">
        <v>5457</v>
      </c>
      <c r="AI565" t="s">
        <v>5456</v>
      </c>
      <c r="AK565" t="s">
        <v>5455</v>
      </c>
      <c r="AL565">
        <v>54</v>
      </c>
      <c r="AM565" s="5">
        <f t="shared" si="74"/>
        <v>1.8</v>
      </c>
      <c r="AN565" s="4">
        <f t="shared" si="71"/>
        <v>2.7262400605831123E-3</v>
      </c>
      <c r="AO565" s="3"/>
      <c r="AP565">
        <v>0</v>
      </c>
      <c r="AR565" t="s">
        <v>0</v>
      </c>
      <c r="AT565" s="2" t="s">
        <v>16</v>
      </c>
      <c r="AU565" s="1">
        <f t="shared" si="75"/>
        <v>3.1687309566558581</v>
      </c>
      <c r="AV565" s="1">
        <f t="shared" si="76"/>
        <v>2.3412718279137024</v>
      </c>
      <c r="AW565" s="1">
        <f t="shared" si="77"/>
        <v>1.5138126991715457</v>
      </c>
    </row>
    <row r="566" spans="1:49" x14ac:dyDescent="0.2">
      <c r="A566">
        <v>564</v>
      </c>
      <c r="B566" t="s">
        <v>5454</v>
      </c>
      <c r="C566" t="s">
        <v>5453</v>
      </c>
      <c r="F566" t="s">
        <v>5452</v>
      </c>
      <c r="G566" t="s">
        <v>12</v>
      </c>
      <c r="H566" t="s">
        <v>11</v>
      </c>
      <c r="I566" t="s">
        <v>5451</v>
      </c>
      <c r="J566">
        <v>60103653</v>
      </c>
      <c r="K566" t="s">
        <v>2662</v>
      </c>
      <c r="L566" t="s">
        <v>657</v>
      </c>
      <c r="M566" t="s">
        <v>656</v>
      </c>
      <c r="N566">
        <v>5</v>
      </c>
      <c r="O566" t="s">
        <v>5450</v>
      </c>
      <c r="P566" t="s">
        <v>5449</v>
      </c>
      <c r="Q566" t="s">
        <v>5448</v>
      </c>
      <c r="R566" s="7">
        <v>33604</v>
      </c>
      <c r="S566" s="8">
        <f t="shared" si="72"/>
        <v>1992</v>
      </c>
      <c r="T566" s="8">
        <v>1992</v>
      </c>
      <c r="U566" s="8">
        <f t="shared" si="73"/>
        <v>30</v>
      </c>
      <c r="V566" s="7">
        <v>33786</v>
      </c>
      <c r="W566" t="s">
        <v>97</v>
      </c>
      <c r="X566" s="2">
        <v>1.6519999999999999</v>
      </c>
      <c r="Y566" s="6">
        <f t="shared" si="70"/>
        <v>4.409919649769093E-2</v>
      </c>
      <c r="AA566" t="s">
        <v>96</v>
      </c>
      <c r="AB566">
        <v>17337</v>
      </c>
      <c r="AC566">
        <v>15582221</v>
      </c>
      <c r="AD566" t="s">
        <v>4</v>
      </c>
      <c r="AE566">
        <v>40</v>
      </c>
      <c r="AF566">
        <v>7</v>
      </c>
      <c r="AH566" t="s">
        <v>5447</v>
      </c>
      <c r="AI566" t="s">
        <v>5446</v>
      </c>
      <c r="AK566" t="s">
        <v>5445</v>
      </c>
      <c r="AL566">
        <v>21</v>
      </c>
      <c r="AM566" s="5">
        <f t="shared" si="74"/>
        <v>0.7</v>
      </c>
      <c r="AN566" s="4">
        <f t="shared" si="71"/>
        <v>1.0602044680045437E-3</v>
      </c>
      <c r="AO566" s="3"/>
      <c r="AP566">
        <v>0</v>
      </c>
      <c r="AR566" t="s">
        <v>0</v>
      </c>
      <c r="AT566" s="2" t="s">
        <v>16</v>
      </c>
      <c r="AU566" s="1">
        <f t="shared" si="75"/>
        <v>3.1187498888785017</v>
      </c>
      <c r="AV566" s="1">
        <f t="shared" si="76"/>
        <v>2.2579700482847738</v>
      </c>
      <c r="AW566" s="1">
        <f t="shared" si="77"/>
        <v>1.3971902076910458</v>
      </c>
    </row>
    <row r="567" spans="1:49" x14ac:dyDescent="0.2">
      <c r="A567">
        <v>565</v>
      </c>
      <c r="B567" t="s">
        <v>5444</v>
      </c>
      <c r="C567" t="s">
        <v>5443</v>
      </c>
      <c r="F567" t="s">
        <v>5442</v>
      </c>
      <c r="G567" t="s">
        <v>12</v>
      </c>
      <c r="H567" t="s">
        <v>11</v>
      </c>
      <c r="I567" t="s">
        <v>5441</v>
      </c>
      <c r="J567" t="s">
        <v>5440</v>
      </c>
      <c r="K567" t="s">
        <v>5439</v>
      </c>
      <c r="L567" t="s">
        <v>5438</v>
      </c>
      <c r="M567" t="s">
        <v>5437</v>
      </c>
      <c r="N567">
        <v>4</v>
      </c>
      <c r="O567" t="s">
        <v>5436</v>
      </c>
      <c r="P567" t="s">
        <v>5435</v>
      </c>
      <c r="Q567" t="s">
        <v>5434</v>
      </c>
      <c r="R567" s="7">
        <v>33604</v>
      </c>
      <c r="S567" s="8">
        <f t="shared" si="72"/>
        <v>1992</v>
      </c>
      <c r="T567" s="8">
        <v>1992</v>
      </c>
      <c r="U567" s="8">
        <f t="shared" si="73"/>
        <v>30</v>
      </c>
      <c r="V567" s="7">
        <v>33786</v>
      </c>
      <c r="W567" t="s">
        <v>414</v>
      </c>
      <c r="X567" s="2">
        <v>2.141</v>
      </c>
      <c r="Y567" s="6">
        <f t="shared" si="70"/>
        <v>5.7152772216438434E-2</v>
      </c>
      <c r="AA567">
        <v>1962892</v>
      </c>
      <c r="AB567">
        <v>17360</v>
      </c>
      <c r="AC567">
        <v>15580644</v>
      </c>
      <c r="AD567" t="s">
        <v>4</v>
      </c>
      <c r="AE567">
        <v>30</v>
      </c>
      <c r="AF567">
        <v>4</v>
      </c>
      <c r="AH567" t="s">
        <v>5433</v>
      </c>
      <c r="AI567" t="s">
        <v>5432</v>
      </c>
      <c r="AK567" t="s">
        <v>5431</v>
      </c>
      <c r="AL567">
        <v>6</v>
      </c>
      <c r="AM567" s="5">
        <f t="shared" si="74"/>
        <v>0.2</v>
      </c>
      <c r="AN567" s="4">
        <f t="shared" si="71"/>
        <v>3.0291556228701253E-4</v>
      </c>
      <c r="AO567" s="3"/>
      <c r="AP567">
        <v>0</v>
      </c>
      <c r="AR567" t="s">
        <v>0</v>
      </c>
      <c r="AT567" s="2" t="s">
        <v>16</v>
      </c>
      <c r="AU567" s="1">
        <f t="shared" si="75"/>
        <v>4.0097815220193</v>
      </c>
      <c r="AV567" s="1">
        <f t="shared" si="76"/>
        <v>2.8727843889362723</v>
      </c>
      <c r="AW567" s="1">
        <f t="shared" si="77"/>
        <v>1.7357872558532439</v>
      </c>
    </row>
    <row r="568" spans="1:49" x14ac:dyDescent="0.2">
      <c r="A568">
        <v>566</v>
      </c>
      <c r="B568" t="s">
        <v>5430</v>
      </c>
      <c r="C568" t="s">
        <v>5429</v>
      </c>
      <c r="F568" t="s">
        <v>5428</v>
      </c>
      <c r="G568" t="s">
        <v>12</v>
      </c>
      <c r="H568" t="s">
        <v>11</v>
      </c>
      <c r="I568" t="s">
        <v>5427</v>
      </c>
      <c r="J568">
        <v>60027550</v>
      </c>
      <c r="K568" t="s">
        <v>5038</v>
      </c>
      <c r="L568" t="s">
        <v>2073</v>
      </c>
      <c r="M568" t="s">
        <v>7</v>
      </c>
      <c r="N568">
        <v>2</v>
      </c>
      <c r="O568" t="s">
        <v>5426</v>
      </c>
      <c r="P568" t="s">
        <v>5425</v>
      </c>
      <c r="Q568" t="s">
        <v>5035</v>
      </c>
      <c r="R568" s="7">
        <v>33604</v>
      </c>
      <c r="S568" s="8">
        <f t="shared" si="72"/>
        <v>1992</v>
      </c>
      <c r="T568" s="8">
        <v>1992</v>
      </c>
      <c r="U568" s="8">
        <f t="shared" si="73"/>
        <v>30</v>
      </c>
      <c r="V568" s="7">
        <v>33786</v>
      </c>
      <c r="W568" t="s">
        <v>97</v>
      </c>
      <c r="X568" s="2">
        <v>1.6519999999999999</v>
      </c>
      <c r="Y568" s="6">
        <f t="shared" si="70"/>
        <v>4.409919649769093E-2</v>
      </c>
      <c r="AA568" t="s">
        <v>96</v>
      </c>
      <c r="AB568">
        <v>17337</v>
      </c>
      <c r="AC568">
        <v>15582221</v>
      </c>
      <c r="AD568" t="s">
        <v>4</v>
      </c>
      <c r="AE568">
        <v>40</v>
      </c>
      <c r="AF568">
        <v>7</v>
      </c>
      <c r="AH568" t="s">
        <v>5424</v>
      </c>
      <c r="AI568" t="s">
        <v>5423</v>
      </c>
      <c r="AK568" t="s">
        <v>5422</v>
      </c>
      <c r="AL568">
        <v>35</v>
      </c>
      <c r="AM568" s="5">
        <f t="shared" si="74"/>
        <v>1.1666666666666667</v>
      </c>
      <c r="AN568" s="4">
        <f t="shared" si="71"/>
        <v>1.7670074466742396E-3</v>
      </c>
      <c r="AO568" s="3"/>
      <c r="AP568">
        <v>0</v>
      </c>
      <c r="AR568" t="s">
        <v>0</v>
      </c>
      <c r="AT568" s="2" t="s">
        <v>16</v>
      </c>
      <c r="AU568" s="1">
        <f t="shared" si="75"/>
        <v>3.1399539782385926</v>
      </c>
      <c r="AV568" s="1">
        <f t="shared" si="76"/>
        <v>2.2933101972182586</v>
      </c>
      <c r="AW568" s="1">
        <f t="shared" si="77"/>
        <v>1.4466664161979246</v>
      </c>
    </row>
    <row r="569" spans="1:49" x14ac:dyDescent="0.2">
      <c r="A569">
        <v>567</v>
      </c>
      <c r="B569" t="s">
        <v>5421</v>
      </c>
      <c r="C569" t="s">
        <v>5420</v>
      </c>
      <c r="F569" t="s">
        <v>5419</v>
      </c>
      <c r="G569" t="s">
        <v>12</v>
      </c>
      <c r="H569" t="s">
        <v>11</v>
      </c>
      <c r="I569" t="s">
        <v>5418</v>
      </c>
      <c r="J569">
        <v>60007843</v>
      </c>
      <c r="K569" t="s">
        <v>5417</v>
      </c>
      <c r="L569" t="s">
        <v>182</v>
      </c>
      <c r="M569" t="s">
        <v>7</v>
      </c>
      <c r="N569">
        <v>2</v>
      </c>
      <c r="O569" t="s">
        <v>5416</v>
      </c>
      <c r="P569" t="s">
        <v>5415</v>
      </c>
      <c r="Q569" t="s">
        <v>5414</v>
      </c>
      <c r="R569" s="7">
        <v>33604</v>
      </c>
      <c r="S569" s="8">
        <f t="shared" si="72"/>
        <v>1992</v>
      </c>
      <c r="T569" s="8">
        <v>1992</v>
      </c>
      <c r="U569" s="8">
        <f t="shared" si="73"/>
        <v>30</v>
      </c>
      <c r="V569" s="7">
        <v>33786</v>
      </c>
      <c r="W569" t="s">
        <v>97</v>
      </c>
      <c r="X569" s="2">
        <v>1.6519999999999999</v>
      </c>
      <c r="Y569" s="6">
        <f t="shared" si="70"/>
        <v>4.409919649769093E-2</v>
      </c>
      <c r="AA569" t="s">
        <v>96</v>
      </c>
      <c r="AB569">
        <v>17337</v>
      </c>
      <c r="AC569">
        <v>15582221</v>
      </c>
      <c r="AD569" t="s">
        <v>4</v>
      </c>
      <c r="AE569">
        <v>40</v>
      </c>
      <c r="AF569">
        <v>7</v>
      </c>
      <c r="AH569" t="s">
        <v>5413</v>
      </c>
      <c r="AI569" t="s">
        <v>5412</v>
      </c>
      <c r="AK569" t="s">
        <v>5411</v>
      </c>
      <c r="AL569">
        <v>36</v>
      </c>
      <c r="AM569" s="5">
        <f t="shared" si="74"/>
        <v>1.2</v>
      </c>
      <c r="AN569" s="4">
        <f t="shared" si="71"/>
        <v>1.8174933737220749E-3</v>
      </c>
      <c r="AO569" s="3"/>
      <c r="AP569">
        <v>0</v>
      </c>
      <c r="AR569" t="s">
        <v>0</v>
      </c>
      <c r="AT569" s="2" t="s">
        <v>16</v>
      </c>
      <c r="AU569" s="1">
        <f t="shared" si="75"/>
        <v>3.1414685560500275</v>
      </c>
      <c r="AV569" s="1">
        <f t="shared" si="76"/>
        <v>2.2958344935706503</v>
      </c>
      <c r="AW569" s="1">
        <f t="shared" si="77"/>
        <v>1.4502004310912731</v>
      </c>
    </row>
    <row r="570" spans="1:49" x14ac:dyDescent="0.2">
      <c r="A570">
        <v>568</v>
      </c>
      <c r="B570" t="s">
        <v>5410</v>
      </c>
      <c r="C570" t="s">
        <v>5409</v>
      </c>
      <c r="F570" t="s">
        <v>5408</v>
      </c>
      <c r="G570" t="s">
        <v>12</v>
      </c>
      <c r="H570" t="s">
        <v>11</v>
      </c>
      <c r="I570" t="s">
        <v>5407</v>
      </c>
      <c r="J570">
        <v>60029284</v>
      </c>
      <c r="K570" t="s">
        <v>5406</v>
      </c>
      <c r="L570" t="s">
        <v>5405</v>
      </c>
      <c r="M570" t="s">
        <v>3937</v>
      </c>
      <c r="N570">
        <v>2</v>
      </c>
      <c r="O570" t="s">
        <v>5404</v>
      </c>
      <c r="P570" t="s">
        <v>5403</v>
      </c>
      <c r="Q570" t="s">
        <v>5402</v>
      </c>
      <c r="R570" s="7">
        <v>33604</v>
      </c>
      <c r="S570" s="8">
        <f t="shared" si="72"/>
        <v>1992</v>
      </c>
      <c r="T570" s="8">
        <v>1992</v>
      </c>
      <c r="U570" s="8">
        <f t="shared" si="73"/>
        <v>30</v>
      </c>
      <c r="V570" s="7">
        <v>33786</v>
      </c>
      <c r="W570" t="s">
        <v>136</v>
      </c>
      <c r="X570" s="2">
        <v>1.3720000000000001</v>
      </c>
      <c r="Y570" s="6">
        <f t="shared" si="70"/>
        <v>3.662475641333654E-2</v>
      </c>
      <c r="AA570">
        <v>189480</v>
      </c>
      <c r="AB570">
        <v>17366</v>
      </c>
      <c r="AC570">
        <v>15579670</v>
      </c>
      <c r="AD570" t="s">
        <v>4</v>
      </c>
      <c r="AE570">
        <v>40</v>
      </c>
      <c r="AF570">
        <v>7</v>
      </c>
      <c r="AH570" t="s">
        <v>5401</v>
      </c>
      <c r="AI570" t="s">
        <v>5400</v>
      </c>
      <c r="AK570" t="s">
        <v>5399</v>
      </c>
      <c r="AL570">
        <v>37</v>
      </c>
      <c r="AM570" s="5">
        <f t="shared" si="74"/>
        <v>1.2333333333333334</v>
      </c>
      <c r="AN570" s="4">
        <f t="shared" si="71"/>
        <v>1.8679793007699106E-3</v>
      </c>
      <c r="AO570" s="3"/>
      <c r="AP570">
        <v>0</v>
      </c>
      <c r="AR570" t="s">
        <v>0</v>
      </c>
      <c r="AT570" s="2" t="s">
        <v>16</v>
      </c>
      <c r="AU570" s="1">
        <f t="shared" si="75"/>
        <v>2.6197723279566549</v>
      </c>
      <c r="AV570" s="1">
        <f t="shared" si="76"/>
        <v>1.9246367857053224</v>
      </c>
      <c r="AW570" s="1">
        <f t="shared" si="77"/>
        <v>1.22950124345399</v>
      </c>
    </row>
    <row r="571" spans="1:49" x14ac:dyDescent="0.2">
      <c r="A571">
        <v>569</v>
      </c>
      <c r="B571" t="s">
        <v>5398</v>
      </c>
      <c r="C571" t="s">
        <v>5397</v>
      </c>
      <c r="F571" t="s">
        <v>5396</v>
      </c>
      <c r="G571" t="s">
        <v>12</v>
      </c>
      <c r="H571" t="s">
        <v>11</v>
      </c>
      <c r="I571" t="s">
        <v>5395</v>
      </c>
      <c r="N571">
        <v>2</v>
      </c>
      <c r="O571" t="s">
        <v>5394</v>
      </c>
      <c r="P571" t="s">
        <v>5393</v>
      </c>
      <c r="Q571" t="s">
        <v>720</v>
      </c>
      <c r="R571" s="7">
        <v>33604</v>
      </c>
      <c r="S571" s="8">
        <f t="shared" si="72"/>
        <v>1992</v>
      </c>
      <c r="T571" s="8">
        <v>1992</v>
      </c>
      <c r="U571" s="8">
        <f t="shared" si="73"/>
        <v>30</v>
      </c>
      <c r="V571" s="7" t="s">
        <v>5392</v>
      </c>
      <c r="W571" t="s">
        <v>1367</v>
      </c>
      <c r="X571" s="2">
        <v>0.371</v>
      </c>
      <c r="Y571" s="6">
        <f t="shared" si="70"/>
        <v>9.9036331117695747E-3</v>
      </c>
      <c r="AA571">
        <v>486604</v>
      </c>
      <c r="AB571">
        <v>28580</v>
      </c>
      <c r="AC571" t="s">
        <v>1366</v>
      </c>
      <c r="AD571" t="s">
        <v>4</v>
      </c>
      <c r="AE571">
        <v>27</v>
      </c>
      <c r="AF571">
        <v>4</v>
      </c>
      <c r="AH571" t="s">
        <v>5391</v>
      </c>
      <c r="AI571" t="s">
        <v>5390</v>
      </c>
      <c r="AK571" t="s">
        <v>5389</v>
      </c>
      <c r="AL571">
        <v>27</v>
      </c>
      <c r="AM571" s="5">
        <f t="shared" si="74"/>
        <v>0.9</v>
      </c>
      <c r="AN571" s="4">
        <f t="shared" si="71"/>
        <v>1.3631200302915562E-3</v>
      </c>
      <c r="AO571" s="3"/>
      <c r="AP571">
        <v>0</v>
      </c>
      <c r="AR571" t="s">
        <v>0</v>
      </c>
      <c r="AT571" s="2">
        <v>1.431</v>
      </c>
      <c r="AU571" s="1">
        <f t="shared" si="75"/>
        <v>0.73414791873261687</v>
      </c>
      <c r="AV571" s="1">
        <f t="shared" si="76"/>
        <v>0.56333765710305661</v>
      </c>
      <c r="AW571" s="1">
        <f t="shared" si="77"/>
        <v>0.39252739547349619</v>
      </c>
    </row>
    <row r="572" spans="1:49" x14ac:dyDescent="0.2">
      <c r="A572">
        <v>570</v>
      </c>
      <c r="B572" t="s">
        <v>5388</v>
      </c>
      <c r="C572" t="s">
        <v>5387</v>
      </c>
      <c r="F572" t="s">
        <v>5386</v>
      </c>
      <c r="G572" t="s">
        <v>12</v>
      </c>
      <c r="H572" t="s">
        <v>11</v>
      </c>
      <c r="I572" t="s">
        <v>5385</v>
      </c>
      <c r="J572">
        <v>60009697</v>
      </c>
      <c r="K572" t="s">
        <v>5346</v>
      </c>
      <c r="L572" t="s">
        <v>5345</v>
      </c>
      <c r="M572" t="s">
        <v>393</v>
      </c>
      <c r="N572">
        <v>2</v>
      </c>
      <c r="O572" t="s">
        <v>5384</v>
      </c>
      <c r="P572" t="s">
        <v>5383</v>
      </c>
      <c r="Q572" t="s">
        <v>5382</v>
      </c>
      <c r="R572" s="7">
        <v>33604</v>
      </c>
      <c r="S572" s="8">
        <f t="shared" si="72"/>
        <v>1992</v>
      </c>
      <c r="T572" s="8">
        <v>1992</v>
      </c>
      <c r="U572" s="8">
        <f t="shared" si="73"/>
        <v>30</v>
      </c>
      <c r="V572" s="7" t="s">
        <v>5220</v>
      </c>
      <c r="W572" t="s">
        <v>2164</v>
      </c>
      <c r="X572" s="2">
        <v>0.46400000000000002</v>
      </c>
      <c r="Y572" s="6">
        <f t="shared" si="70"/>
        <v>1.2386214996930142E-2</v>
      </c>
      <c r="AA572">
        <v>8408688</v>
      </c>
      <c r="AB572">
        <v>26200</v>
      </c>
      <c r="AD572" t="s">
        <v>4</v>
      </c>
      <c r="AE572">
        <v>17</v>
      </c>
      <c r="AF572">
        <v>3</v>
      </c>
      <c r="AH572" t="s">
        <v>5381</v>
      </c>
      <c r="AI572" t="s">
        <v>5380</v>
      </c>
      <c r="AK572" t="s">
        <v>5379</v>
      </c>
      <c r="AL572">
        <v>2</v>
      </c>
      <c r="AM572" s="5">
        <f t="shared" si="74"/>
        <v>6.6666666666666666E-2</v>
      </c>
      <c r="AN572" s="4">
        <f t="shared" si="71"/>
        <v>1.0097185409567084E-4</v>
      </c>
      <c r="AO572" s="3"/>
      <c r="AP572">
        <v>0</v>
      </c>
      <c r="AR572" t="s">
        <v>0</v>
      </c>
      <c r="AT572" s="2" t="s">
        <v>16</v>
      </c>
      <c r="AU572" s="1">
        <f t="shared" si="75"/>
        <v>0.87006420540798013</v>
      </c>
      <c r="AV572" s="1">
        <f t="shared" si="76"/>
        <v>0.62435934255129066</v>
      </c>
      <c r="AW572" s="1">
        <f t="shared" si="77"/>
        <v>0.3786544796946012</v>
      </c>
    </row>
    <row r="573" spans="1:49" x14ac:dyDescent="0.2">
      <c r="A573">
        <v>571</v>
      </c>
      <c r="B573" t="s">
        <v>5378</v>
      </c>
      <c r="C573" t="s">
        <v>5377</v>
      </c>
      <c r="F573" t="s">
        <v>5376</v>
      </c>
      <c r="G573" t="s">
        <v>12</v>
      </c>
      <c r="H573" t="s">
        <v>11</v>
      </c>
      <c r="I573" t="s">
        <v>2815</v>
      </c>
      <c r="J573">
        <v>60031828</v>
      </c>
      <c r="K573" t="s">
        <v>2814</v>
      </c>
      <c r="L573" t="s">
        <v>2813</v>
      </c>
      <c r="M573" t="s">
        <v>393</v>
      </c>
      <c r="N573">
        <v>1</v>
      </c>
      <c r="O573" t="s">
        <v>5375</v>
      </c>
      <c r="P573">
        <v>7101764513</v>
      </c>
      <c r="Q573">
        <v>60031828</v>
      </c>
      <c r="R573" s="7">
        <v>33604</v>
      </c>
      <c r="S573" s="8">
        <f t="shared" si="72"/>
        <v>1992</v>
      </c>
      <c r="T573" s="8">
        <v>1992</v>
      </c>
      <c r="U573" s="8">
        <f t="shared" si="73"/>
        <v>30</v>
      </c>
      <c r="V573" s="7" t="s">
        <v>5220</v>
      </c>
      <c r="W573" t="s">
        <v>2164</v>
      </c>
      <c r="X573" s="2">
        <v>0.46400000000000002</v>
      </c>
      <c r="Y573" s="6">
        <f t="shared" si="70"/>
        <v>1.2386214996930142E-2</v>
      </c>
      <c r="AA573">
        <v>8408688</v>
      </c>
      <c r="AB573">
        <v>26200</v>
      </c>
      <c r="AD573" t="s">
        <v>4</v>
      </c>
      <c r="AE573">
        <v>17</v>
      </c>
      <c r="AF573">
        <v>3</v>
      </c>
      <c r="AH573" t="s">
        <v>3438</v>
      </c>
      <c r="AI573" t="s">
        <v>5374</v>
      </c>
      <c r="AK573" t="s">
        <v>5373</v>
      </c>
      <c r="AL573">
        <v>1</v>
      </c>
      <c r="AM573" s="5">
        <f t="shared" si="74"/>
        <v>3.3333333333333333E-2</v>
      </c>
      <c r="AN573" s="4">
        <f t="shared" si="71"/>
        <v>5.0485927047835418E-5</v>
      </c>
      <c r="AO573" s="3"/>
      <c r="AP573">
        <v>0</v>
      </c>
      <c r="AR573" t="s">
        <v>0</v>
      </c>
      <c r="AT573" s="2" t="s">
        <v>16</v>
      </c>
      <c r="AU573" s="1">
        <f t="shared" si="75"/>
        <v>0.86854962759654497</v>
      </c>
      <c r="AV573" s="1">
        <f t="shared" si="76"/>
        <v>0.62183504619889884</v>
      </c>
      <c r="AW573" s="1">
        <f t="shared" si="77"/>
        <v>0.37512046480125277</v>
      </c>
    </row>
    <row r="574" spans="1:49" x14ac:dyDescent="0.2">
      <c r="A574">
        <v>572</v>
      </c>
      <c r="B574" t="s">
        <v>5372</v>
      </c>
      <c r="C574" t="s">
        <v>5371</v>
      </c>
      <c r="E574">
        <v>1392595</v>
      </c>
      <c r="F574" t="s">
        <v>5370</v>
      </c>
      <c r="G574" t="s">
        <v>12</v>
      </c>
      <c r="H574" t="s">
        <v>11</v>
      </c>
      <c r="I574" t="s">
        <v>5369</v>
      </c>
      <c r="J574">
        <v>60020547</v>
      </c>
      <c r="K574" t="s">
        <v>4980</v>
      </c>
      <c r="L574" t="s">
        <v>4979</v>
      </c>
      <c r="M574" t="s">
        <v>7</v>
      </c>
      <c r="N574">
        <v>3</v>
      </c>
      <c r="O574" t="s">
        <v>5368</v>
      </c>
      <c r="P574" t="s">
        <v>5367</v>
      </c>
      <c r="Q574" t="s">
        <v>5366</v>
      </c>
      <c r="R574" s="7">
        <v>33604</v>
      </c>
      <c r="S574" s="8">
        <f t="shared" si="72"/>
        <v>1992</v>
      </c>
      <c r="T574" s="8">
        <v>1992</v>
      </c>
      <c r="U574" s="8">
        <f t="shared" si="73"/>
        <v>30</v>
      </c>
      <c r="V574" s="7">
        <v>33786</v>
      </c>
      <c r="W574" t="s">
        <v>5365</v>
      </c>
      <c r="X574" s="2">
        <v>5.3239999999999998</v>
      </c>
      <c r="Y574" s="6">
        <f t="shared" si="70"/>
        <v>0.14212113931822429</v>
      </c>
      <c r="AA574">
        <v>10404651</v>
      </c>
      <c r="AB574">
        <v>16594</v>
      </c>
      <c r="AD574" t="s">
        <v>4</v>
      </c>
      <c r="AE574">
        <v>4</v>
      </c>
      <c r="AF574">
        <v>7</v>
      </c>
      <c r="AH574" t="s">
        <v>5364</v>
      </c>
      <c r="AI574" t="s">
        <v>5363</v>
      </c>
      <c r="AK574" t="s">
        <v>5362</v>
      </c>
      <c r="AL574">
        <v>67</v>
      </c>
      <c r="AM574" s="5">
        <f t="shared" si="74"/>
        <v>2.2333333333333334</v>
      </c>
      <c r="AN574" s="4">
        <f t="shared" si="71"/>
        <v>3.3825571122049728E-3</v>
      </c>
      <c r="AO574" s="3"/>
      <c r="AP574">
        <v>1</v>
      </c>
      <c r="AQ574" t="s">
        <v>1113</v>
      </c>
      <c r="AR574" t="s">
        <v>5361</v>
      </c>
      <c r="AS574" t="s">
        <v>1111</v>
      </c>
      <c r="AT574" s="2">
        <v>11.276999999999999</v>
      </c>
      <c r="AU574" s="1">
        <f t="shared" si="75"/>
        <v>10.049956465641849</v>
      </c>
      <c r="AV574" s="1">
        <f t="shared" si="76"/>
        <v>7.2751848215214636</v>
      </c>
      <c r="AW574" s="1">
        <f t="shared" si="77"/>
        <v>4.500413177401076</v>
      </c>
    </row>
    <row r="575" spans="1:49" x14ac:dyDescent="0.2">
      <c r="A575">
        <v>573</v>
      </c>
      <c r="B575" t="s">
        <v>5360</v>
      </c>
      <c r="C575" t="s">
        <v>5359</v>
      </c>
      <c r="F575" t="s">
        <v>5358</v>
      </c>
      <c r="G575" t="s">
        <v>12</v>
      </c>
      <c r="H575" t="s">
        <v>11</v>
      </c>
      <c r="I575" t="s">
        <v>5357</v>
      </c>
      <c r="J575">
        <v>60017016</v>
      </c>
      <c r="K575" t="s">
        <v>5356</v>
      </c>
      <c r="L575" t="s">
        <v>5355</v>
      </c>
      <c r="M575" t="s">
        <v>7</v>
      </c>
      <c r="N575">
        <v>1</v>
      </c>
      <c r="O575" t="s">
        <v>5354</v>
      </c>
      <c r="P575">
        <v>6602141279</v>
      </c>
      <c r="Q575">
        <v>60017016</v>
      </c>
      <c r="R575" s="7">
        <v>33604</v>
      </c>
      <c r="S575" s="8">
        <f t="shared" si="72"/>
        <v>1992</v>
      </c>
      <c r="T575" s="8">
        <v>1992</v>
      </c>
      <c r="U575" s="8">
        <f t="shared" si="73"/>
        <v>30</v>
      </c>
      <c r="V575" s="7">
        <v>33786</v>
      </c>
      <c r="W575" t="s">
        <v>1557</v>
      </c>
      <c r="X575" s="2">
        <v>1.137</v>
      </c>
      <c r="Y575" s="6">
        <f t="shared" si="70"/>
        <v>3.0351565628253384E-2</v>
      </c>
      <c r="AA575">
        <v>189251</v>
      </c>
      <c r="AB575">
        <v>17336</v>
      </c>
      <c r="AD575" t="s">
        <v>4</v>
      </c>
      <c r="AE575">
        <v>28</v>
      </c>
      <c r="AF575">
        <v>3</v>
      </c>
      <c r="AH575" t="s">
        <v>5353</v>
      </c>
      <c r="AI575" t="s">
        <v>5352</v>
      </c>
      <c r="AK575" t="s">
        <v>5351</v>
      </c>
      <c r="AL575">
        <v>51</v>
      </c>
      <c r="AM575" s="5">
        <f t="shared" si="74"/>
        <v>1.7</v>
      </c>
      <c r="AN575" s="4">
        <f t="shared" si="71"/>
        <v>2.5747822794396063E-3</v>
      </c>
      <c r="AO575" s="3"/>
      <c r="AP575">
        <v>0</v>
      </c>
      <c r="AR575" t="s">
        <v>0</v>
      </c>
      <c r="AT575" s="2" t="s">
        <v>16</v>
      </c>
      <c r="AU575" s="1">
        <f t="shared" si="75"/>
        <v>2.2018530623609247</v>
      </c>
      <c r="AV575" s="1">
        <f t="shared" si="76"/>
        <v>1.6463173953846495</v>
      </c>
      <c r="AW575" s="1">
        <f t="shared" si="77"/>
        <v>1.0907817284083738</v>
      </c>
    </row>
    <row r="576" spans="1:49" x14ac:dyDescent="0.2">
      <c r="A576">
        <v>574</v>
      </c>
      <c r="B576" t="s">
        <v>5350</v>
      </c>
      <c r="C576" t="s">
        <v>5349</v>
      </c>
      <c r="F576" t="s">
        <v>5348</v>
      </c>
      <c r="G576" t="s">
        <v>12</v>
      </c>
      <c r="H576" t="s">
        <v>11</v>
      </c>
      <c r="I576" t="s">
        <v>5347</v>
      </c>
      <c r="J576">
        <v>60009697</v>
      </c>
      <c r="K576" t="s">
        <v>5346</v>
      </c>
      <c r="L576" t="s">
        <v>5345</v>
      </c>
      <c r="M576" t="s">
        <v>393</v>
      </c>
      <c r="N576">
        <v>4</v>
      </c>
      <c r="O576" t="s">
        <v>5344</v>
      </c>
      <c r="P576" t="s">
        <v>5343</v>
      </c>
      <c r="Q576" t="s">
        <v>5342</v>
      </c>
      <c r="R576" s="7">
        <v>33604</v>
      </c>
      <c r="S576" s="8">
        <f t="shared" si="72"/>
        <v>1992</v>
      </c>
      <c r="T576" s="8">
        <v>1992</v>
      </c>
      <c r="U576" s="8">
        <f t="shared" si="73"/>
        <v>30</v>
      </c>
      <c r="V576" s="7" t="s">
        <v>5220</v>
      </c>
      <c r="W576" t="s">
        <v>2164</v>
      </c>
      <c r="X576" s="2">
        <v>0.46400000000000002</v>
      </c>
      <c r="Y576" s="6">
        <f t="shared" si="70"/>
        <v>1.2386214996930142E-2</v>
      </c>
      <c r="AA576">
        <v>8408688</v>
      </c>
      <c r="AB576">
        <v>26200</v>
      </c>
      <c r="AD576" t="s">
        <v>4</v>
      </c>
      <c r="AE576">
        <v>17</v>
      </c>
      <c r="AF576">
        <v>3</v>
      </c>
      <c r="AH576" t="s">
        <v>5341</v>
      </c>
      <c r="AI576" t="s">
        <v>5340</v>
      </c>
      <c r="AK576" t="s">
        <v>5339</v>
      </c>
      <c r="AL576">
        <v>2</v>
      </c>
      <c r="AM576" s="5">
        <f t="shared" si="74"/>
        <v>6.6666666666666666E-2</v>
      </c>
      <c r="AN576" s="4">
        <f t="shared" si="71"/>
        <v>1.0097185409567084E-4</v>
      </c>
      <c r="AO576" s="3"/>
      <c r="AP576">
        <v>0</v>
      </c>
      <c r="AR576" t="s">
        <v>0</v>
      </c>
      <c r="AT576" s="2" t="s">
        <v>16</v>
      </c>
      <c r="AU576" s="1">
        <f t="shared" si="75"/>
        <v>0.87006420540798013</v>
      </c>
      <c r="AV576" s="1">
        <f t="shared" si="76"/>
        <v>0.62435934255129066</v>
      </c>
      <c r="AW576" s="1">
        <f t="shared" si="77"/>
        <v>0.3786544796946012</v>
      </c>
    </row>
    <row r="577" spans="1:49" x14ac:dyDescent="0.2">
      <c r="A577">
        <v>575</v>
      </c>
      <c r="B577" t="s">
        <v>5338</v>
      </c>
      <c r="C577" t="s">
        <v>5337</v>
      </c>
      <c r="F577" t="s">
        <v>5336</v>
      </c>
      <c r="G577" t="s">
        <v>12</v>
      </c>
      <c r="H577" t="s">
        <v>11</v>
      </c>
      <c r="I577" t="s">
        <v>5335</v>
      </c>
      <c r="J577">
        <v>100351959</v>
      </c>
      <c r="K577" t="s">
        <v>5334</v>
      </c>
      <c r="L577" t="s">
        <v>5333</v>
      </c>
      <c r="M577" t="s">
        <v>7</v>
      </c>
      <c r="N577">
        <v>1</v>
      </c>
      <c r="O577" t="s">
        <v>5332</v>
      </c>
      <c r="P577">
        <v>7403973259</v>
      </c>
      <c r="Q577">
        <v>100351959</v>
      </c>
      <c r="R577" s="7">
        <v>33604</v>
      </c>
      <c r="S577" s="8">
        <f t="shared" si="72"/>
        <v>1992</v>
      </c>
      <c r="T577" s="8">
        <v>1992</v>
      </c>
      <c r="U577" s="8">
        <f t="shared" si="73"/>
        <v>30</v>
      </c>
      <c r="V577" s="7">
        <v>33786</v>
      </c>
      <c r="W577" t="s">
        <v>1557</v>
      </c>
      <c r="X577" s="2">
        <v>1.137</v>
      </c>
      <c r="Y577" s="6">
        <f t="shared" si="70"/>
        <v>3.0351565628253384E-2</v>
      </c>
      <c r="AA577">
        <v>189251</v>
      </c>
      <c r="AB577">
        <v>17336</v>
      </c>
      <c r="AD577" t="s">
        <v>4</v>
      </c>
      <c r="AE577">
        <v>28</v>
      </c>
      <c r="AF577">
        <v>3</v>
      </c>
      <c r="AH577" t="s">
        <v>5331</v>
      </c>
      <c r="AL577">
        <v>0</v>
      </c>
      <c r="AM577" s="5">
        <f t="shared" si="74"/>
        <v>0</v>
      </c>
      <c r="AN577" s="4">
        <f t="shared" si="71"/>
        <v>0</v>
      </c>
      <c r="AO577" s="3"/>
      <c r="AP577">
        <v>0</v>
      </c>
      <c r="AR577" t="s">
        <v>0</v>
      </c>
      <c r="AT577" s="2" t="s">
        <v>16</v>
      </c>
      <c r="AU577" s="1">
        <f t="shared" si="75"/>
        <v>2.1246095939777367</v>
      </c>
      <c r="AV577" s="1">
        <f t="shared" si="76"/>
        <v>1.5175782814126693</v>
      </c>
      <c r="AW577" s="1">
        <f t="shared" si="77"/>
        <v>0.91054696884760156</v>
      </c>
    </row>
    <row r="578" spans="1:49" x14ac:dyDescent="0.2">
      <c r="A578">
        <v>576</v>
      </c>
      <c r="B578" t="s">
        <v>5330</v>
      </c>
      <c r="C578" t="s">
        <v>5329</v>
      </c>
      <c r="F578" t="s">
        <v>5328</v>
      </c>
      <c r="G578" t="s">
        <v>12</v>
      </c>
      <c r="H578" t="s">
        <v>11</v>
      </c>
      <c r="I578" t="s">
        <v>5327</v>
      </c>
      <c r="J578" t="s">
        <v>5326</v>
      </c>
      <c r="K578" t="s">
        <v>5325</v>
      </c>
      <c r="L578" t="s">
        <v>5324</v>
      </c>
      <c r="M578" t="s">
        <v>5323</v>
      </c>
      <c r="N578">
        <v>4</v>
      </c>
      <c r="O578" t="s">
        <v>5322</v>
      </c>
      <c r="P578" t="s">
        <v>5321</v>
      </c>
      <c r="Q578" t="s">
        <v>5320</v>
      </c>
      <c r="R578" s="7">
        <v>33604</v>
      </c>
      <c r="S578" s="8">
        <f t="shared" si="72"/>
        <v>1992</v>
      </c>
      <c r="T578" s="8">
        <v>1992</v>
      </c>
      <c r="U578" s="8">
        <f t="shared" si="73"/>
        <v>30</v>
      </c>
      <c r="V578" s="7">
        <v>33786</v>
      </c>
      <c r="W578" t="s">
        <v>1557</v>
      </c>
      <c r="X578" s="2">
        <v>1.137</v>
      </c>
      <c r="Y578" s="6">
        <f t="shared" ref="Y578:Y641" si="78">(X578-$Z$4)/($Z$3-$Z$4)</f>
        <v>3.0351565628253384E-2</v>
      </c>
      <c r="AA578">
        <v>189251</v>
      </c>
      <c r="AB578">
        <v>17336</v>
      </c>
      <c r="AD578" t="s">
        <v>4</v>
      </c>
      <c r="AE578">
        <v>28</v>
      </c>
      <c r="AF578">
        <v>3</v>
      </c>
      <c r="AH578" t="s">
        <v>5319</v>
      </c>
      <c r="AI578" t="s">
        <v>5318</v>
      </c>
      <c r="AK578" t="s">
        <v>5317</v>
      </c>
      <c r="AL578">
        <v>8</v>
      </c>
      <c r="AM578" s="5">
        <f t="shared" si="74"/>
        <v>0.26666666666666666</v>
      </c>
      <c r="AN578" s="4">
        <f t="shared" ref="AN578:AN641" si="79">(AM578-$AO$4)/($AO$3-$AO$4)</f>
        <v>4.0388741638268334E-4</v>
      </c>
      <c r="AO578" s="3"/>
      <c r="AP578">
        <v>0</v>
      </c>
      <c r="AQ578" t="s">
        <v>571</v>
      </c>
      <c r="AR578" t="s">
        <v>0</v>
      </c>
      <c r="AS578" t="s">
        <v>570</v>
      </c>
      <c r="AT578" s="2" t="s">
        <v>16</v>
      </c>
      <c r="AU578" s="1">
        <f t="shared" si="75"/>
        <v>2.1367262164692171</v>
      </c>
      <c r="AV578" s="1">
        <f t="shared" si="76"/>
        <v>1.5377726522318034</v>
      </c>
      <c r="AW578" s="1">
        <f t="shared" si="77"/>
        <v>0.93881908799438929</v>
      </c>
    </row>
    <row r="579" spans="1:49" x14ac:dyDescent="0.2">
      <c r="A579">
        <v>577</v>
      </c>
      <c r="B579" t="s">
        <v>5316</v>
      </c>
      <c r="C579" t="s">
        <v>5315</v>
      </c>
      <c r="F579" t="s">
        <v>5314</v>
      </c>
      <c r="G579" t="s">
        <v>12</v>
      </c>
      <c r="H579" t="s">
        <v>11</v>
      </c>
      <c r="I579" t="s">
        <v>5313</v>
      </c>
      <c r="J579">
        <v>60005304</v>
      </c>
      <c r="K579" t="s">
        <v>1244</v>
      </c>
      <c r="L579" t="s">
        <v>1243</v>
      </c>
      <c r="M579" t="s">
        <v>7</v>
      </c>
      <c r="N579">
        <v>1</v>
      </c>
      <c r="O579" t="s">
        <v>5312</v>
      </c>
      <c r="P579">
        <v>56796762000</v>
      </c>
      <c r="Q579">
        <v>60005304</v>
      </c>
      <c r="R579" s="7">
        <v>33604</v>
      </c>
      <c r="S579" s="8">
        <f t="shared" si="72"/>
        <v>1992</v>
      </c>
      <c r="T579" s="8">
        <v>1992</v>
      </c>
      <c r="U579" s="8">
        <f t="shared" si="73"/>
        <v>30</v>
      </c>
      <c r="V579" s="7">
        <v>33786</v>
      </c>
      <c r="W579" t="s">
        <v>1557</v>
      </c>
      <c r="X579" s="2">
        <v>1.137</v>
      </c>
      <c r="Y579" s="6">
        <f t="shared" si="78"/>
        <v>3.0351565628253384E-2</v>
      </c>
      <c r="AA579">
        <v>189251</v>
      </c>
      <c r="AB579">
        <v>17336</v>
      </c>
      <c r="AD579" t="s">
        <v>4</v>
      </c>
      <c r="AE579">
        <v>28</v>
      </c>
      <c r="AF579">
        <v>3</v>
      </c>
      <c r="AH579" t="s">
        <v>5311</v>
      </c>
      <c r="AI579" t="s">
        <v>5310</v>
      </c>
      <c r="AK579" t="s">
        <v>5309</v>
      </c>
      <c r="AL579">
        <v>1</v>
      </c>
      <c r="AM579" s="5">
        <f t="shared" si="74"/>
        <v>3.3333333333333333E-2</v>
      </c>
      <c r="AN579" s="4">
        <f t="shared" si="79"/>
        <v>5.0485927047835418E-5</v>
      </c>
      <c r="AO579" s="3"/>
      <c r="AP579">
        <v>0</v>
      </c>
      <c r="AR579" t="s">
        <v>0</v>
      </c>
      <c r="AS579" t="s">
        <v>5308</v>
      </c>
      <c r="AT579" s="2" t="s">
        <v>16</v>
      </c>
      <c r="AU579" s="1">
        <f t="shared" si="75"/>
        <v>2.1261241717891717</v>
      </c>
      <c r="AV579" s="1">
        <f t="shared" si="76"/>
        <v>1.520102577765061</v>
      </c>
      <c r="AW579" s="1">
        <f t="shared" si="77"/>
        <v>0.91408098374095004</v>
      </c>
    </row>
    <row r="580" spans="1:49" x14ac:dyDescent="0.2">
      <c r="A580">
        <v>578</v>
      </c>
      <c r="B580" t="s">
        <v>5307</v>
      </c>
      <c r="C580" t="s">
        <v>5306</v>
      </c>
      <c r="E580">
        <v>1495074</v>
      </c>
      <c r="F580" t="s">
        <v>5305</v>
      </c>
      <c r="G580" t="s">
        <v>12</v>
      </c>
      <c r="H580" t="s">
        <v>11</v>
      </c>
      <c r="I580" t="s">
        <v>5304</v>
      </c>
      <c r="J580">
        <v>60011108</v>
      </c>
      <c r="K580" t="s">
        <v>5303</v>
      </c>
      <c r="L580" t="s">
        <v>5302</v>
      </c>
      <c r="M580" t="s">
        <v>7</v>
      </c>
      <c r="N580">
        <v>3</v>
      </c>
      <c r="O580" t="s">
        <v>5301</v>
      </c>
      <c r="P580" t="s">
        <v>5300</v>
      </c>
      <c r="Q580" t="s">
        <v>5299</v>
      </c>
      <c r="R580" s="7">
        <v>33604</v>
      </c>
      <c r="S580" s="8">
        <f t="shared" si="72"/>
        <v>1992</v>
      </c>
      <c r="T580" s="8">
        <v>1992</v>
      </c>
      <c r="U580" s="8">
        <f t="shared" si="73"/>
        <v>30</v>
      </c>
      <c r="V580" s="7">
        <v>33786</v>
      </c>
      <c r="W580" t="s">
        <v>5298</v>
      </c>
      <c r="X580" s="2" t="s">
        <v>16</v>
      </c>
      <c r="Y580" s="6" t="e">
        <f t="shared" si="78"/>
        <v>#VALUE!</v>
      </c>
      <c r="AA580">
        <v>222585</v>
      </c>
      <c r="AB580">
        <v>20491</v>
      </c>
      <c r="AD580" t="s">
        <v>4</v>
      </c>
      <c r="AE580">
        <v>29</v>
      </c>
      <c r="AF580">
        <v>4</v>
      </c>
      <c r="AH580" t="s">
        <v>5297</v>
      </c>
      <c r="AI580" t="s">
        <v>5296</v>
      </c>
      <c r="AK580" t="s">
        <v>5295</v>
      </c>
      <c r="AL580">
        <v>19</v>
      </c>
      <c r="AM580" s="5">
        <f t="shared" si="74"/>
        <v>0.6333333333333333</v>
      </c>
      <c r="AN580" s="4">
        <f t="shared" si="79"/>
        <v>9.5923261390887281E-4</v>
      </c>
      <c r="AO580" s="3"/>
      <c r="AP580">
        <v>0</v>
      </c>
      <c r="AQ580" t="s">
        <v>2082</v>
      </c>
      <c r="AR580" t="s">
        <v>5294</v>
      </c>
      <c r="AS580" t="s">
        <v>2080</v>
      </c>
      <c r="AT580" s="2">
        <v>2.278</v>
      </c>
      <c r="AU580" s="1" t="e">
        <f t="shared" si="75"/>
        <v>#VALUE!</v>
      </c>
      <c r="AV580" s="1" t="e">
        <f t="shared" si="76"/>
        <v>#VALUE!</v>
      </c>
      <c r="AW580" s="1" t="e">
        <f t="shared" si="77"/>
        <v>#VALUE!</v>
      </c>
    </row>
    <row r="581" spans="1:49" x14ac:dyDescent="0.2">
      <c r="A581">
        <v>579</v>
      </c>
      <c r="B581" t="s">
        <v>5293</v>
      </c>
      <c r="C581" t="s">
        <v>5292</v>
      </c>
      <c r="D581">
        <v>22231392901564</v>
      </c>
      <c r="F581" t="s">
        <v>5291</v>
      </c>
      <c r="G581" t="s">
        <v>12</v>
      </c>
      <c r="H581" t="s">
        <v>11</v>
      </c>
      <c r="I581" t="s">
        <v>5290</v>
      </c>
      <c r="J581">
        <v>60016605</v>
      </c>
      <c r="K581" t="s">
        <v>5289</v>
      </c>
      <c r="L581" t="s">
        <v>5288</v>
      </c>
      <c r="M581" t="s">
        <v>5287</v>
      </c>
      <c r="N581">
        <v>5</v>
      </c>
      <c r="O581" t="s">
        <v>5286</v>
      </c>
      <c r="P581" t="s">
        <v>5285</v>
      </c>
      <c r="Q581" t="s">
        <v>5284</v>
      </c>
      <c r="R581" s="7">
        <v>33604</v>
      </c>
      <c r="S581" s="8">
        <f t="shared" si="72"/>
        <v>1992</v>
      </c>
      <c r="T581" s="8">
        <v>1992</v>
      </c>
      <c r="U581" s="8">
        <f t="shared" si="73"/>
        <v>30</v>
      </c>
      <c r="V581" s="7">
        <v>33786</v>
      </c>
      <c r="W581" t="s">
        <v>2603</v>
      </c>
      <c r="X581" s="2">
        <v>0.65200000000000002</v>
      </c>
      <c r="Y581" s="6">
        <f t="shared" si="78"/>
        <v>1.7404767624996664E-2</v>
      </c>
      <c r="AA581">
        <v>222313</v>
      </c>
      <c r="AB581">
        <v>12179</v>
      </c>
      <c r="AD581" t="s">
        <v>4</v>
      </c>
      <c r="AE581">
        <v>53</v>
      </c>
      <c r="AF581" s="9">
        <v>44348</v>
      </c>
      <c r="AH581" t="s">
        <v>5283</v>
      </c>
      <c r="AI581" t="s">
        <v>5282</v>
      </c>
      <c r="AK581" t="s">
        <v>5281</v>
      </c>
      <c r="AL581">
        <v>3</v>
      </c>
      <c r="AM581" s="5">
        <f t="shared" si="74"/>
        <v>0.1</v>
      </c>
      <c r="AN581" s="4">
        <f t="shared" si="79"/>
        <v>1.5145778114350627E-4</v>
      </c>
      <c r="AO581" s="3"/>
      <c r="AP581">
        <v>0</v>
      </c>
      <c r="AR581" t="s">
        <v>0</v>
      </c>
      <c r="AT581" s="2">
        <v>3.5990000000000002</v>
      </c>
      <c r="AU581" s="1">
        <f t="shared" si="75"/>
        <v>1.2228774671840716</v>
      </c>
      <c r="AV581" s="1">
        <f t="shared" si="76"/>
        <v>0.87781127030700845</v>
      </c>
      <c r="AW581" s="1">
        <f t="shared" si="77"/>
        <v>0.53274507342994526</v>
      </c>
    </row>
    <row r="582" spans="1:49" x14ac:dyDescent="0.2">
      <c r="A582">
        <v>580</v>
      </c>
      <c r="B582" t="s">
        <v>5280</v>
      </c>
      <c r="C582" t="s">
        <v>5279</v>
      </c>
      <c r="F582" t="s">
        <v>5278</v>
      </c>
      <c r="G582" t="s">
        <v>12</v>
      </c>
      <c r="H582" t="s">
        <v>11</v>
      </c>
      <c r="I582" t="s">
        <v>5277</v>
      </c>
      <c r="J582">
        <v>60025555</v>
      </c>
      <c r="K582" t="s">
        <v>2889</v>
      </c>
      <c r="L582" t="s">
        <v>667</v>
      </c>
      <c r="M582" t="s">
        <v>151</v>
      </c>
      <c r="N582">
        <v>3</v>
      </c>
      <c r="O582" t="s">
        <v>5276</v>
      </c>
      <c r="P582" t="s">
        <v>5275</v>
      </c>
      <c r="Q582" t="s">
        <v>4146</v>
      </c>
      <c r="R582" s="7">
        <v>33604</v>
      </c>
      <c r="S582" s="8">
        <f t="shared" si="72"/>
        <v>1992</v>
      </c>
      <c r="T582" s="8">
        <v>1992</v>
      </c>
      <c r="U582" s="8">
        <f t="shared" si="73"/>
        <v>30</v>
      </c>
      <c r="V582" s="7">
        <v>1992</v>
      </c>
      <c r="W582" t="s">
        <v>665</v>
      </c>
      <c r="X582" s="2">
        <v>0.111</v>
      </c>
      <c r="Y582" s="6">
        <f t="shared" si="78"/>
        <v>2.9630816048690639E-3</v>
      </c>
      <c r="AA582">
        <v>87566621</v>
      </c>
      <c r="AB582">
        <v>24890</v>
      </c>
      <c r="AC582">
        <v>15206424</v>
      </c>
      <c r="AD582" t="s">
        <v>4</v>
      </c>
      <c r="AE582">
        <v>75</v>
      </c>
      <c r="AF582">
        <v>7</v>
      </c>
      <c r="AH582" t="s">
        <v>5274</v>
      </c>
      <c r="AI582" t="s">
        <v>5273</v>
      </c>
      <c r="AJ582" t="s">
        <v>5272</v>
      </c>
      <c r="AK582" t="s">
        <v>5271</v>
      </c>
      <c r="AL582">
        <v>0</v>
      </c>
      <c r="AM582" s="5">
        <f t="shared" si="74"/>
        <v>0</v>
      </c>
      <c r="AN582" s="4">
        <f t="shared" si="79"/>
        <v>0</v>
      </c>
      <c r="AO582" s="3"/>
      <c r="AP582">
        <v>0</v>
      </c>
      <c r="AR582" t="s">
        <v>0</v>
      </c>
      <c r="AT582" s="2" t="s">
        <v>16</v>
      </c>
      <c r="AU582" s="1">
        <f t="shared" si="75"/>
        <v>0.20741571234083445</v>
      </c>
      <c r="AV582" s="1">
        <f t="shared" si="76"/>
        <v>0.1481540802434532</v>
      </c>
      <c r="AW582" s="1">
        <f t="shared" si="77"/>
        <v>8.8892448146071903E-2</v>
      </c>
    </row>
    <row r="583" spans="1:49" x14ac:dyDescent="0.2">
      <c r="A583">
        <v>581</v>
      </c>
      <c r="B583" t="s">
        <v>5270</v>
      </c>
      <c r="C583" t="s">
        <v>5269</v>
      </c>
      <c r="F583" t="s">
        <v>5268</v>
      </c>
      <c r="G583" t="s">
        <v>12</v>
      </c>
      <c r="H583" t="s">
        <v>11</v>
      </c>
      <c r="I583" t="s">
        <v>5267</v>
      </c>
      <c r="J583" t="s">
        <v>5266</v>
      </c>
      <c r="K583" t="s">
        <v>5265</v>
      </c>
      <c r="L583" t="s">
        <v>5264</v>
      </c>
      <c r="M583" t="s">
        <v>931</v>
      </c>
      <c r="N583">
        <v>4</v>
      </c>
      <c r="O583" t="s">
        <v>5263</v>
      </c>
      <c r="P583" t="s">
        <v>5262</v>
      </c>
      <c r="Q583" t="s">
        <v>5261</v>
      </c>
      <c r="R583" s="7">
        <v>33604</v>
      </c>
      <c r="S583" s="8">
        <f t="shared" si="72"/>
        <v>1992</v>
      </c>
      <c r="T583" s="8">
        <v>1992</v>
      </c>
      <c r="U583" s="8">
        <f t="shared" si="73"/>
        <v>30</v>
      </c>
      <c r="V583" s="7">
        <v>33786</v>
      </c>
      <c r="W583" t="s">
        <v>1557</v>
      </c>
      <c r="X583" s="2">
        <v>1.137</v>
      </c>
      <c r="Y583" s="6">
        <f t="shared" si="78"/>
        <v>3.0351565628253384E-2</v>
      </c>
      <c r="AA583">
        <v>189251</v>
      </c>
      <c r="AB583">
        <v>17336</v>
      </c>
      <c r="AD583" t="s">
        <v>4</v>
      </c>
      <c r="AE583">
        <v>28</v>
      </c>
      <c r="AF583">
        <v>3</v>
      </c>
      <c r="AH583" t="s">
        <v>5260</v>
      </c>
      <c r="AL583">
        <v>13</v>
      </c>
      <c r="AM583" s="5">
        <f t="shared" si="74"/>
        <v>0.43333333333333335</v>
      </c>
      <c r="AN583" s="4">
        <f t="shared" si="79"/>
        <v>6.5631705162186044E-4</v>
      </c>
      <c r="AO583" s="3"/>
      <c r="AP583">
        <v>0</v>
      </c>
      <c r="AR583" t="s">
        <v>0</v>
      </c>
      <c r="AT583" s="2" t="s">
        <v>16</v>
      </c>
      <c r="AU583" s="1">
        <f t="shared" si="75"/>
        <v>2.1442991055263922</v>
      </c>
      <c r="AV583" s="1">
        <f t="shared" si="76"/>
        <v>1.5503941339937621</v>
      </c>
      <c r="AW583" s="1">
        <f t="shared" si="77"/>
        <v>0.9564891624611318</v>
      </c>
    </row>
    <row r="584" spans="1:49" x14ac:dyDescent="0.2">
      <c r="A584">
        <v>582</v>
      </c>
      <c r="B584" t="s">
        <v>5259</v>
      </c>
      <c r="C584" t="s">
        <v>5258</v>
      </c>
      <c r="E584">
        <v>1518067</v>
      </c>
      <c r="F584" t="s">
        <v>5257</v>
      </c>
      <c r="G584" t="s">
        <v>12</v>
      </c>
      <c r="H584" t="s">
        <v>11</v>
      </c>
      <c r="I584" t="s">
        <v>5256</v>
      </c>
      <c r="J584">
        <v>60015875</v>
      </c>
      <c r="K584" t="s">
        <v>5255</v>
      </c>
      <c r="L584" t="s">
        <v>5254</v>
      </c>
      <c r="M584" t="s">
        <v>856</v>
      </c>
      <c r="N584">
        <v>3</v>
      </c>
      <c r="O584" t="s">
        <v>5253</v>
      </c>
      <c r="P584" t="s">
        <v>5252</v>
      </c>
      <c r="Q584" t="s">
        <v>5251</v>
      </c>
      <c r="R584" s="7">
        <v>33604</v>
      </c>
      <c r="S584" s="8">
        <f t="shared" si="72"/>
        <v>1992</v>
      </c>
      <c r="T584" s="8">
        <v>1992</v>
      </c>
      <c r="U584" s="8">
        <f t="shared" si="73"/>
        <v>30</v>
      </c>
      <c r="V584" s="7">
        <v>33786</v>
      </c>
      <c r="W584" t="s">
        <v>5250</v>
      </c>
      <c r="X584" s="2">
        <v>0.65200000000000002</v>
      </c>
      <c r="Y584" s="6">
        <f t="shared" si="78"/>
        <v>1.7404767624996664E-2</v>
      </c>
      <c r="AA584">
        <v>3622525</v>
      </c>
      <c r="AB584">
        <v>29629</v>
      </c>
      <c r="AC584">
        <v>10974687</v>
      </c>
      <c r="AD584" t="s">
        <v>4</v>
      </c>
      <c r="AE584">
        <v>213</v>
      </c>
      <c r="AF584">
        <v>1</v>
      </c>
      <c r="AH584" t="s">
        <v>5249</v>
      </c>
      <c r="AI584" t="s">
        <v>5248</v>
      </c>
      <c r="AK584" t="s">
        <v>5247</v>
      </c>
      <c r="AL584">
        <v>30</v>
      </c>
      <c r="AM584" s="5">
        <f t="shared" si="74"/>
        <v>1</v>
      </c>
      <c r="AN584" s="4">
        <f t="shared" si="79"/>
        <v>1.5145778114350624E-3</v>
      </c>
      <c r="AO584" s="3"/>
      <c r="AP584">
        <v>0</v>
      </c>
      <c r="AR584" t="s">
        <v>0</v>
      </c>
      <c r="AT584" s="2">
        <v>1.804</v>
      </c>
      <c r="AU584" s="1">
        <f t="shared" si="75"/>
        <v>1.2637710680928183</v>
      </c>
      <c r="AV584" s="1">
        <f t="shared" si="76"/>
        <v>0.94596727182158624</v>
      </c>
      <c r="AW584" s="1">
        <f t="shared" si="77"/>
        <v>0.62816347555035423</v>
      </c>
    </row>
    <row r="585" spans="1:49" x14ac:dyDescent="0.2">
      <c r="A585">
        <v>583</v>
      </c>
      <c r="B585" t="s">
        <v>5246</v>
      </c>
      <c r="C585" t="s">
        <v>5245</v>
      </c>
      <c r="F585" t="s">
        <v>5244</v>
      </c>
      <c r="G585" t="s">
        <v>12</v>
      </c>
      <c r="H585" t="s">
        <v>11</v>
      </c>
      <c r="I585" t="s">
        <v>3817</v>
      </c>
      <c r="J585" t="s">
        <v>4584</v>
      </c>
      <c r="K585" t="s">
        <v>4583</v>
      </c>
      <c r="L585" t="s">
        <v>4582</v>
      </c>
      <c r="M585" t="s">
        <v>3814</v>
      </c>
      <c r="N585">
        <v>2</v>
      </c>
      <c r="O585" t="s">
        <v>3813</v>
      </c>
      <c r="P585" t="s">
        <v>3812</v>
      </c>
      <c r="Q585" t="s">
        <v>4584</v>
      </c>
      <c r="R585" s="7">
        <v>33604</v>
      </c>
      <c r="S585" s="8">
        <f t="shared" si="72"/>
        <v>1992</v>
      </c>
      <c r="T585" s="8">
        <v>1992</v>
      </c>
      <c r="U585" s="8">
        <f t="shared" si="73"/>
        <v>30</v>
      </c>
      <c r="V585" s="7">
        <v>33786</v>
      </c>
      <c r="W585" t="s">
        <v>1557</v>
      </c>
      <c r="X585" s="2">
        <v>1.137</v>
      </c>
      <c r="Y585" s="6">
        <f t="shared" si="78"/>
        <v>3.0351565628253384E-2</v>
      </c>
      <c r="AA585">
        <v>189251</v>
      </c>
      <c r="AB585">
        <v>17336</v>
      </c>
      <c r="AD585" t="s">
        <v>4</v>
      </c>
      <c r="AE585">
        <v>28</v>
      </c>
      <c r="AF585">
        <v>3</v>
      </c>
      <c r="AH585" t="s">
        <v>5243</v>
      </c>
      <c r="AI585" t="s">
        <v>5242</v>
      </c>
      <c r="AK585" t="s">
        <v>5241</v>
      </c>
      <c r="AL585">
        <v>20</v>
      </c>
      <c r="AM585" s="5">
        <f t="shared" si="74"/>
        <v>0.66666666666666663</v>
      </c>
      <c r="AN585" s="4">
        <f t="shared" si="79"/>
        <v>1.0097185409567082E-3</v>
      </c>
      <c r="AO585" s="3"/>
      <c r="AP585">
        <v>0</v>
      </c>
      <c r="AQ585" t="s">
        <v>2784</v>
      </c>
      <c r="AR585" t="s">
        <v>5240</v>
      </c>
      <c r="AS585" t="s">
        <v>2783</v>
      </c>
      <c r="AT585" s="2" t="s">
        <v>16</v>
      </c>
      <c r="AU585" s="1">
        <f t="shared" si="75"/>
        <v>2.1549011502064381</v>
      </c>
      <c r="AV585" s="1">
        <f t="shared" si="76"/>
        <v>1.5680642084605048</v>
      </c>
      <c r="AW585" s="1">
        <f t="shared" si="77"/>
        <v>0.98122726671457106</v>
      </c>
    </row>
    <row r="586" spans="1:49" x14ac:dyDescent="0.2">
      <c r="A586">
        <v>584</v>
      </c>
      <c r="B586" t="s">
        <v>5239</v>
      </c>
      <c r="C586" t="s">
        <v>5238</v>
      </c>
      <c r="F586" t="s">
        <v>5237</v>
      </c>
      <c r="G586" t="s">
        <v>12</v>
      </c>
      <c r="H586" t="s">
        <v>11</v>
      </c>
      <c r="I586" t="s">
        <v>5236</v>
      </c>
      <c r="J586">
        <v>60013506</v>
      </c>
      <c r="K586" t="s">
        <v>5225</v>
      </c>
      <c r="L586" t="s">
        <v>5224</v>
      </c>
      <c r="M586" t="s">
        <v>393</v>
      </c>
      <c r="N586">
        <v>4</v>
      </c>
      <c r="O586" t="s">
        <v>5235</v>
      </c>
      <c r="P586" t="s">
        <v>5234</v>
      </c>
      <c r="Q586" t="s">
        <v>5233</v>
      </c>
      <c r="R586" s="7">
        <v>33604</v>
      </c>
      <c r="S586" s="8">
        <f t="shared" si="72"/>
        <v>1992</v>
      </c>
      <c r="T586" s="8">
        <v>1992</v>
      </c>
      <c r="U586" s="8">
        <f t="shared" si="73"/>
        <v>30</v>
      </c>
      <c r="V586" s="7" t="s">
        <v>5220</v>
      </c>
      <c r="W586" t="s">
        <v>2164</v>
      </c>
      <c r="X586" s="2">
        <v>0.46400000000000002</v>
      </c>
      <c r="Y586" s="6">
        <f t="shared" si="78"/>
        <v>1.2386214996930142E-2</v>
      </c>
      <c r="AA586">
        <v>8408688</v>
      </c>
      <c r="AB586">
        <v>26200</v>
      </c>
      <c r="AD586" t="s">
        <v>4</v>
      </c>
      <c r="AE586">
        <v>17</v>
      </c>
      <c r="AF586">
        <v>3</v>
      </c>
      <c r="AH586" t="s">
        <v>5232</v>
      </c>
      <c r="AI586" t="s">
        <v>5231</v>
      </c>
      <c r="AK586" t="s">
        <v>5230</v>
      </c>
      <c r="AL586">
        <v>0</v>
      </c>
      <c r="AM586" s="5">
        <f t="shared" si="74"/>
        <v>0</v>
      </c>
      <c r="AN586" s="4">
        <f t="shared" si="79"/>
        <v>0</v>
      </c>
      <c r="AO586" s="3"/>
      <c r="AP586">
        <v>0</v>
      </c>
      <c r="AR586" t="s">
        <v>0</v>
      </c>
      <c r="AT586" s="2" t="s">
        <v>16</v>
      </c>
      <c r="AU586" s="1">
        <f t="shared" si="75"/>
        <v>0.86703504978510992</v>
      </c>
      <c r="AV586" s="1">
        <f t="shared" si="76"/>
        <v>0.61931074984650714</v>
      </c>
      <c r="AW586" s="1">
        <f t="shared" si="77"/>
        <v>0.37158644990790424</v>
      </c>
    </row>
    <row r="587" spans="1:49" x14ac:dyDescent="0.2">
      <c r="A587">
        <v>585</v>
      </c>
      <c r="B587" t="s">
        <v>5229</v>
      </c>
      <c r="C587" t="s">
        <v>5228</v>
      </c>
      <c r="F587" t="s">
        <v>5227</v>
      </c>
      <c r="G587" t="s">
        <v>12</v>
      </c>
      <c r="H587" t="s">
        <v>11</v>
      </c>
      <c r="I587" t="s">
        <v>5226</v>
      </c>
      <c r="J587">
        <v>60013506</v>
      </c>
      <c r="K587" t="s">
        <v>5225</v>
      </c>
      <c r="L587" t="s">
        <v>5224</v>
      </c>
      <c r="M587" t="s">
        <v>393</v>
      </c>
      <c r="N587">
        <v>2</v>
      </c>
      <c r="O587" t="s">
        <v>5223</v>
      </c>
      <c r="P587" t="s">
        <v>5222</v>
      </c>
      <c r="Q587" t="s">
        <v>5221</v>
      </c>
      <c r="R587" s="7">
        <v>33604</v>
      </c>
      <c r="S587" s="8">
        <f t="shared" si="72"/>
        <v>1992</v>
      </c>
      <c r="T587" s="8">
        <v>1992</v>
      </c>
      <c r="U587" s="8">
        <f t="shared" si="73"/>
        <v>30</v>
      </c>
      <c r="V587" s="7" t="s">
        <v>5220</v>
      </c>
      <c r="W587" t="s">
        <v>2164</v>
      </c>
      <c r="X587" s="2">
        <v>0.46400000000000002</v>
      </c>
      <c r="Y587" s="6">
        <f t="shared" si="78"/>
        <v>1.2386214996930142E-2</v>
      </c>
      <c r="AA587">
        <v>8408688</v>
      </c>
      <c r="AB587">
        <v>26200</v>
      </c>
      <c r="AD587" t="s">
        <v>4</v>
      </c>
      <c r="AE587">
        <v>17</v>
      </c>
      <c r="AF587">
        <v>3</v>
      </c>
      <c r="AH587" t="s">
        <v>5219</v>
      </c>
      <c r="AI587" t="s">
        <v>5218</v>
      </c>
      <c r="AK587" t="s">
        <v>5217</v>
      </c>
      <c r="AL587">
        <v>1</v>
      </c>
      <c r="AM587" s="5">
        <f t="shared" si="74"/>
        <v>3.3333333333333333E-2</v>
      </c>
      <c r="AN587" s="4">
        <f t="shared" si="79"/>
        <v>5.0485927047835418E-5</v>
      </c>
      <c r="AO587" s="3"/>
      <c r="AP587">
        <v>0</v>
      </c>
      <c r="AR587" t="s">
        <v>0</v>
      </c>
      <c r="AT587" s="2" t="s">
        <v>16</v>
      </c>
      <c r="AU587" s="1">
        <f t="shared" si="75"/>
        <v>0.86854962759654497</v>
      </c>
      <c r="AV587" s="1">
        <f t="shared" si="76"/>
        <v>0.62183504619889884</v>
      </c>
      <c r="AW587" s="1">
        <f t="shared" si="77"/>
        <v>0.37512046480125277</v>
      </c>
    </row>
    <row r="588" spans="1:49" x14ac:dyDescent="0.2">
      <c r="A588">
        <v>586</v>
      </c>
      <c r="B588" t="s">
        <v>5216</v>
      </c>
      <c r="C588" t="s">
        <v>5215</v>
      </c>
      <c r="F588" t="s">
        <v>5214</v>
      </c>
      <c r="G588" t="s">
        <v>12</v>
      </c>
      <c r="H588" t="s">
        <v>11</v>
      </c>
      <c r="I588" t="s">
        <v>5213</v>
      </c>
      <c r="J588">
        <v>60101699</v>
      </c>
      <c r="K588" t="s">
        <v>5212</v>
      </c>
      <c r="L588" t="s">
        <v>667</v>
      </c>
      <c r="M588" t="s">
        <v>151</v>
      </c>
      <c r="N588">
        <v>3</v>
      </c>
      <c r="O588" t="s">
        <v>5211</v>
      </c>
      <c r="P588" t="s">
        <v>5210</v>
      </c>
      <c r="Q588" t="s">
        <v>5209</v>
      </c>
      <c r="R588" s="7">
        <v>33604</v>
      </c>
      <c r="S588" s="8">
        <f t="shared" si="72"/>
        <v>1992</v>
      </c>
      <c r="T588" s="8">
        <v>1992</v>
      </c>
      <c r="U588" s="8">
        <f t="shared" si="73"/>
        <v>30</v>
      </c>
      <c r="V588" s="7">
        <v>1992</v>
      </c>
      <c r="W588" t="s">
        <v>665</v>
      </c>
      <c r="X588" s="2">
        <v>0.111</v>
      </c>
      <c r="Y588" s="6">
        <f t="shared" si="78"/>
        <v>2.9630816048690639E-3</v>
      </c>
      <c r="AA588">
        <v>87566621</v>
      </c>
      <c r="AB588">
        <v>24890</v>
      </c>
      <c r="AC588">
        <v>15206424</v>
      </c>
      <c r="AD588" t="s">
        <v>4</v>
      </c>
      <c r="AE588">
        <v>75</v>
      </c>
      <c r="AF588">
        <v>7</v>
      </c>
      <c r="AH588" t="s">
        <v>5208</v>
      </c>
      <c r="AI588" t="s">
        <v>5207</v>
      </c>
      <c r="AJ588" t="s">
        <v>5206</v>
      </c>
      <c r="AK588" t="s">
        <v>5205</v>
      </c>
      <c r="AL588">
        <v>0</v>
      </c>
      <c r="AM588" s="5">
        <f t="shared" si="74"/>
        <v>0</v>
      </c>
      <c r="AN588" s="4">
        <f t="shared" si="79"/>
        <v>0</v>
      </c>
      <c r="AO588" s="3"/>
      <c r="AP588">
        <v>0</v>
      </c>
      <c r="AR588" t="s">
        <v>0</v>
      </c>
      <c r="AT588" s="2" t="s">
        <v>16</v>
      </c>
      <c r="AU588" s="1">
        <f t="shared" si="75"/>
        <v>0.20741571234083445</v>
      </c>
      <c r="AV588" s="1">
        <f t="shared" si="76"/>
        <v>0.1481540802434532</v>
      </c>
      <c r="AW588" s="1">
        <f t="shared" si="77"/>
        <v>8.8892448146071903E-2</v>
      </c>
    </row>
    <row r="589" spans="1:49" x14ac:dyDescent="0.2">
      <c r="A589">
        <v>587</v>
      </c>
      <c r="B589" t="s">
        <v>5204</v>
      </c>
      <c r="C589" t="s">
        <v>5203</v>
      </c>
      <c r="F589" t="s">
        <v>5202</v>
      </c>
      <c r="G589" t="s">
        <v>12</v>
      </c>
      <c r="H589" t="s">
        <v>11</v>
      </c>
      <c r="I589" t="s">
        <v>5201</v>
      </c>
      <c r="J589">
        <v>60008435</v>
      </c>
      <c r="K589" t="s">
        <v>3916</v>
      </c>
      <c r="L589" t="s">
        <v>3915</v>
      </c>
      <c r="M589" t="s">
        <v>151</v>
      </c>
      <c r="N589">
        <v>2</v>
      </c>
      <c r="O589" t="s">
        <v>5200</v>
      </c>
      <c r="P589" t="s">
        <v>5199</v>
      </c>
      <c r="Q589" t="s">
        <v>3912</v>
      </c>
      <c r="R589" s="7">
        <v>33604</v>
      </c>
      <c r="S589" s="8">
        <f t="shared" si="72"/>
        <v>1992</v>
      </c>
      <c r="T589" s="8">
        <v>1992</v>
      </c>
      <c r="U589" s="8">
        <f t="shared" si="73"/>
        <v>30</v>
      </c>
      <c r="V589" s="7">
        <v>1992</v>
      </c>
      <c r="W589" t="s">
        <v>5198</v>
      </c>
      <c r="X589" s="2">
        <v>0.13900000000000001</v>
      </c>
      <c r="Y589" s="6">
        <f t="shared" si="78"/>
        <v>3.7105256133045036E-3</v>
      </c>
      <c r="AA589" t="s">
        <v>5197</v>
      </c>
      <c r="AB589">
        <v>24891</v>
      </c>
      <c r="AC589">
        <v>15206432</v>
      </c>
      <c r="AD589" t="s">
        <v>4</v>
      </c>
      <c r="AE589">
        <v>75</v>
      </c>
      <c r="AF589">
        <v>7</v>
      </c>
      <c r="AH589" s="10">
        <v>43405</v>
      </c>
      <c r="AI589" t="s">
        <v>5196</v>
      </c>
      <c r="AJ589" t="s">
        <v>5195</v>
      </c>
      <c r="AK589" t="s">
        <v>5194</v>
      </c>
      <c r="AL589">
        <v>1</v>
      </c>
      <c r="AM589" s="5">
        <f t="shared" si="74"/>
        <v>3.3333333333333333E-2</v>
      </c>
      <c r="AN589" s="4">
        <f t="shared" si="79"/>
        <v>5.0485927047835418E-5</v>
      </c>
      <c r="AO589" s="3"/>
      <c r="AP589">
        <v>0</v>
      </c>
      <c r="AR589" t="s">
        <v>0</v>
      </c>
      <c r="AT589" s="2" t="s">
        <v>16</v>
      </c>
      <c r="AU589" s="1">
        <f t="shared" si="75"/>
        <v>0.26125137074275029</v>
      </c>
      <c r="AV589" s="1">
        <f t="shared" si="76"/>
        <v>0.18805057701761696</v>
      </c>
      <c r="AW589" s="1">
        <f t="shared" si="77"/>
        <v>0.11484978329248358</v>
      </c>
    </row>
    <row r="590" spans="1:49" x14ac:dyDescent="0.2">
      <c r="A590">
        <v>588</v>
      </c>
      <c r="B590" t="s">
        <v>5193</v>
      </c>
      <c r="C590" t="s">
        <v>5192</v>
      </c>
      <c r="F590" t="s">
        <v>5191</v>
      </c>
      <c r="G590" t="s">
        <v>12</v>
      </c>
      <c r="H590" t="s">
        <v>11</v>
      </c>
      <c r="I590" t="s">
        <v>5190</v>
      </c>
      <c r="J590">
        <v>60012370</v>
      </c>
      <c r="K590" t="s">
        <v>3612</v>
      </c>
      <c r="L590" t="s">
        <v>3611</v>
      </c>
      <c r="M590" t="s">
        <v>3610</v>
      </c>
      <c r="N590">
        <v>2</v>
      </c>
      <c r="O590" t="s">
        <v>5189</v>
      </c>
      <c r="P590" t="s">
        <v>5188</v>
      </c>
      <c r="Q590" t="s">
        <v>5187</v>
      </c>
      <c r="R590" s="7">
        <v>33604</v>
      </c>
      <c r="S590" s="8">
        <f t="shared" si="72"/>
        <v>1992</v>
      </c>
      <c r="T590" s="8">
        <v>1992</v>
      </c>
      <c r="U590" s="8">
        <f t="shared" si="73"/>
        <v>30</v>
      </c>
      <c r="V590" s="7">
        <v>33756</v>
      </c>
      <c r="W590" t="s">
        <v>97</v>
      </c>
      <c r="X590" s="2">
        <v>1.6519999999999999</v>
      </c>
      <c r="Y590" s="6">
        <f t="shared" si="78"/>
        <v>4.409919649769093E-2</v>
      </c>
      <c r="AA590" t="s">
        <v>96</v>
      </c>
      <c r="AB590">
        <v>17337</v>
      </c>
      <c r="AC590">
        <v>15582221</v>
      </c>
      <c r="AD590" t="s">
        <v>4</v>
      </c>
      <c r="AE590">
        <v>40</v>
      </c>
      <c r="AF590">
        <v>6</v>
      </c>
      <c r="AH590" t="s">
        <v>5186</v>
      </c>
      <c r="AI590" t="s">
        <v>5185</v>
      </c>
      <c r="AK590" t="s">
        <v>5184</v>
      </c>
      <c r="AL590">
        <v>3</v>
      </c>
      <c r="AM590" s="5">
        <f t="shared" si="74"/>
        <v>0.1</v>
      </c>
      <c r="AN590" s="4">
        <f t="shared" si="79"/>
        <v>1.5145778114350627E-4</v>
      </c>
      <c r="AO590" s="3"/>
      <c r="AP590">
        <v>0</v>
      </c>
      <c r="AR590" t="s">
        <v>0</v>
      </c>
      <c r="AT590" s="2" t="s">
        <v>16</v>
      </c>
      <c r="AU590" s="1">
        <f t="shared" si="75"/>
        <v>3.0914874882726702</v>
      </c>
      <c r="AV590" s="1">
        <f t="shared" si="76"/>
        <v>2.2125327139417217</v>
      </c>
      <c r="AW590" s="1">
        <f t="shared" si="77"/>
        <v>1.3335779396107732</v>
      </c>
    </row>
    <row r="591" spans="1:49" x14ac:dyDescent="0.2">
      <c r="A591">
        <v>589</v>
      </c>
      <c r="B591" t="s">
        <v>5183</v>
      </c>
      <c r="C591" t="s">
        <v>5182</v>
      </c>
      <c r="F591" t="s">
        <v>5181</v>
      </c>
      <c r="G591" t="s">
        <v>12</v>
      </c>
      <c r="H591" t="s">
        <v>11</v>
      </c>
      <c r="I591" t="s">
        <v>5180</v>
      </c>
      <c r="J591">
        <v>60009037</v>
      </c>
      <c r="K591" t="s">
        <v>2673</v>
      </c>
      <c r="L591" t="s">
        <v>2672</v>
      </c>
      <c r="M591" t="s">
        <v>7</v>
      </c>
      <c r="N591">
        <v>4</v>
      </c>
      <c r="O591" t="s">
        <v>5179</v>
      </c>
      <c r="P591" t="s">
        <v>5178</v>
      </c>
      <c r="Q591" t="s">
        <v>5177</v>
      </c>
      <c r="R591" s="7">
        <v>33604</v>
      </c>
      <c r="S591" s="8">
        <f t="shared" si="72"/>
        <v>1992</v>
      </c>
      <c r="T591" s="8">
        <v>1992</v>
      </c>
      <c r="U591" s="8">
        <f t="shared" si="73"/>
        <v>30</v>
      </c>
      <c r="V591" s="7">
        <v>33756</v>
      </c>
      <c r="W591" t="s">
        <v>136</v>
      </c>
      <c r="X591" s="2">
        <v>1.3720000000000001</v>
      </c>
      <c r="Y591" s="6">
        <f t="shared" si="78"/>
        <v>3.662475641333654E-2</v>
      </c>
      <c r="AA591">
        <v>189480</v>
      </c>
      <c r="AB591">
        <v>17366</v>
      </c>
      <c r="AC591">
        <v>15579670</v>
      </c>
      <c r="AD591" t="s">
        <v>4</v>
      </c>
      <c r="AE591">
        <v>40</v>
      </c>
      <c r="AF591">
        <v>6</v>
      </c>
      <c r="AH591" t="s">
        <v>5176</v>
      </c>
      <c r="AI591" t="s">
        <v>5175</v>
      </c>
      <c r="AK591" t="s">
        <v>5174</v>
      </c>
      <c r="AL591">
        <v>16</v>
      </c>
      <c r="AM591" s="5">
        <f t="shared" si="74"/>
        <v>0.53333333333333333</v>
      </c>
      <c r="AN591" s="4">
        <f t="shared" si="79"/>
        <v>8.0777483276536668E-4</v>
      </c>
      <c r="AO591" s="3"/>
      <c r="AP591">
        <v>0</v>
      </c>
      <c r="AR591" t="s">
        <v>0</v>
      </c>
      <c r="AS591" t="s">
        <v>1374</v>
      </c>
      <c r="AT591" s="2" t="s">
        <v>16</v>
      </c>
      <c r="AU591" s="1">
        <f t="shared" si="75"/>
        <v>2.5879661939165186</v>
      </c>
      <c r="AV591" s="1">
        <f t="shared" si="76"/>
        <v>1.8716265623050954</v>
      </c>
      <c r="AW591" s="1">
        <f t="shared" si="77"/>
        <v>1.1552869306936719</v>
      </c>
    </row>
    <row r="592" spans="1:49" x14ac:dyDescent="0.2">
      <c r="A592">
        <v>590</v>
      </c>
      <c r="B592" t="s">
        <v>5173</v>
      </c>
      <c r="C592" t="s">
        <v>5172</v>
      </c>
      <c r="F592" t="s">
        <v>5171</v>
      </c>
      <c r="G592" t="s">
        <v>12</v>
      </c>
      <c r="H592" t="s">
        <v>11</v>
      </c>
      <c r="I592" t="s">
        <v>3559</v>
      </c>
      <c r="J592" t="s">
        <v>3553</v>
      </c>
      <c r="K592" t="s">
        <v>3558</v>
      </c>
      <c r="L592" t="s">
        <v>3557</v>
      </c>
      <c r="M592" t="s">
        <v>3556</v>
      </c>
      <c r="N592">
        <v>2</v>
      </c>
      <c r="O592" t="s">
        <v>3555</v>
      </c>
      <c r="P592" t="s">
        <v>3554</v>
      </c>
      <c r="Q592" t="s">
        <v>3553</v>
      </c>
      <c r="R592" s="7">
        <v>33604</v>
      </c>
      <c r="S592" s="8">
        <f t="shared" si="72"/>
        <v>1992</v>
      </c>
      <c r="T592" s="8">
        <v>1992</v>
      </c>
      <c r="U592" s="8">
        <f t="shared" si="73"/>
        <v>30</v>
      </c>
      <c r="V592" s="7">
        <v>33775</v>
      </c>
      <c r="W592" t="s">
        <v>1458</v>
      </c>
      <c r="X592" s="2">
        <v>0.30399999999999999</v>
      </c>
      <c r="Y592" s="6">
        <f t="shared" si="78"/>
        <v>8.115106377299057E-3</v>
      </c>
      <c r="AA592">
        <v>8952477</v>
      </c>
      <c r="AB592">
        <v>12250</v>
      </c>
      <c r="AC592">
        <v>10982760</v>
      </c>
      <c r="AD592" t="s">
        <v>4</v>
      </c>
      <c r="AE592">
        <v>5</v>
      </c>
      <c r="AF592">
        <v>7</v>
      </c>
      <c r="AH592" t="s">
        <v>5170</v>
      </c>
      <c r="AI592" t="s">
        <v>5169</v>
      </c>
      <c r="AJ592" t="s">
        <v>5168</v>
      </c>
      <c r="AK592" t="s">
        <v>5167</v>
      </c>
      <c r="AL592">
        <v>18</v>
      </c>
      <c r="AM592" s="5">
        <f t="shared" si="74"/>
        <v>0.6</v>
      </c>
      <c r="AN592" s="4">
        <f t="shared" si="79"/>
        <v>9.0874668686103744E-4</v>
      </c>
      <c r="AO592" s="3"/>
      <c r="AP592">
        <v>0</v>
      </c>
      <c r="AR592" t="s">
        <v>0</v>
      </c>
      <c r="AT592" s="2" t="s">
        <v>16</v>
      </c>
      <c r="AU592" s="1">
        <f t="shared" si="75"/>
        <v>0.59531984701676499</v>
      </c>
      <c r="AV592" s="1">
        <f t="shared" si="76"/>
        <v>0.45119265320800472</v>
      </c>
      <c r="AW592" s="1">
        <f t="shared" si="77"/>
        <v>0.30706545939924434</v>
      </c>
    </row>
    <row r="593" spans="1:49" x14ac:dyDescent="0.2">
      <c r="A593">
        <v>591</v>
      </c>
      <c r="B593" t="s">
        <v>5166</v>
      </c>
      <c r="C593" t="s">
        <v>5165</v>
      </c>
      <c r="F593" t="s">
        <v>5164</v>
      </c>
      <c r="G593" t="s">
        <v>12</v>
      </c>
      <c r="H593" t="s">
        <v>11</v>
      </c>
      <c r="I593" t="s">
        <v>5163</v>
      </c>
      <c r="N593">
        <v>1</v>
      </c>
      <c r="O593" t="s">
        <v>5162</v>
      </c>
      <c r="P593">
        <v>23002833400</v>
      </c>
      <c r="R593" s="7">
        <v>33604</v>
      </c>
      <c r="S593" s="8">
        <f t="shared" si="72"/>
        <v>1992</v>
      </c>
      <c r="T593" s="8">
        <v>1992</v>
      </c>
      <c r="U593" s="8">
        <f t="shared" si="73"/>
        <v>30</v>
      </c>
      <c r="V593" s="7">
        <v>33756</v>
      </c>
      <c r="W593" t="s">
        <v>2799</v>
      </c>
      <c r="X593" s="2">
        <v>0.88100000000000001</v>
      </c>
      <c r="Y593" s="6">
        <f t="shared" si="78"/>
        <v>2.3517791836843653E-2</v>
      </c>
      <c r="AA593">
        <v>10459243</v>
      </c>
      <c r="AB593">
        <v>17248</v>
      </c>
      <c r="AD593" t="s">
        <v>4</v>
      </c>
      <c r="AE593">
        <v>34</v>
      </c>
      <c r="AF593">
        <v>3</v>
      </c>
      <c r="AH593" t="s">
        <v>5161</v>
      </c>
      <c r="AL593">
        <v>6</v>
      </c>
      <c r="AM593" s="5">
        <f t="shared" si="74"/>
        <v>0.2</v>
      </c>
      <c r="AN593" s="4">
        <f t="shared" si="79"/>
        <v>3.0291556228701253E-4</v>
      </c>
      <c r="AO593" s="3"/>
      <c r="AP593">
        <v>0</v>
      </c>
      <c r="AR593" t="s">
        <v>0</v>
      </c>
      <c r="AT593" s="2" t="s">
        <v>16</v>
      </c>
      <c r="AU593" s="1">
        <f t="shared" si="75"/>
        <v>1.655332895447666</v>
      </c>
      <c r="AV593" s="1">
        <f t="shared" si="76"/>
        <v>1.1910353699565333</v>
      </c>
      <c r="AW593" s="1">
        <f t="shared" si="77"/>
        <v>0.72673784446540046</v>
      </c>
    </row>
    <row r="594" spans="1:49" x14ac:dyDescent="0.2">
      <c r="A594">
        <v>592</v>
      </c>
      <c r="B594" t="s">
        <v>5160</v>
      </c>
      <c r="C594" t="s">
        <v>5159</v>
      </c>
      <c r="F594" t="s">
        <v>5158</v>
      </c>
      <c r="G594" t="s">
        <v>12</v>
      </c>
      <c r="H594" t="s">
        <v>11</v>
      </c>
      <c r="I594" t="s">
        <v>5157</v>
      </c>
      <c r="J594">
        <v>60008293</v>
      </c>
      <c r="K594" t="s">
        <v>5156</v>
      </c>
      <c r="L594" t="s">
        <v>5155</v>
      </c>
      <c r="M594" t="s">
        <v>817</v>
      </c>
      <c r="N594">
        <v>3</v>
      </c>
      <c r="O594" t="s">
        <v>5154</v>
      </c>
      <c r="P594" t="s">
        <v>5153</v>
      </c>
      <c r="Q594" t="s">
        <v>5152</v>
      </c>
      <c r="R594" s="7">
        <v>33604</v>
      </c>
      <c r="S594" s="8">
        <f t="shared" ref="S594:S657" si="80">YEAR(R594)</f>
        <v>1992</v>
      </c>
      <c r="T594" s="8">
        <v>1992</v>
      </c>
      <c r="U594" s="8">
        <f t="shared" ref="U594:U657" si="81">2022-T594</f>
        <v>30</v>
      </c>
      <c r="V594" s="7">
        <v>33756</v>
      </c>
      <c r="W594" t="s">
        <v>136</v>
      </c>
      <c r="X594" s="2">
        <v>1.3720000000000001</v>
      </c>
      <c r="Y594" s="6">
        <f t="shared" si="78"/>
        <v>3.662475641333654E-2</v>
      </c>
      <c r="AA594">
        <v>189480</v>
      </c>
      <c r="AB594">
        <v>17366</v>
      </c>
      <c r="AC594">
        <v>15579670</v>
      </c>
      <c r="AD594" t="s">
        <v>4</v>
      </c>
      <c r="AE594">
        <v>40</v>
      </c>
      <c r="AF594">
        <v>6</v>
      </c>
      <c r="AH594" t="s">
        <v>5151</v>
      </c>
      <c r="AI594" t="s">
        <v>5150</v>
      </c>
      <c r="AK594" t="s">
        <v>5149</v>
      </c>
      <c r="AL594">
        <v>5</v>
      </c>
      <c r="AM594" s="5">
        <f t="shared" ref="AM594:AM657" si="82">AL594/U594</f>
        <v>0.16666666666666666</v>
      </c>
      <c r="AN594" s="4">
        <f t="shared" si="79"/>
        <v>2.5242963523917705E-4</v>
      </c>
      <c r="AO594" s="3"/>
      <c r="AP594">
        <v>0</v>
      </c>
      <c r="AR594" t="s">
        <v>0</v>
      </c>
      <c r="AT594" s="2" t="s">
        <v>16</v>
      </c>
      <c r="AU594" s="1">
        <f t="shared" ref="AU594:AU657" si="83">(Y594*0.7+AN594*0.3)*100</f>
        <v>2.571305837990733</v>
      </c>
      <c r="AV594" s="1">
        <f t="shared" ref="AV594:AV657" si="84">(Y594*0.5+AN594*0.5)*100</f>
        <v>1.8438593024287859</v>
      </c>
      <c r="AW594" s="1">
        <f t="shared" ref="AW594:AW657" si="85">(Y594*0.3+AN594*0.7)*100</f>
        <v>1.1164127668668387</v>
      </c>
    </row>
    <row r="595" spans="1:49" x14ac:dyDescent="0.2">
      <c r="A595">
        <v>593</v>
      </c>
      <c r="B595" t="s">
        <v>5148</v>
      </c>
      <c r="C595" t="s">
        <v>5147</v>
      </c>
      <c r="F595" t="s">
        <v>5146</v>
      </c>
      <c r="G595" t="s">
        <v>12</v>
      </c>
      <c r="H595" t="s">
        <v>11</v>
      </c>
      <c r="I595" t="s">
        <v>1291</v>
      </c>
      <c r="J595">
        <v>60005837</v>
      </c>
      <c r="K595" t="s">
        <v>1290</v>
      </c>
      <c r="L595" t="s">
        <v>1289</v>
      </c>
      <c r="M595" t="s">
        <v>7</v>
      </c>
      <c r="N595">
        <v>3</v>
      </c>
      <c r="O595" t="s">
        <v>5145</v>
      </c>
      <c r="P595" t="s">
        <v>5144</v>
      </c>
      <c r="Q595" t="s">
        <v>5143</v>
      </c>
      <c r="R595" s="7">
        <v>33604</v>
      </c>
      <c r="S595" s="8">
        <f t="shared" si="80"/>
        <v>1992</v>
      </c>
      <c r="T595" s="8">
        <v>1992</v>
      </c>
      <c r="U595" s="8">
        <f t="shared" si="81"/>
        <v>30</v>
      </c>
      <c r="V595" s="7">
        <v>33756</v>
      </c>
      <c r="W595" t="s">
        <v>97</v>
      </c>
      <c r="X595" s="2">
        <v>1.6519999999999999</v>
      </c>
      <c r="Y595" s="6">
        <f t="shared" si="78"/>
        <v>4.409919649769093E-2</v>
      </c>
      <c r="AA595" t="s">
        <v>96</v>
      </c>
      <c r="AB595">
        <v>17337</v>
      </c>
      <c r="AC595">
        <v>15582221</v>
      </c>
      <c r="AD595" t="s">
        <v>4</v>
      </c>
      <c r="AE595">
        <v>40</v>
      </c>
      <c r="AF595">
        <v>6</v>
      </c>
      <c r="AH595" t="s">
        <v>5142</v>
      </c>
      <c r="AI595" t="s">
        <v>5141</v>
      </c>
      <c r="AK595" t="s">
        <v>5140</v>
      </c>
      <c r="AL595">
        <v>46</v>
      </c>
      <c r="AM595" s="5">
        <f t="shared" si="82"/>
        <v>1.5333333333333334</v>
      </c>
      <c r="AN595" s="4">
        <f t="shared" si="79"/>
        <v>2.3223526442004293E-3</v>
      </c>
      <c r="AO595" s="3"/>
      <c r="AP595">
        <v>0</v>
      </c>
      <c r="AR595" t="s">
        <v>0</v>
      </c>
      <c r="AT595" s="2" t="s">
        <v>16</v>
      </c>
      <c r="AU595" s="1">
        <f t="shared" si="83"/>
        <v>3.1566143341643782</v>
      </c>
      <c r="AV595" s="1">
        <f t="shared" si="84"/>
        <v>2.3210774570945678</v>
      </c>
      <c r="AW595" s="1">
        <f t="shared" si="85"/>
        <v>1.4855405800247579</v>
      </c>
    </row>
    <row r="596" spans="1:49" x14ac:dyDescent="0.2">
      <c r="A596">
        <v>594</v>
      </c>
      <c r="B596" t="s">
        <v>5139</v>
      </c>
      <c r="C596" t="s">
        <v>5138</v>
      </c>
      <c r="F596" t="s">
        <v>5137</v>
      </c>
      <c r="G596" t="s">
        <v>12</v>
      </c>
      <c r="H596" t="s">
        <v>11</v>
      </c>
      <c r="I596" t="s">
        <v>5136</v>
      </c>
      <c r="J596" t="s">
        <v>5135</v>
      </c>
      <c r="K596" t="s">
        <v>5134</v>
      </c>
      <c r="L596" t="s">
        <v>5133</v>
      </c>
      <c r="M596" t="s">
        <v>125</v>
      </c>
      <c r="N596">
        <v>1</v>
      </c>
      <c r="O596" t="s">
        <v>5132</v>
      </c>
      <c r="P596">
        <v>7005448871</v>
      </c>
      <c r="Q596" t="s">
        <v>5131</v>
      </c>
      <c r="R596" s="7">
        <v>33604</v>
      </c>
      <c r="S596" s="8">
        <f t="shared" si="80"/>
        <v>1992</v>
      </c>
      <c r="T596" s="8">
        <v>1992</v>
      </c>
      <c r="U596" s="8">
        <f t="shared" si="81"/>
        <v>30</v>
      </c>
      <c r="V596" s="7">
        <v>33756</v>
      </c>
      <c r="W596" t="s">
        <v>136</v>
      </c>
      <c r="X596" s="2">
        <v>1.3720000000000001</v>
      </c>
      <c r="Y596" s="6">
        <f t="shared" si="78"/>
        <v>3.662475641333654E-2</v>
      </c>
      <c r="AA596">
        <v>189480</v>
      </c>
      <c r="AB596">
        <v>17366</v>
      </c>
      <c r="AC596">
        <v>15579670</v>
      </c>
      <c r="AD596" t="s">
        <v>4</v>
      </c>
      <c r="AE596">
        <v>40</v>
      </c>
      <c r="AF596">
        <v>6</v>
      </c>
      <c r="AH596" t="s">
        <v>5130</v>
      </c>
      <c r="AI596" t="s">
        <v>5129</v>
      </c>
      <c r="AK596" t="s">
        <v>5128</v>
      </c>
      <c r="AL596">
        <v>9</v>
      </c>
      <c r="AM596" s="5">
        <f t="shared" si="82"/>
        <v>0.3</v>
      </c>
      <c r="AN596" s="4">
        <f t="shared" si="79"/>
        <v>4.5437334343051872E-4</v>
      </c>
      <c r="AO596" s="3"/>
      <c r="AP596">
        <v>0</v>
      </c>
      <c r="AR596" t="s">
        <v>0</v>
      </c>
      <c r="AT596" s="2" t="s">
        <v>16</v>
      </c>
      <c r="AU596" s="1">
        <f t="shared" si="83"/>
        <v>2.5773641492364732</v>
      </c>
      <c r="AV596" s="1">
        <f t="shared" si="84"/>
        <v>1.853956487838353</v>
      </c>
      <c r="AW596" s="1">
        <f t="shared" si="85"/>
        <v>1.1305488264402326</v>
      </c>
    </row>
    <row r="597" spans="1:49" x14ac:dyDescent="0.2">
      <c r="A597">
        <v>595</v>
      </c>
      <c r="B597" t="s">
        <v>5127</v>
      </c>
      <c r="C597" t="s">
        <v>5126</v>
      </c>
      <c r="F597" t="s">
        <v>5125</v>
      </c>
      <c r="G597" t="s">
        <v>12</v>
      </c>
      <c r="H597" t="s">
        <v>11</v>
      </c>
      <c r="I597" t="s">
        <v>5124</v>
      </c>
      <c r="J597">
        <v>60012564</v>
      </c>
      <c r="K597" t="s">
        <v>5123</v>
      </c>
      <c r="L597" t="s">
        <v>5122</v>
      </c>
      <c r="M597" t="s">
        <v>7</v>
      </c>
      <c r="N597">
        <v>1</v>
      </c>
      <c r="O597" t="s">
        <v>5121</v>
      </c>
      <c r="P597">
        <v>7005321645</v>
      </c>
      <c r="Q597">
        <v>60012564</v>
      </c>
      <c r="R597" s="7">
        <v>33604</v>
      </c>
      <c r="S597" s="8">
        <f t="shared" si="80"/>
        <v>1992</v>
      </c>
      <c r="T597" s="8">
        <v>1992</v>
      </c>
      <c r="U597" s="8">
        <f t="shared" si="81"/>
        <v>30</v>
      </c>
      <c r="V597" s="7">
        <v>33756</v>
      </c>
      <c r="W597" t="s">
        <v>3522</v>
      </c>
      <c r="X597" s="2">
        <v>0.39600000000000002</v>
      </c>
      <c r="Y597" s="6">
        <f t="shared" si="78"/>
        <v>1.0570993833586931E-2</v>
      </c>
      <c r="AA597">
        <v>8858985</v>
      </c>
      <c r="AB597">
        <v>25993</v>
      </c>
      <c r="AD597" t="s">
        <v>4</v>
      </c>
      <c r="AE597">
        <v>7</v>
      </c>
      <c r="AF597">
        <v>6</v>
      </c>
      <c r="AH597" t="s">
        <v>5120</v>
      </c>
      <c r="AI597" t="s">
        <v>5119</v>
      </c>
      <c r="AK597" t="s">
        <v>5118</v>
      </c>
      <c r="AL597">
        <v>1</v>
      </c>
      <c r="AM597" s="5">
        <f t="shared" si="82"/>
        <v>3.3333333333333333E-2</v>
      </c>
      <c r="AN597" s="4">
        <f t="shared" si="79"/>
        <v>5.0485927047835418E-5</v>
      </c>
      <c r="AO597" s="3"/>
      <c r="AP597">
        <v>0</v>
      </c>
      <c r="AR597" t="s">
        <v>0</v>
      </c>
      <c r="AT597" s="2" t="s">
        <v>16</v>
      </c>
      <c r="AU597" s="1">
        <f t="shared" si="83"/>
        <v>0.74148414616252023</v>
      </c>
      <c r="AV597" s="1">
        <f t="shared" si="84"/>
        <v>0.53107398803173833</v>
      </c>
      <c r="AW597" s="1">
        <f t="shared" si="85"/>
        <v>0.32066382990095638</v>
      </c>
    </row>
    <row r="598" spans="1:49" x14ac:dyDescent="0.2">
      <c r="A598">
        <v>596</v>
      </c>
      <c r="B598" t="s">
        <v>5117</v>
      </c>
      <c r="C598" t="s">
        <v>5116</v>
      </c>
      <c r="F598" t="s">
        <v>5115</v>
      </c>
      <c r="G598" t="s">
        <v>12</v>
      </c>
      <c r="H598" t="s">
        <v>11</v>
      </c>
      <c r="I598" t="s">
        <v>3040</v>
      </c>
      <c r="J598">
        <v>60020818</v>
      </c>
      <c r="K598" t="s">
        <v>5114</v>
      </c>
      <c r="L598" t="s">
        <v>5113</v>
      </c>
      <c r="M598" t="s">
        <v>7</v>
      </c>
      <c r="N598">
        <v>2</v>
      </c>
      <c r="O598" t="s">
        <v>5112</v>
      </c>
      <c r="P598" t="s">
        <v>5111</v>
      </c>
      <c r="Q598" t="s">
        <v>5110</v>
      </c>
      <c r="R598" s="7">
        <v>33604</v>
      </c>
      <c r="S598" s="8">
        <f t="shared" si="80"/>
        <v>1992</v>
      </c>
      <c r="T598" s="8">
        <v>1992</v>
      </c>
      <c r="U598" s="8">
        <f t="shared" si="81"/>
        <v>30</v>
      </c>
      <c r="V598" s="7">
        <v>33756</v>
      </c>
      <c r="W598" t="s">
        <v>2799</v>
      </c>
      <c r="X598" s="2">
        <v>0.88100000000000001</v>
      </c>
      <c r="Y598" s="6">
        <f t="shared" si="78"/>
        <v>2.3517791836843653E-2</v>
      </c>
      <c r="AA598">
        <v>10459243</v>
      </c>
      <c r="AB598">
        <v>17248</v>
      </c>
      <c r="AD598" t="s">
        <v>4</v>
      </c>
      <c r="AE598">
        <v>34</v>
      </c>
      <c r="AF598">
        <v>3</v>
      </c>
      <c r="AH598" t="s">
        <v>5109</v>
      </c>
      <c r="AL598">
        <v>4</v>
      </c>
      <c r="AM598" s="5">
        <f t="shared" si="82"/>
        <v>0.13333333333333333</v>
      </c>
      <c r="AN598" s="4">
        <f t="shared" si="79"/>
        <v>2.0194370819134167E-4</v>
      </c>
      <c r="AO598" s="3"/>
      <c r="AP598">
        <v>0</v>
      </c>
      <c r="AR598" t="s">
        <v>0</v>
      </c>
      <c r="AT598" s="2" t="s">
        <v>16</v>
      </c>
      <c r="AU598" s="1">
        <f t="shared" si="83"/>
        <v>1.6523037398247959</v>
      </c>
      <c r="AV598" s="1">
        <f t="shared" si="84"/>
        <v>1.1859867772517498</v>
      </c>
      <c r="AW598" s="1">
        <f t="shared" si="85"/>
        <v>0.71966981467870339</v>
      </c>
    </row>
    <row r="599" spans="1:49" x14ac:dyDescent="0.2">
      <c r="A599">
        <v>597</v>
      </c>
      <c r="B599" t="s">
        <v>5108</v>
      </c>
      <c r="C599" t="s">
        <v>5107</v>
      </c>
      <c r="F599" t="s">
        <v>5106</v>
      </c>
      <c r="G599" t="s">
        <v>12</v>
      </c>
      <c r="H599" t="s">
        <v>11</v>
      </c>
      <c r="I599" t="s">
        <v>5105</v>
      </c>
      <c r="N599">
        <v>3</v>
      </c>
      <c r="O599" t="s">
        <v>5104</v>
      </c>
      <c r="P599" t="s">
        <v>5103</v>
      </c>
      <c r="Q599" t="s">
        <v>1191</v>
      </c>
      <c r="R599" s="7">
        <v>33604</v>
      </c>
      <c r="S599" s="8">
        <f t="shared" si="80"/>
        <v>1992</v>
      </c>
      <c r="T599" s="8">
        <v>1992</v>
      </c>
      <c r="U599" s="8">
        <f t="shared" si="81"/>
        <v>30</v>
      </c>
      <c r="V599" s="7">
        <v>33756</v>
      </c>
      <c r="W599" t="s">
        <v>136</v>
      </c>
      <c r="X599" s="2">
        <v>1.3720000000000001</v>
      </c>
      <c r="Y599" s="6">
        <f t="shared" si="78"/>
        <v>3.662475641333654E-2</v>
      </c>
      <c r="AA599">
        <v>189480</v>
      </c>
      <c r="AB599">
        <v>17366</v>
      </c>
      <c r="AC599">
        <v>15579670</v>
      </c>
      <c r="AD599" t="s">
        <v>4</v>
      </c>
      <c r="AE599">
        <v>40</v>
      </c>
      <c r="AF599">
        <v>6</v>
      </c>
      <c r="AH599" t="s">
        <v>5102</v>
      </c>
      <c r="AI599" t="s">
        <v>5101</v>
      </c>
      <c r="AK599" t="s">
        <v>5100</v>
      </c>
      <c r="AL599">
        <v>3</v>
      </c>
      <c r="AM599" s="5">
        <f t="shared" si="82"/>
        <v>0.1</v>
      </c>
      <c r="AN599" s="4">
        <f t="shared" si="79"/>
        <v>1.5145778114350627E-4</v>
      </c>
      <c r="AO599" s="3"/>
      <c r="AP599">
        <v>0</v>
      </c>
      <c r="AR599" t="s">
        <v>0</v>
      </c>
      <c r="AT599" s="2" t="s">
        <v>16</v>
      </c>
      <c r="AU599" s="1">
        <f t="shared" si="83"/>
        <v>2.5682766823678627</v>
      </c>
      <c r="AV599" s="1">
        <f t="shared" si="84"/>
        <v>1.8388107097240023</v>
      </c>
      <c r="AW599" s="1">
        <f t="shared" si="85"/>
        <v>1.1093447370801417</v>
      </c>
    </row>
    <row r="600" spans="1:49" x14ac:dyDescent="0.2">
      <c r="A600">
        <v>598</v>
      </c>
      <c r="B600" t="s">
        <v>5099</v>
      </c>
      <c r="C600" t="s">
        <v>5098</v>
      </c>
      <c r="F600" t="s">
        <v>5097</v>
      </c>
      <c r="G600" t="s">
        <v>12</v>
      </c>
      <c r="H600" t="s">
        <v>11</v>
      </c>
      <c r="I600" t="s">
        <v>5096</v>
      </c>
      <c r="J600" t="s">
        <v>5095</v>
      </c>
      <c r="K600" t="s">
        <v>5094</v>
      </c>
      <c r="L600" t="s">
        <v>5093</v>
      </c>
      <c r="M600" t="s">
        <v>167</v>
      </c>
      <c r="N600">
        <v>2</v>
      </c>
      <c r="O600" t="s">
        <v>5092</v>
      </c>
      <c r="P600" t="s">
        <v>5091</v>
      </c>
      <c r="Q600" t="s">
        <v>5090</v>
      </c>
      <c r="R600" s="7">
        <v>33604</v>
      </c>
      <c r="S600" s="8">
        <f t="shared" si="80"/>
        <v>1992</v>
      </c>
      <c r="T600" s="8">
        <v>1992</v>
      </c>
      <c r="U600" s="8">
        <f t="shared" si="81"/>
        <v>30</v>
      </c>
      <c r="V600" s="7">
        <v>33756</v>
      </c>
      <c r="W600" t="s">
        <v>136</v>
      </c>
      <c r="X600" s="2">
        <v>1.3720000000000001</v>
      </c>
      <c r="Y600" s="6">
        <f t="shared" si="78"/>
        <v>3.662475641333654E-2</v>
      </c>
      <c r="AA600">
        <v>189480</v>
      </c>
      <c r="AB600">
        <v>17366</v>
      </c>
      <c r="AC600">
        <v>15579670</v>
      </c>
      <c r="AD600" t="s">
        <v>4</v>
      </c>
      <c r="AE600">
        <v>40</v>
      </c>
      <c r="AF600">
        <v>6</v>
      </c>
      <c r="AH600" t="s">
        <v>5089</v>
      </c>
      <c r="AI600" t="s">
        <v>5088</v>
      </c>
      <c r="AK600" t="s">
        <v>5087</v>
      </c>
      <c r="AL600">
        <v>4</v>
      </c>
      <c r="AM600" s="5">
        <f t="shared" si="82"/>
        <v>0.13333333333333333</v>
      </c>
      <c r="AN600" s="4">
        <f t="shared" si="79"/>
        <v>2.0194370819134167E-4</v>
      </c>
      <c r="AO600" s="3"/>
      <c r="AP600">
        <v>0</v>
      </c>
      <c r="AR600" t="s">
        <v>0</v>
      </c>
      <c r="AT600" s="2" t="s">
        <v>16</v>
      </c>
      <c r="AU600" s="1">
        <f t="shared" si="83"/>
        <v>2.569791260179298</v>
      </c>
      <c r="AV600" s="1">
        <f t="shared" si="84"/>
        <v>1.841335006076394</v>
      </c>
      <c r="AW600" s="1">
        <f t="shared" si="85"/>
        <v>1.1128787519734902</v>
      </c>
    </row>
    <row r="601" spans="1:49" x14ac:dyDescent="0.2">
      <c r="A601">
        <v>599</v>
      </c>
      <c r="B601" t="s">
        <v>5086</v>
      </c>
      <c r="C601" t="s">
        <v>5085</v>
      </c>
      <c r="F601" t="s">
        <v>5084</v>
      </c>
      <c r="G601" t="s">
        <v>12</v>
      </c>
      <c r="H601" t="s">
        <v>11</v>
      </c>
      <c r="I601" t="s">
        <v>5083</v>
      </c>
      <c r="J601" t="s">
        <v>5082</v>
      </c>
      <c r="K601" t="s">
        <v>5081</v>
      </c>
      <c r="L601" t="s">
        <v>5080</v>
      </c>
      <c r="M601" t="s">
        <v>5079</v>
      </c>
      <c r="N601">
        <v>1</v>
      </c>
      <c r="O601" t="s">
        <v>5078</v>
      </c>
      <c r="P601">
        <v>7003424519</v>
      </c>
      <c r="Q601" t="s">
        <v>5077</v>
      </c>
      <c r="R601" s="7">
        <v>33604</v>
      </c>
      <c r="S601" s="8">
        <f t="shared" si="80"/>
        <v>1992</v>
      </c>
      <c r="T601" s="8">
        <v>1992</v>
      </c>
      <c r="U601" s="8">
        <f t="shared" si="81"/>
        <v>30</v>
      </c>
      <c r="V601" s="7">
        <v>33756</v>
      </c>
      <c r="W601" t="s">
        <v>136</v>
      </c>
      <c r="X601" s="2">
        <v>1.3720000000000001</v>
      </c>
      <c r="Y601" s="6">
        <f t="shared" si="78"/>
        <v>3.662475641333654E-2</v>
      </c>
      <c r="AA601">
        <v>189480</v>
      </c>
      <c r="AB601">
        <v>17366</v>
      </c>
      <c r="AC601">
        <v>15579670</v>
      </c>
      <c r="AD601" t="s">
        <v>4</v>
      </c>
      <c r="AE601">
        <v>40</v>
      </c>
      <c r="AF601">
        <v>6</v>
      </c>
      <c r="AH601" t="s">
        <v>5076</v>
      </c>
      <c r="AI601" t="s">
        <v>5075</v>
      </c>
      <c r="AK601" t="s">
        <v>5074</v>
      </c>
      <c r="AL601">
        <v>80</v>
      </c>
      <c r="AM601" s="5">
        <f t="shared" si="82"/>
        <v>2.6666666666666665</v>
      </c>
      <c r="AN601" s="4">
        <f t="shared" si="79"/>
        <v>4.0388741638268328E-3</v>
      </c>
      <c r="AO601" s="3"/>
      <c r="AP601">
        <v>0</v>
      </c>
      <c r="AR601" t="s">
        <v>0</v>
      </c>
      <c r="AT601" s="2" t="s">
        <v>16</v>
      </c>
      <c r="AU601" s="1">
        <f t="shared" si="83"/>
        <v>2.6848991738483625</v>
      </c>
      <c r="AV601" s="1">
        <f t="shared" si="84"/>
        <v>2.0331815288581687</v>
      </c>
      <c r="AW601" s="1">
        <f t="shared" si="85"/>
        <v>1.3814638838679745</v>
      </c>
    </row>
    <row r="602" spans="1:49" x14ac:dyDescent="0.2">
      <c r="A602">
        <v>600</v>
      </c>
      <c r="B602" t="s">
        <v>5073</v>
      </c>
      <c r="C602" t="s">
        <v>5072</v>
      </c>
      <c r="F602" t="s">
        <v>5071</v>
      </c>
      <c r="G602" t="s">
        <v>12</v>
      </c>
      <c r="H602" t="s">
        <v>11</v>
      </c>
      <c r="I602" t="s">
        <v>5070</v>
      </c>
      <c r="J602">
        <v>60023201</v>
      </c>
      <c r="K602" t="s">
        <v>841</v>
      </c>
      <c r="L602" t="s">
        <v>24</v>
      </c>
      <c r="M602" t="s">
        <v>7</v>
      </c>
      <c r="N602">
        <v>3</v>
      </c>
      <c r="O602" t="s">
        <v>5069</v>
      </c>
      <c r="P602" t="s">
        <v>5068</v>
      </c>
      <c r="Q602" t="s">
        <v>5067</v>
      </c>
      <c r="R602" s="7">
        <v>33604</v>
      </c>
      <c r="S602" s="8">
        <f t="shared" si="80"/>
        <v>1992</v>
      </c>
      <c r="T602" s="8">
        <v>1992</v>
      </c>
      <c r="U602" s="8">
        <f t="shared" si="81"/>
        <v>30</v>
      </c>
      <c r="V602" s="7">
        <v>33756</v>
      </c>
      <c r="W602" t="s">
        <v>97</v>
      </c>
      <c r="X602" s="2">
        <v>1.6519999999999999</v>
      </c>
      <c r="Y602" s="6">
        <f t="shared" si="78"/>
        <v>4.409919649769093E-2</v>
      </c>
      <c r="AA602" t="s">
        <v>96</v>
      </c>
      <c r="AB602">
        <v>17337</v>
      </c>
      <c r="AC602">
        <v>15582221</v>
      </c>
      <c r="AD602" t="s">
        <v>4</v>
      </c>
      <c r="AE602">
        <v>40</v>
      </c>
      <c r="AF602">
        <v>6</v>
      </c>
      <c r="AH602" t="s">
        <v>5066</v>
      </c>
      <c r="AI602" t="s">
        <v>5065</v>
      </c>
      <c r="AK602" t="s">
        <v>5064</v>
      </c>
      <c r="AL602">
        <v>4</v>
      </c>
      <c r="AM602" s="5">
        <f t="shared" si="82"/>
        <v>0.13333333333333333</v>
      </c>
      <c r="AN602" s="4">
        <f t="shared" si="79"/>
        <v>2.0194370819134167E-4</v>
      </c>
      <c r="AO602" s="3"/>
      <c r="AP602">
        <v>0</v>
      </c>
      <c r="AR602" t="s">
        <v>0</v>
      </c>
      <c r="AT602" s="2" t="s">
        <v>16</v>
      </c>
      <c r="AU602" s="1">
        <f t="shared" si="83"/>
        <v>3.0930020660841056</v>
      </c>
      <c r="AV602" s="1">
        <f t="shared" si="84"/>
        <v>2.2150570102941138</v>
      </c>
      <c r="AW602" s="1">
        <f t="shared" si="85"/>
        <v>1.3371119545041217</v>
      </c>
    </row>
    <row r="603" spans="1:49" x14ac:dyDescent="0.2">
      <c r="A603">
        <v>601</v>
      </c>
      <c r="B603" t="s">
        <v>5063</v>
      </c>
      <c r="C603" t="s">
        <v>5062</v>
      </c>
      <c r="F603" t="s">
        <v>5061</v>
      </c>
      <c r="G603" t="s">
        <v>12</v>
      </c>
      <c r="H603" t="s">
        <v>11</v>
      </c>
      <c r="I603" t="s">
        <v>4429</v>
      </c>
      <c r="J603">
        <v>60012708</v>
      </c>
      <c r="K603" t="s">
        <v>4428</v>
      </c>
      <c r="L603" t="s">
        <v>1500</v>
      </c>
      <c r="M603" t="s">
        <v>7</v>
      </c>
      <c r="N603">
        <v>2</v>
      </c>
      <c r="O603" t="s">
        <v>5060</v>
      </c>
      <c r="P603" t="s">
        <v>4426</v>
      </c>
      <c r="Q603" t="s">
        <v>4425</v>
      </c>
      <c r="R603" s="7">
        <v>33604</v>
      </c>
      <c r="S603" s="8">
        <f t="shared" si="80"/>
        <v>1992</v>
      </c>
      <c r="T603" s="8">
        <v>1992</v>
      </c>
      <c r="U603" s="8">
        <f t="shared" si="81"/>
        <v>30</v>
      </c>
      <c r="V603" s="7">
        <v>33756</v>
      </c>
      <c r="W603" t="s">
        <v>4424</v>
      </c>
      <c r="X603" s="2">
        <v>1.337</v>
      </c>
      <c r="Y603" s="6">
        <f t="shared" si="78"/>
        <v>3.5690451402792235E-2</v>
      </c>
      <c r="AA603">
        <v>7413106</v>
      </c>
      <c r="AB603">
        <v>26005</v>
      </c>
      <c r="AC603">
        <v>15580563</v>
      </c>
      <c r="AD603" t="s">
        <v>4</v>
      </c>
      <c r="AE603">
        <v>13</v>
      </c>
      <c r="AF603">
        <v>6</v>
      </c>
      <c r="AH603" t="s">
        <v>5059</v>
      </c>
      <c r="AI603" t="s">
        <v>5058</v>
      </c>
      <c r="AK603" t="s">
        <v>5057</v>
      </c>
      <c r="AL603">
        <v>68</v>
      </c>
      <c r="AM603" s="5">
        <f t="shared" si="82"/>
        <v>2.2666666666666666</v>
      </c>
      <c r="AN603" s="4">
        <f t="shared" si="79"/>
        <v>3.4330430392528082E-3</v>
      </c>
      <c r="AO603" s="3"/>
      <c r="AP603">
        <v>0</v>
      </c>
      <c r="AQ603" t="s">
        <v>4420</v>
      </c>
      <c r="AR603" t="s">
        <v>0</v>
      </c>
      <c r="AS603" t="s">
        <v>4419</v>
      </c>
      <c r="AT603" s="2">
        <v>4.1870000000000003</v>
      </c>
      <c r="AU603" s="1">
        <f t="shared" si="83"/>
        <v>2.6013228893730407</v>
      </c>
      <c r="AV603" s="1">
        <f t="shared" si="84"/>
        <v>1.9561747221022521</v>
      </c>
      <c r="AW603" s="1">
        <f t="shared" si="85"/>
        <v>1.3110265548314637</v>
      </c>
    </row>
    <row r="604" spans="1:49" x14ac:dyDescent="0.2">
      <c r="A604">
        <v>602</v>
      </c>
      <c r="B604" t="s">
        <v>5056</v>
      </c>
      <c r="C604" t="s">
        <v>5055</v>
      </c>
      <c r="F604" t="s">
        <v>5054</v>
      </c>
      <c r="G604" t="s">
        <v>12</v>
      </c>
      <c r="H604" t="s">
        <v>11</v>
      </c>
      <c r="I604" t="s">
        <v>5053</v>
      </c>
      <c r="J604" t="s">
        <v>5052</v>
      </c>
      <c r="K604" t="s">
        <v>5051</v>
      </c>
      <c r="L604" t="s">
        <v>5050</v>
      </c>
      <c r="M604" t="s">
        <v>904</v>
      </c>
      <c r="N604">
        <v>4</v>
      </c>
      <c r="O604" t="s">
        <v>5049</v>
      </c>
      <c r="P604" t="s">
        <v>5048</v>
      </c>
      <c r="Q604" t="s">
        <v>5047</v>
      </c>
      <c r="R604" s="7">
        <v>33604</v>
      </c>
      <c r="S604" s="8">
        <f t="shared" si="80"/>
        <v>1992</v>
      </c>
      <c r="T604" s="8">
        <v>1992</v>
      </c>
      <c r="U604" s="8">
        <f t="shared" si="81"/>
        <v>30</v>
      </c>
      <c r="V604" s="7">
        <v>33756</v>
      </c>
      <c r="W604" t="s">
        <v>5046</v>
      </c>
      <c r="X604" s="2">
        <v>0.66100000000000003</v>
      </c>
      <c r="Y604" s="6">
        <f t="shared" si="78"/>
        <v>1.7645017484850912E-2</v>
      </c>
      <c r="AA604">
        <v>189197</v>
      </c>
      <c r="AB604">
        <v>26022</v>
      </c>
      <c r="AC604">
        <v>15581713</v>
      </c>
      <c r="AD604" t="s">
        <v>4</v>
      </c>
      <c r="AE604">
        <v>28</v>
      </c>
      <c r="AF604">
        <v>6</v>
      </c>
      <c r="AH604" t="s">
        <v>5045</v>
      </c>
      <c r="AI604" t="s">
        <v>5044</v>
      </c>
      <c r="AK604" t="s">
        <v>5043</v>
      </c>
      <c r="AL604">
        <v>220</v>
      </c>
      <c r="AM604" s="5">
        <f t="shared" si="82"/>
        <v>7.333333333333333</v>
      </c>
      <c r="AN604" s="4">
        <f t="shared" si="79"/>
        <v>1.1106903950523791E-2</v>
      </c>
      <c r="AO604" s="3"/>
      <c r="AP604">
        <v>0</v>
      </c>
      <c r="AQ604" t="s">
        <v>1971</v>
      </c>
      <c r="AR604">
        <v>10027</v>
      </c>
      <c r="AS604" t="s">
        <v>1970</v>
      </c>
      <c r="AT604" s="2">
        <v>2.3180000000000001</v>
      </c>
      <c r="AU604" s="1">
        <f t="shared" si="83"/>
        <v>1.5683583424552776</v>
      </c>
      <c r="AV604" s="1">
        <f t="shared" si="84"/>
        <v>1.4375960717687351</v>
      </c>
      <c r="AW604" s="1">
        <f t="shared" si="85"/>
        <v>1.3068338010821927</v>
      </c>
    </row>
    <row r="605" spans="1:49" x14ac:dyDescent="0.2">
      <c r="A605">
        <v>603</v>
      </c>
      <c r="B605" t="s">
        <v>5042</v>
      </c>
      <c r="C605" t="s">
        <v>5041</v>
      </c>
      <c r="F605" t="s">
        <v>5040</v>
      </c>
      <c r="G605" t="s">
        <v>12</v>
      </c>
      <c r="H605" t="s">
        <v>11</v>
      </c>
      <c r="I605" t="s">
        <v>5039</v>
      </c>
      <c r="J605">
        <v>60027550</v>
      </c>
      <c r="K605" t="s">
        <v>5038</v>
      </c>
      <c r="L605" t="s">
        <v>2073</v>
      </c>
      <c r="M605" t="s">
        <v>7</v>
      </c>
      <c r="N605">
        <v>2</v>
      </c>
      <c r="O605" t="s">
        <v>5037</v>
      </c>
      <c r="P605" t="s">
        <v>5036</v>
      </c>
      <c r="Q605" t="s">
        <v>5035</v>
      </c>
      <c r="R605" s="7">
        <v>33604</v>
      </c>
      <c r="S605" s="8">
        <f t="shared" si="80"/>
        <v>1992</v>
      </c>
      <c r="T605" s="8">
        <v>1992</v>
      </c>
      <c r="U605" s="8">
        <f t="shared" si="81"/>
        <v>30</v>
      </c>
      <c r="V605" s="7">
        <v>33756</v>
      </c>
      <c r="W605" t="s">
        <v>97</v>
      </c>
      <c r="X605" s="2">
        <v>1.6519999999999999</v>
      </c>
      <c r="Y605" s="6">
        <f t="shared" si="78"/>
        <v>4.409919649769093E-2</v>
      </c>
      <c r="AA605" t="s">
        <v>96</v>
      </c>
      <c r="AB605">
        <v>17337</v>
      </c>
      <c r="AC605">
        <v>15582221</v>
      </c>
      <c r="AD605" t="s">
        <v>4</v>
      </c>
      <c r="AE605">
        <v>40</v>
      </c>
      <c r="AF605">
        <v>6</v>
      </c>
      <c r="AH605" t="s">
        <v>5034</v>
      </c>
      <c r="AI605" t="s">
        <v>5033</v>
      </c>
      <c r="AK605" t="s">
        <v>5032</v>
      </c>
      <c r="AL605">
        <v>17</v>
      </c>
      <c r="AM605" s="5">
        <f t="shared" si="82"/>
        <v>0.56666666666666665</v>
      </c>
      <c r="AN605" s="4">
        <f t="shared" si="79"/>
        <v>8.5826075981320206E-4</v>
      </c>
      <c r="AO605" s="3"/>
      <c r="AP605">
        <v>0</v>
      </c>
      <c r="AR605" t="s">
        <v>0</v>
      </c>
      <c r="AT605" s="2" t="s">
        <v>16</v>
      </c>
      <c r="AU605" s="1">
        <f t="shared" si="83"/>
        <v>3.1126915776327611</v>
      </c>
      <c r="AV605" s="1">
        <f t="shared" si="84"/>
        <v>2.2478728628752069</v>
      </c>
      <c r="AW605" s="1">
        <f t="shared" si="85"/>
        <v>1.3830541481176519</v>
      </c>
    </row>
    <row r="606" spans="1:49" x14ac:dyDescent="0.2">
      <c r="A606">
        <v>604</v>
      </c>
      <c r="B606" t="s">
        <v>5031</v>
      </c>
      <c r="E606">
        <v>1426973</v>
      </c>
      <c r="F606" t="s">
        <v>5030</v>
      </c>
      <c r="G606" t="s">
        <v>12</v>
      </c>
      <c r="H606" t="s">
        <v>11</v>
      </c>
      <c r="I606" t="s">
        <v>5029</v>
      </c>
      <c r="J606">
        <v>60007457</v>
      </c>
      <c r="K606" t="s">
        <v>5028</v>
      </c>
      <c r="L606" t="s">
        <v>461</v>
      </c>
      <c r="M606" t="s">
        <v>460</v>
      </c>
      <c r="N606">
        <v>5</v>
      </c>
      <c r="O606" t="s">
        <v>5027</v>
      </c>
      <c r="P606" t="s">
        <v>5026</v>
      </c>
      <c r="Q606" t="s">
        <v>5025</v>
      </c>
      <c r="R606" s="7">
        <v>33604</v>
      </c>
      <c r="S606" s="8">
        <f t="shared" si="80"/>
        <v>1992</v>
      </c>
      <c r="T606" s="8">
        <v>1992</v>
      </c>
      <c r="U606" s="8">
        <f t="shared" si="81"/>
        <v>30</v>
      </c>
      <c r="V606" s="7">
        <v>33756</v>
      </c>
      <c r="W606" t="s">
        <v>5024</v>
      </c>
      <c r="X606" s="2" t="s">
        <v>16</v>
      </c>
      <c r="Y606" s="6" t="e">
        <f t="shared" si="78"/>
        <v>#VALUE!</v>
      </c>
      <c r="AA606">
        <v>2315882</v>
      </c>
      <c r="AB606">
        <v>23423</v>
      </c>
      <c r="AD606" t="s">
        <v>4</v>
      </c>
      <c r="AE606">
        <v>11</v>
      </c>
      <c r="AF606">
        <v>3</v>
      </c>
      <c r="AH606" t="s">
        <v>5023</v>
      </c>
      <c r="AI606" t="s">
        <v>5022</v>
      </c>
      <c r="AK606" t="s">
        <v>5021</v>
      </c>
      <c r="AL606">
        <v>0</v>
      </c>
      <c r="AM606" s="5">
        <f t="shared" si="82"/>
        <v>0</v>
      </c>
      <c r="AN606" s="4">
        <f t="shared" si="79"/>
        <v>0</v>
      </c>
      <c r="AO606" s="3"/>
      <c r="AP606">
        <v>0</v>
      </c>
      <c r="AR606" t="s">
        <v>0</v>
      </c>
      <c r="AT606" s="2">
        <v>1.512</v>
      </c>
      <c r="AU606" s="1" t="e">
        <f t="shared" si="83"/>
        <v>#VALUE!</v>
      </c>
      <c r="AV606" s="1" t="e">
        <f t="shared" si="84"/>
        <v>#VALUE!</v>
      </c>
      <c r="AW606" s="1" t="e">
        <f t="shared" si="85"/>
        <v>#VALUE!</v>
      </c>
    </row>
    <row r="607" spans="1:49" x14ac:dyDescent="0.2">
      <c r="A607">
        <v>605</v>
      </c>
      <c r="B607" t="s">
        <v>5020</v>
      </c>
      <c r="C607" t="s">
        <v>5019</v>
      </c>
      <c r="F607" t="s">
        <v>5018</v>
      </c>
      <c r="G607" t="s">
        <v>12</v>
      </c>
      <c r="H607" t="s">
        <v>11</v>
      </c>
      <c r="I607" t="s">
        <v>5017</v>
      </c>
      <c r="J607">
        <v>60008435</v>
      </c>
      <c r="K607" t="s">
        <v>3916</v>
      </c>
      <c r="L607" t="s">
        <v>3915</v>
      </c>
      <c r="M607" t="s">
        <v>151</v>
      </c>
      <c r="N607">
        <v>2</v>
      </c>
      <c r="O607" t="s">
        <v>5016</v>
      </c>
      <c r="P607" t="s">
        <v>5015</v>
      </c>
      <c r="Q607" t="s">
        <v>3912</v>
      </c>
      <c r="R607" s="7">
        <v>33604</v>
      </c>
      <c r="S607" s="8">
        <f t="shared" si="80"/>
        <v>1992</v>
      </c>
      <c r="T607" s="8">
        <v>1992</v>
      </c>
      <c r="U607" s="8">
        <f t="shared" si="81"/>
        <v>30</v>
      </c>
      <c r="V607" s="7">
        <v>33756</v>
      </c>
      <c r="W607" t="s">
        <v>5014</v>
      </c>
      <c r="X607" s="2">
        <v>0.46700000000000003</v>
      </c>
      <c r="Y607" s="6">
        <f t="shared" si="78"/>
        <v>1.2466298283548225E-2</v>
      </c>
      <c r="AA607">
        <v>10518223</v>
      </c>
      <c r="AB607">
        <v>26026</v>
      </c>
      <c r="AC607">
        <v>15582515</v>
      </c>
      <c r="AD607" t="s">
        <v>4</v>
      </c>
      <c r="AE607">
        <v>2</v>
      </c>
      <c r="AF607">
        <v>2</v>
      </c>
      <c r="AH607" t="s">
        <v>5013</v>
      </c>
      <c r="AI607" t="s">
        <v>5012</v>
      </c>
      <c r="AK607" t="s">
        <v>5011</v>
      </c>
      <c r="AL607">
        <v>0</v>
      </c>
      <c r="AM607" s="5">
        <f t="shared" si="82"/>
        <v>0</v>
      </c>
      <c r="AN607" s="4">
        <f t="shared" si="79"/>
        <v>0</v>
      </c>
      <c r="AO607" s="3"/>
      <c r="AP607">
        <v>0</v>
      </c>
      <c r="AR607" t="s">
        <v>0</v>
      </c>
      <c r="AT607" s="2" t="s">
        <v>16</v>
      </c>
      <c r="AU607" s="1">
        <f t="shared" si="83"/>
        <v>0.87264087984837579</v>
      </c>
      <c r="AV607" s="1">
        <f t="shared" si="84"/>
        <v>0.62331491417741125</v>
      </c>
      <c r="AW607" s="1">
        <f t="shared" si="85"/>
        <v>0.37398894850644676</v>
      </c>
    </row>
    <row r="608" spans="1:49" x14ac:dyDescent="0.2">
      <c r="A608">
        <v>606</v>
      </c>
      <c r="B608" t="s">
        <v>5010</v>
      </c>
      <c r="C608" t="s">
        <v>5009</v>
      </c>
      <c r="F608" t="s">
        <v>5008</v>
      </c>
      <c r="G608" t="s">
        <v>12</v>
      </c>
      <c r="H608" t="s">
        <v>11</v>
      </c>
      <c r="I608" t="s">
        <v>5007</v>
      </c>
      <c r="J608">
        <v>60026717</v>
      </c>
      <c r="K608" t="s">
        <v>2909</v>
      </c>
      <c r="L608" t="s">
        <v>2908</v>
      </c>
      <c r="M608" t="s">
        <v>7</v>
      </c>
      <c r="N608">
        <v>1</v>
      </c>
      <c r="O608" t="s">
        <v>5006</v>
      </c>
      <c r="P608">
        <v>36848887000</v>
      </c>
      <c r="Q608">
        <v>60026717</v>
      </c>
      <c r="R608" s="7">
        <v>33604</v>
      </c>
      <c r="S608" s="8">
        <f t="shared" si="80"/>
        <v>1992</v>
      </c>
      <c r="T608" s="8">
        <v>1992</v>
      </c>
      <c r="U608" s="8">
        <f t="shared" si="81"/>
        <v>30</v>
      </c>
      <c r="V608" s="7">
        <v>33756</v>
      </c>
      <c r="W608" t="s">
        <v>136</v>
      </c>
      <c r="X608" s="2">
        <v>1.3720000000000001</v>
      </c>
      <c r="Y608" s="6">
        <f t="shared" si="78"/>
        <v>3.662475641333654E-2</v>
      </c>
      <c r="AA608">
        <v>189480</v>
      </c>
      <c r="AB608">
        <v>17366</v>
      </c>
      <c r="AC608">
        <v>15579670</v>
      </c>
      <c r="AD608" t="s">
        <v>4</v>
      </c>
      <c r="AE608">
        <v>40</v>
      </c>
      <c r="AF608">
        <v>6</v>
      </c>
      <c r="AH608" t="s">
        <v>5005</v>
      </c>
      <c r="AI608" t="s">
        <v>5004</v>
      </c>
      <c r="AK608" t="s">
        <v>5003</v>
      </c>
      <c r="AL608">
        <v>16</v>
      </c>
      <c r="AM608" s="5">
        <f t="shared" si="82"/>
        <v>0.53333333333333333</v>
      </c>
      <c r="AN608" s="4">
        <f t="shared" si="79"/>
        <v>8.0777483276536668E-4</v>
      </c>
      <c r="AO608" s="3"/>
      <c r="AP608">
        <v>0</v>
      </c>
      <c r="AR608" t="s">
        <v>0</v>
      </c>
      <c r="AT608" s="2" t="s">
        <v>16</v>
      </c>
      <c r="AU608" s="1">
        <f t="shared" si="83"/>
        <v>2.5879661939165186</v>
      </c>
      <c r="AV608" s="1">
        <f t="shared" si="84"/>
        <v>1.8716265623050954</v>
      </c>
      <c r="AW608" s="1">
        <f t="shared" si="85"/>
        <v>1.1552869306936719</v>
      </c>
    </row>
    <row r="609" spans="1:49" x14ac:dyDescent="0.2">
      <c r="A609">
        <v>607</v>
      </c>
      <c r="B609" t="s">
        <v>5002</v>
      </c>
      <c r="C609" t="s">
        <v>5001</v>
      </c>
      <c r="F609" t="s">
        <v>5000</v>
      </c>
      <c r="G609" t="s">
        <v>12</v>
      </c>
      <c r="H609" t="s">
        <v>11</v>
      </c>
      <c r="I609" t="s">
        <v>4999</v>
      </c>
      <c r="J609">
        <v>60020547</v>
      </c>
      <c r="K609" t="s">
        <v>4980</v>
      </c>
      <c r="L609" t="s">
        <v>4979</v>
      </c>
      <c r="M609" t="s">
        <v>7</v>
      </c>
      <c r="N609">
        <v>2</v>
      </c>
      <c r="O609" t="s">
        <v>4998</v>
      </c>
      <c r="P609" t="s">
        <v>4997</v>
      </c>
      <c r="Q609" t="s">
        <v>4976</v>
      </c>
      <c r="R609" s="7">
        <v>33604</v>
      </c>
      <c r="S609" s="8">
        <f t="shared" si="80"/>
        <v>1992</v>
      </c>
      <c r="T609" s="8">
        <v>1992</v>
      </c>
      <c r="U609" s="8">
        <f t="shared" si="81"/>
        <v>30</v>
      </c>
      <c r="V609" s="7">
        <v>33756</v>
      </c>
      <c r="W609" t="s">
        <v>136</v>
      </c>
      <c r="X609" s="2">
        <v>1.3720000000000001</v>
      </c>
      <c r="Y609" s="6">
        <f t="shared" si="78"/>
        <v>3.662475641333654E-2</v>
      </c>
      <c r="AA609">
        <v>189480</v>
      </c>
      <c r="AB609">
        <v>17366</v>
      </c>
      <c r="AC609">
        <v>15579670</v>
      </c>
      <c r="AD609" t="s">
        <v>4</v>
      </c>
      <c r="AE609">
        <v>40</v>
      </c>
      <c r="AF609">
        <v>6</v>
      </c>
      <c r="AH609" t="s">
        <v>4996</v>
      </c>
      <c r="AI609" t="s">
        <v>4995</v>
      </c>
      <c r="AK609" t="s">
        <v>4994</v>
      </c>
      <c r="AL609">
        <v>340</v>
      </c>
      <c r="AM609" s="5">
        <f t="shared" si="82"/>
        <v>11.333333333333334</v>
      </c>
      <c r="AN609" s="4">
        <f t="shared" si="79"/>
        <v>1.7165215196264041E-2</v>
      </c>
      <c r="AO609" s="3"/>
      <c r="AP609">
        <v>0</v>
      </c>
      <c r="AQ609" t="s">
        <v>1376</v>
      </c>
      <c r="AR609" t="s">
        <v>0</v>
      </c>
      <c r="AS609" t="s">
        <v>1374</v>
      </c>
      <c r="AT609" s="2" t="s">
        <v>16</v>
      </c>
      <c r="AU609" s="1">
        <f t="shared" si="83"/>
        <v>3.0786894048214788</v>
      </c>
      <c r="AV609" s="1">
        <f t="shared" si="84"/>
        <v>2.6894985804800293</v>
      </c>
      <c r="AW609" s="1">
        <f t="shared" si="85"/>
        <v>2.300307756138579</v>
      </c>
    </row>
    <row r="610" spans="1:49" x14ac:dyDescent="0.2">
      <c r="A610">
        <v>608</v>
      </c>
      <c r="B610" t="s">
        <v>4993</v>
      </c>
      <c r="C610" t="s">
        <v>4992</v>
      </c>
      <c r="F610" t="s">
        <v>4991</v>
      </c>
      <c r="G610" t="s">
        <v>12</v>
      </c>
      <c r="H610" t="s">
        <v>11</v>
      </c>
      <c r="I610" t="s">
        <v>4990</v>
      </c>
      <c r="J610">
        <v>60009037</v>
      </c>
      <c r="K610" t="s">
        <v>2673</v>
      </c>
      <c r="L610" t="s">
        <v>2672</v>
      </c>
      <c r="M610" t="s">
        <v>7</v>
      </c>
      <c r="N610">
        <v>2</v>
      </c>
      <c r="O610" t="s">
        <v>4989</v>
      </c>
      <c r="P610" t="s">
        <v>4988</v>
      </c>
      <c r="Q610" t="s">
        <v>4801</v>
      </c>
      <c r="R610" s="7">
        <v>33604</v>
      </c>
      <c r="S610" s="8">
        <f t="shared" si="80"/>
        <v>1992</v>
      </c>
      <c r="T610" s="8">
        <v>1992</v>
      </c>
      <c r="U610" s="8">
        <f t="shared" si="81"/>
        <v>30</v>
      </c>
      <c r="V610" s="7">
        <v>33756</v>
      </c>
      <c r="W610" t="s">
        <v>136</v>
      </c>
      <c r="X610" s="2">
        <v>1.3720000000000001</v>
      </c>
      <c r="Y610" s="6">
        <f t="shared" si="78"/>
        <v>3.662475641333654E-2</v>
      </c>
      <c r="AA610">
        <v>189480</v>
      </c>
      <c r="AB610">
        <v>17366</v>
      </c>
      <c r="AC610">
        <v>15579670</v>
      </c>
      <c r="AD610" t="s">
        <v>4</v>
      </c>
      <c r="AE610">
        <v>40</v>
      </c>
      <c r="AF610">
        <v>6</v>
      </c>
      <c r="AH610" t="s">
        <v>4987</v>
      </c>
      <c r="AI610" t="s">
        <v>4986</v>
      </c>
      <c r="AK610" t="s">
        <v>4985</v>
      </c>
      <c r="AL610">
        <v>38</v>
      </c>
      <c r="AM610" s="5">
        <f t="shared" si="82"/>
        <v>1.2666666666666666</v>
      </c>
      <c r="AN610" s="4">
        <f t="shared" si="79"/>
        <v>1.9184652278177456E-3</v>
      </c>
      <c r="AO610" s="3"/>
      <c r="AP610">
        <v>0</v>
      </c>
      <c r="AR610" t="s">
        <v>0</v>
      </c>
      <c r="AT610" s="2" t="s">
        <v>16</v>
      </c>
      <c r="AU610" s="1">
        <f t="shared" si="83"/>
        <v>2.6212869057680899</v>
      </c>
      <c r="AV610" s="1">
        <f t="shared" si="84"/>
        <v>1.9271610820577143</v>
      </c>
      <c r="AW610" s="1">
        <f t="shared" si="85"/>
        <v>1.2330352583473383</v>
      </c>
    </row>
    <row r="611" spans="1:49" x14ac:dyDescent="0.2">
      <c r="A611">
        <v>609</v>
      </c>
      <c r="B611" t="s">
        <v>4984</v>
      </c>
      <c r="C611" t="s">
        <v>4983</v>
      </c>
      <c r="F611" t="s">
        <v>4982</v>
      </c>
      <c r="G611" t="s">
        <v>12</v>
      </c>
      <c r="H611" t="s">
        <v>11</v>
      </c>
      <c r="I611" t="s">
        <v>4981</v>
      </c>
      <c r="J611">
        <v>60020547</v>
      </c>
      <c r="K611" t="s">
        <v>4980</v>
      </c>
      <c r="L611" t="s">
        <v>4979</v>
      </c>
      <c r="M611" t="s">
        <v>7</v>
      </c>
      <c r="N611">
        <v>2</v>
      </c>
      <c r="O611" t="s">
        <v>4978</v>
      </c>
      <c r="P611" t="s">
        <v>4977</v>
      </c>
      <c r="Q611" t="s">
        <v>4976</v>
      </c>
      <c r="R611" s="7">
        <v>33604</v>
      </c>
      <c r="S611" s="8">
        <f t="shared" si="80"/>
        <v>1992</v>
      </c>
      <c r="T611" s="8">
        <v>1992</v>
      </c>
      <c r="U611" s="8">
        <f t="shared" si="81"/>
        <v>30</v>
      </c>
      <c r="V611" s="7">
        <v>33756</v>
      </c>
      <c r="W611" t="s">
        <v>1775</v>
      </c>
      <c r="X611" s="2">
        <v>0.61499999999999999</v>
      </c>
      <c r="Y611" s="6">
        <f t="shared" si="78"/>
        <v>1.6417073756706976E-2</v>
      </c>
      <c r="AA611">
        <v>1959271</v>
      </c>
      <c r="AB611">
        <v>12141</v>
      </c>
      <c r="AC611">
        <v>15729559</v>
      </c>
      <c r="AD611" t="s">
        <v>4</v>
      </c>
      <c r="AE611">
        <v>13</v>
      </c>
      <c r="AF611">
        <v>6</v>
      </c>
      <c r="AH611" t="s">
        <v>4975</v>
      </c>
      <c r="AI611" t="s">
        <v>4974</v>
      </c>
      <c r="AK611" t="s">
        <v>4973</v>
      </c>
      <c r="AL611">
        <v>3</v>
      </c>
      <c r="AM611" s="5">
        <f t="shared" si="82"/>
        <v>0.1</v>
      </c>
      <c r="AN611" s="4">
        <f t="shared" si="79"/>
        <v>1.5145778114350627E-4</v>
      </c>
      <c r="AO611" s="3"/>
      <c r="AP611">
        <v>0</v>
      </c>
      <c r="AR611" t="s">
        <v>0</v>
      </c>
      <c r="AT611" s="2" t="s">
        <v>16</v>
      </c>
      <c r="AU611" s="1">
        <f t="shared" si="83"/>
        <v>1.1537388964037933</v>
      </c>
      <c r="AV611" s="1">
        <f t="shared" si="84"/>
        <v>0.82842657689252397</v>
      </c>
      <c r="AW611" s="1">
        <f t="shared" si="85"/>
        <v>0.5031142573812547</v>
      </c>
    </row>
    <row r="612" spans="1:49" x14ac:dyDescent="0.2">
      <c r="A612">
        <v>610</v>
      </c>
      <c r="B612" t="s">
        <v>4972</v>
      </c>
      <c r="C612" t="s">
        <v>4971</v>
      </c>
      <c r="F612" t="s">
        <v>4970</v>
      </c>
      <c r="G612" t="s">
        <v>12</v>
      </c>
      <c r="H612" t="s">
        <v>11</v>
      </c>
      <c r="I612" t="s">
        <v>4969</v>
      </c>
      <c r="J612" t="s">
        <v>4968</v>
      </c>
      <c r="K612" t="s">
        <v>4967</v>
      </c>
      <c r="L612" t="s">
        <v>4966</v>
      </c>
      <c r="M612" t="s">
        <v>4965</v>
      </c>
      <c r="N612">
        <v>3</v>
      </c>
      <c r="O612" t="s">
        <v>4964</v>
      </c>
      <c r="P612" t="s">
        <v>4963</v>
      </c>
      <c r="Q612" t="s">
        <v>4962</v>
      </c>
      <c r="R612" s="7">
        <v>33604</v>
      </c>
      <c r="S612" s="8">
        <f t="shared" si="80"/>
        <v>1992</v>
      </c>
      <c r="T612" s="8">
        <v>1992</v>
      </c>
      <c r="U612" s="8">
        <f t="shared" si="81"/>
        <v>30</v>
      </c>
      <c r="V612" s="7">
        <v>33756</v>
      </c>
      <c r="W612" t="s">
        <v>2799</v>
      </c>
      <c r="X612" s="2">
        <v>0.88100000000000001</v>
      </c>
      <c r="Y612" s="6">
        <f t="shared" si="78"/>
        <v>2.3517791836843653E-2</v>
      </c>
      <c r="AA612">
        <v>10459243</v>
      </c>
      <c r="AB612">
        <v>17248</v>
      </c>
      <c r="AD612" t="s">
        <v>4</v>
      </c>
      <c r="AE612">
        <v>34</v>
      </c>
      <c r="AF612">
        <v>3</v>
      </c>
      <c r="AH612" t="s">
        <v>4961</v>
      </c>
      <c r="AL612">
        <v>52</v>
      </c>
      <c r="AM612" s="5">
        <f t="shared" si="82"/>
        <v>1.7333333333333334</v>
      </c>
      <c r="AN612" s="4">
        <f t="shared" si="79"/>
        <v>2.6252682064874418E-3</v>
      </c>
      <c r="AO612" s="3"/>
      <c r="AP612">
        <v>0</v>
      </c>
      <c r="AR612" t="s">
        <v>0</v>
      </c>
      <c r="AT612" s="2" t="s">
        <v>16</v>
      </c>
      <c r="AU612" s="1">
        <f t="shared" si="83"/>
        <v>1.7250034747736787</v>
      </c>
      <c r="AV612" s="1">
        <f t="shared" si="84"/>
        <v>1.3071530021665547</v>
      </c>
      <c r="AW612" s="1">
        <f t="shared" si="85"/>
        <v>0.88930252955943045</v>
      </c>
    </row>
    <row r="613" spans="1:49" x14ac:dyDescent="0.2">
      <c r="A613">
        <v>611</v>
      </c>
      <c r="B613" t="s">
        <v>4960</v>
      </c>
      <c r="C613" t="s">
        <v>4959</v>
      </c>
      <c r="E613">
        <v>1601437</v>
      </c>
      <c r="F613" t="s">
        <v>4958</v>
      </c>
      <c r="G613" t="s">
        <v>12</v>
      </c>
      <c r="H613" t="s">
        <v>11</v>
      </c>
      <c r="I613" t="s">
        <v>4957</v>
      </c>
      <c r="J613" t="s">
        <v>4956</v>
      </c>
      <c r="K613" t="s">
        <v>4955</v>
      </c>
      <c r="L613" t="s">
        <v>4954</v>
      </c>
      <c r="M613" t="s">
        <v>125</v>
      </c>
      <c r="N613">
        <v>2</v>
      </c>
      <c r="O613" t="s">
        <v>4953</v>
      </c>
      <c r="P613" t="s">
        <v>4952</v>
      </c>
      <c r="Q613" t="s">
        <v>4951</v>
      </c>
      <c r="R613" s="7">
        <v>33604</v>
      </c>
      <c r="S613" s="8">
        <f t="shared" si="80"/>
        <v>1992</v>
      </c>
      <c r="T613" s="8">
        <v>1992</v>
      </c>
      <c r="U613" s="8">
        <f t="shared" si="81"/>
        <v>30</v>
      </c>
      <c r="V613" s="7">
        <v>33756</v>
      </c>
      <c r="W613" t="s">
        <v>2522</v>
      </c>
      <c r="X613" s="2">
        <v>1.1479999999999999</v>
      </c>
      <c r="Y613" s="6">
        <f t="shared" si="78"/>
        <v>3.0645204345853019E-2</v>
      </c>
      <c r="AA613">
        <v>189294</v>
      </c>
      <c r="AB613">
        <v>16318</v>
      </c>
      <c r="AC613">
        <v>15582531</v>
      </c>
      <c r="AD613" t="s">
        <v>4</v>
      </c>
      <c r="AE613">
        <v>39</v>
      </c>
      <c r="AF613">
        <v>6</v>
      </c>
      <c r="AH613" t="s">
        <v>4950</v>
      </c>
      <c r="AI613" t="s">
        <v>4949</v>
      </c>
      <c r="AK613" t="s">
        <v>4948</v>
      </c>
      <c r="AL613">
        <v>29</v>
      </c>
      <c r="AM613" s="5">
        <f t="shared" si="82"/>
        <v>0.96666666666666667</v>
      </c>
      <c r="AN613" s="4">
        <f t="shared" si="79"/>
        <v>1.4640918843872271E-3</v>
      </c>
      <c r="AO613" s="3"/>
      <c r="AP613">
        <v>0</v>
      </c>
      <c r="AR613" t="s">
        <v>0</v>
      </c>
      <c r="AT613" s="2" t="s">
        <v>16</v>
      </c>
      <c r="AU613" s="1">
        <f t="shared" si="83"/>
        <v>2.1890870607413282</v>
      </c>
      <c r="AV613" s="1">
        <f t="shared" si="84"/>
        <v>1.6054648115120123</v>
      </c>
      <c r="AW613" s="1">
        <f t="shared" si="85"/>
        <v>1.0218425622826963</v>
      </c>
    </row>
    <row r="614" spans="1:49" x14ac:dyDescent="0.2">
      <c r="A614">
        <v>612</v>
      </c>
      <c r="B614" t="s">
        <v>4947</v>
      </c>
      <c r="C614" t="s">
        <v>4946</v>
      </c>
      <c r="F614" t="s">
        <v>4945</v>
      </c>
      <c r="G614" t="s">
        <v>12</v>
      </c>
      <c r="H614" t="s">
        <v>11</v>
      </c>
      <c r="I614" t="s">
        <v>4944</v>
      </c>
      <c r="J614" t="s">
        <v>4939</v>
      </c>
      <c r="K614" t="s">
        <v>4943</v>
      </c>
      <c r="L614" t="s">
        <v>4942</v>
      </c>
      <c r="M614" t="s">
        <v>931</v>
      </c>
      <c r="N614">
        <v>2</v>
      </c>
      <c r="O614" t="s">
        <v>4941</v>
      </c>
      <c r="P614" t="s">
        <v>4940</v>
      </c>
      <c r="Q614" t="s">
        <v>4939</v>
      </c>
      <c r="R614" s="7">
        <v>33604</v>
      </c>
      <c r="S614" s="8">
        <f t="shared" si="80"/>
        <v>1992</v>
      </c>
      <c r="T614" s="8">
        <v>1992</v>
      </c>
      <c r="U614" s="8">
        <f t="shared" si="81"/>
        <v>30</v>
      </c>
      <c r="V614" s="7">
        <v>1992</v>
      </c>
      <c r="W614" t="s">
        <v>665</v>
      </c>
      <c r="X614" s="2">
        <v>0.111</v>
      </c>
      <c r="Y614" s="6">
        <f t="shared" si="78"/>
        <v>2.9630816048690639E-3</v>
      </c>
      <c r="AA614">
        <v>87566621</v>
      </c>
      <c r="AB614">
        <v>24890</v>
      </c>
      <c r="AC614">
        <v>15206424</v>
      </c>
      <c r="AD614" t="s">
        <v>4</v>
      </c>
      <c r="AE614">
        <v>75</v>
      </c>
      <c r="AF614">
        <v>6</v>
      </c>
      <c r="AH614" t="s">
        <v>4938</v>
      </c>
      <c r="AI614" t="s">
        <v>4937</v>
      </c>
      <c r="AJ614" t="s">
        <v>4936</v>
      </c>
      <c r="AK614" t="s">
        <v>4935</v>
      </c>
      <c r="AL614">
        <v>2</v>
      </c>
      <c r="AM614" s="5">
        <f t="shared" si="82"/>
        <v>6.6666666666666666E-2</v>
      </c>
      <c r="AN614" s="4">
        <f t="shared" si="79"/>
        <v>1.0097185409567084E-4</v>
      </c>
      <c r="AO614" s="3"/>
      <c r="AP614">
        <v>0</v>
      </c>
      <c r="AR614" t="s">
        <v>0</v>
      </c>
      <c r="AT614" s="2" t="s">
        <v>16</v>
      </c>
      <c r="AU614" s="1">
        <f t="shared" si="83"/>
        <v>0.21044486796370454</v>
      </c>
      <c r="AV614" s="1">
        <f t="shared" si="84"/>
        <v>0.15320267294823675</v>
      </c>
      <c r="AW614" s="1">
        <f t="shared" si="85"/>
        <v>9.5960477932768878E-2</v>
      </c>
    </row>
    <row r="615" spans="1:49" x14ac:dyDescent="0.2">
      <c r="A615">
        <v>613</v>
      </c>
      <c r="B615" t="s">
        <v>4934</v>
      </c>
      <c r="C615" t="s">
        <v>4933</v>
      </c>
      <c r="F615" t="s">
        <v>4932</v>
      </c>
      <c r="G615" t="s">
        <v>12</v>
      </c>
      <c r="H615" t="s">
        <v>11</v>
      </c>
      <c r="I615" t="s">
        <v>2595</v>
      </c>
      <c r="J615">
        <v>60017161</v>
      </c>
      <c r="K615" t="s">
        <v>2594</v>
      </c>
      <c r="L615" t="s">
        <v>2593</v>
      </c>
      <c r="M615" t="s">
        <v>2592</v>
      </c>
      <c r="N615">
        <v>3</v>
      </c>
      <c r="O615" t="s">
        <v>4931</v>
      </c>
      <c r="P615" t="s">
        <v>4930</v>
      </c>
      <c r="Q615" t="s">
        <v>3543</v>
      </c>
      <c r="R615" s="7">
        <v>33604</v>
      </c>
      <c r="S615" s="8">
        <f t="shared" si="80"/>
        <v>1992</v>
      </c>
      <c r="T615" s="8">
        <v>1992</v>
      </c>
      <c r="U615" s="8">
        <f t="shared" si="81"/>
        <v>30</v>
      </c>
      <c r="V615" s="7" t="s">
        <v>4651</v>
      </c>
      <c r="W615" s="11" t="s">
        <v>2809</v>
      </c>
      <c r="X615" s="2">
        <v>2.383</v>
      </c>
      <c r="Y615" s="6">
        <f t="shared" si="78"/>
        <v>6.3612824003630442E-2</v>
      </c>
      <c r="AA615" t="s">
        <v>2808</v>
      </c>
      <c r="AB615">
        <v>96433</v>
      </c>
      <c r="AD615" t="s">
        <v>4</v>
      </c>
      <c r="AE615">
        <v>139</v>
      </c>
      <c r="AF615">
        <v>3</v>
      </c>
      <c r="AH615" t="s">
        <v>4929</v>
      </c>
      <c r="AI615" t="s">
        <v>4928</v>
      </c>
      <c r="AK615" t="s">
        <v>4927</v>
      </c>
      <c r="AL615">
        <v>3</v>
      </c>
      <c r="AM615" s="5">
        <f t="shared" si="82"/>
        <v>0.1</v>
      </c>
      <c r="AN615" s="4">
        <f t="shared" si="79"/>
        <v>1.5145778114350627E-4</v>
      </c>
      <c r="AO615" s="3"/>
      <c r="AP615">
        <v>0</v>
      </c>
      <c r="AR615" t="s">
        <v>0</v>
      </c>
      <c r="AT615" s="2" t="s">
        <v>16</v>
      </c>
      <c r="AU615" s="1">
        <f t="shared" si="83"/>
        <v>4.4574414136884357</v>
      </c>
      <c r="AV615" s="1">
        <f t="shared" si="84"/>
        <v>3.1882140892386972</v>
      </c>
      <c r="AW615" s="1">
        <f t="shared" si="85"/>
        <v>1.9189867647889589</v>
      </c>
    </row>
    <row r="616" spans="1:49" x14ac:dyDescent="0.2">
      <c r="A616">
        <v>614</v>
      </c>
      <c r="B616" t="s">
        <v>4926</v>
      </c>
      <c r="C616" t="s">
        <v>4925</v>
      </c>
      <c r="F616" t="s">
        <v>4924</v>
      </c>
      <c r="G616" t="s">
        <v>12</v>
      </c>
      <c r="H616" t="s">
        <v>11</v>
      </c>
      <c r="I616" t="s">
        <v>4923</v>
      </c>
      <c r="J616">
        <v>60001247</v>
      </c>
      <c r="K616" t="s">
        <v>1213</v>
      </c>
      <c r="M616" t="s">
        <v>7</v>
      </c>
      <c r="N616">
        <v>1</v>
      </c>
      <c r="O616" t="s">
        <v>4922</v>
      </c>
      <c r="P616">
        <v>7006532684</v>
      </c>
      <c r="Q616">
        <v>60001247</v>
      </c>
      <c r="R616" s="7">
        <v>33604</v>
      </c>
      <c r="S616" s="8">
        <f t="shared" si="80"/>
        <v>1992</v>
      </c>
      <c r="T616" s="8">
        <v>1992</v>
      </c>
      <c r="U616" s="8">
        <f t="shared" si="81"/>
        <v>30</v>
      </c>
      <c r="V616" s="7" t="s">
        <v>4768</v>
      </c>
      <c r="W616" t="s">
        <v>4767</v>
      </c>
      <c r="X616" s="2" t="s">
        <v>16</v>
      </c>
      <c r="Y616" s="6" t="e">
        <f t="shared" si="78"/>
        <v>#VALUE!</v>
      </c>
      <c r="AA616">
        <v>281522</v>
      </c>
      <c r="AB616">
        <v>12174</v>
      </c>
      <c r="AC616">
        <v>21614296</v>
      </c>
      <c r="AD616" t="s">
        <v>4</v>
      </c>
      <c r="AE616">
        <v>39</v>
      </c>
      <c r="AF616">
        <v>2</v>
      </c>
      <c r="AH616" t="s">
        <v>4921</v>
      </c>
      <c r="AI616" t="s">
        <v>4920</v>
      </c>
      <c r="AK616" t="s">
        <v>4919</v>
      </c>
      <c r="AL616">
        <v>12</v>
      </c>
      <c r="AM616" s="5">
        <f t="shared" si="82"/>
        <v>0.4</v>
      </c>
      <c r="AN616" s="4">
        <f t="shared" si="79"/>
        <v>6.0583112457402507E-4</v>
      </c>
      <c r="AO616" s="3"/>
      <c r="AP616">
        <v>0</v>
      </c>
      <c r="AR616" t="s">
        <v>0</v>
      </c>
      <c r="AT616" s="2" t="s">
        <v>16</v>
      </c>
      <c r="AU616" s="1" t="e">
        <f t="shared" si="83"/>
        <v>#VALUE!</v>
      </c>
      <c r="AV616" s="1" t="e">
        <f t="shared" si="84"/>
        <v>#VALUE!</v>
      </c>
      <c r="AW616" s="1" t="e">
        <f t="shared" si="85"/>
        <v>#VALUE!</v>
      </c>
    </row>
    <row r="617" spans="1:49" x14ac:dyDescent="0.2">
      <c r="A617">
        <v>615</v>
      </c>
      <c r="B617" t="s">
        <v>4918</v>
      </c>
      <c r="C617" t="s">
        <v>4917</v>
      </c>
      <c r="F617" t="s">
        <v>4916</v>
      </c>
      <c r="G617" t="s">
        <v>12</v>
      </c>
      <c r="H617" t="s">
        <v>11</v>
      </c>
      <c r="I617" t="s">
        <v>4915</v>
      </c>
      <c r="J617">
        <v>60014097</v>
      </c>
      <c r="K617" t="s">
        <v>4914</v>
      </c>
      <c r="L617" t="s">
        <v>4913</v>
      </c>
      <c r="M617" t="s">
        <v>3937</v>
      </c>
      <c r="N617">
        <v>2</v>
      </c>
      <c r="O617" t="s">
        <v>4912</v>
      </c>
      <c r="P617" t="s">
        <v>4911</v>
      </c>
      <c r="Q617" t="s">
        <v>4910</v>
      </c>
      <c r="R617" s="7">
        <v>33604</v>
      </c>
      <c r="S617" s="8">
        <f t="shared" si="80"/>
        <v>1992</v>
      </c>
      <c r="T617" s="8">
        <v>1992</v>
      </c>
      <c r="U617" s="8">
        <f t="shared" si="81"/>
        <v>30</v>
      </c>
      <c r="V617" s="7">
        <v>33756</v>
      </c>
      <c r="W617" t="s">
        <v>97</v>
      </c>
      <c r="X617" s="2">
        <v>1.6519999999999999</v>
      </c>
      <c r="Y617" s="6">
        <f t="shared" si="78"/>
        <v>4.409919649769093E-2</v>
      </c>
      <c r="AA617" t="s">
        <v>96</v>
      </c>
      <c r="AB617">
        <v>17337</v>
      </c>
      <c r="AC617">
        <v>15582221</v>
      </c>
      <c r="AD617" t="s">
        <v>4</v>
      </c>
      <c r="AE617">
        <v>40</v>
      </c>
      <c r="AF617">
        <v>6</v>
      </c>
      <c r="AH617" t="s">
        <v>4909</v>
      </c>
      <c r="AI617" t="s">
        <v>4908</v>
      </c>
      <c r="AK617" t="s">
        <v>4907</v>
      </c>
      <c r="AL617">
        <v>4</v>
      </c>
      <c r="AM617" s="5">
        <f t="shared" si="82"/>
        <v>0.13333333333333333</v>
      </c>
      <c r="AN617" s="4">
        <f t="shared" si="79"/>
        <v>2.0194370819134167E-4</v>
      </c>
      <c r="AO617" s="3"/>
      <c r="AP617">
        <v>0</v>
      </c>
      <c r="AR617" t="s">
        <v>0</v>
      </c>
      <c r="AT617" s="2" t="s">
        <v>16</v>
      </c>
      <c r="AU617" s="1">
        <f t="shared" si="83"/>
        <v>3.0930020660841056</v>
      </c>
      <c r="AV617" s="1">
        <f t="shared" si="84"/>
        <v>2.2150570102941138</v>
      </c>
      <c r="AW617" s="1">
        <f t="shared" si="85"/>
        <v>1.3371119545041217</v>
      </c>
    </row>
    <row r="618" spans="1:49" x14ac:dyDescent="0.2">
      <c r="A618">
        <v>616</v>
      </c>
      <c r="B618" t="s">
        <v>4906</v>
      </c>
      <c r="C618" t="s">
        <v>4905</v>
      </c>
      <c r="F618" t="s">
        <v>4904</v>
      </c>
      <c r="G618" t="s">
        <v>12</v>
      </c>
      <c r="H618" t="s">
        <v>11</v>
      </c>
      <c r="I618" t="s">
        <v>3762</v>
      </c>
      <c r="J618" t="s">
        <v>4903</v>
      </c>
      <c r="K618" t="s">
        <v>4902</v>
      </c>
      <c r="L618" t="s">
        <v>4901</v>
      </c>
      <c r="M618" t="s">
        <v>4900</v>
      </c>
      <c r="N618">
        <v>3</v>
      </c>
      <c r="O618" t="s">
        <v>4899</v>
      </c>
      <c r="P618" t="s">
        <v>4898</v>
      </c>
      <c r="Q618" t="s">
        <v>4897</v>
      </c>
      <c r="R618" s="7">
        <v>33604</v>
      </c>
      <c r="S618" s="8">
        <f t="shared" si="80"/>
        <v>1992</v>
      </c>
      <c r="T618" s="8">
        <v>1992</v>
      </c>
      <c r="U618" s="8">
        <f t="shared" si="81"/>
        <v>30</v>
      </c>
      <c r="V618" s="7">
        <v>33756</v>
      </c>
      <c r="W618" t="s">
        <v>97</v>
      </c>
      <c r="X618" s="2">
        <v>1.6519999999999999</v>
      </c>
      <c r="Y618" s="6">
        <f t="shared" si="78"/>
        <v>4.409919649769093E-2</v>
      </c>
      <c r="AA618" t="s">
        <v>96</v>
      </c>
      <c r="AB618">
        <v>17337</v>
      </c>
      <c r="AC618">
        <v>15582221</v>
      </c>
      <c r="AD618" t="s">
        <v>4</v>
      </c>
      <c r="AE618">
        <v>40</v>
      </c>
      <c r="AF618">
        <v>6</v>
      </c>
      <c r="AH618" t="s">
        <v>4896</v>
      </c>
      <c r="AI618" t="s">
        <v>4895</v>
      </c>
      <c r="AK618" t="s">
        <v>4894</v>
      </c>
      <c r="AL618">
        <v>26</v>
      </c>
      <c r="AM618" s="5">
        <f t="shared" si="82"/>
        <v>0.8666666666666667</v>
      </c>
      <c r="AN618" s="4">
        <f t="shared" si="79"/>
        <v>1.3126341032437209E-3</v>
      </c>
      <c r="AO618" s="3"/>
      <c r="AP618">
        <v>0</v>
      </c>
      <c r="AR618" t="s">
        <v>0</v>
      </c>
      <c r="AT618" s="2" t="s">
        <v>16</v>
      </c>
      <c r="AU618" s="1">
        <f t="shared" si="83"/>
        <v>3.1263227779356764</v>
      </c>
      <c r="AV618" s="1">
        <f t="shared" si="84"/>
        <v>2.2705915300467323</v>
      </c>
      <c r="AW618" s="1">
        <f t="shared" si="85"/>
        <v>1.4148602821577883</v>
      </c>
    </row>
    <row r="619" spans="1:49" x14ac:dyDescent="0.2">
      <c r="A619">
        <v>617</v>
      </c>
      <c r="B619" t="s">
        <v>4893</v>
      </c>
      <c r="C619" t="s">
        <v>4892</v>
      </c>
      <c r="F619" t="s">
        <v>4891</v>
      </c>
      <c r="G619" t="s">
        <v>12</v>
      </c>
      <c r="H619" t="s">
        <v>11</v>
      </c>
      <c r="I619" t="s">
        <v>4890</v>
      </c>
      <c r="J619">
        <v>60025778</v>
      </c>
      <c r="K619" t="s">
        <v>25</v>
      </c>
      <c r="L619" t="s">
        <v>24</v>
      </c>
      <c r="M619" t="s">
        <v>7</v>
      </c>
      <c r="N619">
        <v>1</v>
      </c>
      <c r="O619" t="s">
        <v>4889</v>
      </c>
      <c r="P619">
        <v>7202900529</v>
      </c>
      <c r="Q619">
        <v>60025778</v>
      </c>
      <c r="R619" s="7">
        <v>33604</v>
      </c>
      <c r="S619" s="8">
        <f t="shared" si="80"/>
        <v>1992</v>
      </c>
      <c r="T619" s="8">
        <v>1992</v>
      </c>
      <c r="U619" s="8">
        <f t="shared" si="81"/>
        <v>30</v>
      </c>
      <c r="V619" s="7">
        <v>33756</v>
      </c>
      <c r="W619" t="s">
        <v>97</v>
      </c>
      <c r="X619" s="2">
        <v>1.6519999999999999</v>
      </c>
      <c r="Y619" s="6">
        <f t="shared" si="78"/>
        <v>4.409919649769093E-2</v>
      </c>
      <c r="AA619" t="s">
        <v>96</v>
      </c>
      <c r="AB619">
        <v>17337</v>
      </c>
      <c r="AC619">
        <v>15582221</v>
      </c>
      <c r="AD619" t="s">
        <v>4</v>
      </c>
      <c r="AE619">
        <v>40</v>
      </c>
      <c r="AF619">
        <v>6</v>
      </c>
      <c r="AH619" t="s">
        <v>4888</v>
      </c>
      <c r="AI619" t="s">
        <v>4887</v>
      </c>
      <c r="AK619" t="s">
        <v>4886</v>
      </c>
      <c r="AL619">
        <v>35</v>
      </c>
      <c r="AM619" s="5">
        <f t="shared" si="82"/>
        <v>1.1666666666666667</v>
      </c>
      <c r="AN619" s="4">
        <f t="shared" si="79"/>
        <v>1.7670074466742396E-3</v>
      </c>
      <c r="AO619" s="3"/>
      <c r="AP619">
        <v>0</v>
      </c>
      <c r="AR619" t="s">
        <v>0</v>
      </c>
      <c r="AT619" s="2" t="s">
        <v>16</v>
      </c>
      <c r="AU619" s="1">
        <f t="shared" si="83"/>
        <v>3.1399539782385926</v>
      </c>
      <c r="AV619" s="1">
        <f t="shared" si="84"/>
        <v>2.2933101972182586</v>
      </c>
      <c r="AW619" s="1">
        <f t="shared" si="85"/>
        <v>1.4466664161979246</v>
      </c>
    </row>
    <row r="620" spans="1:49" x14ac:dyDescent="0.2">
      <c r="A620">
        <v>618</v>
      </c>
      <c r="B620" t="s">
        <v>4885</v>
      </c>
      <c r="C620" t="s">
        <v>4884</v>
      </c>
      <c r="F620" t="s">
        <v>4883</v>
      </c>
      <c r="G620" t="s">
        <v>12</v>
      </c>
      <c r="H620" t="s">
        <v>11</v>
      </c>
      <c r="I620" t="s">
        <v>4882</v>
      </c>
      <c r="J620">
        <v>60022195</v>
      </c>
      <c r="K620" t="s">
        <v>2052</v>
      </c>
      <c r="L620" t="s">
        <v>2051</v>
      </c>
      <c r="M620" t="s">
        <v>7</v>
      </c>
      <c r="N620">
        <v>1</v>
      </c>
      <c r="O620" t="s">
        <v>4881</v>
      </c>
      <c r="P620">
        <v>7005553277</v>
      </c>
      <c r="Q620">
        <v>60022195</v>
      </c>
      <c r="R620" s="7">
        <v>33604</v>
      </c>
      <c r="S620" s="8">
        <f t="shared" si="80"/>
        <v>1992</v>
      </c>
      <c r="T620" s="8">
        <v>1992</v>
      </c>
      <c r="U620" s="8">
        <f t="shared" si="81"/>
        <v>30</v>
      </c>
      <c r="V620" s="7">
        <v>33756</v>
      </c>
      <c r="W620" t="s">
        <v>97</v>
      </c>
      <c r="X620" s="2">
        <v>1.6519999999999999</v>
      </c>
      <c r="Y620" s="6">
        <f t="shared" si="78"/>
        <v>4.409919649769093E-2</v>
      </c>
      <c r="AA620" t="s">
        <v>96</v>
      </c>
      <c r="AB620">
        <v>17337</v>
      </c>
      <c r="AC620">
        <v>15582221</v>
      </c>
      <c r="AD620" t="s">
        <v>4</v>
      </c>
      <c r="AE620">
        <v>40</v>
      </c>
      <c r="AF620">
        <v>6</v>
      </c>
      <c r="AH620" t="s">
        <v>4880</v>
      </c>
      <c r="AI620" t="s">
        <v>4879</v>
      </c>
      <c r="AK620" t="s">
        <v>4878</v>
      </c>
      <c r="AL620">
        <v>5</v>
      </c>
      <c r="AM620" s="5">
        <f t="shared" si="82"/>
        <v>0.16666666666666666</v>
      </c>
      <c r="AN620" s="4">
        <f t="shared" si="79"/>
        <v>2.5242963523917705E-4</v>
      </c>
      <c r="AO620" s="3"/>
      <c r="AP620">
        <v>0</v>
      </c>
      <c r="AR620" t="s">
        <v>0</v>
      </c>
      <c r="AT620" s="2" t="s">
        <v>16</v>
      </c>
      <c r="AU620" s="1">
        <f t="shared" si="83"/>
        <v>3.0945166438955405</v>
      </c>
      <c r="AV620" s="1">
        <f t="shared" si="84"/>
        <v>2.2175813066465055</v>
      </c>
      <c r="AW620" s="1">
        <f t="shared" si="85"/>
        <v>1.3406459693974702</v>
      </c>
    </row>
    <row r="621" spans="1:49" x14ac:dyDescent="0.2">
      <c r="A621">
        <v>619</v>
      </c>
      <c r="B621" t="s">
        <v>4877</v>
      </c>
      <c r="C621" t="s">
        <v>4876</v>
      </c>
      <c r="F621" t="s">
        <v>4875</v>
      </c>
      <c r="G621" t="s">
        <v>12</v>
      </c>
      <c r="H621" t="s">
        <v>11</v>
      </c>
      <c r="I621" t="s">
        <v>4874</v>
      </c>
      <c r="J621">
        <v>60021902</v>
      </c>
      <c r="K621" t="s">
        <v>4873</v>
      </c>
      <c r="L621" t="s">
        <v>4872</v>
      </c>
      <c r="M621" t="s">
        <v>2540</v>
      </c>
      <c r="N621">
        <v>2</v>
      </c>
      <c r="O621" t="s">
        <v>4871</v>
      </c>
      <c r="P621" t="s">
        <v>4870</v>
      </c>
      <c r="Q621" t="s">
        <v>4869</v>
      </c>
      <c r="R621" s="7">
        <v>33604</v>
      </c>
      <c r="S621" s="8">
        <f t="shared" si="80"/>
        <v>1992</v>
      </c>
      <c r="T621" s="8">
        <v>1992</v>
      </c>
      <c r="U621" s="8">
        <f t="shared" si="81"/>
        <v>30</v>
      </c>
      <c r="V621" s="7">
        <v>33756</v>
      </c>
      <c r="W621" t="s">
        <v>97</v>
      </c>
      <c r="X621" s="2">
        <v>1.6519999999999999</v>
      </c>
      <c r="Y621" s="6">
        <f t="shared" si="78"/>
        <v>4.409919649769093E-2</v>
      </c>
      <c r="AA621" t="s">
        <v>96</v>
      </c>
      <c r="AB621">
        <v>17337</v>
      </c>
      <c r="AC621">
        <v>15582221</v>
      </c>
      <c r="AD621" t="s">
        <v>4</v>
      </c>
      <c r="AE621">
        <v>40</v>
      </c>
      <c r="AF621">
        <v>6</v>
      </c>
      <c r="AH621" t="s">
        <v>4868</v>
      </c>
      <c r="AI621" t="s">
        <v>4867</v>
      </c>
      <c r="AK621" t="s">
        <v>4866</v>
      </c>
      <c r="AL621">
        <v>2</v>
      </c>
      <c r="AM621" s="5">
        <f t="shared" si="82"/>
        <v>6.6666666666666666E-2</v>
      </c>
      <c r="AN621" s="4">
        <f t="shared" si="79"/>
        <v>1.0097185409567084E-4</v>
      </c>
      <c r="AO621" s="3"/>
      <c r="AP621">
        <v>0</v>
      </c>
      <c r="AR621" t="s">
        <v>0</v>
      </c>
      <c r="AT621" s="2" t="s">
        <v>16</v>
      </c>
      <c r="AU621" s="1">
        <f t="shared" si="83"/>
        <v>3.0899729104612352</v>
      </c>
      <c r="AV621" s="1">
        <f t="shared" si="84"/>
        <v>2.21000841758933</v>
      </c>
      <c r="AW621" s="1">
        <f t="shared" si="85"/>
        <v>1.3300439247174247</v>
      </c>
    </row>
    <row r="622" spans="1:49" x14ac:dyDescent="0.2">
      <c r="A622">
        <v>620</v>
      </c>
      <c r="B622" t="s">
        <v>4865</v>
      </c>
      <c r="C622" t="s">
        <v>4864</v>
      </c>
      <c r="F622" t="s">
        <v>4863</v>
      </c>
      <c r="G622" t="s">
        <v>12</v>
      </c>
      <c r="H622" t="s">
        <v>11</v>
      </c>
      <c r="I622" t="s">
        <v>3536</v>
      </c>
      <c r="J622">
        <v>60021032</v>
      </c>
      <c r="K622" t="s">
        <v>2567</v>
      </c>
      <c r="L622" t="s">
        <v>2566</v>
      </c>
      <c r="M622" t="s">
        <v>7</v>
      </c>
      <c r="N622">
        <v>2</v>
      </c>
      <c r="O622" t="s">
        <v>3535</v>
      </c>
      <c r="P622" t="s">
        <v>3534</v>
      </c>
      <c r="Q622" t="s">
        <v>3533</v>
      </c>
      <c r="R622" s="7">
        <v>33604</v>
      </c>
      <c r="S622" s="8">
        <f t="shared" si="80"/>
        <v>1992</v>
      </c>
      <c r="T622" s="8">
        <v>1992</v>
      </c>
      <c r="U622" s="8">
        <f t="shared" si="81"/>
        <v>30</v>
      </c>
      <c r="V622" s="7">
        <v>33775</v>
      </c>
      <c r="W622" t="s">
        <v>1458</v>
      </c>
      <c r="X622" s="2">
        <v>0.30399999999999999</v>
      </c>
      <c r="Y622" s="6">
        <f t="shared" si="78"/>
        <v>8.115106377299057E-3</v>
      </c>
      <c r="AA622">
        <v>8952477</v>
      </c>
      <c r="AB622">
        <v>12250</v>
      </c>
      <c r="AC622">
        <v>10982760</v>
      </c>
      <c r="AD622" t="s">
        <v>4</v>
      </c>
      <c r="AE622">
        <v>5</v>
      </c>
      <c r="AF622">
        <v>7</v>
      </c>
      <c r="AH622" t="s">
        <v>4862</v>
      </c>
      <c r="AI622" t="s">
        <v>4861</v>
      </c>
      <c r="AJ622" t="s">
        <v>4860</v>
      </c>
      <c r="AK622" t="s">
        <v>4859</v>
      </c>
      <c r="AL622">
        <v>5</v>
      </c>
      <c r="AM622" s="5">
        <f t="shared" si="82"/>
        <v>0.16666666666666666</v>
      </c>
      <c r="AN622" s="4">
        <f t="shared" si="79"/>
        <v>2.5242963523917705E-4</v>
      </c>
      <c r="AO622" s="3"/>
      <c r="AP622">
        <v>0</v>
      </c>
      <c r="AR622" t="s">
        <v>0</v>
      </c>
      <c r="AT622" s="2" t="s">
        <v>16</v>
      </c>
      <c r="AU622" s="1">
        <f t="shared" si="83"/>
        <v>0.57563033546810927</v>
      </c>
      <c r="AV622" s="1">
        <f t="shared" si="84"/>
        <v>0.41837680062691174</v>
      </c>
      <c r="AW622" s="1">
        <f t="shared" si="85"/>
        <v>0.2611232657857141</v>
      </c>
    </row>
    <row r="623" spans="1:49" x14ac:dyDescent="0.2">
      <c r="A623">
        <v>621</v>
      </c>
      <c r="B623" t="s">
        <v>4858</v>
      </c>
      <c r="C623" t="s">
        <v>4857</v>
      </c>
      <c r="F623" t="s">
        <v>4856</v>
      </c>
      <c r="G623" t="s">
        <v>12</v>
      </c>
      <c r="H623" t="s">
        <v>11</v>
      </c>
      <c r="I623" t="s">
        <v>4855</v>
      </c>
      <c r="J623">
        <v>60005304</v>
      </c>
      <c r="K623" t="s">
        <v>1244</v>
      </c>
      <c r="L623" t="s">
        <v>1243</v>
      </c>
      <c r="M623" t="s">
        <v>7</v>
      </c>
      <c r="N623">
        <v>1</v>
      </c>
      <c r="O623" t="s">
        <v>4854</v>
      </c>
      <c r="P623">
        <v>7004942669</v>
      </c>
      <c r="Q623">
        <v>60005304</v>
      </c>
      <c r="R623" s="7">
        <v>33604</v>
      </c>
      <c r="S623" s="8">
        <f t="shared" si="80"/>
        <v>1992</v>
      </c>
      <c r="T623" s="8">
        <v>1992</v>
      </c>
      <c r="U623" s="8">
        <f t="shared" si="81"/>
        <v>30</v>
      </c>
      <c r="V623" s="7">
        <v>33756</v>
      </c>
      <c r="W623" t="s">
        <v>3220</v>
      </c>
      <c r="X623" s="2">
        <v>0.78200000000000003</v>
      </c>
      <c r="Y623" s="6">
        <f t="shared" si="78"/>
        <v>2.0875043378446919E-2</v>
      </c>
      <c r="AA623">
        <v>189316</v>
      </c>
      <c r="AB623">
        <v>19901</v>
      </c>
      <c r="AC623">
        <v>15579611</v>
      </c>
      <c r="AD623" t="s">
        <v>4</v>
      </c>
      <c r="AE623">
        <v>38</v>
      </c>
      <c r="AF623">
        <v>2</v>
      </c>
      <c r="AH623" t="s">
        <v>4853</v>
      </c>
      <c r="AI623" t="s">
        <v>4852</v>
      </c>
      <c r="AK623" t="s">
        <v>4851</v>
      </c>
      <c r="AL623">
        <v>0</v>
      </c>
      <c r="AM623" s="5">
        <f t="shared" si="82"/>
        <v>0</v>
      </c>
      <c r="AN623" s="4">
        <f t="shared" si="79"/>
        <v>0</v>
      </c>
      <c r="AO623" s="3"/>
      <c r="AP623">
        <v>0</v>
      </c>
      <c r="AR623" t="s">
        <v>0</v>
      </c>
      <c r="AT623" s="2">
        <v>3.863</v>
      </c>
      <c r="AU623" s="1">
        <f t="shared" si="83"/>
        <v>1.4612530364912841</v>
      </c>
      <c r="AV623" s="1">
        <f t="shared" si="84"/>
        <v>1.0437521689223459</v>
      </c>
      <c r="AW623" s="1">
        <f t="shared" si="85"/>
        <v>0.62625130135340756</v>
      </c>
    </row>
    <row r="624" spans="1:49" x14ac:dyDescent="0.2">
      <c r="A624">
        <v>622</v>
      </c>
      <c r="B624" t="s">
        <v>4850</v>
      </c>
      <c r="C624" t="s">
        <v>4849</v>
      </c>
      <c r="F624" t="s">
        <v>4848</v>
      </c>
      <c r="G624" t="s">
        <v>12</v>
      </c>
      <c r="H624" t="s">
        <v>11</v>
      </c>
      <c r="I624" t="s">
        <v>4847</v>
      </c>
      <c r="J624">
        <v>60009037</v>
      </c>
      <c r="K624" t="s">
        <v>2673</v>
      </c>
      <c r="L624" t="s">
        <v>2672</v>
      </c>
      <c r="M624" t="s">
        <v>7</v>
      </c>
      <c r="N624">
        <v>1</v>
      </c>
      <c r="O624" t="s">
        <v>4846</v>
      </c>
      <c r="P624">
        <v>7102947013</v>
      </c>
      <c r="Q624">
        <v>60009037</v>
      </c>
      <c r="R624" s="7">
        <v>33604</v>
      </c>
      <c r="S624" s="8">
        <f t="shared" si="80"/>
        <v>1992</v>
      </c>
      <c r="T624" s="8">
        <v>1992</v>
      </c>
      <c r="U624" s="8">
        <f t="shared" si="81"/>
        <v>30</v>
      </c>
      <c r="V624" s="7">
        <v>33756</v>
      </c>
      <c r="W624" t="s">
        <v>136</v>
      </c>
      <c r="X624" s="2">
        <v>1.3720000000000001</v>
      </c>
      <c r="Y624" s="6">
        <f t="shared" si="78"/>
        <v>3.662475641333654E-2</v>
      </c>
      <c r="AA624">
        <v>189480</v>
      </c>
      <c r="AB624">
        <v>17366</v>
      </c>
      <c r="AC624">
        <v>15579670</v>
      </c>
      <c r="AD624" t="s">
        <v>4</v>
      </c>
      <c r="AE624">
        <v>40</v>
      </c>
      <c r="AF624">
        <v>6</v>
      </c>
      <c r="AH624" t="s">
        <v>4845</v>
      </c>
      <c r="AI624" t="s">
        <v>4844</v>
      </c>
      <c r="AK624" t="s">
        <v>4843</v>
      </c>
      <c r="AL624">
        <v>0</v>
      </c>
      <c r="AM624" s="5">
        <f t="shared" si="82"/>
        <v>0</v>
      </c>
      <c r="AN624" s="4">
        <f t="shared" si="79"/>
        <v>0</v>
      </c>
      <c r="AO624" s="3"/>
      <c r="AP624">
        <v>0</v>
      </c>
      <c r="AR624" t="s">
        <v>0</v>
      </c>
      <c r="AT624" s="2" t="s">
        <v>16</v>
      </c>
      <c r="AU624" s="1">
        <f t="shared" si="83"/>
        <v>2.5637329489335574</v>
      </c>
      <c r="AV624" s="1">
        <f t="shared" si="84"/>
        <v>1.8312378206668269</v>
      </c>
      <c r="AW624" s="1">
        <f t="shared" si="85"/>
        <v>1.0987426924000963</v>
      </c>
    </row>
    <row r="625" spans="1:49" x14ac:dyDescent="0.2">
      <c r="A625">
        <v>623</v>
      </c>
      <c r="B625" t="s">
        <v>4842</v>
      </c>
      <c r="C625" t="s">
        <v>4841</v>
      </c>
      <c r="F625" t="s">
        <v>4840</v>
      </c>
      <c r="G625" t="s">
        <v>12</v>
      </c>
      <c r="H625" t="s">
        <v>11</v>
      </c>
      <c r="I625" t="s">
        <v>4839</v>
      </c>
      <c r="J625">
        <v>60013738</v>
      </c>
      <c r="K625" t="s">
        <v>4838</v>
      </c>
      <c r="L625" t="s">
        <v>2051</v>
      </c>
      <c r="M625" t="s">
        <v>393</v>
      </c>
      <c r="N625">
        <v>3</v>
      </c>
      <c r="O625" t="s">
        <v>4837</v>
      </c>
      <c r="P625" t="s">
        <v>4836</v>
      </c>
      <c r="Q625" t="s">
        <v>4835</v>
      </c>
      <c r="R625" s="7">
        <v>33604</v>
      </c>
      <c r="S625" s="8">
        <f t="shared" si="80"/>
        <v>1992</v>
      </c>
      <c r="T625" s="8">
        <v>1992</v>
      </c>
      <c r="U625" s="8">
        <f t="shared" si="81"/>
        <v>30</v>
      </c>
      <c r="V625" s="7">
        <v>33756</v>
      </c>
      <c r="W625" t="s">
        <v>136</v>
      </c>
      <c r="X625" s="2">
        <v>1.3720000000000001</v>
      </c>
      <c r="Y625" s="6">
        <f t="shared" si="78"/>
        <v>3.662475641333654E-2</v>
      </c>
      <c r="AA625">
        <v>189480</v>
      </c>
      <c r="AB625">
        <v>17366</v>
      </c>
      <c r="AC625">
        <v>15579670</v>
      </c>
      <c r="AD625" t="s">
        <v>4</v>
      </c>
      <c r="AE625">
        <v>40</v>
      </c>
      <c r="AF625">
        <v>6</v>
      </c>
      <c r="AH625" t="s">
        <v>4834</v>
      </c>
      <c r="AI625" t="s">
        <v>4833</v>
      </c>
      <c r="AK625" t="s">
        <v>4832</v>
      </c>
      <c r="AL625">
        <v>191</v>
      </c>
      <c r="AM625" s="5">
        <f t="shared" si="82"/>
        <v>6.3666666666666663</v>
      </c>
      <c r="AN625" s="4">
        <f t="shared" si="79"/>
        <v>9.6428120661365638E-3</v>
      </c>
      <c r="AO625" s="3"/>
      <c r="AP625">
        <v>0</v>
      </c>
      <c r="AR625" t="s">
        <v>0</v>
      </c>
      <c r="AT625" s="2" t="s">
        <v>16</v>
      </c>
      <c r="AU625" s="1">
        <f t="shared" si="83"/>
        <v>2.8530173109176546</v>
      </c>
      <c r="AV625" s="1">
        <f t="shared" si="84"/>
        <v>2.313378423973655</v>
      </c>
      <c r="AW625" s="1">
        <f t="shared" si="85"/>
        <v>1.7737395370296556</v>
      </c>
    </row>
    <row r="626" spans="1:49" x14ac:dyDescent="0.2">
      <c r="A626">
        <v>624</v>
      </c>
      <c r="B626" t="s">
        <v>4831</v>
      </c>
      <c r="C626" t="s">
        <v>4830</v>
      </c>
      <c r="F626" t="s">
        <v>4829</v>
      </c>
      <c r="G626" t="s">
        <v>12</v>
      </c>
      <c r="H626" t="s">
        <v>11</v>
      </c>
      <c r="I626" t="s">
        <v>4828</v>
      </c>
      <c r="J626">
        <v>115913801</v>
      </c>
      <c r="K626" t="s">
        <v>4827</v>
      </c>
      <c r="M626" t="s">
        <v>7</v>
      </c>
      <c r="N626">
        <v>1</v>
      </c>
      <c r="O626" t="s">
        <v>4826</v>
      </c>
      <c r="P626">
        <v>57197193004</v>
      </c>
      <c r="Q626">
        <v>115913801</v>
      </c>
      <c r="R626" s="7">
        <v>33604</v>
      </c>
      <c r="S626" s="8">
        <f t="shared" si="80"/>
        <v>1992</v>
      </c>
      <c r="T626" s="8">
        <v>1992</v>
      </c>
      <c r="U626" s="8">
        <f t="shared" si="81"/>
        <v>30</v>
      </c>
      <c r="V626" s="7">
        <v>33756</v>
      </c>
      <c r="W626" t="s">
        <v>3522</v>
      </c>
      <c r="X626" s="2">
        <v>0.39600000000000002</v>
      </c>
      <c r="Y626" s="6">
        <f t="shared" si="78"/>
        <v>1.0570993833586931E-2</v>
      </c>
      <c r="AA626">
        <v>8858985</v>
      </c>
      <c r="AB626">
        <v>25993</v>
      </c>
      <c r="AD626" t="s">
        <v>4</v>
      </c>
      <c r="AE626">
        <v>7</v>
      </c>
      <c r="AF626">
        <v>6</v>
      </c>
      <c r="AH626" s="9">
        <v>44411</v>
      </c>
      <c r="AI626" t="s">
        <v>4825</v>
      </c>
      <c r="AK626" t="s">
        <v>4824</v>
      </c>
      <c r="AL626">
        <v>18</v>
      </c>
      <c r="AM626" s="5">
        <f t="shared" si="82"/>
        <v>0.6</v>
      </c>
      <c r="AN626" s="4">
        <f t="shared" si="79"/>
        <v>9.0874668686103744E-4</v>
      </c>
      <c r="AO626" s="3"/>
      <c r="AP626">
        <v>0</v>
      </c>
      <c r="AR626" t="s">
        <v>0</v>
      </c>
      <c r="AT626" s="2" t="s">
        <v>16</v>
      </c>
      <c r="AU626" s="1">
        <f t="shared" si="83"/>
        <v>0.76723196895691625</v>
      </c>
      <c r="AV626" s="1">
        <f t="shared" si="84"/>
        <v>0.57398702602239837</v>
      </c>
      <c r="AW626" s="1">
        <f t="shared" si="85"/>
        <v>0.38074208308788049</v>
      </c>
    </row>
    <row r="627" spans="1:49" x14ac:dyDescent="0.2">
      <c r="A627">
        <v>625</v>
      </c>
      <c r="B627" t="s">
        <v>4823</v>
      </c>
      <c r="C627" t="s">
        <v>4822</v>
      </c>
      <c r="F627" t="s">
        <v>4821</v>
      </c>
      <c r="G627" t="s">
        <v>12</v>
      </c>
      <c r="H627" t="s">
        <v>11</v>
      </c>
      <c r="I627" t="s">
        <v>4820</v>
      </c>
      <c r="J627">
        <v>60009037</v>
      </c>
      <c r="K627" t="s">
        <v>2673</v>
      </c>
      <c r="L627" t="s">
        <v>2672</v>
      </c>
      <c r="M627" t="s">
        <v>7</v>
      </c>
      <c r="N627">
        <v>6</v>
      </c>
      <c r="O627" t="s">
        <v>4819</v>
      </c>
      <c r="P627" t="s">
        <v>4818</v>
      </c>
      <c r="Q627" t="s">
        <v>4817</v>
      </c>
      <c r="R627" s="7">
        <v>33604</v>
      </c>
      <c r="S627" s="8">
        <f t="shared" si="80"/>
        <v>1992</v>
      </c>
      <c r="T627" s="8">
        <v>1992</v>
      </c>
      <c r="U627" s="8">
        <f t="shared" si="81"/>
        <v>30</v>
      </c>
      <c r="V627" s="7">
        <v>33756</v>
      </c>
      <c r="W627" t="s">
        <v>136</v>
      </c>
      <c r="X627" s="2">
        <v>1.3720000000000001</v>
      </c>
      <c r="Y627" s="6">
        <f t="shared" si="78"/>
        <v>3.662475641333654E-2</v>
      </c>
      <c r="AA627">
        <v>189480</v>
      </c>
      <c r="AB627">
        <v>17366</v>
      </c>
      <c r="AC627">
        <v>15579670</v>
      </c>
      <c r="AD627" t="s">
        <v>4</v>
      </c>
      <c r="AE627">
        <v>40</v>
      </c>
      <c r="AF627">
        <v>6</v>
      </c>
      <c r="AH627" t="s">
        <v>4816</v>
      </c>
      <c r="AI627" t="s">
        <v>4815</v>
      </c>
      <c r="AK627" t="s">
        <v>4814</v>
      </c>
      <c r="AL627">
        <v>9</v>
      </c>
      <c r="AM627" s="5">
        <f t="shared" si="82"/>
        <v>0.3</v>
      </c>
      <c r="AN627" s="4">
        <f t="shared" si="79"/>
        <v>4.5437334343051872E-4</v>
      </c>
      <c r="AO627" s="3"/>
      <c r="AP627">
        <v>0</v>
      </c>
      <c r="AR627" t="s">
        <v>0</v>
      </c>
      <c r="AT627" s="2" t="s">
        <v>16</v>
      </c>
      <c r="AU627" s="1">
        <f t="shared" si="83"/>
        <v>2.5773641492364732</v>
      </c>
      <c r="AV627" s="1">
        <f t="shared" si="84"/>
        <v>1.853956487838353</v>
      </c>
      <c r="AW627" s="1">
        <f t="shared" si="85"/>
        <v>1.1305488264402326</v>
      </c>
    </row>
    <row r="628" spans="1:49" x14ac:dyDescent="0.2">
      <c r="A628">
        <v>626</v>
      </c>
      <c r="B628" t="s">
        <v>4813</v>
      </c>
      <c r="C628" t="s">
        <v>4812</v>
      </c>
      <c r="F628" t="s">
        <v>4811</v>
      </c>
      <c r="G628" t="s">
        <v>12</v>
      </c>
      <c r="H628" t="s">
        <v>11</v>
      </c>
      <c r="I628" t="s">
        <v>101</v>
      </c>
      <c r="J628">
        <v>60014313</v>
      </c>
      <c r="K628" t="s">
        <v>100</v>
      </c>
      <c r="L628" t="s">
        <v>99</v>
      </c>
      <c r="M628" t="s">
        <v>7</v>
      </c>
      <c r="N628">
        <v>1</v>
      </c>
      <c r="O628" t="s">
        <v>98</v>
      </c>
      <c r="P628">
        <v>7006061921</v>
      </c>
      <c r="Q628">
        <v>60014313</v>
      </c>
      <c r="R628" s="7">
        <v>33604</v>
      </c>
      <c r="S628" s="8">
        <f t="shared" si="80"/>
        <v>1992</v>
      </c>
      <c r="T628" s="8">
        <v>1992</v>
      </c>
      <c r="U628" s="8">
        <f t="shared" si="81"/>
        <v>30</v>
      </c>
      <c r="V628" s="7">
        <v>33756</v>
      </c>
      <c r="W628" t="s">
        <v>97</v>
      </c>
      <c r="X628" s="2">
        <v>1.6519999999999999</v>
      </c>
      <c r="Y628" s="6">
        <f t="shared" si="78"/>
        <v>4.409919649769093E-2</v>
      </c>
      <c r="AA628" t="s">
        <v>96</v>
      </c>
      <c r="AB628">
        <v>17337</v>
      </c>
      <c r="AC628">
        <v>15582221</v>
      </c>
      <c r="AD628" t="s">
        <v>4</v>
      </c>
      <c r="AE628">
        <v>40</v>
      </c>
      <c r="AF628">
        <v>6</v>
      </c>
      <c r="AH628" t="s">
        <v>4810</v>
      </c>
      <c r="AI628" t="s">
        <v>4809</v>
      </c>
      <c r="AK628" t="s">
        <v>4808</v>
      </c>
      <c r="AL628">
        <v>30</v>
      </c>
      <c r="AM628" s="5">
        <f t="shared" si="82"/>
        <v>1</v>
      </c>
      <c r="AN628" s="4">
        <f t="shared" si="79"/>
        <v>1.5145778114350624E-3</v>
      </c>
      <c r="AO628" s="3"/>
      <c r="AP628">
        <v>0</v>
      </c>
      <c r="AR628" t="s">
        <v>0</v>
      </c>
      <c r="AT628" s="2" t="s">
        <v>16</v>
      </c>
      <c r="AU628" s="1">
        <f t="shared" si="83"/>
        <v>3.132381089181417</v>
      </c>
      <c r="AV628" s="1">
        <f t="shared" si="84"/>
        <v>2.2806887154562996</v>
      </c>
      <c r="AW628" s="1">
        <f t="shared" si="85"/>
        <v>1.4289963417311822</v>
      </c>
    </row>
    <row r="629" spans="1:49" x14ac:dyDescent="0.2">
      <c r="A629">
        <v>627</v>
      </c>
      <c r="B629" t="s">
        <v>4807</v>
      </c>
      <c r="C629" t="s">
        <v>4806</v>
      </c>
      <c r="F629" t="s">
        <v>4805</v>
      </c>
      <c r="G629" t="s">
        <v>12</v>
      </c>
      <c r="H629" t="s">
        <v>11</v>
      </c>
      <c r="I629" t="s">
        <v>4804</v>
      </c>
      <c r="J629">
        <v>60009037</v>
      </c>
      <c r="K629" t="s">
        <v>2673</v>
      </c>
      <c r="L629" t="s">
        <v>2672</v>
      </c>
      <c r="M629" t="s">
        <v>7</v>
      </c>
      <c r="N629">
        <v>2</v>
      </c>
      <c r="O629" t="s">
        <v>4803</v>
      </c>
      <c r="P629" t="s">
        <v>4802</v>
      </c>
      <c r="Q629" t="s">
        <v>4801</v>
      </c>
      <c r="R629" s="7">
        <v>33604</v>
      </c>
      <c r="S629" s="8">
        <f t="shared" si="80"/>
        <v>1992</v>
      </c>
      <c r="T629" s="8">
        <v>1992</v>
      </c>
      <c r="U629" s="8">
        <f t="shared" si="81"/>
        <v>30</v>
      </c>
      <c r="V629" s="7">
        <v>33756</v>
      </c>
      <c r="W629" t="s">
        <v>136</v>
      </c>
      <c r="X629" s="2">
        <v>1.3720000000000001</v>
      </c>
      <c r="Y629" s="6">
        <f t="shared" si="78"/>
        <v>3.662475641333654E-2</v>
      </c>
      <c r="AA629">
        <v>189480</v>
      </c>
      <c r="AB629">
        <v>17366</v>
      </c>
      <c r="AC629">
        <v>15579670</v>
      </c>
      <c r="AD629" t="s">
        <v>4</v>
      </c>
      <c r="AE629">
        <v>40</v>
      </c>
      <c r="AF629">
        <v>6</v>
      </c>
      <c r="AH629" t="s">
        <v>4800</v>
      </c>
      <c r="AI629" t="s">
        <v>4799</v>
      </c>
      <c r="AK629" t="s">
        <v>4798</v>
      </c>
      <c r="AL629">
        <v>6</v>
      </c>
      <c r="AM629" s="5">
        <f t="shared" si="82"/>
        <v>0.2</v>
      </c>
      <c r="AN629" s="4">
        <f t="shared" si="79"/>
        <v>3.0291556228701253E-4</v>
      </c>
      <c r="AO629" s="3"/>
      <c r="AP629">
        <v>0</v>
      </c>
      <c r="AR629" t="s">
        <v>0</v>
      </c>
      <c r="AT629" s="2" t="s">
        <v>16</v>
      </c>
      <c r="AU629" s="1">
        <f t="shared" si="83"/>
        <v>2.5728204158021679</v>
      </c>
      <c r="AV629" s="1">
        <f t="shared" si="84"/>
        <v>1.8463835987811774</v>
      </c>
      <c r="AW629" s="1">
        <f t="shared" si="85"/>
        <v>1.1199467817601871</v>
      </c>
    </row>
    <row r="630" spans="1:49" x14ac:dyDescent="0.2">
      <c r="A630">
        <v>628</v>
      </c>
      <c r="B630" t="s">
        <v>4797</v>
      </c>
      <c r="C630" t="s">
        <v>4796</v>
      </c>
      <c r="E630">
        <v>1601439</v>
      </c>
      <c r="F630" t="s">
        <v>4795</v>
      </c>
      <c r="G630" t="s">
        <v>12</v>
      </c>
      <c r="H630" t="s">
        <v>11</v>
      </c>
      <c r="I630" t="s">
        <v>4794</v>
      </c>
      <c r="J630">
        <v>60031624</v>
      </c>
      <c r="K630" t="s">
        <v>1993</v>
      </c>
      <c r="L630" t="s">
        <v>1992</v>
      </c>
      <c r="M630" t="s">
        <v>338</v>
      </c>
      <c r="N630">
        <v>1</v>
      </c>
      <c r="O630" t="s">
        <v>4793</v>
      </c>
      <c r="P630">
        <v>57209638173</v>
      </c>
      <c r="Q630">
        <v>60031624</v>
      </c>
      <c r="R630" s="7">
        <v>33604</v>
      </c>
      <c r="S630" s="8">
        <f t="shared" si="80"/>
        <v>1992</v>
      </c>
      <c r="T630" s="8">
        <v>1992</v>
      </c>
      <c r="U630" s="8">
        <f t="shared" si="81"/>
        <v>30</v>
      </c>
      <c r="V630" s="7">
        <v>33756</v>
      </c>
      <c r="W630" t="s">
        <v>2522</v>
      </c>
      <c r="X630" s="2">
        <v>1.1479999999999999</v>
      </c>
      <c r="Y630" s="6">
        <f t="shared" si="78"/>
        <v>3.0645204345853019E-2</v>
      </c>
      <c r="AA630">
        <v>189294</v>
      </c>
      <c r="AB630">
        <v>16318</v>
      </c>
      <c r="AC630">
        <v>15582531</v>
      </c>
      <c r="AD630" t="s">
        <v>4</v>
      </c>
      <c r="AE630">
        <v>39</v>
      </c>
      <c r="AF630">
        <v>6</v>
      </c>
      <c r="AH630" t="s">
        <v>4792</v>
      </c>
      <c r="AI630" t="s">
        <v>4791</v>
      </c>
      <c r="AK630" t="s">
        <v>4790</v>
      </c>
      <c r="AL630">
        <v>31</v>
      </c>
      <c r="AM630" s="5">
        <f t="shared" si="82"/>
        <v>1.0333333333333334</v>
      </c>
      <c r="AN630" s="4">
        <f t="shared" si="79"/>
        <v>1.5650637384828981E-3</v>
      </c>
      <c r="AO630" s="3"/>
      <c r="AP630">
        <v>0</v>
      </c>
      <c r="AR630" t="s">
        <v>0</v>
      </c>
      <c r="AT630" s="2" t="s">
        <v>16</v>
      </c>
      <c r="AU630" s="1">
        <f t="shared" si="83"/>
        <v>2.1921162163641981</v>
      </c>
      <c r="AV630" s="1">
        <f t="shared" si="84"/>
        <v>1.6105134042167957</v>
      </c>
      <c r="AW630" s="1">
        <f t="shared" si="85"/>
        <v>1.0289105920693935</v>
      </c>
    </row>
    <row r="631" spans="1:49" x14ac:dyDescent="0.2">
      <c r="A631">
        <v>629</v>
      </c>
      <c r="B631" t="s">
        <v>4789</v>
      </c>
      <c r="C631" t="s">
        <v>4788</v>
      </c>
      <c r="F631" t="s">
        <v>4787</v>
      </c>
      <c r="G631" t="s">
        <v>12</v>
      </c>
      <c r="H631" t="s">
        <v>11</v>
      </c>
      <c r="I631" t="s">
        <v>4786</v>
      </c>
      <c r="J631">
        <v>60001271</v>
      </c>
      <c r="K631" t="s">
        <v>4785</v>
      </c>
      <c r="L631" t="s">
        <v>803</v>
      </c>
      <c r="M631" t="s">
        <v>151</v>
      </c>
      <c r="N631">
        <v>2</v>
      </c>
      <c r="O631" t="s">
        <v>4784</v>
      </c>
      <c r="P631" t="s">
        <v>4783</v>
      </c>
      <c r="Q631" t="s">
        <v>4782</v>
      </c>
      <c r="R631" s="7">
        <v>33604</v>
      </c>
      <c r="S631" s="8">
        <f t="shared" si="80"/>
        <v>1992</v>
      </c>
      <c r="T631" s="8">
        <v>1992</v>
      </c>
      <c r="U631" s="8">
        <f t="shared" si="81"/>
        <v>30</v>
      </c>
      <c r="V631" s="7">
        <v>1992</v>
      </c>
      <c r="W631" t="s">
        <v>665</v>
      </c>
      <c r="X631" s="2">
        <v>0.111</v>
      </c>
      <c r="Y631" s="6">
        <f t="shared" si="78"/>
        <v>2.9630816048690639E-3</v>
      </c>
      <c r="AA631">
        <v>87566621</v>
      </c>
      <c r="AB631">
        <v>24890</v>
      </c>
      <c r="AC631">
        <v>15206424</v>
      </c>
      <c r="AD631" t="s">
        <v>4</v>
      </c>
      <c r="AE631">
        <v>75</v>
      </c>
      <c r="AF631">
        <v>6</v>
      </c>
      <c r="AH631" t="s">
        <v>4781</v>
      </c>
      <c r="AI631" t="s">
        <v>4780</v>
      </c>
      <c r="AJ631" t="s">
        <v>4779</v>
      </c>
      <c r="AK631" t="s">
        <v>4778</v>
      </c>
      <c r="AL631">
        <v>5</v>
      </c>
      <c r="AM631" s="5">
        <f t="shared" si="82"/>
        <v>0.16666666666666666</v>
      </c>
      <c r="AN631" s="4">
        <f t="shared" si="79"/>
        <v>2.5242963523917705E-4</v>
      </c>
      <c r="AO631" s="3"/>
      <c r="AP631">
        <v>0</v>
      </c>
      <c r="AR631" t="s">
        <v>0</v>
      </c>
      <c r="AT631" s="2" t="s">
        <v>16</v>
      </c>
      <c r="AU631" s="1">
        <f t="shared" si="83"/>
        <v>0.21498860139800977</v>
      </c>
      <c r="AV631" s="1">
        <f t="shared" si="84"/>
        <v>0.16077556200541204</v>
      </c>
      <c r="AW631" s="1">
        <f t="shared" si="85"/>
        <v>0.10656252261281431</v>
      </c>
    </row>
    <row r="632" spans="1:49" x14ac:dyDescent="0.2">
      <c r="A632">
        <v>630</v>
      </c>
      <c r="B632" t="s">
        <v>4777</v>
      </c>
      <c r="C632" t="s">
        <v>4776</v>
      </c>
      <c r="F632" t="s">
        <v>4775</v>
      </c>
      <c r="G632" t="s">
        <v>12</v>
      </c>
      <c r="H632" t="s">
        <v>11</v>
      </c>
      <c r="I632" t="s">
        <v>4774</v>
      </c>
      <c r="J632">
        <v>60003694</v>
      </c>
      <c r="K632" t="s">
        <v>4773</v>
      </c>
      <c r="L632" t="s">
        <v>4772</v>
      </c>
      <c r="M632" t="s">
        <v>7</v>
      </c>
      <c r="N632">
        <v>2</v>
      </c>
      <c r="O632" t="s">
        <v>4771</v>
      </c>
      <c r="P632" t="s">
        <v>4770</v>
      </c>
      <c r="Q632" t="s">
        <v>4769</v>
      </c>
      <c r="R632" s="7">
        <v>33604</v>
      </c>
      <c r="S632" s="8">
        <f t="shared" si="80"/>
        <v>1992</v>
      </c>
      <c r="T632" s="8">
        <v>1992</v>
      </c>
      <c r="U632" s="8">
        <f t="shared" si="81"/>
        <v>30</v>
      </c>
      <c r="V632" s="7" t="s">
        <v>4768</v>
      </c>
      <c r="W632" t="s">
        <v>4767</v>
      </c>
      <c r="X632" s="2" t="s">
        <v>16</v>
      </c>
      <c r="Y632" s="6" t="e">
        <f t="shared" si="78"/>
        <v>#VALUE!</v>
      </c>
      <c r="AA632">
        <v>281522</v>
      </c>
      <c r="AB632">
        <v>12174</v>
      </c>
      <c r="AC632">
        <v>21614296</v>
      </c>
      <c r="AD632" t="s">
        <v>4</v>
      </c>
      <c r="AE632">
        <v>39</v>
      </c>
      <c r="AF632">
        <v>2</v>
      </c>
      <c r="AH632" t="s">
        <v>4766</v>
      </c>
      <c r="AI632" t="s">
        <v>4765</v>
      </c>
      <c r="AK632" t="s">
        <v>4764</v>
      </c>
      <c r="AL632">
        <v>13</v>
      </c>
      <c r="AM632" s="5">
        <f t="shared" si="82"/>
        <v>0.43333333333333335</v>
      </c>
      <c r="AN632" s="4">
        <f t="shared" si="79"/>
        <v>6.5631705162186044E-4</v>
      </c>
      <c r="AO632" s="3"/>
      <c r="AP632">
        <v>0</v>
      </c>
      <c r="AR632" t="s">
        <v>0</v>
      </c>
      <c r="AT632" s="2" t="s">
        <v>16</v>
      </c>
      <c r="AU632" s="1" t="e">
        <f t="shared" si="83"/>
        <v>#VALUE!</v>
      </c>
      <c r="AV632" s="1" t="e">
        <f t="shared" si="84"/>
        <v>#VALUE!</v>
      </c>
      <c r="AW632" s="1" t="e">
        <f t="shared" si="85"/>
        <v>#VALUE!</v>
      </c>
    </row>
    <row r="633" spans="1:49" x14ac:dyDescent="0.2">
      <c r="A633">
        <v>631</v>
      </c>
      <c r="B633" t="s">
        <v>4763</v>
      </c>
      <c r="C633" t="s">
        <v>4762</v>
      </c>
      <c r="F633" t="s">
        <v>4761</v>
      </c>
      <c r="G633" t="s">
        <v>12</v>
      </c>
      <c r="H633" t="s">
        <v>11</v>
      </c>
      <c r="I633" t="s">
        <v>4760</v>
      </c>
      <c r="J633">
        <v>60027509</v>
      </c>
      <c r="K633" t="s">
        <v>4759</v>
      </c>
      <c r="L633" t="s">
        <v>4758</v>
      </c>
      <c r="M633" t="s">
        <v>338</v>
      </c>
      <c r="N633">
        <v>3</v>
      </c>
      <c r="O633" t="s">
        <v>4757</v>
      </c>
      <c r="P633" t="s">
        <v>4756</v>
      </c>
      <c r="Q633" t="s">
        <v>4755</v>
      </c>
      <c r="R633" s="7">
        <v>33604</v>
      </c>
      <c r="S633" s="8">
        <f t="shared" si="80"/>
        <v>1992</v>
      </c>
      <c r="T633" s="8">
        <v>1992</v>
      </c>
      <c r="U633" s="8">
        <f t="shared" si="81"/>
        <v>30</v>
      </c>
      <c r="V633" s="7" t="s">
        <v>4651</v>
      </c>
      <c r="W633" s="11" t="s">
        <v>2809</v>
      </c>
      <c r="X633" s="2">
        <v>2.383</v>
      </c>
      <c r="Y633" s="6">
        <f t="shared" si="78"/>
        <v>6.3612824003630442E-2</v>
      </c>
      <c r="AA633" t="s">
        <v>2808</v>
      </c>
      <c r="AB633">
        <v>96433</v>
      </c>
      <c r="AD633" t="s">
        <v>4</v>
      </c>
      <c r="AE633">
        <v>139</v>
      </c>
      <c r="AF633">
        <v>3</v>
      </c>
      <c r="AH633" t="s">
        <v>4754</v>
      </c>
      <c r="AI633" t="s">
        <v>4753</v>
      </c>
      <c r="AK633" t="s">
        <v>4752</v>
      </c>
      <c r="AL633">
        <v>0</v>
      </c>
      <c r="AM633" s="5">
        <f t="shared" si="82"/>
        <v>0</v>
      </c>
      <c r="AN633" s="4">
        <f t="shared" si="79"/>
        <v>0</v>
      </c>
      <c r="AO633" s="3"/>
      <c r="AP633">
        <v>0</v>
      </c>
      <c r="AR633" t="s">
        <v>0</v>
      </c>
      <c r="AT633" s="2" t="s">
        <v>16</v>
      </c>
      <c r="AU633" s="1">
        <f t="shared" si="83"/>
        <v>4.4528976802541305</v>
      </c>
      <c r="AV633" s="1">
        <f t="shared" si="84"/>
        <v>3.1806412001815221</v>
      </c>
      <c r="AW633" s="1">
        <f t="shared" si="85"/>
        <v>1.9083847201089132</v>
      </c>
    </row>
    <row r="634" spans="1:49" x14ac:dyDescent="0.2">
      <c r="A634">
        <v>632</v>
      </c>
      <c r="B634" t="s">
        <v>4751</v>
      </c>
      <c r="C634" t="s">
        <v>4750</v>
      </c>
      <c r="F634" t="s">
        <v>4749</v>
      </c>
      <c r="G634" t="s">
        <v>12</v>
      </c>
      <c r="H634" t="s">
        <v>11</v>
      </c>
      <c r="I634" t="s">
        <v>4748</v>
      </c>
      <c r="J634">
        <v>60019702</v>
      </c>
      <c r="K634" t="s">
        <v>4747</v>
      </c>
      <c r="L634" t="s">
        <v>4746</v>
      </c>
      <c r="M634" t="s">
        <v>856</v>
      </c>
      <c r="N634">
        <v>4</v>
      </c>
      <c r="O634" t="s">
        <v>4745</v>
      </c>
      <c r="P634" t="s">
        <v>4744</v>
      </c>
      <c r="Q634" t="s">
        <v>4743</v>
      </c>
      <c r="R634" s="7">
        <v>33604</v>
      </c>
      <c r="S634" s="8">
        <f t="shared" si="80"/>
        <v>1992</v>
      </c>
      <c r="T634" s="8">
        <v>1992</v>
      </c>
      <c r="U634" s="8">
        <f t="shared" si="81"/>
        <v>30</v>
      </c>
      <c r="V634" s="7" t="s">
        <v>4651</v>
      </c>
      <c r="W634" s="11" t="s">
        <v>2692</v>
      </c>
      <c r="X634" s="2">
        <v>2.383</v>
      </c>
      <c r="Y634" s="6">
        <f t="shared" si="78"/>
        <v>6.3612824003630442E-2</v>
      </c>
      <c r="AA634" t="s">
        <v>2691</v>
      </c>
      <c r="AB634">
        <v>101151</v>
      </c>
      <c r="AD634" t="s">
        <v>4</v>
      </c>
      <c r="AE634">
        <v>139</v>
      </c>
      <c r="AF634">
        <v>3</v>
      </c>
      <c r="AH634" t="s">
        <v>4742</v>
      </c>
      <c r="AI634" t="s">
        <v>4741</v>
      </c>
      <c r="AK634" t="s">
        <v>4740</v>
      </c>
      <c r="AL634">
        <v>9</v>
      </c>
      <c r="AM634" s="5">
        <f t="shared" si="82"/>
        <v>0.3</v>
      </c>
      <c r="AN634" s="4">
        <f t="shared" si="79"/>
        <v>4.5437334343051872E-4</v>
      </c>
      <c r="AO634" s="3"/>
      <c r="AP634">
        <v>0</v>
      </c>
      <c r="AR634" t="s">
        <v>0</v>
      </c>
      <c r="AT634" s="2" t="s">
        <v>16</v>
      </c>
      <c r="AU634" s="1">
        <f t="shared" si="83"/>
        <v>4.4665288805570462</v>
      </c>
      <c r="AV634" s="1">
        <f t="shared" si="84"/>
        <v>3.2033598673530479</v>
      </c>
      <c r="AW634" s="1">
        <f t="shared" si="85"/>
        <v>1.9401908541490498</v>
      </c>
    </row>
    <row r="635" spans="1:49" x14ac:dyDescent="0.2">
      <c r="A635">
        <v>633</v>
      </c>
      <c r="B635" t="s">
        <v>4739</v>
      </c>
      <c r="C635" t="s">
        <v>4738</v>
      </c>
      <c r="F635" t="s">
        <v>4737</v>
      </c>
      <c r="G635" t="s">
        <v>12</v>
      </c>
      <c r="H635" t="s">
        <v>11</v>
      </c>
      <c r="I635" t="s">
        <v>4736</v>
      </c>
      <c r="J635">
        <v>60068761</v>
      </c>
      <c r="K635" t="s">
        <v>4735</v>
      </c>
      <c r="L635" t="s">
        <v>4734</v>
      </c>
      <c r="M635" t="s">
        <v>4733</v>
      </c>
      <c r="N635">
        <v>3</v>
      </c>
      <c r="O635" t="s">
        <v>4732</v>
      </c>
      <c r="P635" t="s">
        <v>4731</v>
      </c>
      <c r="Q635" t="s">
        <v>4730</v>
      </c>
      <c r="R635" s="7">
        <v>33604</v>
      </c>
      <c r="S635" s="8">
        <f t="shared" si="80"/>
        <v>1992</v>
      </c>
      <c r="T635" s="8">
        <v>1992</v>
      </c>
      <c r="U635" s="8">
        <f t="shared" si="81"/>
        <v>30</v>
      </c>
      <c r="V635" s="7" t="s">
        <v>4651</v>
      </c>
      <c r="W635" s="11" t="s">
        <v>2692</v>
      </c>
      <c r="X635" s="2">
        <v>2.383</v>
      </c>
      <c r="Y635" s="6">
        <f t="shared" si="78"/>
        <v>6.3612824003630442E-2</v>
      </c>
      <c r="AA635" t="s">
        <v>2691</v>
      </c>
      <c r="AB635">
        <v>101151</v>
      </c>
      <c r="AD635" t="s">
        <v>4</v>
      </c>
      <c r="AE635">
        <v>139</v>
      </c>
      <c r="AF635">
        <v>3</v>
      </c>
      <c r="AH635" t="s">
        <v>4729</v>
      </c>
      <c r="AI635" t="s">
        <v>4728</v>
      </c>
      <c r="AK635" t="s">
        <v>4727</v>
      </c>
      <c r="AL635">
        <v>9</v>
      </c>
      <c r="AM635" s="5">
        <f t="shared" si="82"/>
        <v>0.3</v>
      </c>
      <c r="AN635" s="4">
        <f t="shared" si="79"/>
        <v>4.5437334343051872E-4</v>
      </c>
      <c r="AO635" s="3"/>
      <c r="AP635">
        <v>0</v>
      </c>
      <c r="AR635" t="s">
        <v>0</v>
      </c>
      <c r="AT635" s="2" t="s">
        <v>16</v>
      </c>
      <c r="AU635" s="1">
        <f t="shared" si="83"/>
        <v>4.4665288805570462</v>
      </c>
      <c r="AV635" s="1">
        <f t="shared" si="84"/>
        <v>3.2033598673530479</v>
      </c>
      <c r="AW635" s="1">
        <f t="shared" si="85"/>
        <v>1.9401908541490498</v>
      </c>
    </row>
    <row r="636" spans="1:49" x14ac:dyDescent="0.2">
      <c r="A636">
        <v>634</v>
      </c>
      <c r="B636" t="s">
        <v>4726</v>
      </c>
      <c r="C636" t="s">
        <v>4725</v>
      </c>
      <c r="F636" t="s">
        <v>4724</v>
      </c>
      <c r="G636" t="s">
        <v>12</v>
      </c>
      <c r="H636" t="s">
        <v>11</v>
      </c>
      <c r="I636" t="s">
        <v>4723</v>
      </c>
      <c r="J636">
        <v>60029575</v>
      </c>
      <c r="K636" t="s">
        <v>3698</v>
      </c>
      <c r="L636" t="s">
        <v>3697</v>
      </c>
      <c r="M636" t="s">
        <v>7</v>
      </c>
      <c r="N636">
        <v>3</v>
      </c>
      <c r="O636" t="s">
        <v>4722</v>
      </c>
      <c r="P636" t="s">
        <v>4721</v>
      </c>
      <c r="Q636" t="s">
        <v>4720</v>
      </c>
      <c r="R636" s="7">
        <v>33604</v>
      </c>
      <c r="S636" s="8">
        <f t="shared" si="80"/>
        <v>1992</v>
      </c>
      <c r="T636" s="8">
        <v>1992</v>
      </c>
      <c r="U636" s="8">
        <f t="shared" si="81"/>
        <v>30</v>
      </c>
      <c r="V636" s="7">
        <v>33756</v>
      </c>
      <c r="W636" t="s">
        <v>4664</v>
      </c>
      <c r="X636" s="2">
        <v>0.82</v>
      </c>
      <c r="Y636" s="6">
        <f t="shared" si="78"/>
        <v>2.1889431675609299E-2</v>
      </c>
      <c r="AA636">
        <v>189456</v>
      </c>
      <c r="AB636">
        <v>15361</v>
      </c>
      <c r="AC636">
        <v>15579662</v>
      </c>
      <c r="AD636" t="s">
        <v>4</v>
      </c>
      <c r="AE636">
        <v>41</v>
      </c>
      <c r="AF636">
        <v>3</v>
      </c>
      <c r="AH636" t="s">
        <v>4719</v>
      </c>
      <c r="AI636" t="s">
        <v>4718</v>
      </c>
      <c r="AK636" t="s">
        <v>4717</v>
      </c>
      <c r="AL636">
        <v>0</v>
      </c>
      <c r="AM636" s="5">
        <f t="shared" si="82"/>
        <v>0</v>
      </c>
      <c r="AN636" s="4">
        <f t="shared" si="79"/>
        <v>0</v>
      </c>
      <c r="AO636" s="3"/>
      <c r="AP636">
        <v>0</v>
      </c>
      <c r="AR636" t="s">
        <v>4716</v>
      </c>
      <c r="AT636" s="2" t="s">
        <v>16</v>
      </c>
      <c r="AU636" s="1">
        <f t="shared" si="83"/>
        <v>1.5322602172926507</v>
      </c>
      <c r="AV636" s="1">
        <f t="shared" si="84"/>
        <v>1.0944715837804648</v>
      </c>
      <c r="AW636" s="1">
        <f t="shared" si="85"/>
        <v>0.65668295026827894</v>
      </c>
    </row>
    <row r="637" spans="1:49" x14ac:dyDescent="0.2">
      <c r="A637">
        <v>635</v>
      </c>
      <c r="B637" t="s">
        <v>4715</v>
      </c>
      <c r="C637" t="s">
        <v>4714</v>
      </c>
      <c r="F637" t="s">
        <v>4713</v>
      </c>
      <c r="G637" t="s">
        <v>12</v>
      </c>
      <c r="H637" t="s">
        <v>11</v>
      </c>
      <c r="I637" t="s">
        <v>4712</v>
      </c>
      <c r="J637">
        <v>60018829</v>
      </c>
      <c r="K637" t="s">
        <v>4711</v>
      </c>
      <c r="L637" t="s">
        <v>4710</v>
      </c>
      <c r="M637" t="s">
        <v>856</v>
      </c>
      <c r="N637">
        <v>2</v>
      </c>
      <c r="O637" t="s">
        <v>4709</v>
      </c>
      <c r="P637" t="s">
        <v>4708</v>
      </c>
      <c r="Q637" t="s">
        <v>4707</v>
      </c>
      <c r="R637" s="7">
        <v>33604</v>
      </c>
      <c r="S637" s="8">
        <f t="shared" si="80"/>
        <v>1992</v>
      </c>
      <c r="T637" s="8">
        <v>1992</v>
      </c>
      <c r="U637" s="8">
        <f t="shared" si="81"/>
        <v>30</v>
      </c>
      <c r="V637" s="7">
        <v>33756</v>
      </c>
      <c r="W637" t="s">
        <v>2731</v>
      </c>
      <c r="X637" s="2">
        <v>0.312</v>
      </c>
      <c r="Y637" s="6">
        <f t="shared" si="78"/>
        <v>8.3286618082806119E-3</v>
      </c>
      <c r="AA637">
        <v>9540695</v>
      </c>
      <c r="AB637">
        <v>61637</v>
      </c>
      <c r="AD637" t="s">
        <v>4</v>
      </c>
      <c r="AE637">
        <v>4</v>
      </c>
      <c r="AF637">
        <v>3</v>
      </c>
      <c r="AH637" t="s">
        <v>4706</v>
      </c>
      <c r="AI637" t="s">
        <v>4705</v>
      </c>
      <c r="AK637" t="s">
        <v>4704</v>
      </c>
      <c r="AL637">
        <v>0</v>
      </c>
      <c r="AM637" s="5">
        <f t="shared" si="82"/>
        <v>0</v>
      </c>
      <c r="AN637" s="4">
        <f t="shared" si="79"/>
        <v>0</v>
      </c>
      <c r="AO637" s="3"/>
      <c r="AP637">
        <v>0</v>
      </c>
      <c r="AR637" t="s">
        <v>0</v>
      </c>
      <c r="AT637" s="2" t="s">
        <v>16</v>
      </c>
      <c r="AU637" s="1">
        <f t="shared" si="83"/>
        <v>0.5830063265796428</v>
      </c>
      <c r="AV637" s="1">
        <f t="shared" si="84"/>
        <v>0.41643309041403059</v>
      </c>
      <c r="AW637" s="1">
        <f t="shared" si="85"/>
        <v>0.24985985424841833</v>
      </c>
    </row>
    <row r="638" spans="1:49" x14ac:dyDescent="0.2">
      <c r="A638">
        <v>636</v>
      </c>
      <c r="B638" t="s">
        <v>4703</v>
      </c>
      <c r="C638" t="s">
        <v>4702</v>
      </c>
      <c r="F638" t="s">
        <v>4701</v>
      </c>
      <c r="G638" t="s">
        <v>12</v>
      </c>
      <c r="H638" t="s">
        <v>11</v>
      </c>
      <c r="I638" t="s">
        <v>4700</v>
      </c>
      <c r="J638">
        <v>60005304</v>
      </c>
      <c r="K638" t="s">
        <v>1244</v>
      </c>
      <c r="L638" t="s">
        <v>1243</v>
      </c>
      <c r="M638" t="s">
        <v>7</v>
      </c>
      <c r="N638">
        <v>3</v>
      </c>
      <c r="O638" t="s">
        <v>4699</v>
      </c>
      <c r="P638" t="s">
        <v>4698</v>
      </c>
      <c r="Q638" t="s">
        <v>4697</v>
      </c>
      <c r="R638" s="7">
        <v>33604</v>
      </c>
      <c r="S638" s="8">
        <f t="shared" si="80"/>
        <v>1992</v>
      </c>
      <c r="T638" s="8">
        <v>1992</v>
      </c>
      <c r="U638" s="8">
        <f t="shared" si="81"/>
        <v>30</v>
      </c>
      <c r="V638" s="7" t="s">
        <v>4651</v>
      </c>
      <c r="W638" s="11" t="s">
        <v>2692</v>
      </c>
      <c r="X638" s="2">
        <v>2.383</v>
      </c>
      <c r="Y638" s="6">
        <f t="shared" si="78"/>
        <v>6.3612824003630442E-2</v>
      </c>
      <c r="AA638" t="s">
        <v>2691</v>
      </c>
      <c r="AB638">
        <v>101151</v>
      </c>
      <c r="AD638" t="s">
        <v>4</v>
      </c>
      <c r="AE638">
        <v>139</v>
      </c>
      <c r="AF638">
        <v>3</v>
      </c>
      <c r="AH638" t="s">
        <v>3427</v>
      </c>
      <c r="AI638" t="s">
        <v>4696</v>
      </c>
      <c r="AK638" t="s">
        <v>4695</v>
      </c>
      <c r="AL638">
        <v>19</v>
      </c>
      <c r="AM638" s="5">
        <f t="shared" si="82"/>
        <v>0.6333333333333333</v>
      </c>
      <c r="AN638" s="4">
        <f t="shared" si="79"/>
        <v>9.5923261390887281E-4</v>
      </c>
      <c r="AO638" s="3"/>
      <c r="AP638">
        <v>0</v>
      </c>
      <c r="AR638" t="s">
        <v>0</v>
      </c>
      <c r="AT638" s="2" t="s">
        <v>16</v>
      </c>
      <c r="AU638" s="1">
        <f t="shared" si="83"/>
        <v>4.4816746586713974</v>
      </c>
      <c r="AV638" s="1">
        <f t="shared" si="84"/>
        <v>3.2286028308769659</v>
      </c>
      <c r="AW638" s="1">
        <f t="shared" si="85"/>
        <v>1.9755310030825344</v>
      </c>
    </row>
    <row r="639" spans="1:49" x14ac:dyDescent="0.2">
      <c r="A639">
        <v>637</v>
      </c>
      <c r="B639" t="s">
        <v>4694</v>
      </c>
      <c r="C639" t="s">
        <v>4693</v>
      </c>
      <c r="F639" t="s">
        <v>4692</v>
      </c>
      <c r="G639" t="s">
        <v>12</v>
      </c>
      <c r="H639" t="s">
        <v>11</v>
      </c>
      <c r="I639" t="s">
        <v>4691</v>
      </c>
      <c r="J639">
        <v>60001359</v>
      </c>
      <c r="K639" t="s">
        <v>4690</v>
      </c>
      <c r="L639" t="s">
        <v>4689</v>
      </c>
      <c r="M639" t="s">
        <v>856</v>
      </c>
      <c r="N639">
        <v>2</v>
      </c>
      <c r="O639" t="s">
        <v>4688</v>
      </c>
      <c r="P639" t="s">
        <v>4687</v>
      </c>
      <c r="Q639" t="s">
        <v>4686</v>
      </c>
      <c r="R639" s="7">
        <v>33604</v>
      </c>
      <c r="S639" s="8">
        <f t="shared" si="80"/>
        <v>1992</v>
      </c>
      <c r="T639" s="8">
        <v>1992</v>
      </c>
      <c r="U639" s="8">
        <f t="shared" si="81"/>
        <v>30</v>
      </c>
      <c r="V639" s="7" t="s">
        <v>4651</v>
      </c>
      <c r="W639" s="11" t="s">
        <v>2692</v>
      </c>
      <c r="X639" s="2">
        <v>2.383</v>
      </c>
      <c r="Y639" s="6">
        <f t="shared" si="78"/>
        <v>6.3612824003630442E-2</v>
      </c>
      <c r="AA639" t="s">
        <v>2691</v>
      </c>
      <c r="AB639">
        <v>101151</v>
      </c>
      <c r="AD639" t="s">
        <v>4</v>
      </c>
      <c r="AE639">
        <v>139</v>
      </c>
      <c r="AF639">
        <v>3</v>
      </c>
      <c r="AH639" t="s">
        <v>3594</v>
      </c>
      <c r="AI639" t="s">
        <v>4685</v>
      </c>
      <c r="AK639" t="s">
        <v>4684</v>
      </c>
      <c r="AL639">
        <v>48</v>
      </c>
      <c r="AM639" s="5">
        <f t="shared" si="82"/>
        <v>1.6</v>
      </c>
      <c r="AN639" s="4">
        <f t="shared" si="79"/>
        <v>2.4233244982961003E-3</v>
      </c>
      <c r="AO639" s="3"/>
      <c r="AP639">
        <v>0</v>
      </c>
      <c r="AR639" t="s">
        <v>0</v>
      </c>
      <c r="AT639" s="2" t="s">
        <v>16</v>
      </c>
      <c r="AU639" s="1">
        <f t="shared" si="83"/>
        <v>4.5255974152030136</v>
      </c>
      <c r="AV639" s="1">
        <f t="shared" si="84"/>
        <v>3.3018074250963272</v>
      </c>
      <c r="AW639" s="1">
        <f t="shared" si="85"/>
        <v>2.0780174349896403</v>
      </c>
    </row>
    <row r="640" spans="1:49" x14ac:dyDescent="0.2">
      <c r="A640">
        <v>638</v>
      </c>
      <c r="B640" t="s">
        <v>4683</v>
      </c>
      <c r="C640" t="s">
        <v>4682</v>
      </c>
      <c r="F640" t="s">
        <v>4681</v>
      </c>
      <c r="G640" t="s">
        <v>12</v>
      </c>
      <c r="H640" t="s">
        <v>11</v>
      </c>
      <c r="I640" t="s">
        <v>4680</v>
      </c>
      <c r="J640">
        <v>60028186</v>
      </c>
      <c r="K640" t="s">
        <v>4549</v>
      </c>
      <c r="L640" t="s">
        <v>4548</v>
      </c>
      <c r="M640" t="s">
        <v>219</v>
      </c>
      <c r="N640">
        <v>3</v>
      </c>
      <c r="O640" t="s">
        <v>4679</v>
      </c>
      <c r="P640" t="s">
        <v>4678</v>
      </c>
      <c r="Q640" t="s">
        <v>4677</v>
      </c>
      <c r="R640" s="7">
        <v>33604</v>
      </c>
      <c r="S640" s="8">
        <f t="shared" si="80"/>
        <v>1992</v>
      </c>
      <c r="T640" s="8">
        <v>1992</v>
      </c>
      <c r="U640" s="8">
        <f t="shared" si="81"/>
        <v>30</v>
      </c>
      <c r="V640" s="7" t="s">
        <v>4651</v>
      </c>
      <c r="W640" s="11" t="s">
        <v>2692</v>
      </c>
      <c r="X640" s="2">
        <v>2.383</v>
      </c>
      <c r="Y640" s="6">
        <f t="shared" si="78"/>
        <v>6.3612824003630442E-2</v>
      </c>
      <c r="AA640" t="s">
        <v>2691</v>
      </c>
      <c r="AB640">
        <v>101151</v>
      </c>
      <c r="AD640" t="s">
        <v>4</v>
      </c>
      <c r="AE640">
        <v>139</v>
      </c>
      <c r="AF640">
        <v>3</v>
      </c>
      <c r="AH640" t="s">
        <v>4676</v>
      </c>
      <c r="AI640" t="s">
        <v>4675</v>
      </c>
      <c r="AK640" t="s">
        <v>4674</v>
      </c>
      <c r="AL640">
        <v>87</v>
      </c>
      <c r="AM640" s="5">
        <f t="shared" si="82"/>
        <v>2.9</v>
      </c>
      <c r="AN640" s="4">
        <f t="shared" si="79"/>
        <v>4.3922756531616812E-3</v>
      </c>
      <c r="AO640" s="3"/>
      <c r="AP640">
        <v>0</v>
      </c>
      <c r="AR640" t="s">
        <v>0</v>
      </c>
      <c r="AT640" s="2" t="s">
        <v>16</v>
      </c>
      <c r="AU640" s="1">
        <f t="shared" si="83"/>
        <v>4.5846659498489819</v>
      </c>
      <c r="AV640" s="1">
        <f t="shared" si="84"/>
        <v>3.400254982839606</v>
      </c>
      <c r="AW640" s="1">
        <f t="shared" si="85"/>
        <v>2.2158440158302311</v>
      </c>
    </row>
    <row r="641" spans="1:49" x14ac:dyDescent="0.2">
      <c r="A641">
        <v>639</v>
      </c>
      <c r="B641" t="s">
        <v>4673</v>
      </c>
      <c r="C641" t="s">
        <v>4672</v>
      </c>
      <c r="F641" t="s">
        <v>4671</v>
      </c>
      <c r="G641" t="s">
        <v>12</v>
      </c>
      <c r="H641" t="s">
        <v>11</v>
      </c>
      <c r="I641" t="s">
        <v>4670</v>
      </c>
      <c r="J641">
        <v>60029701</v>
      </c>
      <c r="K641" t="s">
        <v>4669</v>
      </c>
      <c r="L641" t="s">
        <v>4668</v>
      </c>
      <c r="M641" t="s">
        <v>151</v>
      </c>
      <c r="N641">
        <v>9</v>
      </c>
      <c r="O641" t="s">
        <v>4667</v>
      </c>
      <c r="P641" t="s">
        <v>4666</v>
      </c>
      <c r="Q641" t="s">
        <v>4665</v>
      </c>
      <c r="R641" s="7">
        <v>33604</v>
      </c>
      <c r="S641" s="8">
        <f t="shared" si="80"/>
        <v>1992</v>
      </c>
      <c r="T641" s="8">
        <v>1992</v>
      </c>
      <c r="U641" s="8">
        <f t="shared" si="81"/>
        <v>30</v>
      </c>
      <c r="V641" s="7">
        <v>33756</v>
      </c>
      <c r="W641" t="s">
        <v>4664</v>
      </c>
      <c r="X641" s="2">
        <v>0.82</v>
      </c>
      <c r="Y641" s="6">
        <f t="shared" si="78"/>
        <v>2.1889431675609299E-2</v>
      </c>
      <c r="AA641">
        <v>189456</v>
      </c>
      <c r="AB641">
        <v>15361</v>
      </c>
      <c r="AC641">
        <v>15579662</v>
      </c>
      <c r="AD641" t="s">
        <v>4</v>
      </c>
      <c r="AE641">
        <v>41</v>
      </c>
      <c r="AF641">
        <v>3</v>
      </c>
      <c r="AH641" t="s">
        <v>4663</v>
      </c>
      <c r="AI641" t="s">
        <v>4662</v>
      </c>
      <c r="AK641" t="s">
        <v>4661</v>
      </c>
      <c r="AL641">
        <v>15</v>
      </c>
      <c r="AM641" s="5">
        <f t="shared" si="82"/>
        <v>0.5</v>
      </c>
      <c r="AN641" s="4">
        <f t="shared" si="79"/>
        <v>7.572889057175312E-4</v>
      </c>
      <c r="AO641" s="3"/>
      <c r="AP641">
        <v>0</v>
      </c>
      <c r="AR641" t="s">
        <v>0</v>
      </c>
      <c r="AT641" s="2" t="s">
        <v>16</v>
      </c>
      <c r="AU641" s="1">
        <f t="shared" si="83"/>
        <v>1.5549788844641765</v>
      </c>
      <c r="AV641" s="1">
        <f t="shared" si="84"/>
        <v>1.1323360290663413</v>
      </c>
      <c r="AW641" s="1">
        <f t="shared" si="85"/>
        <v>0.70969317366850615</v>
      </c>
    </row>
    <row r="642" spans="1:49" x14ac:dyDescent="0.2">
      <c r="A642">
        <v>640</v>
      </c>
      <c r="B642" t="s">
        <v>4660</v>
      </c>
      <c r="C642" t="s">
        <v>4659</v>
      </c>
      <c r="F642" t="s">
        <v>4658</v>
      </c>
      <c r="G642" t="s">
        <v>12</v>
      </c>
      <c r="H642" t="s">
        <v>11</v>
      </c>
      <c r="I642" t="s">
        <v>4657</v>
      </c>
      <c r="J642">
        <v>60085149</v>
      </c>
      <c r="K642" t="s">
        <v>4656</v>
      </c>
      <c r="L642" t="s">
        <v>4655</v>
      </c>
      <c r="M642" t="s">
        <v>817</v>
      </c>
      <c r="N642">
        <v>4</v>
      </c>
      <c r="O642" t="s">
        <v>4654</v>
      </c>
      <c r="P642" t="s">
        <v>4653</v>
      </c>
      <c r="Q642" t="s">
        <v>4652</v>
      </c>
      <c r="R642" s="7">
        <v>33604</v>
      </c>
      <c r="S642" s="8">
        <f t="shared" si="80"/>
        <v>1992</v>
      </c>
      <c r="T642" s="8">
        <v>1992</v>
      </c>
      <c r="U642" s="8">
        <f t="shared" si="81"/>
        <v>30</v>
      </c>
      <c r="V642" s="7" t="s">
        <v>4651</v>
      </c>
      <c r="W642" s="11" t="s">
        <v>2692</v>
      </c>
      <c r="X642" s="2">
        <v>2.383</v>
      </c>
      <c r="Y642" s="6">
        <f t="shared" ref="Y642:Y705" si="86">(X642-$Z$4)/($Z$3-$Z$4)</f>
        <v>6.3612824003630442E-2</v>
      </c>
      <c r="AA642" t="s">
        <v>2691</v>
      </c>
      <c r="AB642">
        <v>101151</v>
      </c>
      <c r="AD642" t="s">
        <v>4</v>
      </c>
      <c r="AE642">
        <v>139</v>
      </c>
      <c r="AF642">
        <v>3</v>
      </c>
      <c r="AH642" t="s">
        <v>3409</v>
      </c>
      <c r="AI642" t="s">
        <v>4650</v>
      </c>
      <c r="AK642" t="s">
        <v>4649</v>
      </c>
      <c r="AL642">
        <v>15</v>
      </c>
      <c r="AM642" s="5">
        <f t="shared" si="82"/>
        <v>0.5</v>
      </c>
      <c r="AN642" s="4">
        <f t="shared" ref="AN642:AN705" si="87">(AM642-$AO$4)/($AO$3-$AO$4)</f>
        <v>7.572889057175312E-4</v>
      </c>
      <c r="AO642" s="3"/>
      <c r="AP642">
        <v>0</v>
      </c>
      <c r="AR642" t="s">
        <v>0</v>
      </c>
      <c r="AT642" s="2" t="s">
        <v>16</v>
      </c>
      <c r="AU642" s="1">
        <f t="shared" si="83"/>
        <v>4.4756163474256567</v>
      </c>
      <c r="AV642" s="1">
        <f t="shared" si="84"/>
        <v>3.218505645467399</v>
      </c>
      <c r="AW642" s="1">
        <f t="shared" si="85"/>
        <v>1.9613949435091407</v>
      </c>
    </row>
    <row r="643" spans="1:49" x14ac:dyDescent="0.2">
      <c r="A643">
        <v>641</v>
      </c>
      <c r="B643" t="s">
        <v>4648</v>
      </c>
      <c r="C643" t="s">
        <v>4647</v>
      </c>
      <c r="F643" t="s">
        <v>4646</v>
      </c>
      <c r="G643" t="s">
        <v>12</v>
      </c>
      <c r="H643" t="s">
        <v>11</v>
      </c>
      <c r="I643" t="s">
        <v>4645</v>
      </c>
      <c r="J643">
        <v>60011001</v>
      </c>
      <c r="K643" t="s">
        <v>804</v>
      </c>
      <c r="L643" t="s">
        <v>803</v>
      </c>
      <c r="M643" t="s">
        <v>151</v>
      </c>
      <c r="N643">
        <v>2</v>
      </c>
      <c r="O643" t="s">
        <v>4644</v>
      </c>
      <c r="P643" t="s">
        <v>4643</v>
      </c>
      <c r="Q643" t="s">
        <v>4642</v>
      </c>
      <c r="R643" s="7">
        <v>33604</v>
      </c>
      <c r="S643" s="8">
        <f t="shared" si="80"/>
        <v>1992</v>
      </c>
      <c r="T643" s="8">
        <v>1992</v>
      </c>
      <c r="U643" s="8">
        <f t="shared" si="81"/>
        <v>30</v>
      </c>
      <c r="V643" s="7">
        <v>1992</v>
      </c>
      <c r="W643" t="s">
        <v>4641</v>
      </c>
      <c r="X643" s="2">
        <v>0.10299999999999999</v>
      </c>
      <c r="Y643" s="6">
        <f t="shared" si="86"/>
        <v>2.7495261738875098E-3</v>
      </c>
      <c r="AA643">
        <v>10420967</v>
      </c>
      <c r="AB643">
        <v>24908</v>
      </c>
      <c r="AC643">
        <v>15206440</v>
      </c>
      <c r="AD643" t="s">
        <v>4</v>
      </c>
      <c r="AE643">
        <v>75</v>
      </c>
      <c r="AF643">
        <v>6</v>
      </c>
      <c r="AH643" t="s">
        <v>4640</v>
      </c>
      <c r="AI643" t="s">
        <v>4639</v>
      </c>
      <c r="AJ643" t="s">
        <v>4638</v>
      </c>
      <c r="AK643" t="s">
        <v>4637</v>
      </c>
      <c r="AL643">
        <v>0</v>
      </c>
      <c r="AM643" s="5">
        <f t="shared" si="82"/>
        <v>0</v>
      </c>
      <c r="AN643" s="4">
        <f t="shared" si="87"/>
        <v>0</v>
      </c>
      <c r="AO643" s="3"/>
      <c r="AP643">
        <v>0</v>
      </c>
      <c r="AR643" t="s">
        <v>0</v>
      </c>
      <c r="AT643" s="2" t="s">
        <v>16</v>
      </c>
      <c r="AU643" s="1">
        <f t="shared" si="83"/>
        <v>0.19246683217212568</v>
      </c>
      <c r="AV643" s="1">
        <f t="shared" si="84"/>
        <v>0.13747630869437549</v>
      </c>
      <c r="AW643" s="1">
        <f t="shared" si="85"/>
        <v>8.2485785216625293E-2</v>
      </c>
    </row>
    <row r="644" spans="1:49" x14ac:dyDescent="0.2">
      <c r="A644">
        <v>642</v>
      </c>
      <c r="B644" t="s">
        <v>4636</v>
      </c>
      <c r="C644" t="s">
        <v>4635</v>
      </c>
      <c r="E644">
        <v>1526638</v>
      </c>
      <c r="F644" t="s">
        <v>4634</v>
      </c>
      <c r="G644" t="s">
        <v>12</v>
      </c>
      <c r="H644" t="s">
        <v>11</v>
      </c>
      <c r="I644" t="s">
        <v>4633</v>
      </c>
      <c r="J644" t="s">
        <v>4632</v>
      </c>
      <c r="K644" t="s">
        <v>4631</v>
      </c>
      <c r="L644" t="s">
        <v>4630</v>
      </c>
      <c r="M644" t="s">
        <v>125</v>
      </c>
      <c r="N644">
        <v>7</v>
      </c>
      <c r="O644" t="s">
        <v>4629</v>
      </c>
      <c r="P644" t="s">
        <v>4628</v>
      </c>
      <c r="Q644" t="s">
        <v>4627</v>
      </c>
      <c r="R644" s="7">
        <v>33604</v>
      </c>
      <c r="S644" s="8">
        <f t="shared" si="80"/>
        <v>1992</v>
      </c>
      <c r="T644" s="8">
        <v>1992</v>
      </c>
      <c r="U644" s="8">
        <f t="shared" si="81"/>
        <v>30</v>
      </c>
      <c r="V644" s="7">
        <v>33725</v>
      </c>
      <c r="W644" t="s">
        <v>2522</v>
      </c>
      <c r="X644" s="2">
        <v>1.1479999999999999</v>
      </c>
      <c r="Y644" s="6">
        <f t="shared" si="86"/>
        <v>3.0645204345853019E-2</v>
      </c>
      <c r="AA644">
        <v>189294</v>
      </c>
      <c r="AB644">
        <v>16318</v>
      </c>
      <c r="AC644">
        <v>15582531</v>
      </c>
      <c r="AD644" t="s">
        <v>4</v>
      </c>
      <c r="AE644">
        <v>39</v>
      </c>
      <c r="AF644">
        <v>5</v>
      </c>
      <c r="AH644" t="s">
        <v>4626</v>
      </c>
      <c r="AI644" t="s">
        <v>4625</v>
      </c>
      <c r="AK644" t="s">
        <v>4624</v>
      </c>
      <c r="AL644">
        <v>62</v>
      </c>
      <c r="AM644" s="5">
        <f t="shared" si="82"/>
        <v>2.0666666666666669</v>
      </c>
      <c r="AN644" s="4">
        <f t="shared" si="87"/>
        <v>3.1301274769657962E-3</v>
      </c>
      <c r="AO644" s="3"/>
      <c r="AP644">
        <v>0</v>
      </c>
      <c r="AQ644" t="s">
        <v>895</v>
      </c>
      <c r="AR644" t="s">
        <v>4623</v>
      </c>
      <c r="AS644" t="s">
        <v>893</v>
      </c>
      <c r="AT644" s="2" t="s">
        <v>16</v>
      </c>
      <c r="AU644" s="1">
        <f t="shared" si="83"/>
        <v>2.2390681285186851</v>
      </c>
      <c r="AV644" s="1">
        <f t="shared" si="84"/>
        <v>1.6887665911409406</v>
      </c>
      <c r="AW644" s="1">
        <f t="shared" si="85"/>
        <v>1.1384650537631962</v>
      </c>
    </row>
    <row r="645" spans="1:49" x14ac:dyDescent="0.2">
      <c r="A645">
        <v>643</v>
      </c>
      <c r="B645" t="s">
        <v>4622</v>
      </c>
      <c r="C645" t="s">
        <v>4621</v>
      </c>
      <c r="F645" t="s">
        <v>4620</v>
      </c>
      <c r="G645" t="s">
        <v>12</v>
      </c>
      <c r="H645" t="s">
        <v>11</v>
      </c>
      <c r="I645" t="s">
        <v>4619</v>
      </c>
      <c r="J645">
        <v>60008435</v>
      </c>
      <c r="K645" t="s">
        <v>3916</v>
      </c>
      <c r="L645" t="s">
        <v>3915</v>
      </c>
      <c r="M645" t="s">
        <v>151</v>
      </c>
      <c r="N645">
        <v>5</v>
      </c>
      <c r="O645" t="s">
        <v>4618</v>
      </c>
      <c r="P645" t="s">
        <v>4617</v>
      </c>
      <c r="Q645" t="s">
        <v>4616</v>
      </c>
      <c r="R645" s="7">
        <v>33604</v>
      </c>
      <c r="S645" s="8">
        <f t="shared" si="80"/>
        <v>1992</v>
      </c>
      <c r="T645" s="8">
        <v>1992</v>
      </c>
      <c r="U645" s="8">
        <f t="shared" si="81"/>
        <v>30</v>
      </c>
      <c r="V645" s="7">
        <v>33725</v>
      </c>
      <c r="W645" t="s">
        <v>136</v>
      </c>
      <c r="X645" s="2">
        <v>1.3720000000000001</v>
      </c>
      <c r="Y645" s="6">
        <f t="shared" si="86"/>
        <v>3.662475641333654E-2</v>
      </c>
      <c r="AA645">
        <v>189480</v>
      </c>
      <c r="AB645">
        <v>17366</v>
      </c>
      <c r="AC645">
        <v>15579670</v>
      </c>
      <c r="AD645" t="s">
        <v>4</v>
      </c>
      <c r="AE645">
        <v>40</v>
      </c>
      <c r="AF645">
        <v>5</v>
      </c>
      <c r="AH645" t="s">
        <v>4615</v>
      </c>
      <c r="AI645" t="s">
        <v>4614</v>
      </c>
      <c r="AK645" t="s">
        <v>4613</v>
      </c>
      <c r="AL645">
        <v>49</v>
      </c>
      <c r="AM645" s="5">
        <f t="shared" si="82"/>
        <v>1.6333333333333333</v>
      </c>
      <c r="AN645" s="4">
        <f t="shared" si="87"/>
        <v>2.4738104253439353E-3</v>
      </c>
      <c r="AO645" s="3"/>
      <c r="AP645">
        <v>0</v>
      </c>
      <c r="AR645" t="s">
        <v>0</v>
      </c>
      <c r="AT645" s="2" t="s">
        <v>16</v>
      </c>
      <c r="AU645" s="1">
        <f t="shared" si="83"/>
        <v>2.6379472616938759</v>
      </c>
      <c r="AV645" s="1">
        <f t="shared" si="84"/>
        <v>1.9549283419340238</v>
      </c>
      <c r="AW645" s="1">
        <f t="shared" si="85"/>
        <v>1.2719094221741718</v>
      </c>
    </row>
    <row r="646" spans="1:49" x14ac:dyDescent="0.2">
      <c r="A646">
        <v>644</v>
      </c>
      <c r="B646" t="s">
        <v>4612</v>
      </c>
      <c r="C646" t="s">
        <v>4611</v>
      </c>
      <c r="F646" t="s">
        <v>4610</v>
      </c>
      <c r="G646" t="s">
        <v>12</v>
      </c>
      <c r="H646" t="s">
        <v>11</v>
      </c>
      <c r="I646" t="s">
        <v>4609</v>
      </c>
      <c r="J646">
        <v>60011001</v>
      </c>
      <c r="K646" t="s">
        <v>804</v>
      </c>
      <c r="L646" t="s">
        <v>803</v>
      </c>
      <c r="M646" t="s">
        <v>151</v>
      </c>
      <c r="N646">
        <v>4</v>
      </c>
      <c r="O646" t="s">
        <v>4608</v>
      </c>
      <c r="P646" t="s">
        <v>4607</v>
      </c>
      <c r="Q646" t="s">
        <v>4606</v>
      </c>
      <c r="R646" s="7">
        <v>33604</v>
      </c>
      <c r="S646" s="8">
        <f t="shared" si="80"/>
        <v>1992</v>
      </c>
      <c r="T646" s="8">
        <v>1992</v>
      </c>
      <c r="U646" s="8">
        <f t="shared" si="81"/>
        <v>30</v>
      </c>
      <c r="V646" s="7">
        <v>33725</v>
      </c>
      <c r="W646" t="s">
        <v>3292</v>
      </c>
      <c r="X646" s="2">
        <v>0.371</v>
      </c>
      <c r="Y646" s="6">
        <f t="shared" si="86"/>
        <v>9.9036331117695747E-3</v>
      </c>
      <c r="AA646">
        <v>214922</v>
      </c>
      <c r="AB646">
        <v>130262</v>
      </c>
      <c r="AC646">
        <v>13474065</v>
      </c>
      <c r="AD646" t="s">
        <v>4</v>
      </c>
      <c r="AE646">
        <v>31</v>
      </c>
      <c r="AF646" t="s">
        <v>4605</v>
      </c>
      <c r="AH646" t="s">
        <v>4604</v>
      </c>
      <c r="AI646" t="s">
        <v>4603</v>
      </c>
      <c r="AJ646" t="s">
        <v>4602</v>
      </c>
      <c r="AK646" t="s">
        <v>4601</v>
      </c>
      <c r="AL646">
        <v>21</v>
      </c>
      <c r="AM646" s="5">
        <f t="shared" si="82"/>
        <v>0.7</v>
      </c>
      <c r="AN646" s="4">
        <f t="shared" si="87"/>
        <v>1.0602044680045437E-3</v>
      </c>
      <c r="AO646" s="3"/>
      <c r="AP646">
        <v>0</v>
      </c>
      <c r="AR646" t="s">
        <v>0</v>
      </c>
      <c r="AT646" s="2">
        <v>1.48</v>
      </c>
      <c r="AU646" s="1">
        <f t="shared" si="83"/>
        <v>0.72506045186400647</v>
      </c>
      <c r="AV646" s="1">
        <f t="shared" si="84"/>
        <v>0.54819187898870592</v>
      </c>
      <c r="AW646" s="1">
        <f t="shared" si="85"/>
        <v>0.3713233061134053</v>
      </c>
    </row>
    <row r="647" spans="1:49" x14ac:dyDescent="0.2">
      <c r="A647">
        <v>645</v>
      </c>
      <c r="B647" t="s">
        <v>4600</v>
      </c>
      <c r="C647" t="s">
        <v>4599</v>
      </c>
      <c r="F647" t="s">
        <v>4598</v>
      </c>
      <c r="G647" t="s">
        <v>12</v>
      </c>
      <c r="H647" t="s">
        <v>11</v>
      </c>
      <c r="I647" t="s">
        <v>4597</v>
      </c>
      <c r="J647">
        <v>60003269</v>
      </c>
      <c r="K647" t="s">
        <v>2384</v>
      </c>
      <c r="L647" t="s">
        <v>2383</v>
      </c>
      <c r="M647" t="s">
        <v>7</v>
      </c>
      <c r="N647">
        <v>7</v>
      </c>
      <c r="O647" t="s">
        <v>4596</v>
      </c>
      <c r="P647" t="s">
        <v>4595</v>
      </c>
      <c r="Q647" t="s">
        <v>4594</v>
      </c>
      <c r="R647" s="7">
        <v>33604</v>
      </c>
      <c r="S647" s="8">
        <f t="shared" si="80"/>
        <v>1992</v>
      </c>
      <c r="T647" s="8">
        <v>1992</v>
      </c>
      <c r="U647" s="8">
        <f t="shared" si="81"/>
        <v>30</v>
      </c>
      <c r="V647" s="7" t="s">
        <v>4458</v>
      </c>
      <c r="W647" t="s">
        <v>4593</v>
      </c>
      <c r="X647" s="2" t="s">
        <v>16</v>
      </c>
      <c r="Y647" s="6" t="e">
        <f t="shared" si="86"/>
        <v>#VALUE!</v>
      </c>
      <c r="AA647">
        <v>7481896</v>
      </c>
      <c r="AB647">
        <v>78193</v>
      </c>
      <c r="AD647" t="s">
        <v>4</v>
      </c>
      <c r="AE647">
        <v>21</v>
      </c>
      <c r="AF647" t="s">
        <v>4592</v>
      </c>
      <c r="AH647" t="s">
        <v>4591</v>
      </c>
      <c r="AI647" t="s">
        <v>4590</v>
      </c>
      <c r="AK647" t="s">
        <v>4589</v>
      </c>
      <c r="AL647">
        <v>0</v>
      </c>
      <c r="AM647" s="5">
        <f t="shared" si="82"/>
        <v>0</v>
      </c>
      <c r="AN647" s="4">
        <f t="shared" si="87"/>
        <v>0</v>
      </c>
      <c r="AO647" s="3"/>
      <c r="AP647">
        <v>0</v>
      </c>
      <c r="AR647" t="s">
        <v>0</v>
      </c>
      <c r="AT647" s="2" t="s">
        <v>16</v>
      </c>
      <c r="AU647" s="1" t="e">
        <f t="shared" si="83"/>
        <v>#VALUE!</v>
      </c>
      <c r="AV647" s="1" t="e">
        <f t="shared" si="84"/>
        <v>#VALUE!</v>
      </c>
      <c r="AW647" s="1" t="e">
        <f t="shared" si="85"/>
        <v>#VALUE!</v>
      </c>
    </row>
    <row r="648" spans="1:49" x14ac:dyDescent="0.2">
      <c r="A648">
        <v>646</v>
      </c>
      <c r="B648" t="s">
        <v>4588</v>
      </c>
      <c r="C648" t="s">
        <v>4587</v>
      </c>
      <c r="F648" t="s">
        <v>4586</v>
      </c>
      <c r="G648" t="s">
        <v>12</v>
      </c>
      <c r="H648" t="s">
        <v>11</v>
      </c>
      <c r="I648" t="s">
        <v>4585</v>
      </c>
      <c r="J648" t="s">
        <v>4584</v>
      </c>
      <c r="K648" t="s">
        <v>4583</v>
      </c>
      <c r="L648" t="s">
        <v>4582</v>
      </c>
      <c r="M648" t="s">
        <v>3814</v>
      </c>
      <c r="N648">
        <v>2</v>
      </c>
      <c r="O648" t="s">
        <v>4581</v>
      </c>
      <c r="P648" t="s">
        <v>4580</v>
      </c>
      <c r="Q648" t="s">
        <v>4579</v>
      </c>
      <c r="R648" s="7">
        <v>33604</v>
      </c>
      <c r="S648" s="8">
        <f t="shared" si="80"/>
        <v>1992</v>
      </c>
      <c r="T648" s="8">
        <v>1992</v>
      </c>
      <c r="U648" s="8">
        <f t="shared" si="81"/>
        <v>30</v>
      </c>
      <c r="V648" s="7">
        <v>33725</v>
      </c>
      <c r="W648" t="s">
        <v>97</v>
      </c>
      <c r="X648" s="2">
        <v>1.6519999999999999</v>
      </c>
      <c r="Y648" s="6">
        <f t="shared" si="86"/>
        <v>4.409919649769093E-2</v>
      </c>
      <c r="AA648" t="s">
        <v>96</v>
      </c>
      <c r="AB648">
        <v>17337</v>
      </c>
      <c r="AC648">
        <v>15582221</v>
      </c>
      <c r="AD648" t="s">
        <v>4</v>
      </c>
      <c r="AE648">
        <v>40</v>
      </c>
      <c r="AF648">
        <v>5</v>
      </c>
      <c r="AH648" t="s">
        <v>4578</v>
      </c>
      <c r="AI648" t="s">
        <v>4577</v>
      </c>
      <c r="AK648" t="s">
        <v>4576</v>
      </c>
      <c r="AL648">
        <v>36</v>
      </c>
      <c r="AM648" s="5">
        <f t="shared" si="82"/>
        <v>1.2</v>
      </c>
      <c r="AN648" s="4">
        <f t="shared" si="87"/>
        <v>1.8174933737220749E-3</v>
      </c>
      <c r="AO648" s="3"/>
      <c r="AP648">
        <v>0</v>
      </c>
      <c r="AR648" t="s">
        <v>0</v>
      </c>
      <c r="AT648" s="2" t="s">
        <v>16</v>
      </c>
      <c r="AU648" s="1">
        <f t="shared" si="83"/>
        <v>3.1414685560500275</v>
      </c>
      <c r="AV648" s="1">
        <f t="shared" si="84"/>
        <v>2.2958344935706503</v>
      </c>
      <c r="AW648" s="1">
        <f t="shared" si="85"/>
        <v>1.4502004310912731</v>
      </c>
    </row>
    <row r="649" spans="1:49" x14ac:dyDescent="0.2">
      <c r="A649">
        <v>647</v>
      </c>
      <c r="B649" t="s">
        <v>4575</v>
      </c>
      <c r="C649" t="s">
        <v>4574</v>
      </c>
      <c r="F649" t="s">
        <v>4573</v>
      </c>
      <c r="G649" t="s">
        <v>12</v>
      </c>
      <c r="H649" t="s">
        <v>11</v>
      </c>
      <c r="I649" t="s">
        <v>4572</v>
      </c>
      <c r="J649" t="s">
        <v>4571</v>
      </c>
      <c r="K649" t="s">
        <v>4570</v>
      </c>
      <c r="L649" t="s">
        <v>4569</v>
      </c>
      <c r="M649" t="s">
        <v>904</v>
      </c>
      <c r="N649">
        <v>1</v>
      </c>
      <c r="O649" t="s">
        <v>4568</v>
      </c>
      <c r="P649">
        <v>7006858788</v>
      </c>
      <c r="Q649" t="s">
        <v>4567</v>
      </c>
      <c r="R649" s="7">
        <v>33604</v>
      </c>
      <c r="S649" s="8">
        <f t="shared" si="80"/>
        <v>1992</v>
      </c>
      <c r="T649" s="8">
        <v>1992</v>
      </c>
      <c r="U649" s="8">
        <f t="shared" si="81"/>
        <v>30</v>
      </c>
      <c r="V649" s="7">
        <v>33725</v>
      </c>
      <c r="W649" t="s">
        <v>136</v>
      </c>
      <c r="X649" s="2">
        <v>1.3720000000000001</v>
      </c>
      <c r="Y649" s="6">
        <f t="shared" si="86"/>
        <v>3.662475641333654E-2</v>
      </c>
      <c r="AA649">
        <v>189480</v>
      </c>
      <c r="AB649">
        <v>17366</v>
      </c>
      <c r="AC649">
        <v>15579670</v>
      </c>
      <c r="AD649" t="s">
        <v>4</v>
      </c>
      <c r="AE649">
        <v>40</v>
      </c>
      <c r="AF649">
        <v>5</v>
      </c>
      <c r="AH649" t="s">
        <v>4566</v>
      </c>
      <c r="AI649" t="s">
        <v>4565</v>
      </c>
      <c r="AK649" t="s">
        <v>4564</v>
      </c>
      <c r="AL649">
        <v>39</v>
      </c>
      <c r="AM649" s="5">
        <f t="shared" si="82"/>
        <v>1.3</v>
      </c>
      <c r="AN649" s="4">
        <f t="shared" si="87"/>
        <v>1.9689511548655813E-3</v>
      </c>
      <c r="AO649" s="3"/>
      <c r="AP649">
        <v>0</v>
      </c>
      <c r="AQ649" t="s">
        <v>1971</v>
      </c>
      <c r="AR649" t="s">
        <v>4563</v>
      </c>
      <c r="AS649" t="s">
        <v>1970</v>
      </c>
      <c r="AT649" s="2" t="s">
        <v>16</v>
      </c>
      <c r="AU649" s="1">
        <f t="shared" si="83"/>
        <v>2.6228014835795248</v>
      </c>
      <c r="AV649" s="1">
        <f t="shared" si="84"/>
        <v>1.929685378410106</v>
      </c>
      <c r="AW649" s="1">
        <f t="shared" si="85"/>
        <v>1.2365692732406868</v>
      </c>
    </row>
    <row r="650" spans="1:49" x14ac:dyDescent="0.2">
      <c r="A650">
        <v>648</v>
      </c>
      <c r="B650" t="s">
        <v>4562</v>
      </c>
      <c r="C650" t="s">
        <v>4561</v>
      </c>
      <c r="F650" t="s">
        <v>4560</v>
      </c>
      <c r="G650" t="s">
        <v>12</v>
      </c>
      <c r="H650" t="s">
        <v>11</v>
      </c>
      <c r="I650" t="s">
        <v>4559</v>
      </c>
      <c r="J650">
        <v>60023256</v>
      </c>
      <c r="K650" t="s">
        <v>3486</v>
      </c>
      <c r="L650" t="s">
        <v>3485</v>
      </c>
      <c r="M650" t="s">
        <v>338</v>
      </c>
      <c r="N650">
        <v>2</v>
      </c>
      <c r="O650" t="s">
        <v>4558</v>
      </c>
      <c r="P650" t="s">
        <v>4557</v>
      </c>
      <c r="Q650" t="s">
        <v>3482</v>
      </c>
      <c r="R650" s="7">
        <v>33604</v>
      </c>
      <c r="S650" s="8">
        <f t="shared" si="80"/>
        <v>1992</v>
      </c>
      <c r="T650" s="8">
        <v>1992</v>
      </c>
      <c r="U650" s="8">
        <f t="shared" si="81"/>
        <v>30</v>
      </c>
      <c r="V650" s="7">
        <v>33725</v>
      </c>
      <c r="W650" t="s">
        <v>414</v>
      </c>
      <c r="X650" s="2">
        <v>2.141</v>
      </c>
      <c r="Y650" s="6">
        <f t="shared" si="86"/>
        <v>5.7152772216438434E-2</v>
      </c>
      <c r="AA650">
        <v>1962892</v>
      </c>
      <c r="AB650">
        <v>17360</v>
      </c>
      <c r="AC650">
        <v>15580644</v>
      </c>
      <c r="AD650" t="s">
        <v>4</v>
      </c>
      <c r="AE650">
        <v>30</v>
      </c>
      <c r="AF650">
        <v>3</v>
      </c>
      <c r="AH650" t="s">
        <v>4556</v>
      </c>
      <c r="AI650" t="s">
        <v>4555</v>
      </c>
      <c r="AK650" t="s">
        <v>4554</v>
      </c>
      <c r="AL650">
        <v>42</v>
      </c>
      <c r="AM650" s="5">
        <f t="shared" si="82"/>
        <v>1.4</v>
      </c>
      <c r="AN650" s="4">
        <f t="shared" si="87"/>
        <v>2.1204089360090874E-3</v>
      </c>
      <c r="AO650" s="3"/>
      <c r="AP650">
        <v>0</v>
      </c>
      <c r="AR650" t="s">
        <v>0</v>
      </c>
      <c r="AT650" s="2" t="s">
        <v>16</v>
      </c>
      <c r="AU650" s="1">
        <f t="shared" si="83"/>
        <v>4.0643063232309631</v>
      </c>
      <c r="AV650" s="1">
        <f t="shared" si="84"/>
        <v>2.963659057622376</v>
      </c>
      <c r="AW650" s="1">
        <f t="shared" si="85"/>
        <v>1.8630117920137892</v>
      </c>
    </row>
    <row r="651" spans="1:49" x14ac:dyDescent="0.2">
      <c r="A651">
        <v>649</v>
      </c>
      <c r="B651" t="s">
        <v>4553</v>
      </c>
      <c r="C651" t="s">
        <v>4552</v>
      </c>
      <c r="F651" t="s">
        <v>4551</v>
      </c>
      <c r="G651" t="s">
        <v>12</v>
      </c>
      <c r="H651" t="s">
        <v>11</v>
      </c>
      <c r="I651" t="s">
        <v>4550</v>
      </c>
      <c r="J651">
        <v>60028186</v>
      </c>
      <c r="K651" t="s">
        <v>4549</v>
      </c>
      <c r="L651" t="s">
        <v>4548</v>
      </c>
      <c r="M651" t="s">
        <v>219</v>
      </c>
      <c r="N651">
        <v>2</v>
      </c>
      <c r="O651" t="s">
        <v>4547</v>
      </c>
      <c r="P651" t="s">
        <v>4546</v>
      </c>
      <c r="Q651" t="s">
        <v>4545</v>
      </c>
      <c r="R651" s="7">
        <v>33604</v>
      </c>
      <c r="S651" s="8">
        <f t="shared" si="80"/>
        <v>1992</v>
      </c>
      <c r="T651" s="8">
        <v>1992</v>
      </c>
      <c r="U651" s="8">
        <f t="shared" si="81"/>
        <v>30</v>
      </c>
      <c r="V651" s="7">
        <v>33725</v>
      </c>
      <c r="W651" t="s">
        <v>97</v>
      </c>
      <c r="X651" s="2">
        <v>1.6519999999999999</v>
      </c>
      <c r="Y651" s="6">
        <f t="shared" si="86"/>
        <v>4.409919649769093E-2</v>
      </c>
      <c r="AA651" t="s">
        <v>96</v>
      </c>
      <c r="AB651">
        <v>17337</v>
      </c>
      <c r="AC651">
        <v>15582221</v>
      </c>
      <c r="AD651" t="s">
        <v>4</v>
      </c>
      <c r="AE651">
        <v>40</v>
      </c>
      <c r="AF651">
        <v>5</v>
      </c>
      <c r="AH651" t="s">
        <v>4544</v>
      </c>
      <c r="AI651" t="s">
        <v>4543</v>
      </c>
      <c r="AK651" t="s">
        <v>4542</v>
      </c>
      <c r="AL651">
        <v>77</v>
      </c>
      <c r="AM651" s="5">
        <f t="shared" si="82"/>
        <v>2.5666666666666669</v>
      </c>
      <c r="AN651" s="4">
        <f t="shared" si="87"/>
        <v>3.8874163826833272E-3</v>
      </c>
      <c r="AO651" s="3"/>
      <c r="AP651">
        <v>0</v>
      </c>
      <c r="AR651" t="s">
        <v>0</v>
      </c>
      <c r="AT651" s="2" t="s">
        <v>16</v>
      </c>
      <c r="AU651" s="1">
        <f t="shared" si="83"/>
        <v>3.2035662463188648</v>
      </c>
      <c r="AV651" s="1">
        <f t="shared" si="84"/>
        <v>2.399330644018713</v>
      </c>
      <c r="AW651" s="1">
        <f t="shared" si="85"/>
        <v>1.5950950417185608</v>
      </c>
    </row>
    <row r="652" spans="1:49" x14ac:dyDescent="0.2">
      <c r="A652">
        <v>650</v>
      </c>
      <c r="B652" t="s">
        <v>4541</v>
      </c>
      <c r="C652" t="s">
        <v>4540</v>
      </c>
      <c r="F652" t="s">
        <v>4539</v>
      </c>
      <c r="G652" t="s">
        <v>12</v>
      </c>
      <c r="H652" t="s">
        <v>11</v>
      </c>
      <c r="I652" t="s">
        <v>3128</v>
      </c>
      <c r="J652">
        <v>60025778</v>
      </c>
      <c r="K652" t="s">
        <v>25</v>
      </c>
      <c r="L652" t="s">
        <v>24</v>
      </c>
      <c r="M652" t="s">
        <v>7</v>
      </c>
      <c r="N652">
        <v>2</v>
      </c>
      <c r="O652" t="s">
        <v>4538</v>
      </c>
      <c r="P652" t="s">
        <v>4537</v>
      </c>
      <c r="Q652" t="s">
        <v>21</v>
      </c>
      <c r="R652" s="7">
        <v>33604</v>
      </c>
      <c r="S652" s="8">
        <f t="shared" si="80"/>
        <v>1992</v>
      </c>
      <c r="T652" s="8">
        <v>1992</v>
      </c>
      <c r="U652" s="8">
        <f t="shared" si="81"/>
        <v>30</v>
      </c>
      <c r="V652" s="7">
        <v>33725</v>
      </c>
      <c r="W652" t="s">
        <v>136</v>
      </c>
      <c r="X652" s="2">
        <v>1.3720000000000001</v>
      </c>
      <c r="Y652" s="6">
        <f t="shared" si="86"/>
        <v>3.662475641333654E-2</v>
      </c>
      <c r="AA652">
        <v>189480</v>
      </c>
      <c r="AB652">
        <v>17366</v>
      </c>
      <c r="AC652">
        <v>15579670</v>
      </c>
      <c r="AD652" t="s">
        <v>4</v>
      </c>
      <c r="AE652">
        <v>40</v>
      </c>
      <c r="AF652">
        <v>5</v>
      </c>
      <c r="AH652" t="s">
        <v>4536</v>
      </c>
      <c r="AI652" t="s">
        <v>4535</v>
      </c>
      <c r="AK652" t="s">
        <v>4534</v>
      </c>
      <c r="AL652">
        <v>15</v>
      </c>
      <c r="AM652" s="5">
        <f t="shared" si="82"/>
        <v>0.5</v>
      </c>
      <c r="AN652" s="4">
        <f t="shared" si="87"/>
        <v>7.572889057175312E-4</v>
      </c>
      <c r="AO652" s="3"/>
      <c r="AP652">
        <v>0</v>
      </c>
      <c r="AQ652" t="s">
        <v>4524</v>
      </c>
      <c r="AR652" t="s">
        <v>0</v>
      </c>
      <c r="AS652" t="s">
        <v>4523</v>
      </c>
      <c r="AT652" s="2" t="s">
        <v>16</v>
      </c>
      <c r="AU652" s="1">
        <f t="shared" si="83"/>
        <v>2.5864516161050837</v>
      </c>
      <c r="AV652" s="1">
        <f t="shared" si="84"/>
        <v>1.8691022659527035</v>
      </c>
      <c r="AW652" s="1">
        <f t="shared" si="85"/>
        <v>1.1517529158003235</v>
      </c>
    </row>
    <row r="653" spans="1:49" x14ac:dyDescent="0.2">
      <c r="A653">
        <v>651</v>
      </c>
      <c r="B653" t="s">
        <v>4533</v>
      </c>
      <c r="C653" t="s">
        <v>4532</v>
      </c>
      <c r="F653" t="s">
        <v>4531</v>
      </c>
      <c r="G653" t="s">
        <v>12</v>
      </c>
      <c r="H653" t="s">
        <v>11</v>
      </c>
      <c r="I653" t="s">
        <v>4530</v>
      </c>
      <c r="J653">
        <v>60025778</v>
      </c>
      <c r="K653" t="s">
        <v>25</v>
      </c>
      <c r="L653" t="s">
        <v>24</v>
      </c>
      <c r="M653" t="s">
        <v>7</v>
      </c>
      <c r="N653">
        <v>3</v>
      </c>
      <c r="O653" t="s">
        <v>4529</v>
      </c>
      <c r="P653" t="s">
        <v>4528</v>
      </c>
      <c r="Q653" t="s">
        <v>311</v>
      </c>
      <c r="R653" s="7">
        <v>33604</v>
      </c>
      <c r="S653" s="8">
        <f t="shared" si="80"/>
        <v>1992</v>
      </c>
      <c r="T653" s="8">
        <v>1992</v>
      </c>
      <c r="U653" s="8">
        <f t="shared" si="81"/>
        <v>30</v>
      </c>
      <c r="V653" s="7">
        <v>33725</v>
      </c>
      <c r="W653" t="s">
        <v>136</v>
      </c>
      <c r="X653" s="2">
        <v>1.3720000000000001</v>
      </c>
      <c r="Y653" s="6">
        <f t="shared" si="86"/>
        <v>3.662475641333654E-2</v>
      </c>
      <c r="AA653">
        <v>189480</v>
      </c>
      <c r="AB653">
        <v>17366</v>
      </c>
      <c r="AC653">
        <v>15579670</v>
      </c>
      <c r="AD653" t="s">
        <v>4</v>
      </c>
      <c r="AE653">
        <v>40</v>
      </c>
      <c r="AF653">
        <v>5</v>
      </c>
      <c r="AH653" t="s">
        <v>4527</v>
      </c>
      <c r="AI653" t="s">
        <v>4526</v>
      </c>
      <c r="AK653" t="s">
        <v>4525</v>
      </c>
      <c r="AL653">
        <v>42</v>
      </c>
      <c r="AM653" s="5">
        <f t="shared" si="82"/>
        <v>1.4</v>
      </c>
      <c r="AN653" s="4">
        <f t="shared" si="87"/>
        <v>2.1204089360090874E-3</v>
      </c>
      <c r="AO653" s="3"/>
      <c r="AP653">
        <v>0</v>
      </c>
      <c r="AQ653" t="s">
        <v>4524</v>
      </c>
      <c r="AR653" t="s">
        <v>0</v>
      </c>
      <c r="AS653" t="s">
        <v>4523</v>
      </c>
      <c r="AT653" s="2" t="s">
        <v>16</v>
      </c>
      <c r="AU653" s="1">
        <f t="shared" si="83"/>
        <v>2.6273452170138301</v>
      </c>
      <c r="AV653" s="1">
        <f t="shared" si="84"/>
        <v>1.9372582674672814</v>
      </c>
      <c r="AW653" s="1">
        <f t="shared" si="85"/>
        <v>1.2471713179207322</v>
      </c>
    </row>
    <row r="654" spans="1:49" x14ac:dyDescent="0.2">
      <c r="A654">
        <v>652</v>
      </c>
      <c r="B654" t="s">
        <v>4522</v>
      </c>
      <c r="C654" t="s">
        <v>4521</v>
      </c>
      <c r="F654" t="s">
        <v>4520</v>
      </c>
      <c r="G654" t="s">
        <v>12</v>
      </c>
      <c r="H654" t="s">
        <v>11</v>
      </c>
      <c r="I654" t="s">
        <v>4519</v>
      </c>
      <c r="J654">
        <v>60092258</v>
      </c>
      <c r="K654" t="s">
        <v>4518</v>
      </c>
      <c r="L654" t="s">
        <v>4517</v>
      </c>
      <c r="M654" t="s">
        <v>151</v>
      </c>
      <c r="N654">
        <v>2</v>
      </c>
      <c r="O654" t="s">
        <v>4516</v>
      </c>
      <c r="P654" t="s">
        <v>4515</v>
      </c>
      <c r="Q654" t="s">
        <v>4514</v>
      </c>
      <c r="R654" s="7">
        <v>33604</v>
      </c>
      <c r="S654" s="8">
        <f t="shared" si="80"/>
        <v>1992</v>
      </c>
      <c r="T654" s="8">
        <v>1992</v>
      </c>
      <c r="U654" s="8">
        <f t="shared" si="81"/>
        <v>30</v>
      </c>
      <c r="V654" s="7">
        <v>33725</v>
      </c>
      <c r="W654" t="s">
        <v>414</v>
      </c>
      <c r="X654" s="2">
        <v>2.141</v>
      </c>
      <c r="Y654" s="6">
        <f t="shared" si="86"/>
        <v>5.7152772216438434E-2</v>
      </c>
      <c r="AA654">
        <v>1962892</v>
      </c>
      <c r="AB654">
        <v>17360</v>
      </c>
      <c r="AC654">
        <v>15580644</v>
      </c>
      <c r="AD654" t="s">
        <v>4</v>
      </c>
      <c r="AE654">
        <v>30</v>
      </c>
      <c r="AF654">
        <v>3</v>
      </c>
      <c r="AH654" t="s">
        <v>4513</v>
      </c>
      <c r="AI654" t="s">
        <v>4512</v>
      </c>
      <c r="AK654" t="s">
        <v>4511</v>
      </c>
      <c r="AL654">
        <v>20</v>
      </c>
      <c r="AM654" s="5">
        <f t="shared" si="82"/>
        <v>0.66666666666666663</v>
      </c>
      <c r="AN654" s="4">
        <f t="shared" si="87"/>
        <v>1.0097185409567082E-3</v>
      </c>
      <c r="AO654" s="3"/>
      <c r="AP654">
        <v>0</v>
      </c>
      <c r="AR654" t="s">
        <v>0</v>
      </c>
      <c r="AT654" s="2" t="s">
        <v>16</v>
      </c>
      <c r="AU654" s="1">
        <f t="shared" si="83"/>
        <v>4.0309856113793909</v>
      </c>
      <c r="AV654" s="1">
        <f t="shared" si="84"/>
        <v>2.9081245378697571</v>
      </c>
      <c r="AW654" s="1">
        <f t="shared" si="85"/>
        <v>1.7852634643601226</v>
      </c>
    </row>
    <row r="655" spans="1:49" x14ac:dyDescent="0.2">
      <c r="A655">
        <v>653</v>
      </c>
      <c r="B655" t="s">
        <v>4510</v>
      </c>
      <c r="C655" t="s">
        <v>4509</v>
      </c>
      <c r="F655" t="s">
        <v>4508</v>
      </c>
      <c r="G655" t="s">
        <v>12</v>
      </c>
      <c r="H655" t="s">
        <v>11</v>
      </c>
      <c r="I655" t="s">
        <v>4507</v>
      </c>
      <c r="J655">
        <v>60031828</v>
      </c>
      <c r="K655" t="s">
        <v>2814</v>
      </c>
      <c r="L655" t="s">
        <v>2813</v>
      </c>
      <c r="M655" t="s">
        <v>393</v>
      </c>
      <c r="N655">
        <v>4</v>
      </c>
      <c r="O655" t="s">
        <v>4506</v>
      </c>
      <c r="P655" t="s">
        <v>4505</v>
      </c>
      <c r="Q655" t="s">
        <v>2810</v>
      </c>
      <c r="R655" s="7">
        <v>33604</v>
      </c>
      <c r="S655" s="8">
        <f t="shared" si="80"/>
        <v>1992</v>
      </c>
      <c r="T655" s="8">
        <v>1992</v>
      </c>
      <c r="U655" s="8">
        <f t="shared" si="81"/>
        <v>30</v>
      </c>
      <c r="V655" s="7">
        <v>33725</v>
      </c>
      <c r="W655" t="s">
        <v>97</v>
      </c>
      <c r="X655" s="2">
        <v>1.6519999999999999</v>
      </c>
      <c r="Y655" s="6">
        <f t="shared" si="86"/>
        <v>4.409919649769093E-2</v>
      </c>
      <c r="AA655" t="s">
        <v>96</v>
      </c>
      <c r="AB655">
        <v>17337</v>
      </c>
      <c r="AC655">
        <v>15582221</v>
      </c>
      <c r="AD655" t="s">
        <v>4</v>
      </c>
      <c r="AE655">
        <v>40</v>
      </c>
      <c r="AF655">
        <v>5</v>
      </c>
      <c r="AH655" t="s">
        <v>4504</v>
      </c>
      <c r="AI655" t="s">
        <v>4503</v>
      </c>
      <c r="AK655" t="s">
        <v>4502</v>
      </c>
      <c r="AL655">
        <v>58</v>
      </c>
      <c r="AM655" s="5">
        <f t="shared" si="82"/>
        <v>1.9333333333333333</v>
      </c>
      <c r="AN655" s="4">
        <f t="shared" si="87"/>
        <v>2.9281837687744543E-3</v>
      </c>
      <c r="AO655" s="3"/>
      <c r="AP655">
        <v>0</v>
      </c>
      <c r="AR655" t="s">
        <v>0</v>
      </c>
      <c r="AT655" s="2" t="s">
        <v>16</v>
      </c>
      <c r="AU655" s="1">
        <f t="shared" si="83"/>
        <v>3.1747892679015988</v>
      </c>
      <c r="AV655" s="1">
        <f t="shared" si="84"/>
        <v>2.3513690133232692</v>
      </c>
      <c r="AW655" s="1">
        <f t="shared" si="85"/>
        <v>1.5279487587449396</v>
      </c>
    </row>
    <row r="656" spans="1:49" x14ac:dyDescent="0.2">
      <c r="A656">
        <v>654</v>
      </c>
      <c r="B656" t="s">
        <v>4501</v>
      </c>
      <c r="C656" t="s">
        <v>4500</v>
      </c>
      <c r="F656" t="s">
        <v>4499</v>
      </c>
      <c r="G656" t="s">
        <v>12</v>
      </c>
      <c r="H656" t="s">
        <v>11</v>
      </c>
      <c r="I656" t="s">
        <v>4498</v>
      </c>
      <c r="J656" t="s">
        <v>4497</v>
      </c>
      <c r="K656" t="s">
        <v>4496</v>
      </c>
      <c r="L656" t="s">
        <v>4495</v>
      </c>
      <c r="M656" t="s">
        <v>931</v>
      </c>
      <c r="N656">
        <v>3</v>
      </c>
      <c r="O656" t="s">
        <v>4494</v>
      </c>
      <c r="P656" t="s">
        <v>4493</v>
      </c>
      <c r="Q656" t="s">
        <v>4492</v>
      </c>
      <c r="R656" s="7">
        <v>33604</v>
      </c>
      <c r="S656" s="8">
        <f t="shared" si="80"/>
        <v>1992</v>
      </c>
      <c r="T656" s="8">
        <v>1992</v>
      </c>
      <c r="U656" s="8">
        <f t="shared" si="81"/>
        <v>30</v>
      </c>
      <c r="V656" s="7">
        <v>33725</v>
      </c>
      <c r="W656" t="s">
        <v>97</v>
      </c>
      <c r="X656" s="2">
        <v>1.6519999999999999</v>
      </c>
      <c r="Y656" s="6">
        <f t="shared" si="86"/>
        <v>4.409919649769093E-2</v>
      </c>
      <c r="AA656" t="s">
        <v>96</v>
      </c>
      <c r="AB656">
        <v>17337</v>
      </c>
      <c r="AC656">
        <v>15582221</v>
      </c>
      <c r="AD656" t="s">
        <v>4</v>
      </c>
      <c r="AE656">
        <v>40</v>
      </c>
      <c r="AF656">
        <v>5</v>
      </c>
      <c r="AH656" t="s">
        <v>4491</v>
      </c>
      <c r="AI656" t="s">
        <v>4490</v>
      </c>
      <c r="AK656" t="s">
        <v>4489</v>
      </c>
      <c r="AL656">
        <v>1</v>
      </c>
      <c r="AM656" s="5">
        <f t="shared" si="82"/>
        <v>3.3333333333333333E-2</v>
      </c>
      <c r="AN656" s="4">
        <f t="shared" si="87"/>
        <v>5.0485927047835418E-5</v>
      </c>
      <c r="AO656" s="3"/>
      <c r="AP656">
        <v>0</v>
      </c>
      <c r="AR656" t="s">
        <v>0</v>
      </c>
      <c r="AT656" s="2" t="s">
        <v>16</v>
      </c>
      <c r="AU656" s="1">
        <f t="shared" si="83"/>
        <v>3.0884583326498003</v>
      </c>
      <c r="AV656" s="1">
        <f t="shared" si="84"/>
        <v>2.2074841212369383</v>
      </c>
      <c r="AW656" s="1">
        <f t="shared" si="85"/>
        <v>1.3265099098240762</v>
      </c>
    </row>
    <row r="657" spans="1:49" x14ac:dyDescent="0.2">
      <c r="A657">
        <v>655</v>
      </c>
      <c r="B657" t="s">
        <v>4488</v>
      </c>
      <c r="C657" t="s">
        <v>4487</v>
      </c>
      <c r="F657" t="s">
        <v>4486</v>
      </c>
      <c r="G657" t="s">
        <v>12</v>
      </c>
      <c r="H657" t="s">
        <v>11</v>
      </c>
      <c r="I657" t="s">
        <v>4485</v>
      </c>
      <c r="J657">
        <v>60029570</v>
      </c>
      <c r="K657" t="s">
        <v>3773</v>
      </c>
      <c r="L657" t="s">
        <v>3772</v>
      </c>
      <c r="M657" t="s">
        <v>2181</v>
      </c>
      <c r="N657">
        <v>3</v>
      </c>
      <c r="O657" t="s">
        <v>4484</v>
      </c>
      <c r="P657" t="s">
        <v>4483</v>
      </c>
      <c r="Q657" t="s">
        <v>4482</v>
      </c>
      <c r="R657" s="7">
        <v>33604</v>
      </c>
      <c r="S657" s="8">
        <f t="shared" si="80"/>
        <v>1992</v>
      </c>
      <c r="T657" s="8">
        <v>1992</v>
      </c>
      <c r="U657" s="8">
        <f t="shared" si="81"/>
        <v>30</v>
      </c>
      <c r="V657" s="7">
        <v>33725</v>
      </c>
      <c r="W657" t="s">
        <v>1458</v>
      </c>
      <c r="X657" s="2">
        <v>0.30399999999999999</v>
      </c>
      <c r="Y657" s="6">
        <f t="shared" si="86"/>
        <v>8.115106377299057E-3</v>
      </c>
      <c r="AA657">
        <v>8952477</v>
      </c>
      <c r="AB657">
        <v>12250</v>
      </c>
      <c r="AC657">
        <v>10982760</v>
      </c>
      <c r="AD657" t="s">
        <v>4</v>
      </c>
      <c r="AE657">
        <v>5</v>
      </c>
      <c r="AF657">
        <v>5</v>
      </c>
      <c r="AH657" t="s">
        <v>4481</v>
      </c>
      <c r="AI657" t="s">
        <v>4480</v>
      </c>
      <c r="AJ657" t="s">
        <v>4479</v>
      </c>
      <c r="AK657" t="s">
        <v>4478</v>
      </c>
      <c r="AL657">
        <v>6</v>
      </c>
      <c r="AM657" s="5">
        <f t="shared" si="82"/>
        <v>0.2</v>
      </c>
      <c r="AN657" s="4">
        <f t="shared" si="87"/>
        <v>3.0291556228701253E-4</v>
      </c>
      <c r="AO657" s="3"/>
      <c r="AP657">
        <v>0</v>
      </c>
      <c r="AR657" t="s">
        <v>0</v>
      </c>
      <c r="AT657" s="2" t="s">
        <v>16</v>
      </c>
      <c r="AU657" s="1">
        <f t="shared" si="83"/>
        <v>0.57714491327954431</v>
      </c>
      <c r="AV657" s="1">
        <f t="shared" si="84"/>
        <v>0.4209010969793035</v>
      </c>
      <c r="AW657" s="1">
        <f t="shared" si="85"/>
        <v>0.26465728067906258</v>
      </c>
    </row>
    <row r="658" spans="1:49" x14ac:dyDescent="0.2">
      <c r="A658">
        <v>656</v>
      </c>
      <c r="B658" t="s">
        <v>4477</v>
      </c>
      <c r="C658" t="s">
        <v>4476</v>
      </c>
      <c r="F658" t="s">
        <v>4475</v>
      </c>
      <c r="G658" t="s">
        <v>12</v>
      </c>
      <c r="H658" t="s">
        <v>11</v>
      </c>
      <c r="I658" t="s">
        <v>4474</v>
      </c>
      <c r="J658" t="s">
        <v>4473</v>
      </c>
      <c r="K658" t="s">
        <v>4472</v>
      </c>
      <c r="L658" t="s">
        <v>4471</v>
      </c>
      <c r="M658" t="s">
        <v>125</v>
      </c>
      <c r="N658">
        <v>3</v>
      </c>
      <c r="O658" t="s">
        <v>4470</v>
      </c>
      <c r="P658" t="s">
        <v>4469</v>
      </c>
      <c r="Q658" t="s">
        <v>4468</v>
      </c>
      <c r="R658" s="7">
        <v>33604</v>
      </c>
      <c r="S658" s="8">
        <f t="shared" ref="S658:S721" si="88">YEAR(R658)</f>
        <v>1992</v>
      </c>
      <c r="T658" s="8">
        <v>1992</v>
      </c>
      <c r="U658" s="8">
        <f t="shared" ref="U658:U721" si="89">2022-T658</f>
        <v>30</v>
      </c>
      <c r="V658" s="7">
        <v>33725</v>
      </c>
      <c r="W658" t="s">
        <v>97</v>
      </c>
      <c r="X658" s="2">
        <v>1.6519999999999999</v>
      </c>
      <c r="Y658" s="6">
        <f t="shared" si="86"/>
        <v>4.409919649769093E-2</v>
      </c>
      <c r="AA658" t="s">
        <v>96</v>
      </c>
      <c r="AB658">
        <v>17337</v>
      </c>
      <c r="AC658">
        <v>15582221</v>
      </c>
      <c r="AD658" t="s">
        <v>4</v>
      </c>
      <c r="AE658">
        <v>40</v>
      </c>
      <c r="AF658">
        <v>5</v>
      </c>
      <c r="AH658" t="s">
        <v>4467</v>
      </c>
      <c r="AI658" t="s">
        <v>4466</v>
      </c>
      <c r="AK658" t="s">
        <v>4465</v>
      </c>
      <c r="AL658">
        <v>3</v>
      </c>
      <c r="AM658" s="5">
        <f t="shared" ref="AM658:AM721" si="90">AL658/U658</f>
        <v>0.1</v>
      </c>
      <c r="AN658" s="4">
        <f t="shared" si="87"/>
        <v>1.5145778114350627E-4</v>
      </c>
      <c r="AO658" s="3"/>
      <c r="AP658">
        <v>0</v>
      </c>
      <c r="AR658" t="s">
        <v>0</v>
      </c>
      <c r="AT658" s="2" t="s">
        <v>16</v>
      </c>
      <c r="AU658" s="1">
        <f t="shared" ref="AU658:AU721" si="91">(Y658*0.7+AN658*0.3)*100</f>
        <v>3.0914874882726702</v>
      </c>
      <c r="AV658" s="1">
        <f t="shared" ref="AV658:AV721" si="92">(Y658*0.5+AN658*0.5)*100</f>
        <v>2.2125327139417217</v>
      </c>
      <c r="AW658" s="1">
        <f t="shared" ref="AW658:AW721" si="93">(Y658*0.3+AN658*0.7)*100</f>
        <v>1.3335779396107732</v>
      </c>
    </row>
    <row r="659" spans="1:49" x14ac:dyDescent="0.2">
      <c r="A659">
        <v>657</v>
      </c>
      <c r="B659" t="s">
        <v>4464</v>
      </c>
      <c r="C659" t="s">
        <v>4463</v>
      </c>
      <c r="F659" t="s">
        <v>4462</v>
      </c>
      <c r="G659" t="s">
        <v>12</v>
      </c>
      <c r="H659" t="s">
        <v>11</v>
      </c>
      <c r="I659" t="s">
        <v>4461</v>
      </c>
      <c r="J659">
        <v>60000745</v>
      </c>
      <c r="K659" t="s">
        <v>1235</v>
      </c>
      <c r="L659" t="s">
        <v>1234</v>
      </c>
      <c r="M659" t="s">
        <v>7</v>
      </c>
      <c r="N659">
        <v>2</v>
      </c>
      <c r="O659" t="s">
        <v>4460</v>
      </c>
      <c r="P659" t="s">
        <v>4459</v>
      </c>
      <c r="Q659" t="s">
        <v>2681</v>
      </c>
      <c r="R659" s="7">
        <v>33604</v>
      </c>
      <c r="S659" s="8">
        <f t="shared" si="88"/>
        <v>1992</v>
      </c>
      <c r="T659" s="8">
        <v>1992</v>
      </c>
      <c r="U659" s="8">
        <f t="shared" si="89"/>
        <v>30</v>
      </c>
      <c r="V659" s="7" t="s">
        <v>4458</v>
      </c>
      <c r="W659" t="s">
        <v>4457</v>
      </c>
      <c r="X659" s="2">
        <v>0.27600000000000002</v>
      </c>
      <c r="Y659" s="6">
        <f t="shared" si="86"/>
        <v>7.367662368863619E-3</v>
      </c>
      <c r="AA659">
        <v>8838542</v>
      </c>
      <c r="AB659">
        <v>16190</v>
      </c>
      <c r="AD659" t="s">
        <v>4</v>
      </c>
      <c r="AE659">
        <v>8</v>
      </c>
      <c r="AF659">
        <v>3</v>
      </c>
      <c r="AH659" t="s">
        <v>4456</v>
      </c>
      <c r="AI659" t="s">
        <v>4455</v>
      </c>
      <c r="AK659" t="s">
        <v>4454</v>
      </c>
      <c r="AL659">
        <v>0</v>
      </c>
      <c r="AM659" s="5">
        <f t="shared" si="90"/>
        <v>0</v>
      </c>
      <c r="AN659" s="4">
        <f t="shared" si="87"/>
        <v>0</v>
      </c>
      <c r="AO659" s="3"/>
      <c r="AP659">
        <v>0</v>
      </c>
      <c r="AR659" t="s">
        <v>0</v>
      </c>
      <c r="AT659" s="2">
        <v>0.98499999999999999</v>
      </c>
      <c r="AU659" s="1">
        <f t="shared" si="91"/>
        <v>0.51573636582045335</v>
      </c>
      <c r="AV659" s="1">
        <f t="shared" si="92"/>
        <v>0.36838311844318095</v>
      </c>
      <c r="AW659" s="1">
        <f t="shared" si="93"/>
        <v>0.22102987106590857</v>
      </c>
    </row>
    <row r="660" spans="1:49" x14ac:dyDescent="0.2">
      <c r="A660">
        <v>658</v>
      </c>
      <c r="B660" t="s">
        <v>4453</v>
      </c>
      <c r="C660" t="s">
        <v>4452</v>
      </c>
      <c r="F660" t="s">
        <v>4451</v>
      </c>
      <c r="G660" t="s">
        <v>12</v>
      </c>
      <c r="H660" t="s">
        <v>11</v>
      </c>
      <c r="I660" t="s">
        <v>4450</v>
      </c>
      <c r="J660">
        <v>60004176</v>
      </c>
      <c r="K660" t="s">
        <v>1432</v>
      </c>
      <c r="L660" t="s">
        <v>1431</v>
      </c>
      <c r="M660" t="s">
        <v>151</v>
      </c>
      <c r="N660">
        <v>1</v>
      </c>
      <c r="O660" t="s">
        <v>4449</v>
      </c>
      <c r="P660">
        <v>7404088345</v>
      </c>
      <c r="Q660">
        <v>60004176</v>
      </c>
      <c r="R660" s="7">
        <v>33604</v>
      </c>
      <c r="S660" s="8">
        <f t="shared" si="88"/>
        <v>1992</v>
      </c>
      <c r="T660" s="8">
        <v>1992</v>
      </c>
      <c r="U660" s="8">
        <f t="shared" si="89"/>
        <v>30</v>
      </c>
      <c r="V660" s="7">
        <v>33725</v>
      </c>
      <c r="W660" t="s">
        <v>1458</v>
      </c>
      <c r="X660" s="2">
        <v>0.30399999999999999</v>
      </c>
      <c r="Y660" s="6">
        <f t="shared" si="86"/>
        <v>8.115106377299057E-3</v>
      </c>
      <c r="AA660">
        <v>8952477</v>
      </c>
      <c r="AB660">
        <v>12250</v>
      </c>
      <c r="AC660">
        <v>10982760</v>
      </c>
      <c r="AD660" t="s">
        <v>4</v>
      </c>
      <c r="AE660">
        <v>5</v>
      </c>
      <c r="AF660">
        <v>5</v>
      </c>
      <c r="AH660" t="s">
        <v>4448</v>
      </c>
      <c r="AI660" t="s">
        <v>4447</v>
      </c>
      <c r="AJ660" t="s">
        <v>4446</v>
      </c>
      <c r="AK660" t="s">
        <v>4445</v>
      </c>
      <c r="AL660">
        <v>0</v>
      </c>
      <c r="AM660" s="5">
        <f t="shared" si="90"/>
        <v>0</v>
      </c>
      <c r="AN660" s="4">
        <f t="shared" si="87"/>
        <v>0</v>
      </c>
      <c r="AO660" s="3"/>
      <c r="AP660">
        <v>0</v>
      </c>
      <c r="AR660" t="s">
        <v>0</v>
      </c>
      <c r="AT660" s="2" t="s">
        <v>16</v>
      </c>
      <c r="AU660" s="1">
        <f t="shared" si="91"/>
        <v>0.56805744641093392</v>
      </c>
      <c r="AV660" s="1">
        <f t="shared" si="92"/>
        <v>0.40575531886495286</v>
      </c>
      <c r="AW660" s="1">
        <f t="shared" si="93"/>
        <v>0.24345319131897172</v>
      </c>
    </row>
    <row r="661" spans="1:49" x14ac:dyDescent="0.2">
      <c r="A661">
        <v>659</v>
      </c>
      <c r="B661" t="s">
        <v>4444</v>
      </c>
      <c r="C661" t="s">
        <v>4443</v>
      </c>
      <c r="F661" t="s">
        <v>4442</v>
      </c>
      <c r="G661" t="s">
        <v>12</v>
      </c>
      <c r="H661" t="s">
        <v>11</v>
      </c>
      <c r="I661" t="s">
        <v>4441</v>
      </c>
      <c r="J661" t="s">
        <v>4436</v>
      </c>
      <c r="K661" t="s">
        <v>4440</v>
      </c>
      <c r="L661" t="s">
        <v>4439</v>
      </c>
      <c r="M661" t="s">
        <v>125</v>
      </c>
      <c r="N661">
        <v>2</v>
      </c>
      <c r="O661" t="s">
        <v>4438</v>
      </c>
      <c r="P661" t="s">
        <v>4437</v>
      </c>
      <c r="Q661" t="s">
        <v>4436</v>
      </c>
      <c r="R661" s="7">
        <v>33604</v>
      </c>
      <c r="S661" s="8">
        <f t="shared" si="88"/>
        <v>1992</v>
      </c>
      <c r="T661" s="8">
        <v>1992</v>
      </c>
      <c r="U661" s="8">
        <f t="shared" si="89"/>
        <v>30</v>
      </c>
      <c r="V661" s="7">
        <v>33725</v>
      </c>
      <c r="W661" t="s">
        <v>414</v>
      </c>
      <c r="X661" s="2">
        <v>2.141</v>
      </c>
      <c r="Y661" s="6">
        <f t="shared" si="86"/>
        <v>5.7152772216438434E-2</v>
      </c>
      <c r="AA661">
        <v>1962892</v>
      </c>
      <c r="AB661">
        <v>17360</v>
      </c>
      <c r="AC661">
        <v>15580644</v>
      </c>
      <c r="AD661" t="s">
        <v>4</v>
      </c>
      <c r="AE661">
        <v>30</v>
      </c>
      <c r="AF661">
        <v>3</v>
      </c>
      <c r="AH661" t="s">
        <v>4435</v>
      </c>
      <c r="AI661" t="s">
        <v>4434</v>
      </c>
      <c r="AK661" t="s">
        <v>4433</v>
      </c>
      <c r="AL661">
        <v>3</v>
      </c>
      <c r="AM661" s="5">
        <f t="shared" si="90"/>
        <v>0.1</v>
      </c>
      <c r="AN661" s="4">
        <f t="shared" si="87"/>
        <v>1.5145778114350627E-4</v>
      </c>
      <c r="AO661" s="3"/>
      <c r="AP661">
        <v>0</v>
      </c>
      <c r="AR661" t="s">
        <v>0</v>
      </c>
      <c r="AT661" s="2" t="s">
        <v>16</v>
      </c>
      <c r="AU661" s="1">
        <f t="shared" si="91"/>
        <v>4.0052377885849948</v>
      </c>
      <c r="AV661" s="1">
        <f t="shared" si="92"/>
        <v>2.8652114998790967</v>
      </c>
      <c r="AW661" s="1">
        <f t="shared" si="93"/>
        <v>1.7251852111731987</v>
      </c>
    </row>
    <row r="662" spans="1:49" x14ac:dyDescent="0.2">
      <c r="A662">
        <v>660</v>
      </c>
      <c r="B662" t="s">
        <v>4432</v>
      </c>
      <c r="C662" t="s">
        <v>4431</v>
      </c>
      <c r="F662" t="s">
        <v>4430</v>
      </c>
      <c r="G662" t="s">
        <v>12</v>
      </c>
      <c r="H662" t="s">
        <v>11</v>
      </c>
      <c r="I662" t="s">
        <v>4429</v>
      </c>
      <c r="J662">
        <v>60012708</v>
      </c>
      <c r="K662" t="s">
        <v>4428</v>
      </c>
      <c r="L662" t="s">
        <v>1500</v>
      </c>
      <c r="M662" t="s">
        <v>7</v>
      </c>
      <c r="N662">
        <v>2</v>
      </c>
      <c r="O662" t="s">
        <v>4427</v>
      </c>
      <c r="P662" t="s">
        <v>4426</v>
      </c>
      <c r="Q662" t="s">
        <v>4425</v>
      </c>
      <c r="R662" s="7">
        <v>33604</v>
      </c>
      <c r="S662" s="8">
        <f t="shared" si="88"/>
        <v>1992</v>
      </c>
      <c r="T662" s="8">
        <v>1992</v>
      </c>
      <c r="U662" s="8">
        <f t="shared" si="89"/>
        <v>30</v>
      </c>
      <c r="V662" s="7">
        <v>33725</v>
      </c>
      <c r="W662" t="s">
        <v>4424</v>
      </c>
      <c r="X662" s="2">
        <v>1.337</v>
      </c>
      <c r="Y662" s="6">
        <f t="shared" si="86"/>
        <v>3.5690451402792235E-2</v>
      </c>
      <c r="AA662">
        <v>7413106</v>
      </c>
      <c r="AB662">
        <v>26005</v>
      </c>
      <c r="AC662">
        <v>15580563</v>
      </c>
      <c r="AD662" t="s">
        <v>4</v>
      </c>
      <c r="AE662">
        <v>13</v>
      </c>
      <c r="AF662">
        <v>5</v>
      </c>
      <c r="AH662" t="s">
        <v>4423</v>
      </c>
      <c r="AI662" t="s">
        <v>4422</v>
      </c>
      <c r="AK662" t="s">
        <v>4421</v>
      </c>
      <c r="AL662">
        <v>97</v>
      </c>
      <c r="AM662" s="5">
        <f t="shared" si="90"/>
        <v>3.2333333333333334</v>
      </c>
      <c r="AN662" s="4">
        <f t="shared" si="87"/>
        <v>4.8971349236400352E-3</v>
      </c>
      <c r="AO662" s="3"/>
      <c r="AP662">
        <v>0</v>
      </c>
      <c r="AQ662" t="s">
        <v>4420</v>
      </c>
      <c r="AR662" t="s">
        <v>0</v>
      </c>
      <c r="AS662" t="s">
        <v>4419</v>
      </c>
      <c r="AT662" s="2">
        <v>4.1870000000000003</v>
      </c>
      <c r="AU662" s="1">
        <f t="shared" si="91"/>
        <v>2.6452456459046569</v>
      </c>
      <c r="AV662" s="1">
        <f t="shared" si="92"/>
        <v>2.0293793163216134</v>
      </c>
      <c r="AW662" s="1">
        <f t="shared" si="93"/>
        <v>1.4135129867385694</v>
      </c>
    </row>
    <row r="663" spans="1:49" x14ac:dyDescent="0.2">
      <c r="A663">
        <v>661</v>
      </c>
      <c r="B663" t="s">
        <v>4418</v>
      </c>
      <c r="C663" t="s">
        <v>4417</v>
      </c>
      <c r="F663" t="s">
        <v>4416</v>
      </c>
      <c r="G663" t="s">
        <v>12</v>
      </c>
      <c r="H663" t="s">
        <v>11</v>
      </c>
      <c r="I663" t="s">
        <v>4283</v>
      </c>
      <c r="J663" t="s">
        <v>4413</v>
      </c>
      <c r="K663" t="s">
        <v>4415</v>
      </c>
      <c r="L663" t="s">
        <v>4414</v>
      </c>
      <c r="M663" t="s">
        <v>125</v>
      </c>
      <c r="N663">
        <v>2</v>
      </c>
      <c r="O663" t="s">
        <v>4282</v>
      </c>
      <c r="P663" t="s">
        <v>4281</v>
      </c>
      <c r="Q663" t="s">
        <v>4413</v>
      </c>
      <c r="R663" s="7">
        <v>33604</v>
      </c>
      <c r="S663" s="8">
        <f t="shared" si="88"/>
        <v>1992</v>
      </c>
      <c r="T663" s="8">
        <v>1992</v>
      </c>
      <c r="U663" s="8">
        <f t="shared" si="89"/>
        <v>30</v>
      </c>
      <c r="V663" s="7">
        <v>33725</v>
      </c>
      <c r="W663" t="s">
        <v>97</v>
      </c>
      <c r="X663" s="2">
        <v>1.6519999999999999</v>
      </c>
      <c r="Y663" s="6">
        <f t="shared" si="86"/>
        <v>4.409919649769093E-2</v>
      </c>
      <c r="AA663" t="s">
        <v>96</v>
      </c>
      <c r="AB663">
        <v>17337</v>
      </c>
      <c r="AC663">
        <v>15582221</v>
      </c>
      <c r="AD663" t="s">
        <v>4</v>
      </c>
      <c r="AE663">
        <v>40</v>
      </c>
      <c r="AF663">
        <v>5</v>
      </c>
      <c r="AH663" t="s">
        <v>4412</v>
      </c>
      <c r="AI663" t="s">
        <v>4411</v>
      </c>
      <c r="AK663" t="s">
        <v>4410</v>
      </c>
      <c r="AL663">
        <v>30</v>
      </c>
      <c r="AM663" s="5">
        <f t="shared" si="90"/>
        <v>1</v>
      </c>
      <c r="AN663" s="4">
        <f t="shared" si="87"/>
        <v>1.5145778114350624E-3</v>
      </c>
      <c r="AO663" s="3"/>
      <c r="AP663">
        <v>0</v>
      </c>
      <c r="AR663" t="s">
        <v>0</v>
      </c>
      <c r="AT663" s="2" t="s">
        <v>16</v>
      </c>
      <c r="AU663" s="1">
        <f t="shared" si="91"/>
        <v>3.132381089181417</v>
      </c>
      <c r="AV663" s="1">
        <f t="shared" si="92"/>
        <v>2.2806887154562996</v>
      </c>
      <c r="AW663" s="1">
        <f t="shared" si="93"/>
        <v>1.4289963417311822</v>
      </c>
    </row>
    <row r="664" spans="1:49" x14ac:dyDescent="0.2">
      <c r="A664">
        <v>662</v>
      </c>
      <c r="B664" t="s">
        <v>4409</v>
      </c>
      <c r="C664" t="s">
        <v>4408</v>
      </c>
      <c r="F664" t="s">
        <v>4407</v>
      </c>
      <c r="G664" t="s">
        <v>12</v>
      </c>
      <c r="H664" t="s">
        <v>11</v>
      </c>
      <c r="I664" t="s">
        <v>4406</v>
      </c>
      <c r="J664">
        <v>60009037</v>
      </c>
      <c r="K664" t="s">
        <v>2673</v>
      </c>
      <c r="L664" t="s">
        <v>2672</v>
      </c>
      <c r="M664" t="s">
        <v>7</v>
      </c>
      <c r="N664">
        <v>1</v>
      </c>
      <c r="O664" t="s">
        <v>4405</v>
      </c>
      <c r="P664">
        <v>6602369211</v>
      </c>
      <c r="Q664">
        <v>60009037</v>
      </c>
      <c r="R664" s="7">
        <v>33604</v>
      </c>
      <c r="S664" s="8">
        <f t="shared" si="88"/>
        <v>1992</v>
      </c>
      <c r="T664" s="8">
        <v>1992</v>
      </c>
      <c r="U664" s="8">
        <f t="shared" si="89"/>
        <v>30</v>
      </c>
      <c r="V664" s="7">
        <v>33725</v>
      </c>
      <c r="W664" t="s">
        <v>3522</v>
      </c>
      <c r="X664" s="2">
        <v>0.39600000000000002</v>
      </c>
      <c r="Y664" s="6">
        <f t="shared" si="86"/>
        <v>1.0570993833586931E-2</v>
      </c>
      <c r="AA664">
        <v>8858985</v>
      </c>
      <c r="AB664">
        <v>25993</v>
      </c>
      <c r="AD664" t="s">
        <v>4</v>
      </c>
      <c r="AE664">
        <v>7</v>
      </c>
      <c r="AF664">
        <v>5</v>
      </c>
      <c r="AH664" s="10">
        <v>43435</v>
      </c>
      <c r="AI664" t="s">
        <v>4404</v>
      </c>
      <c r="AK664" t="s">
        <v>4403</v>
      </c>
      <c r="AL664">
        <v>3</v>
      </c>
      <c r="AM664" s="5">
        <f t="shared" si="90"/>
        <v>0.1</v>
      </c>
      <c r="AN664" s="4">
        <f t="shared" si="87"/>
        <v>1.5145778114350627E-4</v>
      </c>
      <c r="AO664" s="3"/>
      <c r="AP664">
        <v>0</v>
      </c>
      <c r="AR664" t="s">
        <v>0</v>
      </c>
      <c r="AT664" s="2" t="s">
        <v>16</v>
      </c>
      <c r="AU664" s="1">
        <f t="shared" si="91"/>
        <v>0.74451330178539032</v>
      </c>
      <c r="AV664" s="1">
        <f t="shared" si="92"/>
        <v>0.53612258073652186</v>
      </c>
      <c r="AW664" s="1">
        <f t="shared" si="93"/>
        <v>0.32773185968765334</v>
      </c>
    </row>
    <row r="665" spans="1:49" x14ac:dyDescent="0.2">
      <c r="A665">
        <v>663</v>
      </c>
      <c r="B665" t="s">
        <v>4402</v>
      </c>
      <c r="C665" t="s">
        <v>4401</v>
      </c>
      <c r="F665" t="s">
        <v>4400</v>
      </c>
      <c r="G665" t="s">
        <v>12</v>
      </c>
      <c r="H665" t="s">
        <v>11</v>
      </c>
      <c r="I665" t="s">
        <v>4399</v>
      </c>
      <c r="J665">
        <v>60013372</v>
      </c>
      <c r="K665" t="s">
        <v>4398</v>
      </c>
      <c r="L665" t="s">
        <v>4397</v>
      </c>
      <c r="M665" t="s">
        <v>7</v>
      </c>
      <c r="N665">
        <v>2</v>
      </c>
      <c r="O665" t="s">
        <v>4396</v>
      </c>
      <c r="P665" t="s">
        <v>4395</v>
      </c>
      <c r="Q665" t="s">
        <v>4394</v>
      </c>
      <c r="R665" s="7">
        <v>33604</v>
      </c>
      <c r="S665" s="8">
        <f t="shared" si="88"/>
        <v>1992</v>
      </c>
      <c r="T665" s="8">
        <v>1992</v>
      </c>
      <c r="U665" s="8">
        <f t="shared" si="89"/>
        <v>30</v>
      </c>
      <c r="V665" s="7">
        <v>33725</v>
      </c>
      <c r="W665" t="s">
        <v>97</v>
      </c>
      <c r="X665" s="2">
        <v>1.6519999999999999</v>
      </c>
      <c r="Y665" s="6">
        <f t="shared" si="86"/>
        <v>4.409919649769093E-2</v>
      </c>
      <c r="AA665" t="s">
        <v>96</v>
      </c>
      <c r="AB665">
        <v>17337</v>
      </c>
      <c r="AC665">
        <v>15582221</v>
      </c>
      <c r="AD665" t="s">
        <v>4</v>
      </c>
      <c r="AE665">
        <v>40</v>
      </c>
      <c r="AF665">
        <v>5</v>
      </c>
      <c r="AH665" t="s">
        <v>4393</v>
      </c>
      <c r="AI665" t="s">
        <v>4392</v>
      </c>
      <c r="AK665" t="s">
        <v>4391</v>
      </c>
      <c r="AL665">
        <v>38</v>
      </c>
      <c r="AM665" s="5">
        <f t="shared" si="90"/>
        <v>1.2666666666666666</v>
      </c>
      <c r="AN665" s="4">
        <f t="shared" si="87"/>
        <v>1.9184652278177456E-3</v>
      </c>
      <c r="AO665" s="3"/>
      <c r="AP665">
        <v>0</v>
      </c>
      <c r="AR665" t="s">
        <v>0</v>
      </c>
      <c r="AT665" s="2" t="s">
        <v>16</v>
      </c>
      <c r="AU665" s="1">
        <f t="shared" si="91"/>
        <v>3.1444977116728974</v>
      </c>
      <c r="AV665" s="1">
        <f t="shared" si="92"/>
        <v>2.3008830862754337</v>
      </c>
      <c r="AW665" s="1">
        <f t="shared" si="93"/>
        <v>1.45726846087797</v>
      </c>
    </row>
    <row r="666" spans="1:49" x14ac:dyDescent="0.2">
      <c r="A666">
        <v>664</v>
      </c>
      <c r="B666" t="s">
        <v>4390</v>
      </c>
      <c r="C666" t="s">
        <v>4389</v>
      </c>
      <c r="F666" t="s">
        <v>4388</v>
      </c>
      <c r="G666" t="s">
        <v>12</v>
      </c>
      <c r="H666" t="s">
        <v>11</v>
      </c>
      <c r="I666" t="s">
        <v>4387</v>
      </c>
      <c r="J666">
        <v>60007328</v>
      </c>
      <c r="K666" t="s">
        <v>4386</v>
      </c>
      <c r="L666" t="s">
        <v>4385</v>
      </c>
      <c r="M666" t="s">
        <v>1091</v>
      </c>
      <c r="N666">
        <v>2</v>
      </c>
      <c r="O666" t="s">
        <v>4384</v>
      </c>
      <c r="P666" t="s">
        <v>4383</v>
      </c>
      <c r="Q666" t="s">
        <v>4382</v>
      </c>
      <c r="R666" s="7">
        <v>33604</v>
      </c>
      <c r="S666" s="8">
        <f t="shared" si="88"/>
        <v>1992</v>
      </c>
      <c r="T666" s="8">
        <v>1992</v>
      </c>
      <c r="U666" s="8">
        <f t="shared" si="89"/>
        <v>30</v>
      </c>
      <c r="V666" s="7">
        <v>33725</v>
      </c>
      <c r="W666" t="s">
        <v>136</v>
      </c>
      <c r="X666" s="2">
        <v>1.3720000000000001</v>
      </c>
      <c r="Y666" s="6">
        <f t="shared" si="86"/>
        <v>3.662475641333654E-2</v>
      </c>
      <c r="AA666">
        <v>189480</v>
      </c>
      <c r="AB666">
        <v>17366</v>
      </c>
      <c r="AC666">
        <v>15579670</v>
      </c>
      <c r="AD666" t="s">
        <v>4</v>
      </c>
      <c r="AE666">
        <v>40</v>
      </c>
      <c r="AF666">
        <v>5</v>
      </c>
      <c r="AH666" t="s">
        <v>4381</v>
      </c>
      <c r="AI666" t="s">
        <v>4380</v>
      </c>
      <c r="AK666" t="s">
        <v>4379</v>
      </c>
      <c r="AL666">
        <v>87</v>
      </c>
      <c r="AM666" s="5">
        <f t="shared" si="90"/>
        <v>2.9</v>
      </c>
      <c r="AN666" s="4">
        <f t="shared" si="87"/>
        <v>4.3922756531616812E-3</v>
      </c>
      <c r="AO666" s="3"/>
      <c r="AP666">
        <v>0</v>
      </c>
      <c r="AR666" t="s">
        <v>0</v>
      </c>
      <c r="AT666" s="2" t="s">
        <v>16</v>
      </c>
      <c r="AU666" s="1">
        <f t="shared" si="91"/>
        <v>2.695501218528408</v>
      </c>
      <c r="AV666" s="1">
        <f t="shared" si="92"/>
        <v>2.0508516033249111</v>
      </c>
      <c r="AW666" s="1">
        <f t="shared" si="93"/>
        <v>1.4062019881214138</v>
      </c>
    </row>
    <row r="667" spans="1:49" x14ac:dyDescent="0.2">
      <c r="A667">
        <v>665</v>
      </c>
      <c r="B667" t="s">
        <v>4378</v>
      </c>
      <c r="C667" t="s">
        <v>4377</v>
      </c>
      <c r="F667" t="s">
        <v>4376</v>
      </c>
      <c r="G667" t="s">
        <v>12</v>
      </c>
      <c r="H667" t="s">
        <v>11</v>
      </c>
      <c r="I667" t="s">
        <v>4375</v>
      </c>
      <c r="J667">
        <v>60004956</v>
      </c>
      <c r="K667" t="s">
        <v>4374</v>
      </c>
      <c r="L667" t="s">
        <v>4373</v>
      </c>
      <c r="M667" t="s">
        <v>4372</v>
      </c>
      <c r="N667">
        <v>2</v>
      </c>
      <c r="O667" t="s">
        <v>4371</v>
      </c>
      <c r="P667" t="s">
        <v>4370</v>
      </c>
      <c r="Q667" t="s">
        <v>4369</v>
      </c>
      <c r="R667" s="7">
        <v>33604</v>
      </c>
      <c r="S667" s="8">
        <f t="shared" si="88"/>
        <v>1992</v>
      </c>
      <c r="T667" s="8">
        <v>1992</v>
      </c>
      <c r="U667" s="8">
        <f t="shared" si="89"/>
        <v>30</v>
      </c>
      <c r="V667" s="7">
        <v>33725</v>
      </c>
      <c r="W667" t="s">
        <v>97</v>
      </c>
      <c r="X667" s="2">
        <v>1.6519999999999999</v>
      </c>
      <c r="Y667" s="6">
        <f t="shared" si="86"/>
        <v>4.409919649769093E-2</v>
      </c>
      <c r="AA667" t="s">
        <v>96</v>
      </c>
      <c r="AB667">
        <v>17337</v>
      </c>
      <c r="AC667">
        <v>15582221</v>
      </c>
      <c r="AD667" t="s">
        <v>4</v>
      </c>
      <c r="AE667">
        <v>40</v>
      </c>
      <c r="AF667">
        <v>5</v>
      </c>
      <c r="AH667" t="s">
        <v>4368</v>
      </c>
      <c r="AI667" t="s">
        <v>4367</v>
      </c>
      <c r="AK667" t="s">
        <v>4366</v>
      </c>
      <c r="AL667">
        <v>13</v>
      </c>
      <c r="AM667" s="5">
        <f t="shared" si="90"/>
        <v>0.43333333333333335</v>
      </c>
      <c r="AN667" s="4">
        <f t="shared" si="87"/>
        <v>6.5631705162186044E-4</v>
      </c>
      <c r="AO667" s="3"/>
      <c r="AP667">
        <v>0</v>
      </c>
      <c r="AR667" t="s">
        <v>0</v>
      </c>
      <c r="AT667" s="2" t="s">
        <v>16</v>
      </c>
      <c r="AU667" s="1">
        <f t="shared" si="91"/>
        <v>3.1066332663870209</v>
      </c>
      <c r="AV667" s="1">
        <f t="shared" si="92"/>
        <v>2.2377756774656397</v>
      </c>
      <c r="AW667" s="1">
        <f t="shared" si="93"/>
        <v>1.368918088544258</v>
      </c>
    </row>
    <row r="668" spans="1:49" x14ac:dyDescent="0.2">
      <c r="A668">
        <v>666</v>
      </c>
      <c r="B668" t="s">
        <v>4365</v>
      </c>
      <c r="C668" t="s">
        <v>4364</v>
      </c>
      <c r="D668">
        <v>45790692900248</v>
      </c>
      <c r="F668" t="s">
        <v>4363</v>
      </c>
      <c r="G668" t="s">
        <v>12</v>
      </c>
      <c r="H668" t="s">
        <v>11</v>
      </c>
      <c r="I668" t="s">
        <v>4362</v>
      </c>
      <c r="J668">
        <v>60010451</v>
      </c>
      <c r="K668" t="s">
        <v>4361</v>
      </c>
      <c r="L668" t="s">
        <v>4360</v>
      </c>
      <c r="M668" t="s">
        <v>7</v>
      </c>
      <c r="N668">
        <v>2</v>
      </c>
      <c r="O668" t="s">
        <v>4359</v>
      </c>
      <c r="P668" t="s">
        <v>4358</v>
      </c>
      <c r="Q668" t="s">
        <v>4357</v>
      </c>
      <c r="R668" s="7">
        <v>33604</v>
      </c>
      <c r="S668" s="8">
        <f t="shared" si="88"/>
        <v>1992</v>
      </c>
      <c r="T668" s="8">
        <v>1992</v>
      </c>
      <c r="U668" s="8">
        <f t="shared" si="89"/>
        <v>30</v>
      </c>
      <c r="V668" s="7" t="s">
        <v>4356</v>
      </c>
      <c r="W668" t="s">
        <v>4355</v>
      </c>
      <c r="X668" s="2">
        <v>0.63</v>
      </c>
      <c r="Y668" s="6">
        <f t="shared" si="86"/>
        <v>1.6817490189797391E-2</v>
      </c>
      <c r="AA668">
        <v>457906</v>
      </c>
      <c r="AB668">
        <v>18159</v>
      </c>
      <c r="AD668" t="s">
        <v>4</v>
      </c>
      <c r="AE668">
        <v>18</v>
      </c>
      <c r="AF668" s="9">
        <v>44289</v>
      </c>
      <c r="AH668" t="s">
        <v>4354</v>
      </c>
      <c r="AI668" t="s">
        <v>4353</v>
      </c>
      <c r="AK668" t="s">
        <v>4352</v>
      </c>
      <c r="AL668">
        <v>1</v>
      </c>
      <c r="AM668" s="5">
        <f t="shared" si="90"/>
        <v>3.3333333333333333E-2</v>
      </c>
      <c r="AN668" s="4">
        <f t="shared" si="87"/>
        <v>5.0485927047835418E-5</v>
      </c>
      <c r="AO668" s="3"/>
      <c r="AP668">
        <v>0</v>
      </c>
      <c r="AQ668" t="s">
        <v>2118</v>
      </c>
      <c r="AR668" t="s">
        <v>4351</v>
      </c>
      <c r="AS668" t="s">
        <v>2117</v>
      </c>
      <c r="AT668" s="2" t="s">
        <v>16</v>
      </c>
      <c r="AU668" s="1">
        <f t="shared" si="91"/>
        <v>1.1787388910972523</v>
      </c>
      <c r="AV668" s="1">
        <f t="shared" si="92"/>
        <v>0.84339880584226123</v>
      </c>
      <c r="AW668" s="1">
        <f t="shared" si="93"/>
        <v>0.5080587205872702</v>
      </c>
    </row>
    <row r="669" spans="1:49" x14ac:dyDescent="0.2">
      <c r="A669">
        <v>667</v>
      </c>
      <c r="B669" t="s">
        <v>4350</v>
      </c>
      <c r="C669" t="s">
        <v>4349</v>
      </c>
      <c r="F669" t="s">
        <v>4348</v>
      </c>
      <c r="G669" t="s">
        <v>12</v>
      </c>
      <c r="H669" t="s">
        <v>11</v>
      </c>
      <c r="I669" t="s">
        <v>4347</v>
      </c>
      <c r="J669">
        <v>60009037</v>
      </c>
      <c r="K669" t="s">
        <v>2673</v>
      </c>
      <c r="L669" t="s">
        <v>2672</v>
      </c>
      <c r="M669" t="s">
        <v>7</v>
      </c>
      <c r="N669">
        <v>1</v>
      </c>
      <c r="O669" t="s">
        <v>4346</v>
      </c>
      <c r="P669">
        <v>7408102852</v>
      </c>
      <c r="Q669">
        <v>60009037</v>
      </c>
      <c r="R669" s="7">
        <v>33604</v>
      </c>
      <c r="S669" s="8">
        <f t="shared" si="88"/>
        <v>1992</v>
      </c>
      <c r="T669" s="8">
        <v>1992</v>
      </c>
      <c r="U669" s="8">
        <f t="shared" si="89"/>
        <v>30</v>
      </c>
      <c r="V669" s="7">
        <v>33725</v>
      </c>
      <c r="W669" t="s">
        <v>1458</v>
      </c>
      <c r="X669" s="2">
        <v>0.30399999999999999</v>
      </c>
      <c r="Y669" s="6">
        <f t="shared" si="86"/>
        <v>8.115106377299057E-3</v>
      </c>
      <c r="AA669">
        <v>8952477</v>
      </c>
      <c r="AB669">
        <v>12250</v>
      </c>
      <c r="AC669">
        <v>10982760</v>
      </c>
      <c r="AD669" t="s">
        <v>4</v>
      </c>
      <c r="AE669">
        <v>5</v>
      </c>
      <c r="AF669">
        <v>5</v>
      </c>
      <c r="AH669" t="s">
        <v>4345</v>
      </c>
      <c r="AI669" t="s">
        <v>4344</v>
      </c>
      <c r="AJ669" t="s">
        <v>4343</v>
      </c>
      <c r="AK669" t="s">
        <v>4342</v>
      </c>
      <c r="AL669">
        <v>56</v>
      </c>
      <c r="AM669" s="5">
        <f t="shared" si="90"/>
        <v>1.8666666666666667</v>
      </c>
      <c r="AN669" s="4">
        <f t="shared" si="87"/>
        <v>2.8272119146787833E-3</v>
      </c>
      <c r="AO669" s="3"/>
      <c r="AP669">
        <v>0</v>
      </c>
      <c r="AR669" t="s">
        <v>0</v>
      </c>
      <c r="AT669" s="2" t="s">
        <v>16</v>
      </c>
      <c r="AU669" s="1">
        <f t="shared" si="91"/>
        <v>0.65287380385129745</v>
      </c>
      <c r="AV669" s="1">
        <f t="shared" si="92"/>
        <v>0.54711591459889208</v>
      </c>
      <c r="AW669" s="1">
        <f t="shared" si="93"/>
        <v>0.44135802534648655</v>
      </c>
    </row>
    <row r="670" spans="1:49" x14ac:dyDescent="0.2">
      <c r="A670">
        <v>668</v>
      </c>
      <c r="B670" t="s">
        <v>4341</v>
      </c>
      <c r="C670" t="s">
        <v>4340</v>
      </c>
      <c r="F670" t="s">
        <v>4339</v>
      </c>
      <c r="G670" t="s">
        <v>12</v>
      </c>
      <c r="H670" t="s">
        <v>11</v>
      </c>
      <c r="I670" t="s">
        <v>4338</v>
      </c>
      <c r="J670">
        <v>60008447</v>
      </c>
      <c r="K670" t="s">
        <v>3329</v>
      </c>
      <c r="L670" t="s">
        <v>3328</v>
      </c>
      <c r="M670" t="s">
        <v>617</v>
      </c>
      <c r="N670">
        <v>5</v>
      </c>
      <c r="O670" t="s">
        <v>4337</v>
      </c>
      <c r="P670" t="s">
        <v>4336</v>
      </c>
      <c r="Q670" t="s">
        <v>4335</v>
      </c>
      <c r="R670" s="7">
        <v>33604</v>
      </c>
      <c r="S670" s="8">
        <f t="shared" si="88"/>
        <v>1992</v>
      </c>
      <c r="T670" s="8">
        <v>1992</v>
      </c>
      <c r="U670" s="8">
        <f t="shared" si="89"/>
        <v>30</v>
      </c>
      <c r="V670" s="7">
        <v>33725</v>
      </c>
      <c r="W670" t="s">
        <v>1458</v>
      </c>
      <c r="X670" s="2">
        <v>0.30399999999999999</v>
      </c>
      <c r="Y670" s="6">
        <f t="shared" si="86"/>
        <v>8.115106377299057E-3</v>
      </c>
      <c r="AA670">
        <v>8952477</v>
      </c>
      <c r="AB670">
        <v>12250</v>
      </c>
      <c r="AC670">
        <v>10982760</v>
      </c>
      <c r="AD670" t="s">
        <v>4</v>
      </c>
      <c r="AE670">
        <v>5</v>
      </c>
      <c r="AF670">
        <v>5</v>
      </c>
      <c r="AH670" t="s">
        <v>4334</v>
      </c>
      <c r="AI670" t="s">
        <v>4333</v>
      </c>
      <c r="AJ670" t="s">
        <v>4332</v>
      </c>
      <c r="AK670" t="s">
        <v>4331</v>
      </c>
      <c r="AL670">
        <v>21</v>
      </c>
      <c r="AM670" s="5">
        <f t="shared" si="90"/>
        <v>0.7</v>
      </c>
      <c r="AN670" s="4">
        <f t="shared" si="87"/>
        <v>1.0602044680045437E-3</v>
      </c>
      <c r="AO670" s="3"/>
      <c r="AP670">
        <v>0</v>
      </c>
      <c r="AR670" t="s">
        <v>0</v>
      </c>
      <c r="AT670" s="2" t="s">
        <v>16</v>
      </c>
      <c r="AU670" s="1">
        <f t="shared" si="91"/>
        <v>0.59986358045107024</v>
      </c>
      <c r="AV670" s="1">
        <f t="shared" si="92"/>
        <v>0.45876554226518002</v>
      </c>
      <c r="AW670" s="1">
        <f t="shared" si="93"/>
        <v>0.31766750407928979</v>
      </c>
    </row>
    <row r="671" spans="1:49" x14ac:dyDescent="0.2">
      <c r="A671">
        <v>669</v>
      </c>
      <c r="B671" t="s">
        <v>4330</v>
      </c>
      <c r="C671" t="s">
        <v>4329</v>
      </c>
      <c r="F671" t="s">
        <v>4328</v>
      </c>
      <c r="G671" t="s">
        <v>12</v>
      </c>
      <c r="H671" t="s">
        <v>11</v>
      </c>
      <c r="I671" t="s">
        <v>4327</v>
      </c>
      <c r="J671">
        <v>60009658</v>
      </c>
      <c r="K671" t="s">
        <v>4326</v>
      </c>
      <c r="L671" t="s">
        <v>4325</v>
      </c>
      <c r="M671" t="s">
        <v>856</v>
      </c>
      <c r="N671">
        <v>1</v>
      </c>
      <c r="O671" t="s">
        <v>4324</v>
      </c>
      <c r="P671">
        <v>57213425197</v>
      </c>
      <c r="Q671">
        <v>60009658</v>
      </c>
      <c r="R671" s="7">
        <v>33604</v>
      </c>
      <c r="S671" s="8">
        <f t="shared" si="88"/>
        <v>1992</v>
      </c>
      <c r="T671" s="8">
        <v>1992</v>
      </c>
      <c r="U671" s="8">
        <f t="shared" si="89"/>
        <v>30</v>
      </c>
      <c r="V671" s="7">
        <v>33725</v>
      </c>
      <c r="W671" t="s">
        <v>1458</v>
      </c>
      <c r="X671" s="2">
        <v>0.30399999999999999</v>
      </c>
      <c r="Y671" s="6">
        <f t="shared" si="86"/>
        <v>8.115106377299057E-3</v>
      </c>
      <c r="AA671">
        <v>8952477</v>
      </c>
      <c r="AB671">
        <v>12250</v>
      </c>
      <c r="AC671">
        <v>10982760</v>
      </c>
      <c r="AD671" t="s">
        <v>4</v>
      </c>
      <c r="AE671">
        <v>5</v>
      </c>
      <c r="AF671">
        <v>5</v>
      </c>
      <c r="AH671" t="s">
        <v>4323</v>
      </c>
      <c r="AI671" t="s">
        <v>4322</v>
      </c>
      <c r="AJ671" t="s">
        <v>4321</v>
      </c>
      <c r="AK671" t="s">
        <v>4320</v>
      </c>
      <c r="AL671">
        <v>10</v>
      </c>
      <c r="AM671" s="5">
        <f t="shared" si="90"/>
        <v>0.33333333333333331</v>
      </c>
      <c r="AN671" s="4">
        <f t="shared" si="87"/>
        <v>5.048592704783541E-4</v>
      </c>
      <c r="AO671" s="3"/>
      <c r="AP671">
        <v>0</v>
      </c>
      <c r="AR671" t="s">
        <v>0</v>
      </c>
      <c r="AT671" s="2" t="s">
        <v>16</v>
      </c>
      <c r="AU671" s="1">
        <f t="shared" si="91"/>
        <v>0.58320322452528461</v>
      </c>
      <c r="AV671" s="1">
        <f t="shared" si="92"/>
        <v>0.43099828238887061</v>
      </c>
      <c r="AW671" s="1">
        <f t="shared" si="93"/>
        <v>0.2787933402524565</v>
      </c>
    </row>
    <row r="672" spans="1:49" x14ac:dyDescent="0.2">
      <c r="A672">
        <v>670</v>
      </c>
      <c r="B672" t="s">
        <v>4319</v>
      </c>
      <c r="C672" t="s">
        <v>4318</v>
      </c>
      <c r="F672" t="s">
        <v>4317</v>
      </c>
      <c r="G672" t="s">
        <v>12</v>
      </c>
      <c r="H672" t="s">
        <v>11</v>
      </c>
      <c r="I672" t="s">
        <v>4316</v>
      </c>
      <c r="J672" t="s">
        <v>4315</v>
      </c>
      <c r="K672" t="s">
        <v>4314</v>
      </c>
      <c r="L672" t="s">
        <v>4313</v>
      </c>
      <c r="M672" t="s">
        <v>1462</v>
      </c>
      <c r="N672">
        <v>3</v>
      </c>
      <c r="O672" t="s">
        <v>4312</v>
      </c>
      <c r="P672" t="s">
        <v>4311</v>
      </c>
      <c r="Q672" t="s">
        <v>4310</v>
      </c>
      <c r="R672" s="7">
        <v>33604</v>
      </c>
      <c r="S672" s="8">
        <f t="shared" si="88"/>
        <v>1992</v>
      </c>
      <c r="T672" s="8">
        <v>1992</v>
      </c>
      <c r="U672" s="8">
        <f t="shared" si="89"/>
        <v>30</v>
      </c>
      <c r="V672" s="7">
        <v>33725</v>
      </c>
      <c r="W672" t="s">
        <v>1458</v>
      </c>
      <c r="X672" s="2">
        <v>0.30399999999999999</v>
      </c>
      <c r="Y672" s="6">
        <f t="shared" si="86"/>
        <v>8.115106377299057E-3</v>
      </c>
      <c r="AA672">
        <v>8952477</v>
      </c>
      <c r="AB672">
        <v>12250</v>
      </c>
      <c r="AC672">
        <v>10982760</v>
      </c>
      <c r="AD672" t="s">
        <v>4</v>
      </c>
      <c r="AE672">
        <v>5</v>
      </c>
      <c r="AF672">
        <v>5</v>
      </c>
      <c r="AH672" t="s">
        <v>4309</v>
      </c>
      <c r="AI672" t="s">
        <v>4308</v>
      </c>
      <c r="AJ672" t="s">
        <v>4307</v>
      </c>
      <c r="AK672" t="s">
        <v>4306</v>
      </c>
      <c r="AL672">
        <v>0</v>
      </c>
      <c r="AM672" s="5">
        <f t="shared" si="90"/>
        <v>0</v>
      </c>
      <c r="AN672" s="4">
        <f t="shared" si="87"/>
        <v>0</v>
      </c>
      <c r="AO672" s="3"/>
      <c r="AP672">
        <v>0</v>
      </c>
      <c r="AR672" t="s">
        <v>0</v>
      </c>
      <c r="AT672" s="2" t="s">
        <v>16</v>
      </c>
      <c r="AU672" s="1">
        <f t="shared" si="91"/>
        <v>0.56805744641093392</v>
      </c>
      <c r="AV672" s="1">
        <f t="shared" si="92"/>
        <v>0.40575531886495286</v>
      </c>
      <c r="AW672" s="1">
        <f t="shared" si="93"/>
        <v>0.24345319131897172</v>
      </c>
    </row>
    <row r="673" spans="1:49" x14ac:dyDescent="0.2">
      <c r="A673">
        <v>671</v>
      </c>
      <c r="B673" t="s">
        <v>4305</v>
      </c>
      <c r="C673" t="s">
        <v>4304</v>
      </c>
      <c r="F673" t="s">
        <v>4303</v>
      </c>
      <c r="G673" t="s">
        <v>12</v>
      </c>
      <c r="H673" t="s">
        <v>11</v>
      </c>
      <c r="I673" t="s">
        <v>4302</v>
      </c>
      <c r="J673">
        <v>60033154</v>
      </c>
      <c r="K673" t="s">
        <v>4301</v>
      </c>
      <c r="L673" t="s">
        <v>4300</v>
      </c>
      <c r="M673" t="s">
        <v>393</v>
      </c>
      <c r="N673">
        <v>1</v>
      </c>
      <c r="O673" t="s">
        <v>4299</v>
      </c>
      <c r="P673">
        <v>6603886195</v>
      </c>
      <c r="Q673">
        <v>60033154</v>
      </c>
      <c r="R673" s="7">
        <v>33604</v>
      </c>
      <c r="S673" s="8">
        <f t="shared" si="88"/>
        <v>1992</v>
      </c>
      <c r="T673" s="8">
        <v>1992</v>
      </c>
      <c r="U673" s="8">
        <f t="shared" si="89"/>
        <v>30</v>
      </c>
      <c r="V673" s="7">
        <v>33725</v>
      </c>
      <c r="W673" t="s">
        <v>97</v>
      </c>
      <c r="X673" s="2">
        <v>1.6519999999999999</v>
      </c>
      <c r="Y673" s="6">
        <f t="shared" si="86"/>
        <v>4.409919649769093E-2</v>
      </c>
      <c r="AA673" t="s">
        <v>96</v>
      </c>
      <c r="AB673">
        <v>17337</v>
      </c>
      <c r="AC673">
        <v>15582221</v>
      </c>
      <c r="AD673" t="s">
        <v>4</v>
      </c>
      <c r="AE673">
        <v>40</v>
      </c>
      <c r="AF673">
        <v>5</v>
      </c>
      <c r="AH673" t="s">
        <v>4298</v>
      </c>
      <c r="AI673" t="s">
        <v>4297</v>
      </c>
      <c r="AK673" t="s">
        <v>4296</v>
      </c>
      <c r="AL673">
        <v>33</v>
      </c>
      <c r="AM673" s="5">
        <f t="shared" si="90"/>
        <v>1.1000000000000001</v>
      </c>
      <c r="AN673" s="4">
        <f t="shared" si="87"/>
        <v>1.6660355925785689E-3</v>
      </c>
      <c r="AO673" s="3"/>
      <c r="AP673">
        <v>0</v>
      </c>
      <c r="AR673" t="s">
        <v>0</v>
      </c>
      <c r="AT673" s="2" t="s">
        <v>16</v>
      </c>
      <c r="AU673" s="1">
        <f t="shared" si="91"/>
        <v>3.1369248226157218</v>
      </c>
      <c r="AV673" s="1">
        <f t="shared" si="92"/>
        <v>2.2882616045134747</v>
      </c>
      <c r="AW673" s="1">
        <f t="shared" si="93"/>
        <v>1.4395983864112276</v>
      </c>
    </row>
    <row r="674" spans="1:49" x14ac:dyDescent="0.2">
      <c r="A674">
        <v>672</v>
      </c>
      <c r="B674" t="s">
        <v>4295</v>
      </c>
      <c r="C674" t="s">
        <v>4294</v>
      </c>
      <c r="F674" t="s">
        <v>4293</v>
      </c>
      <c r="G674" t="s">
        <v>12</v>
      </c>
      <c r="H674" t="s">
        <v>11</v>
      </c>
      <c r="I674" t="s">
        <v>4292</v>
      </c>
      <c r="J674">
        <v>60003500</v>
      </c>
      <c r="K674" t="s">
        <v>1690</v>
      </c>
      <c r="L674" t="s">
        <v>1689</v>
      </c>
      <c r="M674" t="s">
        <v>7</v>
      </c>
      <c r="N674">
        <v>2</v>
      </c>
      <c r="O674" t="s">
        <v>4291</v>
      </c>
      <c r="P674" t="s">
        <v>4290</v>
      </c>
      <c r="Q674" t="s">
        <v>1686</v>
      </c>
      <c r="R674" s="7">
        <v>33604</v>
      </c>
      <c r="S674" s="8">
        <f t="shared" si="88"/>
        <v>1992</v>
      </c>
      <c r="T674" s="8">
        <v>1992</v>
      </c>
      <c r="U674" s="8">
        <f t="shared" si="89"/>
        <v>30</v>
      </c>
      <c r="V674" s="7">
        <v>33725</v>
      </c>
      <c r="W674" t="s">
        <v>97</v>
      </c>
      <c r="X674" s="2">
        <v>1.6519999999999999</v>
      </c>
      <c r="Y674" s="6">
        <f t="shared" si="86"/>
        <v>4.409919649769093E-2</v>
      </c>
      <c r="AA674" t="s">
        <v>96</v>
      </c>
      <c r="AB674">
        <v>17337</v>
      </c>
      <c r="AC674">
        <v>15582221</v>
      </c>
      <c r="AD674" t="s">
        <v>4</v>
      </c>
      <c r="AE674">
        <v>40</v>
      </c>
      <c r="AF674">
        <v>5</v>
      </c>
      <c r="AH674" t="s">
        <v>4289</v>
      </c>
      <c r="AI674" t="s">
        <v>4288</v>
      </c>
      <c r="AK674" t="s">
        <v>4287</v>
      </c>
      <c r="AL674">
        <v>112</v>
      </c>
      <c r="AM674" s="5">
        <f t="shared" si="90"/>
        <v>3.7333333333333334</v>
      </c>
      <c r="AN674" s="4">
        <f t="shared" si="87"/>
        <v>5.6544238293575666E-3</v>
      </c>
      <c r="AO674" s="3"/>
      <c r="AP674">
        <v>0</v>
      </c>
      <c r="AR674" t="s">
        <v>0</v>
      </c>
      <c r="AT674" s="2" t="s">
        <v>16</v>
      </c>
      <c r="AU674" s="1">
        <f t="shared" si="91"/>
        <v>3.256576469719092</v>
      </c>
      <c r="AV674" s="1">
        <f t="shared" si="92"/>
        <v>2.487681016352425</v>
      </c>
      <c r="AW674" s="1">
        <f t="shared" si="93"/>
        <v>1.7187855629857574</v>
      </c>
    </row>
    <row r="675" spans="1:49" x14ac:dyDescent="0.2">
      <c r="A675">
        <v>673</v>
      </c>
      <c r="B675" t="s">
        <v>4286</v>
      </c>
      <c r="C675" t="s">
        <v>4285</v>
      </c>
      <c r="F675" t="s">
        <v>4284</v>
      </c>
      <c r="G675" t="s">
        <v>12</v>
      </c>
      <c r="H675" t="s">
        <v>11</v>
      </c>
      <c r="I675" t="s">
        <v>4283</v>
      </c>
      <c r="J675">
        <v>60014313</v>
      </c>
      <c r="K675" t="s">
        <v>100</v>
      </c>
      <c r="L675" t="s">
        <v>99</v>
      </c>
      <c r="M675" t="s">
        <v>7</v>
      </c>
      <c r="N675">
        <v>2</v>
      </c>
      <c r="O675" t="s">
        <v>4282</v>
      </c>
      <c r="P675" t="s">
        <v>4281</v>
      </c>
      <c r="Q675" t="s">
        <v>4280</v>
      </c>
      <c r="R675" s="7">
        <v>33604</v>
      </c>
      <c r="S675" s="8">
        <f t="shared" si="88"/>
        <v>1992</v>
      </c>
      <c r="T675" s="8">
        <v>1992</v>
      </c>
      <c r="U675" s="8">
        <f t="shared" si="89"/>
        <v>30</v>
      </c>
      <c r="V675" s="7">
        <v>33725</v>
      </c>
      <c r="W675" t="s">
        <v>97</v>
      </c>
      <c r="X675" s="2">
        <v>1.6519999999999999</v>
      </c>
      <c r="Y675" s="6">
        <f t="shared" si="86"/>
        <v>4.409919649769093E-2</v>
      </c>
      <c r="AA675" t="s">
        <v>96</v>
      </c>
      <c r="AB675">
        <v>17337</v>
      </c>
      <c r="AC675">
        <v>15582221</v>
      </c>
      <c r="AD675" t="s">
        <v>4</v>
      </c>
      <c r="AE675">
        <v>40</v>
      </c>
      <c r="AF675">
        <v>5</v>
      </c>
      <c r="AH675" t="s">
        <v>4279</v>
      </c>
      <c r="AI675" t="s">
        <v>4278</v>
      </c>
      <c r="AK675" t="s">
        <v>4277</v>
      </c>
      <c r="AL675">
        <v>17</v>
      </c>
      <c r="AM675" s="5">
        <f t="shared" si="90"/>
        <v>0.56666666666666665</v>
      </c>
      <c r="AN675" s="4">
        <f t="shared" si="87"/>
        <v>8.5826075981320206E-4</v>
      </c>
      <c r="AO675" s="3"/>
      <c r="AP675">
        <v>0</v>
      </c>
      <c r="AR675" t="s">
        <v>0</v>
      </c>
      <c r="AT675" s="2" t="s">
        <v>16</v>
      </c>
      <c r="AU675" s="1">
        <f t="shared" si="91"/>
        <v>3.1126915776327611</v>
      </c>
      <c r="AV675" s="1">
        <f t="shared" si="92"/>
        <v>2.2478728628752069</v>
      </c>
      <c r="AW675" s="1">
        <f t="shared" si="93"/>
        <v>1.3830541481176519</v>
      </c>
    </row>
    <row r="676" spans="1:49" x14ac:dyDescent="0.2">
      <c r="A676">
        <v>674</v>
      </c>
      <c r="B676" t="s">
        <v>4276</v>
      </c>
      <c r="C676" t="s">
        <v>4275</v>
      </c>
      <c r="F676" t="s">
        <v>4274</v>
      </c>
      <c r="G676" t="s">
        <v>12</v>
      </c>
      <c r="H676" t="s">
        <v>11</v>
      </c>
      <c r="I676" t="s">
        <v>2568</v>
      </c>
      <c r="J676" t="s">
        <v>4273</v>
      </c>
      <c r="K676" t="s">
        <v>4272</v>
      </c>
      <c r="L676" t="s">
        <v>4271</v>
      </c>
      <c r="M676" t="s">
        <v>125</v>
      </c>
      <c r="N676">
        <v>2</v>
      </c>
      <c r="O676" t="s">
        <v>2565</v>
      </c>
      <c r="P676" t="s">
        <v>2564</v>
      </c>
      <c r="Q676" t="s">
        <v>4270</v>
      </c>
      <c r="R676" s="7">
        <v>33604</v>
      </c>
      <c r="S676" s="8">
        <f t="shared" si="88"/>
        <v>1992</v>
      </c>
      <c r="T676" s="8">
        <v>1992</v>
      </c>
      <c r="U676" s="8">
        <f t="shared" si="89"/>
        <v>30</v>
      </c>
      <c r="V676" s="7">
        <v>33725</v>
      </c>
      <c r="W676" t="s">
        <v>136</v>
      </c>
      <c r="X676" s="2">
        <v>1.3720000000000001</v>
      </c>
      <c r="Y676" s="6">
        <f t="shared" si="86"/>
        <v>3.662475641333654E-2</v>
      </c>
      <c r="AA676">
        <v>189480</v>
      </c>
      <c r="AB676">
        <v>17366</v>
      </c>
      <c r="AC676">
        <v>15579670</v>
      </c>
      <c r="AD676" t="s">
        <v>4</v>
      </c>
      <c r="AE676">
        <v>40</v>
      </c>
      <c r="AF676">
        <v>5</v>
      </c>
      <c r="AH676" t="s">
        <v>4269</v>
      </c>
      <c r="AI676" t="s">
        <v>4268</v>
      </c>
      <c r="AK676" t="s">
        <v>4267</v>
      </c>
      <c r="AL676">
        <v>39</v>
      </c>
      <c r="AM676" s="5">
        <f t="shared" si="90"/>
        <v>1.3</v>
      </c>
      <c r="AN676" s="4">
        <f t="shared" si="87"/>
        <v>1.9689511548655813E-3</v>
      </c>
      <c r="AO676" s="3"/>
      <c r="AP676">
        <v>0</v>
      </c>
      <c r="AQ676" t="s">
        <v>4266</v>
      </c>
      <c r="AR676" t="s">
        <v>4265</v>
      </c>
      <c r="AS676" t="s">
        <v>4264</v>
      </c>
      <c r="AT676" s="2" t="s">
        <v>16</v>
      </c>
      <c r="AU676" s="1">
        <f t="shared" si="91"/>
        <v>2.6228014835795248</v>
      </c>
      <c r="AV676" s="1">
        <f t="shared" si="92"/>
        <v>1.929685378410106</v>
      </c>
      <c r="AW676" s="1">
        <f t="shared" si="93"/>
        <v>1.2365692732406868</v>
      </c>
    </row>
    <row r="677" spans="1:49" x14ac:dyDescent="0.2">
      <c r="A677">
        <v>675</v>
      </c>
      <c r="B677" t="s">
        <v>4263</v>
      </c>
      <c r="C677" t="s">
        <v>4262</v>
      </c>
      <c r="F677" t="s">
        <v>4261</v>
      </c>
      <c r="G677" t="s">
        <v>12</v>
      </c>
      <c r="H677" t="s">
        <v>11</v>
      </c>
      <c r="I677" t="s">
        <v>4260</v>
      </c>
      <c r="J677" t="s">
        <v>4259</v>
      </c>
      <c r="K677" t="s">
        <v>4258</v>
      </c>
      <c r="L677" t="s">
        <v>4257</v>
      </c>
      <c r="M677" t="s">
        <v>125</v>
      </c>
      <c r="N677">
        <v>4</v>
      </c>
      <c r="O677" t="s">
        <v>4256</v>
      </c>
      <c r="P677" t="s">
        <v>4255</v>
      </c>
      <c r="Q677" t="s">
        <v>4254</v>
      </c>
      <c r="R677" s="7">
        <v>33604</v>
      </c>
      <c r="S677" s="8">
        <f t="shared" si="88"/>
        <v>1992</v>
      </c>
      <c r="T677" s="8">
        <v>1992</v>
      </c>
      <c r="U677" s="8">
        <f t="shared" si="89"/>
        <v>30</v>
      </c>
      <c r="V677" s="7" t="s">
        <v>350</v>
      </c>
      <c r="W677" t="s">
        <v>1330</v>
      </c>
      <c r="X677" s="2">
        <v>0.75800000000000001</v>
      </c>
      <c r="Y677" s="6">
        <f t="shared" si="86"/>
        <v>2.0234377085502256E-2</v>
      </c>
      <c r="AA677">
        <v>224650</v>
      </c>
      <c r="AB677">
        <v>29589</v>
      </c>
      <c r="AD677" t="s">
        <v>4</v>
      </c>
      <c r="AE677">
        <v>29</v>
      </c>
      <c r="AF677">
        <v>3</v>
      </c>
      <c r="AH677" t="s">
        <v>4253</v>
      </c>
      <c r="AI677" t="s">
        <v>4252</v>
      </c>
      <c r="AK677" t="s">
        <v>4251</v>
      </c>
      <c r="AL677">
        <v>9</v>
      </c>
      <c r="AM677" s="5">
        <f t="shared" si="90"/>
        <v>0.3</v>
      </c>
      <c r="AN677" s="4">
        <f t="shared" si="87"/>
        <v>4.5437334343051872E-4</v>
      </c>
      <c r="AO677" s="3"/>
      <c r="AP677">
        <v>0</v>
      </c>
      <c r="AR677" t="s">
        <v>0</v>
      </c>
      <c r="AT677" s="2">
        <v>1.282</v>
      </c>
      <c r="AU677" s="1">
        <f t="shared" si="91"/>
        <v>1.4300375962880734</v>
      </c>
      <c r="AV677" s="1">
        <f t="shared" si="92"/>
        <v>1.0344375214466386</v>
      </c>
      <c r="AW677" s="1">
        <f t="shared" si="93"/>
        <v>0.63883744660520392</v>
      </c>
    </row>
    <row r="678" spans="1:49" x14ac:dyDescent="0.2">
      <c r="A678">
        <v>676</v>
      </c>
      <c r="B678" t="s">
        <v>4250</v>
      </c>
      <c r="C678" t="s">
        <v>4249</v>
      </c>
      <c r="F678" t="s">
        <v>4248</v>
      </c>
      <c r="G678" t="s">
        <v>12</v>
      </c>
      <c r="H678" t="s">
        <v>11</v>
      </c>
      <c r="I678" t="s">
        <v>4247</v>
      </c>
      <c r="J678" t="s">
        <v>4246</v>
      </c>
      <c r="K678" t="s">
        <v>4245</v>
      </c>
      <c r="L678" t="s">
        <v>4244</v>
      </c>
      <c r="M678" t="s">
        <v>125</v>
      </c>
      <c r="N678">
        <v>2</v>
      </c>
      <c r="O678" t="s">
        <v>4243</v>
      </c>
      <c r="P678" t="s">
        <v>4242</v>
      </c>
      <c r="Q678" t="s">
        <v>4241</v>
      </c>
      <c r="R678" s="7">
        <v>33604</v>
      </c>
      <c r="S678" s="8">
        <f t="shared" si="88"/>
        <v>1992</v>
      </c>
      <c r="T678" s="8">
        <v>1992</v>
      </c>
      <c r="U678" s="8">
        <f t="shared" si="89"/>
        <v>30</v>
      </c>
      <c r="V678" s="7" t="s">
        <v>350</v>
      </c>
      <c r="W678" t="s">
        <v>3960</v>
      </c>
      <c r="X678" s="2">
        <v>0.251</v>
      </c>
      <c r="Y678" s="6">
        <f t="shared" si="86"/>
        <v>6.7003016470462617E-3</v>
      </c>
      <c r="AA678">
        <v>207217</v>
      </c>
      <c r="AB678">
        <v>26145</v>
      </c>
      <c r="AC678">
        <v>13623060</v>
      </c>
      <c r="AD678" t="s">
        <v>4</v>
      </c>
      <c r="AE678">
        <v>72</v>
      </c>
      <c r="AF678" s="9">
        <v>44352</v>
      </c>
      <c r="AH678" t="s">
        <v>4240</v>
      </c>
      <c r="AI678" t="s">
        <v>4239</v>
      </c>
      <c r="AK678" t="s">
        <v>4238</v>
      </c>
      <c r="AL678">
        <v>0</v>
      </c>
      <c r="AM678" s="5">
        <f t="shared" si="90"/>
        <v>0</v>
      </c>
      <c r="AN678" s="4">
        <f t="shared" si="87"/>
        <v>0</v>
      </c>
      <c r="AO678" s="3"/>
      <c r="AP678">
        <v>0</v>
      </c>
      <c r="AQ678" t="s">
        <v>190</v>
      </c>
      <c r="AR678" t="s">
        <v>0</v>
      </c>
      <c r="AS678" t="s">
        <v>188</v>
      </c>
      <c r="AT678" s="2">
        <v>1.3360000000000001</v>
      </c>
      <c r="AU678" s="1">
        <f t="shared" si="91"/>
        <v>0.46902111529323826</v>
      </c>
      <c r="AV678" s="1">
        <f t="shared" si="92"/>
        <v>0.33501508235231309</v>
      </c>
      <c r="AW678" s="1">
        <f t="shared" si="93"/>
        <v>0.20100904941138784</v>
      </c>
    </row>
    <row r="679" spans="1:49" x14ac:dyDescent="0.2">
      <c r="A679">
        <v>677</v>
      </c>
      <c r="B679" t="s">
        <v>4237</v>
      </c>
      <c r="C679" t="s">
        <v>4236</v>
      </c>
      <c r="F679" t="s">
        <v>4235</v>
      </c>
      <c r="G679" t="s">
        <v>12</v>
      </c>
      <c r="H679" t="s">
        <v>11</v>
      </c>
      <c r="I679" t="s">
        <v>4234</v>
      </c>
      <c r="N679">
        <v>3</v>
      </c>
      <c r="O679" t="s">
        <v>4233</v>
      </c>
      <c r="P679" t="s">
        <v>4232</v>
      </c>
      <c r="Q679" t="s">
        <v>1191</v>
      </c>
      <c r="R679" s="7">
        <v>33604</v>
      </c>
      <c r="S679" s="8">
        <f t="shared" si="88"/>
        <v>1992</v>
      </c>
      <c r="T679" s="8">
        <v>1992</v>
      </c>
      <c r="U679" s="8">
        <f t="shared" si="89"/>
        <v>30</v>
      </c>
      <c r="V679" s="7">
        <v>33725</v>
      </c>
      <c r="W679" t="s">
        <v>2873</v>
      </c>
      <c r="X679" s="2">
        <v>1.365</v>
      </c>
      <c r="Y679" s="6">
        <f t="shared" si="86"/>
        <v>3.6437895411227675E-2</v>
      </c>
      <c r="AA679">
        <v>189545</v>
      </c>
      <c r="AB679">
        <v>17393</v>
      </c>
      <c r="AC679">
        <v>19399359</v>
      </c>
      <c r="AD679" t="s">
        <v>4</v>
      </c>
      <c r="AE679">
        <v>41</v>
      </c>
      <c r="AF679">
        <v>2</v>
      </c>
      <c r="AH679" t="s">
        <v>4231</v>
      </c>
      <c r="AI679" t="s">
        <v>4230</v>
      </c>
      <c r="AK679" t="s">
        <v>4229</v>
      </c>
      <c r="AL679">
        <v>23</v>
      </c>
      <c r="AM679" s="5">
        <f t="shared" si="90"/>
        <v>0.76666666666666672</v>
      </c>
      <c r="AN679" s="4">
        <f t="shared" si="87"/>
        <v>1.1611763221002146E-3</v>
      </c>
      <c r="AO679" s="3"/>
      <c r="AP679">
        <v>0</v>
      </c>
      <c r="AR679" t="s">
        <v>0</v>
      </c>
      <c r="AT679" s="2" t="s">
        <v>16</v>
      </c>
      <c r="AU679" s="1">
        <f t="shared" si="91"/>
        <v>2.5854879684489434</v>
      </c>
      <c r="AV679" s="1">
        <f t="shared" si="92"/>
        <v>1.8799535866663946</v>
      </c>
      <c r="AW679" s="1">
        <f t="shared" si="93"/>
        <v>1.1744192048838451</v>
      </c>
    </row>
    <row r="680" spans="1:49" x14ac:dyDescent="0.2">
      <c r="A680">
        <v>678</v>
      </c>
      <c r="B680" t="s">
        <v>4228</v>
      </c>
      <c r="C680" t="s">
        <v>4227</v>
      </c>
      <c r="F680" t="s">
        <v>4226</v>
      </c>
      <c r="G680" t="s">
        <v>12</v>
      </c>
      <c r="H680" t="s">
        <v>11</v>
      </c>
      <c r="I680" t="s">
        <v>4225</v>
      </c>
      <c r="J680" t="s">
        <v>4224</v>
      </c>
      <c r="K680" t="s">
        <v>4223</v>
      </c>
      <c r="L680" t="s">
        <v>4222</v>
      </c>
      <c r="M680" t="s">
        <v>4221</v>
      </c>
      <c r="N680">
        <v>3</v>
      </c>
      <c r="O680" t="s">
        <v>4220</v>
      </c>
      <c r="P680" t="s">
        <v>4219</v>
      </c>
      <c r="Q680" t="s">
        <v>4218</v>
      </c>
      <c r="R680" s="7">
        <v>33604</v>
      </c>
      <c r="S680" s="8">
        <f t="shared" si="88"/>
        <v>1992</v>
      </c>
      <c r="T680" s="8">
        <v>1992</v>
      </c>
      <c r="U680" s="8">
        <f t="shared" si="89"/>
        <v>30</v>
      </c>
      <c r="V680" s="7">
        <v>33725</v>
      </c>
      <c r="W680" t="s">
        <v>20</v>
      </c>
      <c r="X680" s="2">
        <v>0.94</v>
      </c>
      <c r="Y680" s="6">
        <f t="shared" si="86"/>
        <v>2.5092763140332611E-2</v>
      </c>
      <c r="AA680">
        <v>10518207</v>
      </c>
      <c r="AB680">
        <v>63372</v>
      </c>
      <c r="AD680" t="s">
        <v>4</v>
      </c>
      <c r="AE680">
        <v>2</v>
      </c>
      <c r="AF680">
        <v>5</v>
      </c>
      <c r="AH680" t="s">
        <v>4217</v>
      </c>
      <c r="AI680" t="s">
        <v>4216</v>
      </c>
      <c r="AK680" t="s">
        <v>4215</v>
      </c>
      <c r="AL680">
        <v>4</v>
      </c>
      <c r="AM680" s="5">
        <f t="shared" si="90"/>
        <v>0.13333333333333333</v>
      </c>
      <c r="AN680" s="4">
        <f t="shared" si="87"/>
        <v>2.0194370819134167E-4</v>
      </c>
      <c r="AO680" s="3"/>
      <c r="AP680">
        <v>0</v>
      </c>
      <c r="AR680" t="s">
        <v>0</v>
      </c>
      <c r="AT680" s="2" t="s">
        <v>16</v>
      </c>
      <c r="AU680" s="1">
        <f t="shared" si="91"/>
        <v>1.7625517310690231</v>
      </c>
      <c r="AV680" s="1">
        <f t="shared" si="92"/>
        <v>1.2647353424261976</v>
      </c>
      <c r="AW680" s="1">
        <f t="shared" si="93"/>
        <v>0.76691895378337216</v>
      </c>
    </row>
    <row r="681" spans="1:49" x14ac:dyDescent="0.2">
      <c r="A681">
        <v>679</v>
      </c>
      <c r="B681" t="s">
        <v>4214</v>
      </c>
      <c r="C681" t="s">
        <v>4213</v>
      </c>
      <c r="D681" t="s">
        <v>4212</v>
      </c>
      <c r="F681" t="s">
        <v>4211</v>
      </c>
      <c r="G681" t="s">
        <v>12</v>
      </c>
      <c r="H681" t="s">
        <v>11</v>
      </c>
      <c r="I681" t="s">
        <v>4210</v>
      </c>
      <c r="J681" t="s">
        <v>4209</v>
      </c>
      <c r="K681" t="s">
        <v>4208</v>
      </c>
      <c r="L681" t="s">
        <v>4207</v>
      </c>
      <c r="M681" t="s">
        <v>125</v>
      </c>
      <c r="N681">
        <v>3</v>
      </c>
      <c r="O681" t="s">
        <v>4206</v>
      </c>
      <c r="P681" t="s">
        <v>4205</v>
      </c>
      <c r="Q681" t="s">
        <v>4204</v>
      </c>
      <c r="R681" s="7">
        <v>33604</v>
      </c>
      <c r="S681" s="8">
        <f t="shared" si="88"/>
        <v>1992</v>
      </c>
      <c r="T681" s="8">
        <v>1992</v>
      </c>
      <c r="U681" s="8">
        <f t="shared" si="89"/>
        <v>30</v>
      </c>
      <c r="V681" s="7" t="s">
        <v>4203</v>
      </c>
      <c r="W681" t="s">
        <v>4202</v>
      </c>
      <c r="X681" s="2">
        <v>1.329</v>
      </c>
      <c r="Y681" s="6">
        <f t="shared" si="86"/>
        <v>3.5476895971810682E-2</v>
      </c>
      <c r="AA681">
        <v>7351933</v>
      </c>
      <c r="AB681">
        <v>20422</v>
      </c>
      <c r="AD681" t="s">
        <v>4</v>
      </c>
      <c r="AE681">
        <v>19</v>
      </c>
      <c r="AF681">
        <v>3</v>
      </c>
      <c r="AH681" t="s">
        <v>4201</v>
      </c>
      <c r="AI681" t="s">
        <v>4200</v>
      </c>
      <c r="AK681" t="s">
        <v>4199</v>
      </c>
      <c r="AL681">
        <v>7</v>
      </c>
      <c r="AM681" s="5">
        <f t="shared" si="90"/>
        <v>0.23333333333333334</v>
      </c>
      <c r="AN681" s="4">
        <f t="shared" si="87"/>
        <v>3.5340148933484791E-4</v>
      </c>
      <c r="AO681" s="3"/>
      <c r="AP681">
        <v>0</v>
      </c>
      <c r="AR681" t="s">
        <v>0</v>
      </c>
      <c r="AT681" s="2" t="s">
        <v>16</v>
      </c>
      <c r="AU681" s="1">
        <f t="shared" si="91"/>
        <v>2.4939847627067935</v>
      </c>
      <c r="AV681" s="1">
        <f t="shared" si="92"/>
        <v>1.7915148730572765</v>
      </c>
      <c r="AW681" s="1">
        <f t="shared" si="93"/>
        <v>1.0890449834077598</v>
      </c>
    </row>
    <row r="682" spans="1:49" x14ac:dyDescent="0.2">
      <c r="A682">
        <v>680</v>
      </c>
      <c r="B682" t="s">
        <v>4198</v>
      </c>
      <c r="C682" t="s">
        <v>4197</v>
      </c>
      <c r="F682" t="s">
        <v>4196</v>
      </c>
      <c r="G682" t="s">
        <v>12</v>
      </c>
      <c r="H682" t="s">
        <v>11</v>
      </c>
      <c r="I682" t="s">
        <v>1440</v>
      </c>
      <c r="J682">
        <v>60014313</v>
      </c>
      <c r="K682" t="s">
        <v>100</v>
      </c>
      <c r="L682" t="s">
        <v>99</v>
      </c>
      <c r="M682" t="s">
        <v>7</v>
      </c>
      <c r="N682">
        <v>1</v>
      </c>
      <c r="O682" t="s">
        <v>98</v>
      </c>
      <c r="P682">
        <v>7006061921</v>
      </c>
      <c r="Q682">
        <v>60014313</v>
      </c>
      <c r="R682" s="7">
        <v>33604</v>
      </c>
      <c r="S682" s="8">
        <f t="shared" si="88"/>
        <v>1992</v>
      </c>
      <c r="T682" s="8">
        <v>1992</v>
      </c>
      <c r="U682" s="8">
        <f t="shared" si="89"/>
        <v>30</v>
      </c>
      <c r="V682" s="7">
        <v>33725</v>
      </c>
      <c r="W682" t="s">
        <v>20</v>
      </c>
      <c r="X682" s="2">
        <v>0.94</v>
      </c>
      <c r="Y682" s="6">
        <f t="shared" si="86"/>
        <v>2.5092763140332611E-2</v>
      </c>
      <c r="AA682">
        <v>10518207</v>
      </c>
      <c r="AB682">
        <v>63372</v>
      </c>
      <c r="AD682" t="s">
        <v>4</v>
      </c>
      <c r="AE682">
        <v>2</v>
      </c>
      <c r="AF682">
        <v>5</v>
      </c>
      <c r="AH682" t="s">
        <v>4195</v>
      </c>
      <c r="AI682" t="s">
        <v>4194</v>
      </c>
      <c r="AK682" t="s">
        <v>4193</v>
      </c>
      <c r="AL682">
        <v>65</v>
      </c>
      <c r="AM682" s="5">
        <f t="shared" si="90"/>
        <v>2.1666666666666665</v>
      </c>
      <c r="AN682" s="4">
        <f t="shared" si="87"/>
        <v>3.2815852581093018E-3</v>
      </c>
      <c r="AO682" s="3"/>
      <c r="AP682">
        <v>0</v>
      </c>
      <c r="AR682" t="s">
        <v>0</v>
      </c>
      <c r="AT682" s="2" t="s">
        <v>16</v>
      </c>
      <c r="AU682" s="1">
        <f t="shared" si="91"/>
        <v>1.8549409775665617</v>
      </c>
      <c r="AV682" s="1">
        <f t="shared" si="92"/>
        <v>1.4187174199220955</v>
      </c>
      <c r="AW682" s="1">
        <f t="shared" si="93"/>
        <v>0.98249386227762936</v>
      </c>
    </row>
    <row r="683" spans="1:49" x14ac:dyDescent="0.2">
      <c r="A683">
        <v>681</v>
      </c>
      <c r="B683" t="s">
        <v>4192</v>
      </c>
      <c r="C683" t="s">
        <v>4191</v>
      </c>
      <c r="F683" t="s">
        <v>4190</v>
      </c>
      <c r="G683" t="s">
        <v>12</v>
      </c>
      <c r="H683" t="s">
        <v>11</v>
      </c>
      <c r="I683" t="s">
        <v>4189</v>
      </c>
      <c r="J683" t="s">
        <v>4188</v>
      </c>
      <c r="K683" t="s">
        <v>4187</v>
      </c>
      <c r="L683" t="s">
        <v>4186</v>
      </c>
      <c r="M683" t="s">
        <v>4185</v>
      </c>
      <c r="N683">
        <v>3</v>
      </c>
      <c r="O683" t="s">
        <v>4184</v>
      </c>
      <c r="P683" t="s">
        <v>4183</v>
      </c>
      <c r="Q683" t="s">
        <v>4182</v>
      </c>
      <c r="R683" s="7">
        <v>33604</v>
      </c>
      <c r="S683" s="8">
        <f t="shared" si="88"/>
        <v>1992</v>
      </c>
      <c r="T683" s="8">
        <v>1992</v>
      </c>
      <c r="U683" s="8">
        <f t="shared" si="89"/>
        <v>30</v>
      </c>
      <c r="V683" s="7">
        <v>33725</v>
      </c>
      <c r="W683" t="s">
        <v>20</v>
      </c>
      <c r="X683" s="2">
        <v>0.94</v>
      </c>
      <c r="Y683" s="6">
        <f t="shared" si="86"/>
        <v>2.5092763140332611E-2</v>
      </c>
      <c r="AA683">
        <v>10518207</v>
      </c>
      <c r="AB683">
        <v>63372</v>
      </c>
      <c r="AD683" t="s">
        <v>4</v>
      </c>
      <c r="AE683">
        <v>2</v>
      </c>
      <c r="AF683">
        <v>5</v>
      </c>
      <c r="AH683" t="s">
        <v>4181</v>
      </c>
      <c r="AI683" t="s">
        <v>4180</v>
      </c>
      <c r="AK683" t="s">
        <v>4179</v>
      </c>
      <c r="AL683">
        <v>8</v>
      </c>
      <c r="AM683" s="5">
        <f t="shared" si="90"/>
        <v>0.26666666666666666</v>
      </c>
      <c r="AN683" s="4">
        <f t="shared" si="87"/>
        <v>4.0388741638268334E-4</v>
      </c>
      <c r="AO683" s="3"/>
      <c r="AP683">
        <v>0</v>
      </c>
      <c r="AR683" t="s">
        <v>0</v>
      </c>
      <c r="AT683" s="2" t="s">
        <v>16</v>
      </c>
      <c r="AU683" s="1">
        <f t="shared" si="91"/>
        <v>1.768610042314763</v>
      </c>
      <c r="AV683" s="1">
        <f t="shared" si="92"/>
        <v>1.2748325278357648</v>
      </c>
      <c r="AW683" s="1">
        <f t="shared" si="93"/>
        <v>0.78105501335676619</v>
      </c>
    </row>
    <row r="684" spans="1:49" x14ac:dyDescent="0.2">
      <c r="A684">
        <v>682</v>
      </c>
      <c r="B684" t="s">
        <v>4178</v>
      </c>
      <c r="C684" t="s">
        <v>4177</v>
      </c>
      <c r="F684" t="s">
        <v>4176</v>
      </c>
      <c r="G684" t="s">
        <v>12</v>
      </c>
      <c r="H684" t="s">
        <v>11</v>
      </c>
      <c r="I684" t="s">
        <v>4175</v>
      </c>
      <c r="J684" t="s">
        <v>4174</v>
      </c>
      <c r="K684" t="s">
        <v>4173</v>
      </c>
      <c r="L684" t="s">
        <v>4172</v>
      </c>
      <c r="M684" t="s">
        <v>125</v>
      </c>
      <c r="N684">
        <v>2</v>
      </c>
      <c r="O684" t="s">
        <v>4171</v>
      </c>
      <c r="P684" t="s">
        <v>4170</v>
      </c>
      <c r="Q684" t="s">
        <v>4169</v>
      </c>
      <c r="R684" s="7">
        <v>33604</v>
      </c>
      <c r="S684" s="8">
        <f t="shared" si="88"/>
        <v>1992</v>
      </c>
      <c r="T684" s="8">
        <v>1992</v>
      </c>
      <c r="U684" s="8">
        <f t="shared" si="89"/>
        <v>30</v>
      </c>
      <c r="V684" s="7" t="s">
        <v>350</v>
      </c>
      <c r="W684" t="s">
        <v>1665</v>
      </c>
      <c r="X684" s="2">
        <v>1.573</v>
      </c>
      <c r="Y684" s="6">
        <f t="shared" si="86"/>
        <v>4.1990336616748086E-2</v>
      </c>
      <c r="AA684">
        <v>7315090</v>
      </c>
      <c r="AB684">
        <v>29586</v>
      </c>
      <c r="AD684" t="s">
        <v>4</v>
      </c>
      <c r="AE684">
        <v>15</v>
      </c>
      <c r="AF684">
        <v>3</v>
      </c>
      <c r="AH684" t="s">
        <v>4168</v>
      </c>
      <c r="AI684" t="s">
        <v>4167</v>
      </c>
      <c r="AK684" t="s">
        <v>4166</v>
      </c>
      <c r="AL684">
        <v>14</v>
      </c>
      <c r="AM684" s="5">
        <f t="shared" si="90"/>
        <v>0.46666666666666667</v>
      </c>
      <c r="AN684" s="4">
        <f t="shared" si="87"/>
        <v>7.0680297866969582E-4</v>
      </c>
      <c r="AO684" s="3"/>
      <c r="AP684">
        <v>0</v>
      </c>
      <c r="AR684" t="s">
        <v>0</v>
      </c>
      <c r="AT684" s="2" t="s">
        <v>16</v>
      </c>
      <c r="AU684" s="1">
        <f t="shared" si="91"/>
        <v>2.9605276525324569</v>
      </c>
      <c r="AV684" s="1">
        <f t="shared" si="92"/>
        <v>2.134856979770889</v>
      </c>
      <c r="AW684" s="1">
        <f t="shared" si="93"/>
        <v>1.309186307009321</v>
      </c>
    </row>
    <row r="685" spans="1:49" x14ac:dyDescent="0.2">
      <c r="A685">
        <v>683</v>
      </c>
      <c r="B685" t="s">
        <v>4165</v>
      </c>
      <c r="C685" t="s">
        <v>4164</v>
      </c>
      <c r="F685" t="s">
        <v>4163</v>
      </c>
      <c r="G685" t="s">
        <v>12</v>
      </c>
      <c r="H685" t="s">
        <v>11</v>
      </c>
      <c r="I685" t="s">
        <v>4162</v>
      </c>
      <c r="J685">
        <v>60018279</v>
      </c>
      <c r="K685" t="s">
        <v>4161</v>
      </c>
      <c r="L685" t="s">
        <v>4160</v>
      </c>
      <c r="M685" t="s">
        <v>151</v>
      </c>
      <c r="N685">
        <v>3</v>
      </c>
      <c r="O685" t="s">
        <v>4159</v>
      </c>
      <c r="P685" t="s">
        <v>4158</v>
      </c>
      <c r="Q685" t="s">
        <v>4157</v>
      </c>
      <c r="R685" s="7">
        <v>33604</v>
      </c>
      <c r="S685" s="8">
        <f t="shared" si="88"/>
        <v>1992</v>
      </c>
      <c r="T685" s="8">
        <v>1992</v>
      </c>
      <c r="U685" s="8">
        <f t="shared" si="89"/>
        <v>30</v>
      </c>
      <c r="V685" s="7">
        <v>1992</v>
      </c>
      <c r="W685" t="s">
        <v>665</v>
      </c>
      <c r="X685" s="2">
        <v>0.111</v>
      </c>
      <c r="Y685" s="6">
        <f t="shared" si="86"/>
        <v>2.9630816048690639E-3</v>
      </c>
      <c r="AA685">
        <v>87566621</v>
      </c>
      <c r="AB685">
        <v>24890</v>
      </c>
      <c r="AC685">
        <v>15206424</v>
      </c>
      <c r="AD685" t="s">
        <v>4</v>
      </c>
      <c r="AE685">
        <v>75</v>
      </c>
      <c r="AF685">
        <v>5</v>
      </c>
      <c r="AH685" t="s">
        <v>4156</v>
      </c>
      <c r="AI685" t="s">
        <v>4155</v>
      </c>
      <c r="AJ685" t="s">
        <v>4154</v>
      </c>
      <c r="AK685" t="s">
        <v>4153</v>
      </c>
      <c r="AL685">
        <v>1</v>
      </c>
      <c r="AM685" s="5">
        <f t="shared" si="90"/>
        <v>3.3333333333333333E-2</v>
      </c>
      <c r="AN685" s="4">
        <f t="shared" si="87"/>
        <v>5.0485927047835418E-5</v>
      </c>
      <c r="AO685" s="3"/>
      <c r="AP685">
        <v>0</v>
      </c>
      <c r="AR685" t="s">
        <v>0</v>
      </c>
      <c r="AT685" s="2" t="s">
        <v>16</v>
      </c>
      <c r="AU685" s="1">
        <f t="shared" si="91"/>
        <v>0.20893029015226949</v>
      </c>
      <c r="AV685" s="1">
        <f t="shared" si="92"/>
        <v>0.15067837659584496</v>
      </c>
      <c r="AW685" s="1">
        <f t="shared" si="93"/>
        <v>9.2426463039420384E-2</v>
      </c>
    </row>
    <row r="686" spans="1:49" x14ac:dyDescent="0.2">
      <c r="A686">
        <v>684</v>
      </c>
      <c r="B686" t="s">
        <v>4152</v>
      </c>
      <c r="C686" t="s">
        <v>4151</v>
      </c>
      <c r="F686" t="s">
        <v>4150</v>
      </c>
      <c r="G686" t="s">
        <v>12</v>
      </c>
      <c r="H686" t="s">
        <v>11</v>
      </c>
      <c r="I686" t="s">
        <v>4149</v>
      </c>
      <c r="J686">
        <v>60025555</v>
      </c>
      <c r="K686" t="s">
        <v>2889</v>
      </c>
      <c r="L686" t="s">
        <v>667</v>
      </c>
      <c r="M686" t="s">
        <v>151</v>
      </c>
      <c r="N686">
        <v>3</v>
      </c>
      <c r="O686" t="s">
        <v>4148</v>
      </c>
      <c r="P686" t="s">
        <v>4147</v>
      </c>
      <c r="Q686" t="s">
        <v>4146</v>
      </c>
      <c r="R686" s="7">
        <v>33604</v>
      </c>
      <c r="S686" s="8">
        <f t="shared" si="88"/>
        <v>1992</v>
      </c>
      <c r="T686" s="8">
        <v>1992</v>
      </c>
      <c r="U686" s="8">
        <f t="shared" si="89"/>
        <v>30</v>
      </c>
      <c r="V686" s="7">
        <v>33725</v>
      </c>
      <c r="W686" t="s">
        <v>2873</v>
      </c>
      <c r="X686" s="2">
        <v>1.365</v>
      </c>
      <c r="Y686" s="6">
        <f t="shared" si="86"/>
        <v>3.6437895411227675E-2</v>
      </c>
      <c r="AA686">
        <v>189545</v>
      </c>
      <c r="AB686">
        <v>17393</v>
      </c>
      <c r="AC686">
        <v>19399359</v>
      </c>
      <c r="AD686" t="s">
        <v>4</v>
      </c>
      <c r="AE686">
        <v>41</v>
      </c>
      <c r="AF686">
        <v>2</v>
      </c>
      <c r="AH686" t="s">
        <v>4145</v>
      </c>
      <c r="AI686" t="s">
        <v>4144</v>
      </c>
      <c r="AK686" t="s">
        <v>4143</v>
      </c>
      <c r="AL686">
        <v>106</v>
      </c>
      <c r="AM686" s="5">
        <f t="shared" si="90"/>
        <v>3.5333333333333332</v>
      </c>
      <c r="AN686" s="4">
        <f t="shared" si="87"/>
        <v>5.3515082670705537E-3</v>
      </c>
      <c r="AO686" s="3"/>
      <c r="AP686">
        <v>0</v>
      </c>
      <c r="AR686" t="s">
        <v>0</v>
      </c>
      <c r="AT686" s="2" t="s">
        <v>16</v>
      </c>
      <c r="AU686" s="1">
        <f t="shared" si="91"/>
        <v>2.7111979267980537</v>
      </c>
      <c r="AV686" s="1">
        <f t="shared" si="92"/>
        <v>2.0894701839149112</v>
      </c>
      <c r="AW686" s="1">
        <f t="shared" si="93"/>
        <v>1.467742441031769</v>
      </c>
    </row>
    <row r="687" spans="1:49" x14ac:dyDescent="0.2">
      <c r="A687">
        <v>685</v>
      </c>
      <c r="B687" t="s">
        <v>4142</v>
      </c>
      <c r="C687" t="s">
        <v>4141</v>
      </c>
      <c r="F687" t="s">
        <v>4140</v>
      </c>
      <c r="G687" t="s">
        <v>12</v>
      </c>
      <c r="H687" t="s">
        <v>11</v>
      </c>
      <c r="I687" t="s">
        <v>4139</v>
      </c>
      <c r="J687" t="s">
        <v>4129</v>
      </c>
      <c r="K687" t="s">
        <v>4128</v>
      </c>
      <c r="L687" t="s">
        <v>4127</v>
      </c>
      <c r="M687" t="s">
        <v>125</v>
      </c>
      <c r="N687">
        <v>2</v>
      </c>
      <c r="O687" t="s">
        <v>4138</v>
      </c>
      <c r="P687" t="s">
        <v>4137</v>
      </c>
      <c r="Q687" t="s">
        <v>4129</v>
      </c>
      <c r="R687" s="7">
        <v>33604</v>
      </c>
      <c r="S687" s="8">
        <f t="shared" si="88"/>
        <v>1992</v>
      </c>
      <c r="T687" s="8">
        <v>1992</v>
      </c>
      <c r="U687" s="8">
        <f t="shared" si="89"/>
        <v>30</v>
      </c>
      <c r="V687" s="7">
        <v>33725</v>
      </c>
      <c r="W687" t="s">
        <v>2743</v>
      </c>
      <c r="X687" s="2">
        <v>1.6379999999999999</v>
      </c>
      <c r="Y687" s="6">
        <f t="shared" si="86"/>
        <v>4.3725474493473214E-2</v>
      </c>
      <c r="AA687" t="s">
        <v>2742</v>
      </c>
      <c r="AB687">
        <v>17391</v>
      </c>
      <c r="AC687">
        <v>19410476</v>
      </c>
      <c r="AD687" t="s">
        <v>4</v>
      </c>
      <c r="AE687">
        <v>40</v>
      </c>
      <c r="AF687">
        <v>5</v>
      </c>
      <c r="AH687" t="s">
        <v>4136</v>
      </c>
      <c r="AI687" t="s">
        <v>4135</v>
      </c>
      <c r="AK687" t="s">
        <v>4134</v>
      </c>
      <c r="AL687">
        <v>148</v>
      </c>
      <c r="AM687" s="5">
        <f t="shared" si="90"/>
        <v>4.9333333333333336</v>
      </c>
      <c r="AN687" s="4">
        <f t="shared" si="87"/>
        <v>7.4719172030796423E-3</v>
      </c>
      <c r="AO687" s="3"/>
      <c r="AP687">
        <v>0</v>
      </c>
      <c r="AR687" t="s">
        <v>0</v>
      </c>
      <c r="AT687" s="2">
        <v>4.931</v>
      </c>
      <c r="AU687" s="1">
        <f t="shared" si="91"/>
        <v>3.2849407306355141</v>
      </c>
      <c r="AV687" s="1">
        <f t="shared" si="92"/>
        <v>2.5598695848276432</v>
      </c>
      <c r="AW687" s="1">
        <f t="shared" si="93"/>
        <v>1.8347984390197711</v>
      </c>
    </row>
    <row r="688" spans="1:49" x14ac:dyDescent="0.2">
      <c r="A688">
        <v>686</v>
      </c>
      <c r="B688" t="s">
        <v>4133</v>
      </c>
      <c r="C688" t="s">
        <v>4132</v>
      </c>
      <c r="F688" t="s">
        <v>4131</v>
      </c>
      <c r="G688" t="s">
        <v>12</v>
      </c>
      <c r="H688" t="s">
        <v>11</v>
      </c>
      <c r="I688" t="s">
        <v>4130</v>
      </c>
      <c r="J688" t="s">
        <v>4129</v>
      </c>
      <c r="K688" t="s">
        <v>4128</v>
      </c>
      <c r="L688" t="s">
        <v>4127</v>
      </c>
      <c r="M688" t="s">
        <v>125</v>
      </c>
      <c r="N688">
        <v>2</v>
      </c>
      <c r="O688" t="s">
        <v>4126</v>
      </c>
      <c r="P688" t="s">
        <v>4125</v>
      </c>
      <c r="Q688" t="s">
        <v>4124</v>
      </c>
      <c r="R688" s="7">
        <v>33604</v>
      </c>
      <c r="S688" s="8">
        <f t="shared" si="88"/>
        <v>1992</v>
      </c>
      <c r="T688" s="8">
        <v>1992</v>
      </c>
      <c r="U688" s="8">
        <f t="shared" si="89"/>
        <v>30</v>
      </c>
      <c r="V688" s="7">
        <v>33725</v>
      </c>
      <c r="W688" t="s">
        <v>2743</v>
      </c>
      <c r="X688" s="2">
        <v>1.6379999999999999</v>
      </c>
      <c r="Y688" s="6">
        <f t="shared" si="86"/>
        <v>4.3725474493473214E-2</v>
      </c>
      <c r="AA688" t="s">
        <v>2742</v>
      </c>
      <c r="AB688">
        <v>17391</v>
      </c>
      <c r="AC688">
        <v>19410476</v>
      </c>
      <c r="AD688" t="s">
        <v>4</v>
      </c>
      <c r="AE688">
        <v>40</v>
      </c>
      <c r="AF688">
        <v>5</v>
      </c>
      <c r="AH688" t="s">
        <v>4123</v>
      </c>
      <c r="AI688" t="s">
        <v>4122</v>
      </c>
      <c r="AK688" t="s">
        <v>4121</v>
      </c>
      <c r="AL688">
        <v>96</v>
      </c>
      <c r="AM688" s="5">
        <f t="shared" si="90"/>
        <v>3.2</v>
      </c>
      <c r="AN688" s="4">
        <f t="shared" si="87"/>
        <v>4.8466489965922005E-3</v>
      </c>
      <c r="AO688" s="3"/>
      <c r="AP688">
        <v>0</v>
      </c>
      <c r="AR688" t="s">
        <v>0</v>
      </c>
      <c r="AT688" s="2">
        <v>4.931</v>
      </c>
      <c r="AU688" s="1">
        <f t="shared" si="91"/>
        <v>3.2061826844408907</v>
      </c>
      <c r="AV688" s="1">
        <f t="shared" si="92"/>
        <v>2.4286061745032708</v>
      </c>
      <c r="AW688" s="1">
        <f t="shared" si="93"/>
        <v>1.6510296645656504</v>
      </c>
    </row>
    <row r="689" spans="1:49" x14ac:dyDescent="0.2">
      <c r="A689">
        <v>687</v>
      </c>
      <c r="B689" t="s">
        <v>4120</v>
      </c>
      <c r="C689" t="s">
        <v>4119</v>
      </c>
      <c r="F689" t="s">
        <v>4118</v>
      </c>
      <c r="G689" t="s">
        <v>12</v>
      </c>
      <c r="H689" t="s">
        <v>11</v>
      </c>
      <c r="I689" t="s">
        <v>4117</v>
      </c>
      <c r="J689" t="s">
        <v>4116</v>
      </c>
      <c r="K689" t="s">
        <v>4115</v>
      </c>
      <c r="L689" t="s">
        <v>4114</v>
      </c>
      <c r="M689" t="s">
        <v>125</v>
      </c>
      <c r="N689">
        <v>5</v>
      </c>
      <c r="O689" t="s">
        <v>4113</v>
      </c>
      <c r="P689" t="s">
        <v>4112</v>
      </c>
      <c r="Q689" t="s">
        <v>4111</v>
      </c>
      <c r="R689" s="7">
        <v>33604</v>
      </c>
      <c r="S689" s="8">
        <f t="shared" si="88"/>
        <v>1992</v>
      </c>
      <c r="T689" s="8">
        <v>1992</v>
      </c>
      <c r="U689" s="8">
        <f t="shared" si="89"/>
        <v>30</v>
      </c>
      <c r="V689" s="7" t="s">
        <v>350</v>
      </c>
      <c r="W689" t="s">
        <v>3960</v>
      </c>
      <c r="X689" s="2">
        <v>0.251</v>
      </c>
      <c r="Y689" s="6">
        <f t="shared" si="86"/>
        <v>6.7003016470462617E-3</v>
      </c>
      <c r="AA689">
        <v>207217</v>
      </c>
      <c r="AB689">
        <v>26145</v>
      </c>
      <c r="AC689">
        <v>13623060</v>
      </c>
      <c r="AD689" t="s">
        <v>4</v>
      </c>
      <c r="AE689">
        <v>72</v>
      </c>
      <c r="AF689" s="9">
        <v>44352</v>
      </c>
      <c r="AH689" t="s">
        <v>4110</v>
      </c>
      <c r="AI689" t="s">
        <v>4109</v>
      </c>
      <c r="AK689" t="s">
        <v>4108</v>
      </c>
      <c r="AL689">
        <v>14</v>
      </c>
      <c r="AM689" s="5">
        <f t="shared" si="90"/>
        <v>0.46666666666666667</v>
      </c>
      <c r="AN689" s="4">
        <f t="shared" si="87"/>
        <v>7.0680297866969582E-4</v>
      </c>
      <c r="AO689" s="3"/>
      <c r="AP689">
        <v>0</v>
      </c>
      <c r="AQ689" t="s">
        <v>4107</v>
      </c>
      <c r="AR689" t="s">
        <v>0</v>
      </c>
      <c r="AS689" t="s">
        <v>4106</v>
      </c>
      <c r="AT689" s="2">
        <v>1.3360000000000001</v>
      </c>
      <c r="AU689" s="1">
        <f t="shared" si="91"/>
        <v>0.49022520465332914</v>
      </c>
      <c r="AV689" s="1">
        <f t="shared" si="92"/>
        <v>0.37035523128579789</v>
      </c>
      <c r="AW689" s="1">
        <f t="shared" si="93"/>
        <v>0.25048525791826654</v>
      </c>
    </row>
    <row r="690" spans="1:49" x14ac:dyDescent="0.2">
      <c r="A690">
        <v>688</v>
      </c>
      <c r="B690" t="s">
        <v>4105</v>
      </c>
      <c r="C690" t="s">
        <v>4104</v>
      </c>
      <c r="F690" t="s">
        <v>4103</v>
      </c>
      <c r="G690" t="s">
        <v>12</v>
      </c>
      <c r="H690" t="s">
        <v>11</v>
      </c>
      <c r="I690" t="s">
        <v>4102</v>
      </c>
      <c r="J690" t="s">
        <v>4101</v>
      </c>
      <c r="K690" t="s">
        <v>4100</v>
      </c>
      <c r="L690" t="s">
        <v>4099</v>
      </c>
      <c r="M690" t="s">
        <v>931</v>
      </c>
      <c r="N690">
        <v>3</v>
      </c>
      <c r="O690" t="s">
        <v>4098</v>
      </c>
      <c r="P690" t="s">
        <v>4097</v>
      </c>
      <c r="Q690" t="s">
        <v>4096</v>
      </c>
      <c r="R690" s="7">
        <v>33604</v>
      </c>
      <c r="S690" s="8">
        <f t="shared" si="88"/>
        <v>1992</v>
      </c>
      <c r="T690" s="8">
        <v>1992</v>
      </c>
      <c r="U690" s="8">
        <f t="shared" si="89"/>
        <v>30</v>
      </c>
      <c r="V690" s="7">
        <v>1992</v>
      </c>
      <c r="W690" t="s">
        <v>665</v>
      </c>
      <c r="X690" s="2">
        <v>0.111</v>
      </c>
      <c r="Y690" s="6">
        <f t="shared" si="86"/>
        <v>2.9630816048690639E-3</v>
      </c>
      <c r="AA690">
        <v>87566621</v>
      </c>
      <c r="AB690">
        <v>24890</v>
      </c>
      <c r="AC690">
        <v>15206424</v>
      </c>
      <c r="AD690" t="s">
        <v>4</v>
      </c>
      <c r="AE690">
        <v>75</v>
      </c>
      <c r="AF690">
        <v>5</v>
      </c>
      <c r="AH690" t="s">
        <v>4095</v>
      </c>
      <c r="AI690" t="s">
        <v>4094</v>
      </c>
      <c r="AJ690" t="s">
        <v>4093</v>
      </c>
      <c r="AK690" t="s">
        <v>4092</v>
      </c>
      <c r="AL690">
        <v>0</v>
      </c>
      <c r="AM690" s="5">
        <f t="shared" si="90"/>
        <v>0</v>
      </c>
      <c r="AN690" s="4">
        <f t="shared" si="87"/>
        <v>0</v>
      </c>
      <c r="AO690" s="3"/>
      <c r="AP690">
        <v>0</v>
      </c>
      <c r="AR690" t="s">
        <v>0</v>
      </c>
      <c r="AT690" s="2" t="s">
        <v>16</v>
      </c>
      <c r="AU690" s="1">
        <f t="shared" si="91"/>
        <v>0.20741571234083445</v>
      </c>
      <c r="AV690" s="1">
        <f t="shared" si="92"/>
        <v>0.1481540802434532</v>
      </c>
      <c r="AW690" s="1">
        <f t="shared" si="93"/>
        <v>8.8892448146071903E-2</v>
      </c>
    </row>
    <row r="691" spans="1:49" x14ac:dyDescent="0.2">
      <c r="A691">
        <v>689</v>
      </c>
      <c r="B691" t="s">
        <v>4091</v>
      </c>
      <c r="C691" t="s">
        <v>4090</v>
      </c>
      <c r="F691" t="s">
        <v>4089</v>
      </c>
      <c r="G691" t="s">
        <v>12</v>
      </c>
      <c r="H691" t="s">
        <v>11</v>
      </c>
      <c r="I691" t="s">
        <v>4088</v>
      </c>
      <c r="J691" t="s">
        <v>4087</v>
      </c>
      <c r="K691" t="s">
        <v>4086</v>
      </c>
      <c r="L691" t="s">
        <v>4085</v>
      </c>
      <c r="M691" t="s">
        <v>904</v>
      </c>
      <c r="N691">
        <v>3</v>
      </c>
      <c r="O691" t="s">
        <v>4084</v>
      </c>
      <c r="P691" t="s">
        <v>4083</v>
      </c>
      <c r="Q691" t="s">
        <v>4082</v>
      </c>
      <c r="R691" s="7">
        <v>33604</v>
      </c>
      <c r="S691" s="8">
        <f t="shared" si="88"/>
        <v>1992</v>
      </c>
      <c r="T691" s="8">
        <v>1992</v>
      </c>
      <c r="U691" s="8">
        <f t="shared" si="89"/>
        <v>30</v>
      </c>
      <c r="V691" s="7">
        <v>33695</v>
      </c>
      <c r="W691" t="s">
        <v>20</v>
      </c>
      <c r="X691" s="2">
        <v>0.94</v>
      </c>
      <c r="Y691" s="6">
        <f t="shared" si="86"/>
        <v>2.5092763140332611E-2</v>
      </c>
      <c r="AA691">
        <v>10518207</v>
      </c>
      <c r="AB691">
        <v>63372</v>
      </c>
      <c r="AD691" t="s">
        <v>4</v>
      </c>
      <c r="AE691">
        <v>2</v>
      </c>
      <c r="AF691">
        <v>4</v>
      </c>
      <c r="AH691" t="s">
        <v>4081</v>
      </c>
      <c r="AI691" t="s">
        <v>4080</v>
      </c>
      <c r="AK691" t="s">
        <v>4079</v>
      </c>
      <c r="AL691">
        <v>13</v>
      </c>
      <c r="AM691" s="5">
        <f t="shared" si="90"/>
        <v>0.43333333333333335</v>
      </c>
      <c r="AN691" s="4">
        <f t="shared" si="87"/>
        <v>6.5631705162186044E-4</v>
      </c>
      <c r="AO691" s="3"/>
      <c r="AP691">
        <v>0</v>
      </c>
      <c r="AR691" t="s">
        <v>0</v>
      </c>
      <c r="AT691" s="2" t="s">
        <v>16</v>
      </c>
      <c r="AU691" s="1">
        <f t="shared" si="91"/>
        <v>1.7761829313719384</v>
      </c>
      <c r="AV691" s="1">
        <f t="shared" si="92"/>
        <v>1.2874540095977236</v>
      </c>
      <c r="AW691" s="1">
        <f t="shared" si="93"/>
        <v>0.79872508782350848</v>
      </c>
    </row>
    <row r="692" spans="1:49" x14ac:dyDescent="0.2">
      <c r="A692">
        <v>690</v>
      </c>
      <c r="B692" t="s">
        <v>4078</v>
      </c>
      <c r="C692" t="s">
        <v>4077</v>
      </c>
      <c r="F692" t="s">
        <v>4076</v>
      </c>
      <c r="G692" t="s">
        <v>12</v>
      </c>
      <c r="H692" t="s">
        <v>11</v>
      </c>
      <c r="I692" t="s">
        <v>4075</v>
      </c>
      <c r="J692" t="s">
        <v>4071</v>
      </c>
      <c r="K692" t="s">
        <v>4074</v>
      </c>
      <c r="L692" t="s">
        <v>3210</v>
      </c>
      <c r="M692" t="s">
        <v>931</v>
      </c>
      <c r="N692">
        <v>2</v>
      </c>
      <c r="O692" t="s">
        <v>4073</v>
      </c>
      <c r="P692" t="s">
        <v>4072</v>
      </c>
      <c r="Q692" t="s">
        <v>4071</v>
      </c>
      <c r="R692" s="7">
        <v>33604</v>
      </c>
      <c r="S692" s="8">
        <f t="shared" si="88"/>
        <v>1992</v>
      </c>
      <c r="T692" s="8">
        <v>1992</v>
      </c>
      <c r="U692" s="8">
        <f t="shared" si="89"/>
        <v>30</v>
      </c>
      <c r="V692" s="7">
        <v>1992</v>
      </c>
      <c r="W692" t="s">
        <v>2799</v>
      </c>
      <c r="X692" s="2">
        <v>0.88100000000000001</v>
      </c>
      <c r="Y692" s="6">
        <f t="shared" si="86"/>
        <v>2.3517791836843653E-2</v>
      </c>
      <c r="AA692">
        <v>10459243</v>
      </c>
      <c r="AB692">
        <v>17248</v>
      </c>
      <c r="AD692" t="s">
        <v>4</v>
      </c>
      <c r="AE692">
        <v>34</v>
      </c>
      <c r="AF692">
        <v>2</v>
      </c>
      <c r="AH692" t="s">
        <v>4070</v>
      </c>
      <c r="AL692">
        <v>1</v>
      </c>
      <c r="AM692" s="5">
        <f t="shared" si="90"/>
        <v>3.3333333333333333E-2</v>
      </c>
      <c r="AN692" s="4">
        <f t="shared" si="87"/>
        <v>5.0485927047835418E-5</v>
      </c>
      <c r="AO692" s="3"/>
      <c r="AP692">
        <v>0</v>
      </c>
      <c r="AR692" t="s">
        <v>0</v>
      </c>
      <c r="AT692" s="2" t="s">
        <v>16</v>
      </c>
      <c r="AU692" s="1">
        <f t="shared" si="91"/>
        <v>1.6477600063904907</v>
      </c>
      <c r="AV692" s="1">
        <f t="shared" si="92"/>
        <v>1.1784138881945743</v>
      </c>
      <c r="AW692" s="1">
        <f t="shared" si="93"/>
        <v>0.70906776999865806</v>
      </c>
    </row>
    <row r="693" spans="1:49" x14ac:dyDescent="0.2">
      <c r="A693">
        <v>691</v>
      </c>
      <c r="B693" t="s">
        <v>4069</v>
      </c>
      <c r="C693" t="s">
        <v>4068</v>
      </c>
      <c r="F693" t="s">
        <v>4067</v>
      </c>
      <c r="G693" t="s">
        <v>12</v>
      </c>
      <c r="H693" t="s">
        <v>11</v>
      </c>
      <c r="I693" t="s">
        <v>4066</v>
      </c>
      <c r="J693">
        <v>60025063</v>
      </c>
      <c r="K693" t="s">
        <v>4065</v>
      </c>
      <c r="L693" t="s">
        <v>4064</v>
      </c>
      <c r="M693" t="s">
        <v>367</v>
      </c>
      <c r="N693">
        <v>2</v>
      </c>
      <c r="O693" t="s">
        <v>4063</v>
      </c>
      <c r="P693" t="s">
        <v>4062</v>
      </c>
      <c r="Q693" t="s">
        <v>4061</v>
      </c>
      <c r="R693" s="7">
        <v>33604</v>
      </c>
      <c r="S693" s="8">
        <f t="shared" si="88"/>
        <v>1992</v>
      </c>
      <c r="T693" s="8">
        <v>1992</v>
      </c>
      <c r="U693" s="8">
        <f t="shared" si="89"/>
        <v>30</v>
      </c>
      <c r="V693" s="7" t="s">
        <v>3911</v>
      </c>
      <c r="W693" s="11" t="s">
        <v>2692</v>
      </c>
      <c r="X693" s="2">
        <v>2.383</v>
      </c>
      <c r="Y693" s="6">
        <f t="shared" si="86"/>
        <v>6.3612824003630442E-2</v>
      </c>
      <c r="AA693" t="s">
        <v>2691</v>
      </c>
      <c r="AB693">
        <v>101151</v>
      </c>
      <c r="AD693" t="s">
        <v>4</v>
      </c>
      <c r="AE693">
        <v>139</v>
      </c>
      <c r="AF693">
        <v>2</v>
      </c>
      <c r="AH693" t="s">
        <v>4060</v>
      </c>
      <c r="AI693" t="s">
        <v>4059</v>
      </c>
      <c r="AK693" t="s">
        <v>4058</v>
      </c>
      <c r="AL693">
        <v>12</v>
      </c>
      <c r="AM693" s="5">
        <f t="shared" si="90"/>
        <v>0.4</v>
      </c>
      <c r="AN693" s="4">
        <f t="shared" si="87"/>
        <v>6.0583112457402507E-4</v>
      </c>
      <c r="AO693" s="3"/>
      <c r="AP693">
        <v>0</v>
      </c>
      <c r="AR693" t="s">
        <v>0</v>
      </c>
      <c r="AT693" s="2" t="s">
        <v>16</v>
      </c>
      <c r="AU693" s="1">
        <f t="shared" si="91"/>
        <v>4.4710726139913515</v>
      </c>
      <c r="AV693" s="1">
        <f t="shared" si="92"/>
        <v>3.210932756410223</v>
      </c>
      <c r="AW693" s="1">
        <f t="shared" si="93"/>
        <v>1.950792898829095</v>
      </c>
    </row>
    <row r="694" spans="1:49" x14ac:dyDescent="0.2">
      <c r="A694">
        <v>692</v>
      </c>
      <c r="B694" t="s">
        <v>4057</v>
      </c>
      <c r="C694" t="s">
        <v>4056</v>
      </c>
      <c r="F694" t="s">
        <v>4055</v>
      </c>
      <c r="G694" t="s">
        <v>12</v>
      </c>
      <c r="H694" t="s">
        <v>11</v>
      </c>
      <c r="I694" t="s">
        <v>4054</v>
      </c>
      <c r="J694">
        <v>60026717</v>
      </c>
      <c r="K694" t="s">
        <v>2909</v>
      </c>
      <c r="L694" t="s">
        <v>2908</v>
      </c>
      <c r="M694" t="s">
        <v>7</v>
      </c>
      <c r="N694">
        <v>2</v>
      </c>
      <c r="O694" t="s">
        <v>4053</v>
      </c>
      <c r="P694" t="s">
        <v>4052</v>
      </c>
      <c r="Q694" t="s">
        <v>4051</v>
      </c>
      <c r="R694" s="7">
        <v>33604</v>
      </c>
      <c r="S694" s="8">
        <f t="shared" si="88"/>
        <v>1992</v>
      </c>
      <c r="T694" s="8">
        <v>1992</v>
      </c>
      <c r="U694" s="8">
        <f t="shared" si="89"/>
        <v>30</v>
      </c>
      <c r="V694" s="7">
        <v>33695</v>
      </c>
      <c r="W694" t="s">
        <v>20</v>
      </c>
      <c r="X694" s="2">
        <v>0.94</v>
      </c>
      <c r="Y694" s="6">
        <f t="shared" si="86"/>
        <v>2.5092763140332611E-2</v>
      </c>
      <c r="AA694">
        <v>10518207</v>
      </c>
      <c r="AB694">
        <v>63372</v>
      </c>
      <c r="AD694" t="s">
        <v>4</v>
      </c>
      <c r="AE694">
        <v>2</v>
      </c>
      <c r="AF694">
        <v>4</v>
      </c>
      <c r="AH694" t="s">
        <v>4050</v>
      </c>
      <c r="AI694" t="s">
        <v>4049</v>
      </c>
      <c r="AK694" t="s">
        <v>4048</v>
      </c>
      <c r="AL694">
        <v>34</v>
      </c>
      <c r="AM694" s="5">
        <f t="shared" si="90"/>
        <v>1.1333333333333333</v>
      </c>
      <c r="AN694" s="4">
        <f t="shared" si="87"/>
        <v>1.7165215196264041E-3</v>
      </c>
      <c r="AO694" s="3"/>
      <c r="AP694">
        <v>0</v>
      </c>
      <c r="AR694" t="s">
        <v>0</v>
      </c>
      <c r="AT694" s="2" t="s">
        <v>16</v>
      </c>
      <c r="AU694" s="1">
        <f t="shared" si="91"/>
        <v>1.8079890654120749</v>
      </c>
      <c r="AV694" s="1">
        <f t="shared" si="92"/>
        <v>1.3404642329979506</v>
      </c>
      <c r="AW694" s="1">
        <f t="shared" si="93"/>
        <v>0.87293940058382657</v>
      </c>
    </row>
    <row r="695" spans="1:49" x14ac:dyDescent="0.2">
      <c r="A695">
        <v>693</v>
      </c>
      <c r="B695" t="s">
        <v>4047</v>
      </c>
      <c r="C695" t="s">
        <v>4046</v>
      </c>
      <c r="F695" t="s">
        <v>4045</v>
      </c>
      <c r="G695" t="s">
        <v>12</v>
      </c>
      <c r="H695" t="s">
        <v>11</v>
      </c>
      <c r="I695" t="s">
        <v>4044</v>
      </c>
      <c r="J695">
        <v>101921474</v>
      </c>
      <c r="K695" t="s">
        <v>4043</v>
      </c>
      <c r="L695" t="s">
        <v>667</v>
      </c>
      <c r="M695" t="s">
        <v>151</v>
      </c>
      <c r="N695">
        <v>1</v>
      </c>
      <c r="O695" t="s">
        <v>4042</v>
      </c>
      <c r="P695">
        <v>7102095092</v>
      </c>
      <c r="Q695">
        <v>101921474</v>
      </c>
      <c r="R695" s="7">
        <v>33604</v>
      </c>
      <c r="S695" s="8">
        <f t="shared" si="88"/>
        <v>1992</v>
      </c>
      <c r="T695" s="8">
        <v>1992</v>
      </c>
      <c r="U695" s="8">
        <f t="shared" si="89"/>
        <v>30</v>
      </c>
      <c r="V695" s="7">
        <v>1992</v>
      </c>
      <c r="W695" t="s">
        <v>665</v>
      </c>
      <c r="X695" s="2">
        <v>0.111</v>
      </c>
      <c r="Y695" s="6">
        <f t="shared" si="86"/>
        <v>2.9630816048690639E-3</v>
      </c>
      <c r="AA695">
        <v>87566621</v>
      </c>
      <c r="AB695">
        <v>24890</v>
      </c>
      <c r="AC695">
        <v>15206424</v>
      </c>
      <c r="AD695" t="s">
        <v>4</v>
      </c>
      <c r="AE695">
        <v>75</v>
      </c>
      <c r="AF695">
        <v>4</v>
      </c>
      <c r="AH695" t="s">
        <v>4041</v>
      </c>
      <c r="AI695" t="s">
        <v>4040</v>
      </c>
      <c r="AJ695" t="s">
        <v>4039</v>
      </c>
      <c r="AK695" t="s">
        <v>4038</v>
      </c>
      <c r="AL695">
        <v>0</v>
      </c>
      <c r="AM695" s="5">
        <f t="shared" si="90"/>
        <v>0</v>
      </c>
      <c r="AN695" s="4">
        <f t="shared" si="87"/>
        <v>0</v>
      </c>
      <c r="AO695" s="3"/>
      <c r="AP695">
        <v>0</v>
      </c>
      <c r="AR695" t="s">
        <v>0</v>
      </c>
      <c r="AT695" s="2" t="s">
        <v>16</v>
      </c>
      <c r="AU695" s="1">
        <f t="shared" si="91"/>
        <v>0.20741571234083445</v>
      </c>
      <c r="AV695" s="1">
        <f t="shared" si="92"/>
        <v>0.1481540802434532</v>
      </c>
      <c r="AW695" s="1">
        <f t="shared" si="93"/>
        <v>8.8892448146071903E-2</v>
      </c>
    </row>
    <row r="696" spans="1:49" x14ac:dyDescent="0.2">
      <c r="A696">
        <v>694</v>
      </c>
      <c r="B696" t="s">
        <v>4037</v>
      </c>
      <c r="C696" t="s">
        <v>4036</v>
      </c>
      <c r="F696" t="s">
        <v>4035</v>
      </c>
      <c r="G696" t="s">
        <v>12</v>
      </c>
      <c r="H696" t="s">
        <v>11</v>
      </c>
      <c r="I696" t="s">
        <v>4034</v>
      </c>
      <c r="J696">
        <v>60010818</v>
      </c>
      <c r="K696" t="s">
        <v>3191</v>
      </c>
      <c r="L696" t="s">
        <v>3190</v>
      </c>
      <c r="M696" t="s">
        <v>856</v>
      </c>
      <c r="N696">
        <v>3</v>
      </c>
      <c r="O696" t="s">
        <v>4033</v>
      </c>
      <c r="P696" t="s">
        <v>4032</v>
      </c>
      <c r="Q696" t="s">
        <v>4031</v>
      </c>
      <c r="R696" s="7">
        <v>33604</v>
      </c>
      <c r="S696" s="8">
        <f t="shared" si="88"/>
        <v>1992</v>
      </c>
      <c r="T696" s="8">
        <v>1992</v>
      </c>
      <c r="U696" s="8">
        <f t="shared" si="89"/>
        <v>30</v>
      </c>
      <c r="V696" s="7" t="s">
        <v>3911</v>
      </c>
      <c r="W696" s="11" t="s">
        <v>2692</v>
      </c>
      <c r="X696" s="2">
        <v>2.383</v>
      </c>
      <c r="Y696" s="6">
        <f t="shared" si="86"/>
        <v>6.3612824003630442E-2</v>
      </c>
      <c r="AA696" t="s">
        <v>2691</v>
      </c>
      <c r="AB696">
        <v>101151</v>
      </c>
      <c r="AD696" t="s">
        <v>4</v>
      </c>
      <c r="AE696">
        <v>139</v>
      </c>
      <c r="AF696">
        <v>2</v>
      </c>
      <c r="AH696" t="s">
        <v>3453</v>
      </c>
      <c r="AI696" t="s">
        <v>4030</v>
      </c>
      <c r="AK696" t="s">
        <v>4029</v>
      </c>
      <c r="AL696">
        <v>3</v>
      </c>
      <c r="AM696" s="5">
        <f t="shared" si="90"/>
        <v>0.1</v>
      </c>
      <c r="AN696" s="4">
        <f t="shared" si="87"/>
        <v>1.5145778114350627E-4</v>
      </c>
      <c r="AO696" s="3"/>
      <c r="AP696">
        <v>0</v>
      </c>
      <c r="AR696" t="s">
        <v>0</v>
      </c>
      <c r="AT696" s="2" t="s">
        <v>16</v>
      </c>
      <c r="AU696" s="1">
        <f t="shared" si="91"/>
        <v>4.4574414136884357</v>
      </c>
      <c r="AV696" s="1">
        <f t="shared" si="92"/>
        <v>3.1882140892386972</v>
      </c>
      <c r="AW696" s="1">
        <f t="shared" si="93"/>
        <v>1.9189867647889589</v>
      </c>
    </row>
    <row r="697" spans="1:49" x14ac:dyDescent="0.2">
      <c r="A697">
        <v>695</v>
      </c>
      <c r="B697" t="s">
        <v>4028</v>
      </c>
      <c r="C697" t="s">
        <v>4027</v>
      </c>
      <c r="F697" t="s">
        <v>4026</v>
      </c>
      <c r="G697" t="s">
        <v>12</v>
      </c>
      <c r="H697" t="s">
        <v>11</v>
      </c>
      <c r="I697" t="s">
        <v>4025</v>
      </c>
      <c r="J697">
        <v>60027012</v>
      </c>
      <c r="K697" t="s">
        <v>4024</v>
      </c>
      <c r="L697" t="s">
        <v>4023</v>
      </c>
      <c r="M697" t="s">
        <v>503</v>
      </c>
      <c r="N697">
        <v>2</v>
      </c>
      <c r="O697" t="s">
        <v>4022</v>
      </c>
      <c r="P697" t="s">
        <v>4021</v>
      </c>
      <c r="Q697" t="s">
        <v>4020</v>
      </c>
      <c r="R697" s="7">
        <v>33604</v>
      </c>
      <c r="S697" s="8">
        <f t="shared" si="88"/>
        <v>1992</v>
      </c>
      <c r="T697" s="8">
        <v>1992</v>
      </c>
      <c r="U697" s="8">
        <f t="shared" si="89"/>
        <v>30</v>
      </c>
      <c r="V697" s="7" t="s">
        <v>3911</v>
      </c>
      <c r="W697" s="11" t="s">
        <v>2692</v>
      </c>
      <c r="X697" s="2">
        <v>2.383</v>
      </c>
      <c r="Y697" s="6">
        <f t="shared" si="86"/>
        <v>6.3612824003630442E-2</v>
      </c>
      <c r="AA697" t="s">
        <v>2691</v>
      </c>
      <c r="AB697">
        <v>101151</v>
      </c>
      <c r="AD697" t="s">
        <v>4</v>
      </c>
      <c r="AE697">
        <v>139</v>
      </c>
      <c r="AF697">
        <v>2</v>
      </c>
      <c r="AH697" t="s">
        <v>4019</v>
      </c>
      <c r="AI697" t="s">
        <v>4018</v>
      </c>
      <c r="AK697" t="s">
        <v>4017</v>
      </c>
      <c r="AL697">
        <v>12</v>
      </c>
      <c r="AM697" s="5">
        <f t="shared" si="90"/>
        <v>0.4</v>
      </c>
      <c r="AN697" s="4">
        <f t="shared" si="87"/>
        <v>6.0583112457402507E-4</v>
      </c>
      <c r="AO697" s="3"/>
      <c r="AP697">
        <v>0</v>
      </c>
      <c r="AR697" t="s">
        <v>0</v>
      </c>
      <c r="AT697" s="2" t="s">
        <v>16</v>
      </c>
      <c r="AU697" s="1">
        <f t="shared" si="91"/>
        <v>4.4710726139913515</v>
      </c>
      <c r="AV697" s="1">
        <f t="shared" si="92"/>
        <v>3.210932756410223</v>
      </c>
      <c r="AW697" s="1">
        <f t="shared" si="93"/>
        <v>1.950792898829095</v>
      </c>
    </row>
    <row r="698" spans="1:49" x14ac:dyDescent="0.2">
      <c r="A698">
        <v>696</v>
      </c>
      <c r="B698" t="s">
        <v>4016</v>
      </c>
      <c r="C698" t="s">
        <v>4015</v>
      </c>
      <c r="F698" t="s">
        <v>4014</v>
      </c>
      <c r="G698" t="s">
        <v>12</v>
      </c>
      <c r="H698" t="s">
        <v>11</v>
      </c>
      <c r="I698" t="s">
        <v>4013</v>
      </c>
      <c r="J698">
        <v>60018784</v>
      </c>
      <c r="K698" t="s">
        <v>4012</v>
      </c>
      <c r="L698" t="s">
        <v>4011</v>
      </c>
      <c r="M698" t="s">
        <v>7</v>
      </c>
      <c r="N698">
        <v>5</v>
      </c>
      <c r="O698" t="s">
        <v>4010</v>
      </c>
      <c r="P698" t="s">
        <v>4009</v>
      </c>
      <c r="Q698" t="s">
        <v>4008</v>
      </c>
      <c r="R698" s="7">
        <v>33604</v>
      </c>
      <c r="S698" s="8">
        <f t="shared" si="88"/>
        <v>1992</v>
      </c>
      <c r="T698" s="8">
        <v>1992</v>
      </c>
      <c r="U698" s="8">
        <f t="shared" si="89"/>
        <v>30</v>
      </c>
      <c r="V698" s="7" t="s">
        <v>3911</v>
      </c>
      <c r="W698" t="s">
        <v>4007</v>
      </c>
      <c r="X698" s="2">
        <v>0.442</v>
      </c>
      <c r="Y698" s="6">
        <f t="shared" si="86"/>
        <v>1.1798937561730867E-2</v>
      </c>
      <c r="AA698">
        <v>28711</v>
      </c>
      <c r="AB698">
        <v>13106</v>
      </c>
      <c r="AD698" t="s">
        <v>4</v>
      </c>
      <c r="AE698">
        <v>37</v>
      </c>
      <c r="AF698">
        <v>2</v>
      </c>
      <c r="AH698" s="9">
        <v>44472</v>
      </c>
      <c r="AI698" t="s">
        <v>4006</v>
      </c>
      <c r="AK698" t="s">
        <v>4005</v>
      </c>
      <c r="AL698">
        <v>2</v>
      </c>
      <c r="AM698" s="5">
        <f t="shared" si="90"/>
        <v>6.6666666666666666E-2</v>
      </c>
      <c r="AN698" s="4">
        <f t="shared" si="87"/>
        <v>1.0097185409567084E-4</v>
      </c>
      <c r="AO698" s="3"/>
      <c r="AP698">
        <v>0</v>
      </c>
      <c r="AR698" t="s">
        <v>0</v>
      </c>
      <c r="AT698" s="2" t="s">
        <v>16</v>
      </c>
      <c r="AU698" s="1">
        <f t="shared" si="91"/>
        <v>0.82895478494403096</v>
      </c>
      <c r="AV698" s="1">
        <f t="shared" si="92"/>
        <v>0.59499547079132686</v>
      </c>
      <c r="AW698" s="1">
        <f t="shared" si="93"/>
        <v>0.36103615663862293</v>
      </c>
    </row>
    <row r="699" spans="1:49" x14ac:dyDescent="0.2">
      <c r="A699">
        <v>697</v>
      </c>
      <c r="B699" t="s">
        <v>4004</v>
      </c>
      <c r="C699" t="s">
        <v>4003</v>
      </c>
      <c r="F699" t="s">
        <v>4002</v>
      </c>
      <c r="G699" t="s">
        <v>12</v>
      </c>
      <c r="H699" t="s">
        <v>11</v>
      </c>
      <c r="I699" t="s">
        <v>4001</v>
      </c>
      <c r="J699">
        <v>100467377</v>
      </c>
      <c r="K699" t="s">
        <v>4000</v>
      </c>
      <c r="L699" t="s">
        <v>3999</v>
      </c>
      <c r="M699" t="s">
        <v>856</v>
      </c>
      <c r="N699">
        <v>1</v>
      </c>
      <c r="O699" t="s">
        <v>3998</v>
      </c>
      <c r="P699">
        <v>7202029313</v>
      </c>
      <c r="Q699">
        <v>100467377</v>
      </c>
      <c r="R699" s="7">
        <v>33604</v>
      </c>
      <c r="S699" s="8">
        <f t="shared" si="88"/>
        <v>1992</v>
      </c>
      <c r="T699" s="8">
        <v>1992</v>
      </c>
      <c r="U699" s="8">
        <f t="shared" si="89"/>
        <v>30</v>
      </c>
      <c r="V699" s="7">
        <v>33695</v>
      </c>
      <c r="W699" t="s">
        <v>599</v>
      </c>
      <c r="X699" s="2">
        <v>0.375</v>
      </c>
      <c r="Y699" s="6">
        <f t="shared" si="86"/>
        <v>1.0010410827260351E-2</v>
      </c>
      <c r="AA699">
        <v>135194</v>
      </c>
      <c r="AB699">
        <v>24918</v>
      </c>
      <c r="AD699" t="s">
        <v>4</v>
      </c>
      <c r="AE699">
        <v>28</v>
      </c>
      <c r="AF699">
        <v>9</v>
      </c>
      <c r="AH699" t="s">
        <v>3997</v>
      </c>
      <c r="AI699" t="s">
        <v>3996</v>
      </c>
      <c r="AJ699" t="s">
        <v>3995</v>
      </c>
      <c r="AK699" t="s">
        <v>3994</v>
      </c>
      <c r="AL699">
        <v>10</v>
      </c>
      <c r="AM699" s="5">
        <f t="shared" si="90"/>
        <v>0.33333333333333331</v>
      </c>
      <c r="AN699" s="4">
        <f t="shared" si="87"/>
        <v>5.048592704783541E-4</v>
      </c>
      <c r="AO699" s="3"/>
      <c r="AP699">
        <v>0</v>
      </c>
      <c r="AR699" t="s">
        <v>0</v>
      </c>
      <c r="AT699" s="2">
        <v>1.3140000000000001</v>
      </c>
      <c r="AU699" s="1">
        <f t="shared" si="91"/>
        <v>0.71587453602257523</v>
      </c>
      <c r="AV699" s="1">
        <f t="shared" si="92"/>
        <v>0.52576350488693535</v>
      </c>
      <c r="AW699" s="1">
        <f t="shared" si="93"/>
        <v>0.33565247375129531</v>
      </c>
    </row>
    <row r="700" spans="1:49" x14ac:dyDescent="0.2">
      <c r="A700">
        <v>698</v>
      </c>
      <c r="B700" t="s">
        <v>3993</v>
      </c>
      <c r="C700" t="s">
        <v>3992</v>
      </c>
      <c r="F700" t="s">
        <v>3991</v>
      </c>
      <c r="G700" t="s">
        <v>12</v>
      </c>
      <c r="H700" t="s">
        <v>11</v>
      </c>
      <c r="I700" t="s">
        <v>3990</v>
      </c>
      <c r="J700">
        <v>60002366</v>
      </c>
      <c r="K700" t="s">
        <v>3989</v>
      </c>
      <c r="L700" t="s">
        <v>667</v>
      </c>
      <c r="M700" t="s">
        <v>151</v>
      </c>
      <c r="N700">
        <v>3</v>
      </c>
      <c r="O700" t="s">
        <v>3988</v>
      </c>
      <c r="P700" t="s">
        <v>3987</v>
      </c>
      <c r="Q700" t="s">
        <v>3986</v>
      </c>
      <c r="R700" s="7">
        <v>33604</v>
      </c>
      <c r="S700" s="8">
        <f t="shared" si="88"/>
        <v>1992</v>
      </c>
      <c r="T700" s="8">
        <v>1992</v>
      </c>
      <c r="U700" s="8">
        <f t="shared" si="89"/>
        <v>30</v>
      </c>
      <c r="V700" s="7" t="s">
        <v>3911</v>
      </c>
      <c r="W700" s="11" t="s">
        <v>2589</v>
      </c>
      <c r="X700" s="2">
        <v>2.383</v>
      </c>
      <c r="Y700" s="6">
        <f t="shared" si="86"/>
        <v>6.3612824003630442E-2</v>
      </c>
      <c r="AA700">
        <v>9563776</v>
      </c>
      <c r="AB700">
        <v>68339</v>
      </c>
      <c r="AD700" t="s">
        <v>4</v>
      </c>
      <c r="AE700">
        <v>139</v>
      </c>
      <c r="AF700">
        <v>2</v>
      </c>
      <c r="AH700" t="s">
        <v>3985</v>
      </c>
      <c r="AI700" t="s">
        <v>3984</v>
      </c>
      <c r="AK700" t="s">
        <v>3983</v>
      </c>
      <c r="AL700">
        <v>1</v>
      </c>
      <c r="AM700" s="5">
        <f t="shared" si="90"/>
        <v>3.3333333333333333E-2</v>
      </c>
      <c r="AN700" s="4">
        <f t="shared" si="87"/>
        <v>5.0485927047835418E-5</v>
      </c>
      <c r="AO700" s="3"/>
      <c r="AP700">
        <v>0</v>
      </c>
      <c r="AR700" t="s">
        <v>0</v>
      </c>
      <c r="AT700" s="2" t="s">
        <v>16</v>
      </c>
      <c r="AU700" s="1">
        <f t="shared" si="91"/>
        <v>4.4544122580655658</v>
      </c>
      <c r="AV700" s="1">
        <f t="shared" si="92"/>
        <v>3.1831654965339138</v>
      </c>
      <c r="AW700" s="1">
        <f t="shared" si="93"/>
        <v>1.9119187350022617</v>
      </c>
    </row>
    <row r="701" spans="1:49" x14ac:dyDescent="0.2">
      <c r="A701">
        <v>699</v>
      </c>
      <c r="B701" t="s">
        <v>3982</v>
      </c>
      <c r="C701" t="s">
        <v>3981</v>
      </c>
      <c r="F701" t="s">
        <v>3980</v>
      </c>
      <c r="G701" t="s">
        <v>12</v>
      </c>
      <c r="H701" t="s">
        <v>11</v>
      </c>
      <c r="I701" t="s">
        <v>3979</v>
      </c>
      <c r="J701">
        <v>60017293</v>
      </c>
      <c r="K701" t="s">
        <v>3978</v>
      </c>
      <c r="L701" t="s">
        <v>3977</v>
      </c>
      <c r="M701" t="s">
        <v>338</v>
      </c>
      <c r="N701">
        <v>4</v>
      </c>
      <c r="O701" t="s">
        <v>3976</v>
      </c>
      <c r="P701" t="s">
        <v>3975</v>
      </c>
      <c r="Q701" t="s">
        <v>3974</v>
      </c>
      <c r="R701" s="7">
        <v>33604</v>
      </c>
      <c r="S701" s="8">
        <f t="shared" si="88"/>
        <v>1992</v>
      </c>
      <c r="T701" s="8">
        <v>1992</v>
      </c>
      <c r="U701" s="8">
        <f t="shared" si="89"/>
        <v>30</v>
      </c>
      <c r="V701" s="7" t="s">
        <v>3911</v>
      </c>
      <c r="W701" s="11" t="s">
        <v>2692</v>
      </c>
      <c r="X701" s="2">
        <v>2.383</v>
      </c>
      <c r="Y701" s="6">
        <f t="shared" si="86"/>
        <v>6.3612824003630442E-2</v>
      </c>
      <c r="AA701" t="s">
        <v>2691</v>
      </c>
      <c r="AB701">
        <v>101151</v>
      </c>
      <c r="AD701" t="s">
        <v>4</v>
      </c>
      <c r="AE701">
        <v>139</v>
      </c>
      <c r="AF701">
        <v>2</v>
      </c>
      <c r="AH701" t="s">
        <v>3973</v>
      </c>
      <c r="AI701" t="s">
        <v>3972</v>
      </c>
      <c r="AK701" t="s">
        <v>3971</v>
      </c>
      <c r="AL701">
        <v>8</v>
      </c>
      <c r="AM701" s="5">
        <f t="shared" si="90"/>
        <v>0.26666666666666666</v>
      </c>
      <c r="AN701" s="4">
        <f t="shared" si="87"/>
        <v>4.0388741638268334E-4</v>
      </c>
      <c r="AO701" s="3"/>
      <c r="AP701">
        <v>0</v>
      </c>
      <c r="AR701" t="s">
        <v>0</v>
      </c>
      <c r="AT701" s="2" t="s">
        <v>16</v>
      </c>
      <c r="AU701" s="1">
        <f t="shared" si="91"/>
        <v>4.4650143027456117</v>
      </c>
      <c r="AV701" s="1">
        <f t="shared" si="92"/>
        <v>3.2008355710006562</v>
      </c>
      <c r="AW701" s="1">
        <f t="shared" si="93"/>
        <v>1.9366568392557011</v>
      </c>
    </row>
    <row r="702" spans="1:49" x14ac:dyDescent="0.2">
      <c r="A702">
        <v>700</v>
      </c>
      <c r="B702" t="s">
        <v>3970</v>
      </c>
      <c r="C702" t="s">
        <v>3969</v>
      </c>
      <c r="F702" t="s">
        <v>3968</v>
      </c>
      <c r="G702" t="s">
        <v>12</v>
      </c>
      <c r="H702" t="s">
        <v>11</v>
      </c>
      <c r="I702" t="s">
        <v>3967</v>
      </c>
      <c r="J702" t="s">
        <v>3966</v>
      </c>
      <c r="K702" t="s">
        <v>3965</v>
      </c>
      <c r="L702" t="s">
        <v>3964</v>
      </c>
      <c r="M702" t="s">
        <v>125</v>
      </c>
      <c r="N702">
        <v>3</v>
      </c>
      <c r="O702" t="s">
        <v>3963</v>
      </c>
      <c r="P702" t="s">
        <v>3962</v>
      </c>
      <c r="Q702" t="s">
        <v>3961</v>
      </c>
      <c r="R702" s="7">
        <v>33604</v>
      </c>
      <c r="S702" s="8">
        <f t="shared" si="88"/>
        <v>1992</v>
      </c>
      <c r="T702" s="8">
        <v>1992</v>
      </c>
      <c r="U702" s="8">
        <f t="shared" si="89"/>
        <v>30</v>
      </c>
      <c r="V702" s="7">
        <v>33695</v>
      </c>
      <c r="W702" t="s">
        <v>3960</v>
      </c>
      <c r="X702" s="2">
        <v>0.251</v>
      </c>
      <c r="Y702" s="6">
        <f t="shared" si="86"/>
        <v>6.7003016470462617E-3</v>
      </c>
      <c r="AA702">
        <v>207217</v>
      </c>
      <c r="AB702">
        <v>26145</v>
      </c>
      <c r="AC702">
        <v>13623060</v>
      </c>
      <c r="AD702" t="s">
        <v>4</v>
      </c>
      <c r="AE702">
        <v>72</v>
      </c>
      <c r="AF702">
        <v>4</v>
      </c>
      <c r="AH702" t="s">
        <v>3959</v>
      </c>
      <c r="AI702" t="s">
        <v>3958</v>
      </c>
      <c r="AK702" t="s">
        <v>3957</v>
      </c>
      <c r="AL702">
        <v>3</v>
      </c>
      <c r="AM702" s="5">
        <f t="shared" si="90"/>
        <v>0.1</v>
      </c>
      <c r="AN702" s="4">
        <f t="shared" si="87"/>
        <v>1.5145778114350627E-4</v>
      </c>
      <c r="AO702" s="3"/>
      <c r="AP702">
        <v>0</v>
      </c>
      <c r="AR702" t="s">
        <v>3956</v>
      </c>
      <c r="AT702" s="2">
        <v>1.3360000000000001</v>
      </c>
      <c r="AU702" s="1">
        <f t="shared" si="91"/>
        <v>0.47356484872754345</v>
      </c>
      <c r="AV702" s="1">
        <f t="shared" si="92"/>
        <v>0.34258797140948843</v>
      </c>
      <c r="AW702" s="1">
        <f t="shared" si="93"/>
        <v>0.21161109409143325</v>
      </c>
    </row>
    <row r="703" spans="1:49" x14ac:dyDescent="0.2">
      <c r="A703">
        <v>701</v>
      </c>
      <c r="B703" t="s">
        <v>3955</v>
      </c>
      <c r="C703" t="s">
        <v>3954</v>
      </c>
      <c r="F703" t="s">
        <v>3953</v>
      </c>
      <c r="G703" t="s">
        <v>12</v>
      </c>
      <c r="H703" t="s">
        <v>11</v>
      </c>
      <c r="I703" t="s">
        <v>3952</v>
      </c>
      <c r="J703">
        <v>60030127</v>
      </c>
      <c r="K703" t="s">
        <v>3951</v>
      </c>
      <c r="L703" t="s">
        <v>3950</v>
      </c>
      <c r="M703" t="s">
        <v>856</v>
      </c>
      <c r="N703">
        <v>2</v>
      </c>
      <c r="O703" t="s">
        <v>3949</v>
      </c>
      <c r="P703" t="s">
        <v>3948</v>
      </c>
      <c r="Q703" t="s">
        <v>3947</v>
      </c>
      <c r="R703" s="7">
        <v>33604</v>
      </c>
      <c r="S703" s="8">
        <f t="shared" si="88"/>
        <v>1992</v>
      </c>
      <c r="T703" s="8">
        <v>1992</v>
      </c>
      <c r="U703" s="8">
        <f t="shared" si="89"/>
        <v>30</v>
      </c>
      <c r="V703" s="7" t="s">
        <v>3911</v>
      </c>
      <c r="W703" s="11" t="s">
        <v>2809</v>
      </c>
      <c r="X703" s="2">
        <v>2.383</v>
      </c>
      <c r="Y703" s="6">
        <f t="shared" si="86"/>
        <v>6.3612824003630442E-2</v>
      </c>
      <c r="AA703" t="s">
        <v>2808</v>
      </c>
      <c r="AB703">
        <v>96433</v>
      </c>
      <c r="AD703" t="s">
        <v>4</v>
      </c>
      <c r="AE703">
        <v>139</v>
      </c>
      <c r="AF703">
        <v>2</v>
      </c>
      <c r="AH703" t="s">
        <v>3946</v>
      </c>
      <c r="AI703" t="s">
        <v>3945</v>
      </c>
      <c r="AK703" t="s">
        <v>3944</v>
      </c>
      <c r="AL703">
        <v>421</v>
      </c>
      <c r="AM703" s="5">
        <f t="shared" si="90"/>
        <v>14.033333333333333</v>
      </c>
      <c r="AN703" s="4">
        <f t="shared" si="87"/>
        <v>2.125457528713871E-2</v>
      </c>
      <c r="AO703" s="3"/>
      <c r="AP703">
        <v>0</v>
      </c>
      <c r="AR703" t="s">
        <v>0</v>
      </c>
      <c r="AT703" s="2" t="s">
        <v>16</v>
      </c>
      <c r="AU703" s="1">
        <f t="shared" si="91"/>
        <v>5.0905349388682923</v>
      </c>
      <c r="AV703" s="1">
        <f t="shared" si="92"/>
        <v>4.2433699645384575</v>
      </c>
      <c r="AW703" s="1">
        <f t="shared" si="93"/>
        <v>3.3962049902086227</v>
      </c>
    </row>
    <row r="704" spans="1:49" x14ac:dyDescent="0.2">
      <c r="A704">
        <v>702</v>
      </c>
      <c r="B704" t="s">
        <v>3943</v>
      </c>
      <c r="C704" t="s">
        <v>3942</v>
      </c>
      <c r="F704" t="s">
        <v>3941</v>
      </c>
      <c r="G704" t="s">
        <v>12</v>
      </c>
      <c r="H704" t="s">
        <v>11</v>
      </c>
      <c r="I704" t="s">
        <v>3940</v>
      </c>
      <c r="J704">
        <v>60031544</v>
      </c>
      <c r="K704" t="s">
        <v>3939</v>
      </c>
      <c r="L704" t="s">
        <v>3938</v>
      </c>
      <c r="M704" t="s">
        <v>3937</v>
      </c>
      <c r="N704">
        <v>5</v>
      </c>
      <c r="O704" t="s">
        <v>3936</v>
      </c>
      <c r="P704" t="s">
        <v>3935</v>
      </c>
      <c r="Q704" t="s">
        <v>3934</v>
      </c>
      <c r="R704" s="7">
        <v>33604</v>
      </c>
      <c r="S704" s="8">
        <f t="shared" si="88"/>
        <v>1992</v>
      </c>
      <c r="T704" s="8">
        <v>1992</v>
      </c>
      <c r="U704" s="8">
        <f t="shared" si="89"/>
        <v>30</v>
      </c>
      <c r="V704" s="7">
        <v>33695</v>
      </c>
      <c r="W704" t="s">
        <v>1458</v>
      </c>
      <c r="X704" s="2">
        <v>0.30399999999999999</v>
      </c>
      <c r="Y704" s="6">
        <f t="shared" si="86"/>
        <v>8.115106377299057E-3</v>
      </c>
      <c r="AA704">
        <v>8952477</v>
      </c>
      <c r="AB704">
        <v>12250</v>
      </c>
      <c r="AC704">
        <v>10982760</v>
      </c>
      <c r="AD704" t="s">
        <v>4</v>
      </c>
      <c r="AE704">
        <v>5</v>
      </c>
      <c r="AF704">
        <v>4</v>
      </c>
      <c r="AH704" t="s">
        <v>3933</v>
      </c>
      <c r="AI704" t="s">
        <v>3932</v>
      </c>
      <c r="AJ704" t="s">
        <v>3931</v>
      </c>
      <c r="AK704" t="s">
        <v>3930</v>
      </c>
      <c r="AL704">
        <v>0</v>
      </c>
      <c r="AM704" s="5">
        <f t="shared" si="90"/>
        <v>0</v>
      </c>
      <c r="AN704" s="4">
        <f t="shared" si="87"/>
        <v>0</v>
      </c>
      <c r="AO704" s="3"/>
      <c r="AP704">
        <v>0</v>
      </c>
      <c r="AR704" t="s">
        <v>0</v>
      </c>
      <c r="AT704" s="2" t="s">
        <v>16</v>
      </c>
      <c r="AU704" s="1">
        <f t="shared" si="91"/>
        <v>0.56805744641093392</v>
      </c>
      <c r="AV704" s="1">
        <f t="shared" si="92"/>
        <v>0.40575531886495286</v>
      </c>
      <c r="AW704" s="1">
        <f t="shared" si="93"/>
        <v>0.24345319131897172</v>
      </c>
    </row>
    <row r="705" spans="1:49" x14ac:dyDescent="0.2">
      <c r="A705">
        <v>703</v>
      </c>
      <c r="B705" t="s">
        <v>3929</v>
      </c>
      <c r="C705" t="s">
        <v>3928</v>
      </c>
      <c r="F705" t="s">
        <v>3927</v>
      </c>
      <c r="G705" t="s">
        <v>12</v>
      </c>
      <c r="H705" t="s">
        <v>11</v>
      </c>
      <c r="I705" t="s">
        <v>3926</v>
      </c>
      <c r="J705">
        <v>60000502</v>
      </c>
      <c r="K705" t="s">
        <v>3925</v>
      </c>
      <c r="L705" t="s">
        <v>3924</v>
      </c>
      <c r="M705" t="s">
        <v>1091</v>
      </c>
      <c r="N705">
        <v>1</v>
      </c>
      <c r="O705" t="s">
        <v>3923</v>
      </c>
      <c r="P705">
        <v>6508227812</v>
      </c>
      <c r="Q705">
        <v>60000502</v>
      </c>
      <c r="R705" s="7">
        <v>33604</v>
      </c>
      <c r="S705" s="8">
        <f t="shared" si="88"/>
        <v>1992</v>
      </c>
      <c r="T705" s="8">
        <v>1992</v>
      </c>
      <c r="U705" s="8">
        <f t="shared" si="89"/>
        <v>30</v>
      </c>
      <c r="V705" s="7">
        <v>1992</v>
      </c>
      <c r="W705" t="s">
        <v>2799</v>
      </c>
      <c r="X705" s="2">
        <v>0.88100000000000001</v>
      </c>
      <c r="Y705" s="6">
        <f t="shared" si="86"/>
        <v>2.3517791836843653E-2</v>
      </c>
      <c r="AA705">
        <v>10459243</v>
      </c>
      <c r="AB705">
        <v>17248</v>
      </c>
      <c r="AD705" t="s">
        <v>4</v>
      </c>
      <c r="AE705">
        <v>34</v>
      </c>
      <c r="AF705">
        <v>2</v>
      </c>
      <c r="AH705" s="10">
        <v>42917</v>
      </c>
      <c r="AI705" t="s">
        <v>3922</v>
      </c>
      <c r="AK705" t="s">
        <v>3921</v>
      </c>
      <c r="AL705">
        <v>3</v>
      </c>
      <c r="AM705" s="5">
        <f t="shared" si="90"/>
        <v>0.1</v>
      </c>
      <c r="AN705" s="4">
        <f t="shared" si="87"/>
        <v>1.5145778114350627E-4</v>
      </c>
      <c r="AO705" s="3"/>
      <c r="AP705">
        <v>0</v>
      </c>
      <c r="AR705" t="s">
        <v>0</v>
      </c>
      <c r="AT705" s="2" t="s">
        <v>16</v>
      </c>
      <c r="AU705" s="1">
        <f t="shared" si="91"/>
        <v>1.6507891620133608</v>
      </c>
      <c r="AV705" s="1">
        <f t="shared" si="92"/>
        <v>1.1834624808993579</v>
      </c>
      <c r="AW705" s="1">
        <f t="shared" si="93"/>
        <v>0.71613579978535502</v>
      </c>
    </row>
    <row r="706" spans="1:49" x14ac:dyDescent="0.2">
      <c r="A706">
        <v>704</v>
      </c>
      <c r="B706" t="s">
        <v>3920</v>
      </c>
      <c r="C706" t="s">
        <v>3919</v>
      </c>
      <c r="F706" t="s">
        <v>3918</v>
      </c>
      <c r="G706" t="s">
        <v>12</v>
      </c>
      <c r="H706" t="s">
        <v>11</v>
      </c>
      <c r="I706" t="s">
        <v>3917</v>
      </c>
      <c r="J706">
        <v>60008435</v>
      </c>
      <c r="K706" t="s">
        <v>3916</v>
      </c>
      <c r="L706" t="s">
        <v>3915</v>
      </c>
      <c r="M706" t="s">
        <v>151</v>
      </c>
      <c r="N706">
        <v>2</v>
      </c>
      <c r="O706" t="s">
        <v>3914</v>
      </c>
      <c r="P706" t="s">
        <v>3913</v>
      </c>
      <c r="Q706" t="s">
        <v>3912</v>
      </c>
      <c r="R706" s="7">
        <v>33604</v>
      </c>
      <c r="S706" s="8">
        <f t="shared" si="88"/>
        <v>1992</v>
      </c>
      <c r="T706" s="8">
        <v>1992</v>
      </c>
      <c r="U706" s="8">
        <f t="shared" si="89"/>
        <v>30</v>
      </c>
      <c r="V706" s="7" t="s">
        <v>3911</v>
      </c>
      <c r="W706" s="11" t="s">
        <v>2692</v>
      </c>
      <c r="X706" s="2">
        <v>2.383</v>
      </c>
      <c r="Y706" s="6">
        <f t="shared" ref="Y706:Y769" si="94">(X706-$Z$4)/($Z$3-$Z$4)</f>
        <v>6.3612824003630442E-2</v>
      </c>
      <c r="AA706" t="s">
        <v>2691</v>
      </c>
      <c r="AB706">
        <v>101151</v>
      </c>
      <c r="AD706" t="s">
        <v>4</v>
      </c>
      <c r="AE706">
        <v>139</v>
      </c>
      <c r="AF706">
        <v>2</v>
      </c>
      <c r="AH706" t="s">
        <v>3910</v>
      </c>
      <c r="AI706" t="s">
        <v>3909</v>
      </c>
      <c r="AK706" t="s">
        <v>3908</v>
      </c>
      <c r="AL706">
        <v>9</v>
      </c>
      <c r="AM706" s="5">
        <f t="shared" si="90"/>
        <v>0.3</v>
      </c>
      <c r="AN706" s="4">
        <f t="shared" ref="AN706:AN769" si="95">(AM706-$AO$4)/($AO$3-$AO$4)</f>
        <v>4.5437334343051872E-4</v>
      </c>
      <c r="AO706" s="3"/>
      <c r="AP706">
        <v>0</v>
      </c>
      <c r="AR706" t="s">
        <v>0</v>
      </c>
      <c r="AT706" s="2" t="s">
        <v>16</v>
      </c>
      <c r="AU706" s="1">
        <f t="shared" si="91"/>
        <v>4.4665288805570462</v>
      </c>
      <c r="AV706" s="1">
        <f t="shared" si="92"/>
        <v>3.2033598673530479</v>
      </c>
      <c r="AW706" s="1">
        <f t="shared" si="93"/>
        <v>1.9401908541490498</v>
      </c>
    </row>
    <row r="707" spans="1:49" x14ac:dyDescent="0.2">
      <c r="A707">
        <v>705</v>
      </c>
      <c r="B707" t="s">
        <v>3907</v>
      </c>
      <c r="C707" t="s">
        <v>3906</v>
      </c>
      <c r="F707" t="s">
        <v>3905</v>
      </c>
      <c r="G707" t="s">
        <v>12</v>
      </c>
      <c r="H707" t="s">
        <v>11</v>
      </c>
      <c r="I707" t="s">
        <v>3904</v>
      </c>
      <c r="J707">
        <v>60031126</v>
      </c>
      <c r="K707" t="s">
        <v>2928</v>
      </c>
      <c r="L707" t="s">
        <v>667</v>
      </c>
      <c r="M707" t="s">
        <v>151</v>
      </c>
      <c r="N707">
        <v>1</v>
      </c>
      <c r="O707" t="s">
        <v>3903</v>
      </c>
      <c r="P707">
        <v>7201747933</v>
      </c>
      <c r="Q707">
        <v>60031126</v>
      </c>
      <c r="R707" s="7">
        <v>33604</v>
      </c>
      <c r="S707" s="8">
        <f t="shared" si="88"/>
        <v>1992</v>
      </c>
      <c r="T707" s="8">
        <v>1992</v>
      </c>
      <c r="U707" s="8">
        <f t="shared" si="89"/>
        <v>30</v>
      </c>
      <c r="V707" s="7">
        <v>1992</v>
      </c>
      <c r="W707" t="s">
        <v>2799</v>
      </c>
      <c r="X707" s="2">
        <v>0.88100000000000001</v>
      </c>
      <c r="Y707" s="6">
        <f t="shared" si="94"/>
        <v>2.3517791836843653E-2</v>
      </c>
      <c r="AA707">
        <v>10459243</v>
      </c>
      <c r="AB707">
        <v>17248</v>
      </c>
      <c r="AD707" t="s">
        <v>4</v>
      </c>
      <c r="AE707">
        <v>34</v>
      </c>
      <c r="AF707">
        <v>2</v>
      </c>
      <c r="AH707" t="s">
        <v>3902</v>
      </c>
      <c r="AL707">
        <v>1</v>
      </c>
      <c r="AM707" s="5">
        <f t="shared" si="90"/>
        <v>3.3333333333333333E-2</v>
      </c>
      <c r="AN707" s="4">
        <f t="shared" si="95"/>
        <v>5.0485927047835418E-5</v>
      </c>
      <c r="AO707" s="3"/>
      <c r="AP707">
        <v>0</v>
      </c>
      <c r="AR707" t="s">
        <v>0</v>
      </c>
      <c r="AT707" s="2" t="s">
        <v>16</v>
      </c>
      <c r="AU707" s="1">
        <f t="shared" si="91"/>
        <v>1.6477600063904907</v>
      </c>
      <c r="AV707" s="1">
        <f t="shared" si="92"/>
        <v>1.1784138881945743</v>
      </c>
      <c r="AW707" s="1">
        <f t="shared" si="93"/>
        <v>0.70906776999865806</v>
      </c>
    </row>
    <row r="708" spans="1:49" x14ac:dyDescent="0.2">
      <c r="A708">
        <v>706</v>
      </c>
      <c r="B708" t="s">
        <v>3901</v>
      </c>
      <c r="C708" t="s">
        <v>3900</v>
      </c>
      <c r="F708" t="s">
        <v>3899</v>
      </c>
      <c r="G708" t="s">
        <v>12</v>
      </c>
      <c r="H708" t="s">
        <v>11</v>
      </c>
      <c r="I708" t="s">
        <v>3898</v>
      </c>
      <c r="J708">
        <v>60027271</v>
      </c>
      <c r="K708" t="s">
        <v>1224</v>
      </c>
      <c r="L708" t="s">
        <v>1223</v>
      </c>
      <c r="M708" t="s">
        <v>7</v>
      </c>
      <c r="N708">
        <v>5</v>
      </c>
      <c r="O708" t="s">
        <v>3897</v>
      </c>
      <c r="P708" t="s">
        <v>3896</v>
      </c>
      <c r="Q708" t="s">
        <v>3895</v>
      </c>
      <c r="R708" s="7">
        <v>33604</v>
      </c>
      <c r="S708" s="8">
        <f t="shared" si="88"/>
        <v>1992</v>
      </c>
      <c r="T708" s="8">
        <v>1992</v>
      </c>
      <c r="U708" s="8">
        <f t="shared" si="89"/>
        <v>30</v>
      </c>
      <c r="V708" s="7">
        <v>33695</v>
      </c>
      <c r="W708" t="s">
        <v>599</v>
      </c>
      <c r="X708" s="2">
        <v>0.375</v>
      </c>
      <c r="Y708" s="6">
        <f t="shared" si="94"/>
        <v>1.0010410827260351E-2</v>
      </c>
      <c r="AA708">
        <v>135194</v>
      </c>
      <c r="AB708">
        <v>24918</v>
      </c>
      <c r="AD708" t="s">
        <v>4</v>
      </c>
      <c r="AE708">
        <v>28</v>
      </c>
      <c r="AF708">
        <v>9</v>
      </c>
      <c r="AH708" t="s">
        <v>3894</v>
      </c>
      <c r="AI708" t="s">
        <v>3893</v>
      </c>
      <c r="AJ708" t="s">
        <v>3892</v>
      </c>
      <c r="AK708" t="s">
        <v>3891</v>
      </c>
      <c r="AL708">
        <v>72</v>
      </c>
      <c r="AM708" s="5">
        <f t="shared" si="90"/>
        <v>2.4</v>
      </c>
      <c r="AN708" s="4">
        <f t="shared" si="95"/>
        <v>3.6349867474441497E-3</v>
      </c>
      <c r="AO708" s="3"/>
      <c r="AP708">
        <v>0</v>
      </c>
      <c r="AR708" t="s">
        <v>0</v>
      </c>
      <c r="AT708" s="2">
        <v>1.3140000000000001</v>
      </c>
      <c r="AU708" s="1">
        <f t="shared" si="91"/>
        <v>0.80977836033154904</v>
      </c>
      <c r="AV708" s="1">
        <f t="shared" si="92"/>
        <v>0.68226987873522504</v>
      </c>
      <c r="AW708" s="1">
        <f t="shared" si="93"/>
        <v>0.55476139713890094</v>
      </c>
    </row>
    <row r="709" spans="1:49" x14ac:dyDescent="0.2">
      <c r="A709">
        <v>707</v>
      </c>
      <c r="B709" t="s">
        <v>3890</v>
      </c>
      <c r="C709" t="s">
        <v>3889</v>
      </c>
      <c r="F709" t="s">
        <v>3888</v>
      </c>
      <c r="G709" t="s">
        <v>12</v>
      </c>
      <c r="H709" t="s">
        <v>11</v>
      </c>
      <c r="I709" t="s">
        <v>3887</v>
      </c>
      <c r="J709" t="s">
        <v>3886</v>
      </c>
      <c r="K709" t="s">
        <v>3885</v>
      </c>
      <c r="L709" t="s">
        <v>3884</v>
      </c>
      <c r="M709" t="s">
        <v>125</v>
      </c>
      <c r="N709">
        <v>5</v>
      </c>
      <c r="O709" t="s">
        <v>3883</v>
      </c>
      <c r="P709" t="s">
        <v>3882</v>
      </c>
      <c r="Q709" t="s">
        <v>3881</v>
      </c>
      <c r="R709" s="7">
        <v>33604</v>
      </c>
      <c r="S709" s="8">
        <f t="shared" si="88"/>
        <v>1992</v>
      </c>
      <c r="T709" s="8">
        <v>1992</v>
      </c>
      <c r="U709" s="8">
        <f t="shared" si="89"/>
        <v>30</v>
      </c>
      <c r="V709" s="7">
        <v>1992</v>
      </c>
      <c r="W709" t="s">
        <v>3880</v>
      </c>
      <c r="X709" s="2">
        <v>0.33500000000000002</v>
      </c>
      <c r="Y709" s="6">
        <f t="shared" si="94"/>
        <v>8.94263367235258E-3</v>
      </c>
      <c r="AA709">
        <v>10501827</v>
      </c>
      <c r="AB709">
        <v>78233</v>
      </c>
      <c r="AC709">
        <v>15226301</v>
      </c>
      <c r="AD709" t="s">
        <v>4</v>
      </c>
      <c r="AE709">
        <v>2</v>
      </c>
      <c r="AF709">
        <v>2</v>
      </c>
      <c r="AH709" t="s">
        <v>3879</v>
      </c>
      <c r="AI709" t="s">
        <v>3878</v>
      </c>
      <c r="AK709" t="s">
        <v>3877</v>
      </c>
      <c r="AL709">
        <v>16</v>
      </c>
      <c r="AM709" s="5">
        <f t="shared" si="90"/>
        <v>0.53333333333333333</v>
      </c>
      <c r="AN709" s="4">
        <f t="shared" si="95"/>
        <v>8.0777483276536668E-4</v>
      </c>
      <c r="AO709" s="3"/>
      <c r="AP709">
        <v>0</v>
      </c>
      <c r="AR709" t="s">
        <v>0</v>
      </c>
      <c r="AT709" s="2" t="s">
        <v>16</v>
      </c>
      <c r="AU709" s="1">
        <f t="shared" si="91"/>
        <v>0.65021760204764156</v>
      </c>
      <c r="AV709" s="1">
        <f t="shared" si="92"/>
        <v>0.48752042525589728</v>
      </c>
      <c r="AW709" s="1">
        <f t="shared" si="93"/>
        <v>0.32482324846415306</v>
      </c>
    </row>
    <row r="710" spans="1:49" x14ac:dyDescent="0.2">
      <c r="A710">
        <v>708</v>
      </c>
      <c r="B710" t="s">
        <v>3876</v>
      </c>
      <c r="C710" t="s">
        <v>3875</v>
      </c>
      <c r="F710" t="s">
        <v>3874</v>
      </c>
      <c r="G710" t="s">
        <v>12</v>
      </c>
      <c r="H710" t="s">
        <v>11</v>
      </c>
      <c r="I710" t="s">
        <v>3873</v>
      </c>
      <c r="J710">
        <v>60000891</v>
      </c>
      <c r="K710" t="s">
        <v>3022</v>
      </c>
      <c r="L710" t="s">
        <v>3021</v>
      </c>
      <c r="M710" t="s">
        <v>856</v>
      </c>
      <c r="N710">
        <v>2</v>
      </c>
      <c r="O710" t="s">
        <v>3872</v>
      </c>
      <c r="P710" t="s">
        <v>3871</v>
      </c>
      <c r="Q710" t="s">
        <v>3018</v>
      </c>
      <c r="R710" s="7">
        <v>33604</v>
      </c>
      <c r="S710" s="8">
        <f t="shared" si="88"/>
        <v>1992</v>
      </c>
      <c r="T710" s="8">
        <v>1992</v>
      </c>
      <c r="U710" s="8">
        <f t="shared" si="89"/>
        <v>30</v>
      </c>
      <c r="V710" s="7">
        <v>33695</v>
      </c>
      <c r="W710" t="s">
        <v>599</v>
      </c>
      <c r="X710" s="2">
        <v>0.375</v>
      </c>
      <c r="Y710" s="6">
        <f t="shared" si="94"/>
        <v>1.0010410827260351E-2</v>
      </c>
      <c r="AA710">
        <v>135194</v>
      </c>
      <c r="AB710">
        <v>24918</v>
      </c>
      <c r="AD710" t="s">
        <v>4</v>
      </c>
      <c r="AE710">
        <v>28</v>
      </c>
      <c r="AF710">
        <v>9</v>
      </c>
      <c r="AH710" t="s">
        <v>3870</v>
      </c>
      <c r="AI710" t="s">
        <v>3869</v>
      </c>
      <c r="AJ710" t="s">
        <v>3868</v>
      </c>
      <c r="AK710" t="s">
        <v>3867</v>
      </c>
      <c r="AL710">
        <v>2</v>
      </c>
      <c r="AM710" s="5">
        <f t="shared" si="90"/>
        <v>6.6666666666666666E-2</v>
      </c>
      <c r="AN710" s="4">
        <f t="shared" si="95"/>
        <v>1.0097185409567084E-4</v>
      </c>
      <c r="AO710" s="3"/>
      <c r="AP710">
        <v>0</v>
      </c>
      <c r="AR710" t="s">
        <v>0</v>
      </c>
      <c r="AT710" s="2">
        <v>1.3140000000000001</v>
      </c>
      <c r="AU710" s="1">
        <f t="shared" si="91"/>
        <v>0.70375791353109474</v>
      </c>
      <c r="AV710" s="1">
        <f t="shared" si="92"/>
        <v>0.50556913406780113</v>
      </c>
      <c r="AW710" s="1">
        <f t="shared" si="93"/>
        <v>0.30738035460450747</v>
      </c>
    </row>
    <row r="711" spans="1:49" x14ac:dyDescent="0.2">
      <c r="A711">
        <v>709</v>
      </c>
      <c r="B711" t="s">
        <v>3866</v>
      </c>
      <c r="C711" t="s">
        <v>3865</v>
      </c>
      <c r="F711" t="s">
        <v>3864</v>
      </c>
      <c r="G711" t="s">
        <v>12</v>
      </c>
      <c r="H711" t="s">
        <v>11</v>
      </c>
      <c r="I711" t="s">
        <v>3863</v>
      </c>
      <c r="J711">
        <v>60002947</v>
      </c>
      <c r="K711" t="s">
        <v>3862</v>
      </c>
      <c r="L711" t="s">
        <v>3861</v>
      </c>
      <c r="M711" t="s">
        <v>3860</v>
      </c>
      <c r="N711">
        <v>3</v>
      </c>
      <c r="O711" t="s">
        <v>3859</v>
      </c>
      <c r="P711" t="s">
        <v>3858</v>
      </c>
      <c r="Q711" t="s">
        <v>3857</v>
      </c>
      <c r="R711" s="7">
        <v>33604</v>
      </c>
      <c r="S711" s="8">
        <f t="shared" si="88"/>
        <v>1992</v>
      </c>
      <c r="T711" s="8">
        <v>1992</v>
      </c>
      <c r="U711" s="8">
        <f t="shared" si="89"/>
        <v>30</v>
      </c>
      <c r="V711" s="7" t="s">
        <v>3856</v>
      </c>
      <c r="W711" t="s">
        <v>1403</v>
      </c>
      <c r="X711" s="2">
        <v>0.22500000000000001</v>
      </c>
      <c r="Y711" s="6">
        <f t="shared" si="94"/>
        <v>6.0062464963562111E-3</v>
      </c>
      <c r="AA711">
        <v>2726343</v>
      </c>
      <c r="AB711">
        <v>16128</v>
      </c>
      <c r="AC711" t="s">
        <v>1402</v>
      </c>
      <c r="AD711" t="s">
        <v>4</v>
      </c>
      <c r="AE711">
        <v>12</v>
      </c>
      <c r="AF711">
        <v>2</v>
      </c>
      <c r="AH711" t="s">
        <v>3855</v>
      </c>
      <c r="AI711" t="s">
        <v>3854</v>
      </c>
      <c r="AK711" t="s">
        <v>3853</v>
      </c>
      <c r="AL711">
        <v>7</v>
      </c>
      <c r="AM711" s="5">
        <f t="shared" si="90"/>
        <v>0.23333333333333334</v>
      </c>
      <c r="AN711" s="4">
        <f t="shared" si="95"/>
        <v>3.5340148933484791E-4</v>
      </c>
      <c r="AO711" s="3"/>
      <c r="AP711">
        <v>0</v>
      </c>
      <c r="AR711" t="s">
        <v>0</v>
      </c>
      <c r="AT711" s="2">
        <v>1.099</v>
      </c>
      <c r="AU711" s="1">
        <f t="shared" si="91"/>
        <v>0.4310392994249802</v>
      </c>
      <c r="AV711" s="1">
        <f t="shared" si="92"/>
        <v>0.31798239928455291</v>
      </c>
      <c r="AW711" s="1">
        <f t="shared" si="93"/>
        <v>0.20492549914412567</v>
      </c>
    </row>
    <row r="712" spans="1:49" x14ac:dyDescent="0.2">
      <c r="A712">
        <v>710</v>
      </c>
      <c r="B712" t="s">
        <v>3852</v>
      </c>
      <c r="C712" t="s">
        <v>3851</v>
      </c>
      <c r="F712" t="s">
        <v>3850</v>
      </c>
      <c r="G712" t="s">
        <v>12</v>
      </c>
      <c r="H712" t="s">
        <v>11</v>
      </c>
      <c r="I712" t="s">
        <v>3849</v>
      </c>
      <c r="J712" t="s">
        <v>3848</v>
      </c>
      <c r="K712" t="s">
        <v>3847</v>
      </c>
      <c r="L712" t="s">
        <v>3846</v>
      </c>
      <c r="M712" t="s">
        <v>125</v>
      </c>
      <c r="N712">
        <v>4</v>
      </c>
      <c r="O712" t="s">
        <v>3845</v>
      </c>
      <c r="P712" t="s">
        <v>3844</v>
      </c>
      <c r="Q712" t="s">
        <v>3843</v>
      </c>
      <c r="R712" s="7">
        <v>33604</v>
      </c>
      <c r="S712" s="8">
        <f t="shared" si="88"/>
        <v>1992</v>
      </c>
      <c r="T712" s="8">
        <v>1992</v>
      </c>
      <c r="U712" s="8">
        <f t="shared" si="89"/>
        <v>30</v>
      </c>
      <c r="V712" s="7">
        <v>33695</v>
      </c>
      <c r="W712" t="s">
        <v>97</v>
      </c>
      <c r="X712" s="2">
        <v>1.6519999999999999</v>
      </c>
      <c r="Y712" s="6">
        <f t="shared" si="94"/>
        <v>4.409919649769093E-2</v>
      </c>
      <c r="AA712" t="s">
        <v>96</v>
      </c>
      <c r="AB712">
        <v>17337</v>
      </c>
      <c r="AC712">
        <v>15582221</v>
      </c>
      <c r="AD712" t="s">
        <v>4</v>
      </c>
      <c r="AE712">
        <v>40</v>
      </c>
      <c r="AF712">
        <v>4</v>
      </c>
      <c r="AH712" t="s">
        <v>3842</v>
      </c>
      <c r="AI712" t="s">
        <v>3841</v>
      </c>
      <c r="AK712" t="s">
        <v>3840</v>
      </c>
      <c r="AL712">
        <v>14</v>
      </c>
      <c r="AM712" s="5">
        <f t="shared" si="90"/>
        <v>0.46666666666666667</v>
      </c>
      <c r="AN712" s="4">
        <f t="shared" si="95"/>
        <v>7.0680297866969582E-4</v>
      </c>
      <c r="AO712" s="3"/>
      <c r="AP712">
        <v>0</v>
      </c>
      <c r="AR712" t="s">
        <v>0</v>
      </c>
      <c r="AT712" s="2" t="s">
        <v>16</v>
      </c>
      <c r="AU712" s="1">
        <f t="shared" si="91"/>
        <v>3.1081478441984558</v>
      </c>
      <c r="AV712" s="1">
        <f t="shared" si="92"/>
        <v>2.2402999738180314</v>
      </c>
      <c r="AW712" s="1">
        <f t="shared" si="93"/>
        <v>1.3724521034376065</v>
      </c>
    </row>
    <row r="713" spans="1:49" x14ac:dyDescent="0.2">
      <c r="A713">
        <v>711</v>
      </c>
      <c r="B713" t="s">
        <v>3839</v>
      </c>
      <c r="C713" t="s">
        <v>3838</v>
      </c>
      <c r="F713" t="s">
        <v>3837</v>
      </c>
      <c r="G713" t="s">
        <v>12</v>
      </c>
      <c r="H713" t="s">
        <v>11</v>
      </c>
      <c r="I713" t="s">
        <v>3836</v>
      </c>
      <c r="N713">
        <v>1</v>
      </c>
      <c r="O713" t="s">
        <v>3835</v>
      </c>
      <c r="P713">
        <v>7005951187</v>
      </c>
      <c r="R713" s="7">
        <v>33604</v>
      </c>
      <c r="S713" s="8">
        <f t="shared" si="88"/>
        <v>1992</v>
      </c>
      <c r="T713" s="8">
        <v>1992</v>
      </c>
      <c r="U713" s="8">
        <f t="shared" si="89"/>
        <v>30</v>
      </c>
      <c r="V713" s="7">
        <v>33695</v>
      </c>
      <c r="W713" t="s">
        <v>97</v>
      </c>
      <c r="X713" s="2">
        <v>1.6519999999999999</v>
      </c>
      <c r="Y713" s="6">
        <f t="shared" si="94"/>
        <v>4.409919649769093E-2</v>
      </c>
      <c r="AA713" t="s">
        <v>96</v>
      </c>
      <c r="AB713">
        <v>17337</v>
      </c>
      <c r="AC713">
        <v>15582221</v>
      </c>
      <c r="AD713" t="s">
        <v>4</v>
      </c>
      <c r="AE713">
        <v>40</v>
      </c>
      <c r="AF713">
        <v>4</v>
      </c>
      <c r="AH713" t="s">
        <v>3834</v>
      </c>
      <c r="AI713" t="s">
        <v>3833</v>
      </c>
      <c r="AK713" t="s">
        <v>3832</v>
      </c>
      <c r="AL713">
        <v>5</v>
      </c>
      <c r="AM713" s="5">
        <f t="shared" si="90"/>
        <v>0.16666666666666666</v>
      </c>
      <c r="AN713" s="4">
        <f t="shared" si="95"/>
        <v>2.5242963523917705E-4</v>
      </c>
      <c r="AO713" s="3"/>
      <c r="AP713">
        <v>0</v>
      </c>
      <c r="AR713" t="s">
        <v>0</v>
      </c>
      <c r="AT713" s="2" t="s">
        <v>16</v>
      </c>
      <c r="AU713" s="1">
        <f t="shared" si="91"/>
        <v>3.0945166438955405</v>
      </c>
      <c r="AV713" s="1">
        <f t="shared" si="92"/>
        <v>2.2175813066465055</v>
      </c>
      <c r="AW713" s="1">
        <f t="shared" si="93"/>
        <v>1.3406459693974702</v>
      </c>
    </row>
    <row r="714" spans="1:49" x14ac:dyDescent="0.2">
      <c r="A714">
        <v>712</v>
      </c>
      <c r="B714" t="s">
        <v>3831</v>
      </c>
      <c r="C714" t="s">
        <v>3830</v>
      </c>
      <c r="F714" t="s">
        <v>3829</v>
      </c>
      <c r="G714" t="s">
        <v>12</v>
      </c>
      <c r="H714" t="s">
        <v>11</v>
      </c>
      <c r="I714" t="s">
        <v>3828</v>
      </c>
      <c r="J714">
        <v>60033461</v>
      </c>
      <c r="K714" t="s">
        <v>3827</v>
      </c>
      <c r="L714" t="s">
        <v>3826</v>
      </c>
      <c r="M714" t="s">
        <v>7</v>
      </c>
      <c r="N714">
        <v>1</v>
      </c>
      <c r="O714" t="s">
        <v>3825</v>
      </c>
      <c r="P714">
        <v>7004676488</v>
      </c>
      <c r="Q714">
        <v>60033461</v>
      </c>
      <c r="R714" s="7">
        <v>33604</v>
      </c>
      <c r="S714" s="8">
        <f t="shared" si="88"/>
        <v>1992</v>
      </c>
      <c r="T714" s="8">
        <v>1992</v>
      </c>
      <c r="U714" s="8">
        <f t="shared" si="89"/>
        <v>30</v>
      </c>
      <c r="V714" s="7">
        <v>33695</v>
      </c>
      <c r="W714" t="s">
        <v>3824</v>
      </c>
      <c r="X714" s="2">
        <v>2.9860000000000002</v>
      </c>
      <c r="Y714" s="6">
        <f t="shared" si="94"/>
        <v>7.9709564613865094E-2</v>
      </c>
      <c r="AA714">
        <v>7338716</v>
      </c>
      <c r="AB714">
        <v>18902</v>
      </c>
      <c r="AD714" t="s">
        <v>4</v>
      </c>
      <c r="AE714">
        <v>10</v>
      </c>
      <c r="AF714">
        <v>3</v>
      </c>
      <c r="AH714" t="s">
        <v>3823</v>
      </c>
      <c r="AI714" t="s">
        <v>3822</v>
      </c>
      <c r="AK714" t="s">
        <v>3821</v>
      </c>
      <c r="AL714">
        <v>7</v>
      </c>
      <c r="AM714" s="5">
        <f t="shared" si="90"/>
        <v>0.23333333333333334</v>
      </c>
      <c r="AN714" s="4">
        <f t="shared" si="95"/>
        <v>3.5340148933484791E-4</v>
      </c>
      <c r="AO714" s="3"/>
      <c r="AP714">
        <v>0</v>
      </c>
      <c r="AR714" t="s">
        <v>0</v>
      </c>
      <c r="AT714" s="2" t="s">
        <v>16</v>
      </c>
      <c r="AU714" s="1">
        <f t="shared" si="91"/>
        <v>5.5902715676506016</v>
      </c>
      <c r="AV714" s="1">
        <f t="shared" si="92"/>
        <v>4.0031483051599972</v>
      </c>
      <c r="AW714" s="1">
        <f t="shared" si="93"/>
        <v>2.4160250426693919</v>
      </c>
    </row>
    <row r="715" spans="1:49" x14ac:dyDescent="0.2">
      <c r="A715">
        <v>713</v>
      </c>
      <c r="B715" t="s">
        <v>3820</v>
      </c>
      <c r="C715" t="s">
        <v>3819</v>
      </c>
      <c r="F715" t="s">
        <v>3818</v>
      </c>
      <c r="G715" t="s">
        <v>12</v>
      </c>
      <c r="H715" t="s">
        <v>11</v>
      </c>
      <c r="I715" t="s">
        <v>3817</v>
      </c>
      <c r="J715" t="s">
        <v>3811</v>
      </c>
      <c r="K715" t="s">
        <v>3816</v>
      </c>
      <c r="L715" t="s">
        <v>3815</v>
      </c>
      <c r="M715" t="s">
        <v>3814</v>
      </c>
      <c r="N715">
        <v>2</v>
      </c>
      <c r="O715" t="s">
        <v>3813</v>
      </c>
      <c r="P715" t="s">
        <v>3812</v>
      </c>
      <c r="Q715" t="s">
        <v>3811</v>
      </c>
      <c r="R715" s="7">
        <v>33604</v>
      </c>
      <c r="S715" s="8">
        <f t="shared" si="88"/>
        <v>1992</v>
      </c>
      <c r="T715" s="8">
        <v>1992</v>
      </c>
      <c r="U715" s="8">
        <f t="shared" si="89"/>
        <v>30</v>
      </c>
      <c r="V715" s="7">
        <v>33695</v>
      </c>
      <c r="W715" t="s">
        <v>1557</v>
      </c>
      <c r="X715" s="2">
        <v>1.137</v>
      </c>
      <c r="Y715" s="6">
        <f t="shared" si="94"/>
        <v>3.0351565628253384E-2</v>
      </c>
      <c r="AA715">
        <v>189251</v>
      </c>
      <c r="AB715">
        <v>17336</v>
      </c>
      <c r="AD715" t="s">
        <v>4</v>
      </c>
      <c r="AE715">
        <v>28</v>
      </c>
      <c r="AF715">
        <v>2</v>
      </c>
      <c r="AH715" t="s">
        <v>3810</v>
      </c>
      <c r="AI715" t="s">
        <v>3809</v>
      </c>
      <c r="AK715" t="s">
        <v>3808</v>
      </c>
      <c r="AL715">
        <v>177</v>
      </c>
      <c r="AM715" s="5">
        <f t="shared" si="90"/>
        <v>5.9</v>
      </c>
      <c r="AN715" s="4">
        <f t="shared" si="95"/>
        <v>8.9360090874668688E-3</v>
      </c>
      <c r="AO715" s="3"/>
      <c r="AP715">
        <v>0</v>
      </c>
      <c r="AR715" t="s">
        <v>0</v>
      </c>
      <c r="AT715" s="2" t="s">
        <v>16</v>
      </c>
      <c r="AU715" s="1">
        <f t="shared" si="91"/>
        <v>2.3926898666017427</v>
      </c>
      <c r="AV715" s="1">
        <f t="shared" si="92"/>
        <v>1.9643787357860125</v>
      </c>
      <c r="AW715" s="1">
        <f t="shared" si="93"/>
        <v>1.5360676049702824</v>
      </c>
    </row>
    <row r="716" spans="1:49" x14ac:dyDescent="0.2">
      <c r="A716">
        <v>714</v>
      </c>
      <c r="B716" t="s">
        <v>3807</v>
      </c>
      <c r="C716" t="s">
        <v>3806</v>
      </c>
      <c r="F716" t="s">
        <v>3805</v>
      </c>
      <c r="G716" t="s">
        <v>12</v>
      </c>
      <c r="H716" t="s">
        <v>11</v>
      </c>
      <c r="I716" t="s">
        <v>1658</v>
      </c>
      <c r="N716">
        <v>1</v>
      </c>
      <c r="O716" t="s">
        <v>1655</v>
      </c>
      <c r="P716">
        <v>7103195054</v>
      </c>
      <c r="R716" s="7">
        <v>33604</v>
      </c>
      <c r="S716" s="8">
        <f t="shared" si="88"/>
        <v>1992</v>
      </c>
      <c r="T716" s="8">
        <v>1992</v>
      </c>
      <c r="U716" s="8">
        <f t="shared" si="89"/>
        <v>30</v>
      </c>
      <c r="V716" s="7">
        <v>33695</v>
      </c>
      <c r="W716" t="s">
        <v>97</v>
      </c>
      <c r="X716" s="2">
        <v>1.6519999999999999</v>
      </c>
      <c r="Y716" s="6">
        <f t="shared" si="94"/>
        <v>4.409919649769093E-2</v>
      </c>
      <c r="AA716" t="s">
        <v>96</v>
      </c>
      <c r="AB716">
        <v>17337</v>
      </c>
      <c r="AC716">
        <v>15582221</v>
      </c>
      <c r="AD716" t="s">
        <v>4</v>
      </c>
      <c r="AE716">
        <v>40</v>
      </c>
      <c r="AF716">
        <v>4</v>
      </c>
      <c r="AH716" t="s">
        <v>3804</v>
      </c>
      <c r="AI716" t="s">
        <v>3803</v>
      </c>
      <c r="AK716" t="s">
        <v>3802</v>
      </c>
      <c r="AL716">
        <v>3</v>
      </c>
      <c r="AM716" s="5">
        <f t="shared" si="90"/>
        <v>0.1</v>
      </c>
      <c r="AN716" s="4">
        <f t="shared" si="95"/>
        <v>1.5145778114350627E-4</v>
      </c>
      <c r="AO716" s="3"/>
      <c r="AP716">
        <v>0</v>
      </c>
      <c r="AR716" t="s">
        <v>0</v>
      </c>
      <c r="AT716" s="2" t="s">
        <v>16</v>
      </c>
      <c r="AU716" s="1">
        <f t="shared" si="91"/>
        <v>3.0914874882726702</v>
      </c>
      <c r="AV716" s="1">
        <f t="shared" si="92"/>
        <v>2.2125327139417217</v>
      </c>
      <c r="AW716" s="1">
        <f t="shared" si="93"/>
        <v>1.3335779396107732</v>
      </c>
    </row>
    <row r="717" spans="1:49" x14ac:dyDescent="0.2">
      <c r="A717">
        <v>715</v>
      </c>
      <c r="B717" t="s">
        <v>3801</v>
      </c>
      <c r="C717" t="s">
        <v>3800</v>
      </c>
      <c r="F717" t="s">
        <v>3799</v>
      </c>
      <c r="G717" t="s">
        <v>12</v>
      </c>
      <c r="H717" t="s">
        <v>11</v>
      </c>
      <c r="I717" t="s">
        <v>3798</v>
      </c>
      <c r="J717">
        <v>60004305</v>
      </c>
      <c r="K717" t="s">
        <v>3797</v>
      </c>
      <c r="L717" t="s">
        <v>3796</v>
      </c>
      <c r="M717" t="s">
        <v>301</v>
      </c>
      <c r="N717">
        <v>2</v>
      </c>
      <c r="O717" t="s">
        <v>3795</v>
      </c>
      <c r="P717" t="s">
        <v>3794</v>
      </c>
      <c r="Q717" t="s">
        <v>3793</v>
      </c>
      <c r="R717" s="7">
        <v>33604</v>
      </c>
      <c r="S717" s="8">
        <f t="shared" si="88"/>
        <v>1992</v>
      </c>
      <c r="T717" s="8">
        <v>1992</v>
      </c>
      <c r="U717" s="8">
        <f t="shared" si="89"/>
        <v>30</v>
      </c>
      <c r="V717" s="7">
        <v>33695</v>
      </c>
      <c r="W717" t="s">
        <v>97</v>
      </c>
      <c r="X717" s="2">
        <v>1.6519999999999999</v>
      </c>
      <c r="Y717" s="6">
        <f t="shared" si="94"/>
        <v>4.409919649769093E-2</v>
      </c>
      <c r="AA717" t="s">
        <v>96</v>
      </c>
      <c r="AB717">
        <v>17337</v>
      </c>
      <c r="AC717">
        <v>15582221</v>
      </c>
      <c r="AD717" t="s">
        <v>4</v>
      </c>
      <c r="AE717">
        <v>40</v>
      </c>
      <c r="AF717">
        <v>4</v>
      </c>
      <c r="AH717" t="s">
        <v>3792</v>
      </c>
      <c r="AI717" t="s">
        <v>3791</v>
      </c>
      <c r="AK717" t="s">
        <v>3790</v>
      </c>
      <c r="AL717">
        <v>3</v>
      </c>
      <c r="AM717" s="5">
        <f t="shared" si="90"/>
        <v>0.1</v>
      </c>
      <c r="AN717" s="4">
        <f t="shared" si="95"/>
        <v>1.5145778114350627E-4</v>
      </c>
      <c r="AO717" s="3"/>
      <c r="AP717">
        <v>0</v>
      </c>
      <c r="AR717" t="s">
        <v>0</v>
      </c>
      <c r="AT717" s="2" t="s">
        <v>16</v>
      </c>
      <c r="AU717" s="1">
        <f t="shared" si="91"/>
        <v>3.0914874882726702</v>
      </c>
      <c r="AV717" s="1">
        <f t="shared" si="92"/>
        <v>2.2125327139417217</v>
      </c>
      <c r="AW717" s="1">
        <f t="shared" si="93"/>
        <v>1.3335779396107732</v>
      </c>
    </row>
    <row r="718" spans="1:49" x14ac:dyDescent="0.2">
      <c r="A718">
        <v>716</v>
      </c>
      <c r="B718" t="s">
        <v>3789</v>
      </c>
      <c r="C718" t="s">
        <v>3788</v>
      </c>
      <c r="F718" t="s">
        <v>3787</v>
      </c>
      <c r="G718" t="s">
        <v>12</v>
      </c>
      <c r="H718" t="s">
        <v>11</v>
      </c>
      <c r="I718" t="s">
        <v>3786</v>
      </c>
      <c r="J718">
        <v>60009254</v>
      </c>
      <c r="K718" t="s">
        <v>3785</v>
      </c>
      <c r="L718" t="s">
        <v>3784</v>
      </c>
      <c r="M718" t="s">
        <v>7</v>
      </c>
      <c r="N718">
        <v>3</v>
      </c>
      <c r="O718" t="s">
        <v>3783</v>
      </c>
      <c r="P718" t="s">
        <v>3782</v>
      </c>
      <c r="Q718" t="s">
        <v>3781</v>
      </c>
      <c r="R718" s="7">
        <v>33604</v>
      </c>
      <c r="S718" s="8">
        <f t="shared" si="88"/>
        <v>1992</v>
      </c>
      <c r="T718" s="8">
        <v>1992</v>
      </c>
      <c r="U718" s="8">
        <f t="shared" si="89"/>
        <v>30</v>
      </c>
      <c r="V718" s="7">
        <v>33695</v>
      </c>
      <c r="W718" t="s">
        <v>1557</v>
      </c>
      <c r="X718" s="2">
        <v>1.137</v>
      </c>
      <c r="Y718" s="6">
        <f t="shared" si="94"/>
        <v>3.0351565628253384E-2</v>
      </c>
      <c r="AA718">
        <v>189251</v>
      </c>
      <c r="AB718">
        <v>17336</v>
      </c>
      <c r="AD718" t="s">
        <v>4</v>
      </c>
      <c r="AE718">
        <v>28</v>
      </c>
      <c r="AF718">
        <v>2</v>
      </c>
      <c r="AH718" t="s">
        <v>3780</v>
      </c>
      <c r="AI718" t="s">
        <v>3779</v>
      </c>
      <c r="AK718" t="s">
        <v>3778</v>
      </c>
      <c r="AL718">
        <v>9</v>
      </c>
      <c r="AM718" s="5">
        <f t="shared" si="90"/>
        <v>0.3</v>
      </c>
      <c r="AN718" s="4">
        <f t="shared" si="95"/>
        <v>4.5437334343051872E-4</v>
      </c>
      <c r="AO718" s="3"/>
      <c r="AP718">
        <v>0</v>
      </c>
      <c r="AR718" t="s">
        <v>0</v>
      </c>
      <c r="AT718" s="2" t="s">
        <v>16</v>
      </c>
      <c r="AU718" s="1">
        <f t="shared" si="91"/>
        <v>2.1382407942806525</v>
      </c>
      <c r="AV718" s="1">
        <f t="shared" si="92"/>
        <v>1.5402969485841951</v>
      </c>
      <c r="AW718" s="1">
        <f t="shared" si="93"/>
        <v>0.94235310288773788</v>
      </c>
    </row>
    <row r="719" spans="1:49" x14ac:dyDescent="0.2">
      <c r="A719">
        <v>717</v>
      </c>
      <c r="B719" t="s">
        <v>3777</v>
      </c>
      <c r="C719" t="s">
        <v>3776</v>
      </c>
      <c r="F719" t="s">
        <v>3775</v>
      </c>
      <c r="G719" t="s">
        <v>12</v>
      </c>
      <c r="H719" t="s">
        <v>11</v>
      </c>
      <c r="I719" t="s">
        <v>3774</v>
      </c>
      <c r="J719">
        <v>60029570</v>
      </c>
      <c r="K719" t="s">
        <v>3773</v>
      </c>
      <c r="L719" t="s">
        <v>3772</v>
      </c>
      <c r="M719" t="s">
        <v>2181</v>
      </c>
      <c r="N719">
        <v>2</v>
      </c>
      <c r="O719" t="s">
        <v>3771</v>
      </c>
      <c r="P719" t="s">
        <v>3770</v>
      </c>
      <c r="Q719" t="s">
        <v>3769</v>
      </c>
      <c r="R719" s="7">
        <v>33604</v>
      </c>
      <c r="S719" s="8">
        <f t="shared" si="88"/>
        <v>1992</v>
      </c>
      <c r="T719" s="8">
        <v>1992</v>
      </c>
      <c r="U719" s="8">
        <f t="shared" si="89"/>
        <v>30</v>
      </c>
      <c r="V719" s="7">
        <v>33695</v>
      </c>
      <c r="W719" t="s">
        <v>97</v>
      </c>
      <c r="X719" s="2">
        <v>1.6519999999999999</v>
      </c>
      <c r="Y719" s="6">
        <f t="shared" si="94"/>
        <v>4.409919649769093E-2</v>
      </c>
      <c r="AA719" t="s">
        <v>96</v>
      </c>
      <c r="AB719">
        <v>17337</v>
      </c>
      <c r="AC719">
        <v>15582221</v>
      </c>
      <c r="AD719" t="s">
        <v>4</v>
      </c>
      <c r="AE719">
        <v>40</v>
      </c>
      <c r="AF719">
        <v>4</v>
      </c>
      <c r="AH719" t="s">
        <v>3768</v>
      </c>
      <c r="AI719" t="s">
        <v>3767</v>
      </c>
      <c r="AK719" t="s">
        <v>3766</v>
      </c>
      <c r="AL719">
        <v>25</v>
      </c>
      <c r="AM719" s="5">
        <f t="shared" si="90"/>
        <v>0.83333333333333337</v>
      </c>
      <c r="AN719" s="4">
        <f t="shared" si="95"/>
        <v>1.2621481761958854E-3</v>
      </c>
      <c r="AO719" s="3"/>
      <c r="AP719">
        <v>0</v>
      </c>
      <c r="AR719" t="s">
        <v>0</v>
      </c>
      <c r="AT719" s="2" t="s">
        <v>16</v>
      </c>
      <c r="AU719" s="1">
        <f t="shared" si="91"/>
        <v>3.1248082001242414</v>
      </c>
      <c r="AV719" s="1">
        <f t="shared" si="92"/>
        <v>2.268067233694341</v>
      </c>
      <c r="AW719" s="1">
        <f t="shared" si="93"/>
        <v>1.4113262672644398</v>
      </c>
    </row>
    <row r="720" spans="1:49" x14ac:dyDescent="0.2">
      <c r="A720">
        <v>718</v>
      </c>
      <c r="B720" t="s">
        <v>3765</v>
      </c>
      <c r="C720" t="s">
        <v>3764</v>
      </c>
      <c r="F720" t="s">
        <v>3763</v>
      </c>
      <c r="G720" t="s">
        <v>12</v>
      </c>
      <c r="H720" t="s">
        <v>11</v>
      </c>
      <c r="I720" t="s">
        <v>3762</v>
      </c>
      <c r="J720">
        <v>115669259</v>
      </c>
      <c r="K720" t="s">
        <v>3761</v>
      </c>
      <c r="L720" t="s">
        <v>657</v>
      </c>
      <c r="M720" t="s">
        <v>656</v>
      </c>
      <c r="N720">
        <v>1</v>
      </c>
      <c r="O720" t="s">
        <v>3760</v>
      </c>
      <c r="P720">
        <v>7006775375</v>
      </c>
      <c r="Q720">
        <v>115669259</v>
      </c>
      <c r="R720" s="7">
        <v>33604</v>
      </c>
      <c r="S720" s="8">
        <f t="shared" si="88"/>
        <v>1992</v>
      </c>
      <c r="T720" s="8">
        <v>1992</v>
      </c>
      <c r="U720" s="8">
        <f t="shared" si="89"/>
        <v>30</v>
      </c>
      <c r="V720" s="7">
        <v>33695</v>
      </c>
      <c r="W720" t="s">
        <v>97</v>
      </c>
      <c r="X720" s="2">
        <v>1.6519999999999999</v>
      </c>
      <c r="Y720" s="6">
        <f t="shared" si="94"/>
        <v>4.409919649769093E-2</v>
      </c>
      <c r="AA720" t="s">
        <v>96</v>
      </c>
      <c r="AB720">
        <v>17337</v>
      </c>
      <c r="AC720">
        <v>15582221</v>
      </c>
      <c r="AD720" t="s">
        <v>4</v>
      </c>
      <c r="AE720">
        <v>40</v>
      </c>
      <c r="AF720">
        <v>4</v>
      </c>
      <c r="AH720" t="s">
        <v>3759</v>
      </c>
      <c r="AI720" t="s">
        <v>3758</v>
      </c>
      <c r="AK720" t="s">
        <v>3757</v>
      </c>
      <c r="AL720">
        <v>26</v>
      </c>
      <c r="AM720" s="5">
        <f t="shared" si="90"/>
        <v>0.8666666666666667</v>
      </c>
      <c r="AN720" s="4">
        <f t="shared" si="95"/>
        <v>1.3126341032437209E-3</v>
      </c>
      <c r="AO720" s="3"/>
      <c r="AP720">
        <v>0</v>
      </c>
      <c r="AR720" t="s">
        <v>0</v>
      </c>
      <c r="AT720" s="2" t="s">
        <v>16</v>
      </c>
      <c r="AU720" s="1">
        <f t="shared" si="91"/>
        <v>3.1263227779356764</v>
      </c>
      <c r="AV720" s="1">
        <f t="shared" si="92"/>
        <v>2.2705915300467323</v>
      </c>
      <c r="AW720" s="1">
        <f t="shared" si="93"/>
        <v>1.4148602821577883</v>
      </c>
    </row>
    <row r="721" spans="1:49" x14ac:dyDescent="0.2">
      <c r="A721">
        <v>719</v>
      </c>
      <c r="B721" t="s">
        <v>3756</v>
      </c>
      <c r="C721" t="s">
        <v>3755</v>
      </c>
      <c r="F721" t="s">
        <v>3754</v>
      </c>
      <c r="G721" t="s">
        <v>12</v>
      </c>
      <c r="H721" t="s">
        <v>11</v>
      </c>
      <c r="I721" t="s">
        <v>3753</v>
      </c>
      <c r="J721">
        <v>60029445</v>
      </c>
      <c r="K721" t="s">
        <v>3752</v>
      </c>
      <c r="L721" t="s">
        <v>3751</v>
      </c>
      <c r="M721" t="s">
        <v>7</v>
      </c>
      <c r="N721">
        <v>2</v>
      </c>
      <c r="O721" t="s">
        <v>3750</v>
      </c>
      <c r="P721" t="s">
        <v>3749</v>
      </c>
      <c r="Q721" t="s">
        <v>3748</v>
      </c>
      <c r="R721" s="7">
        <v>33604</v>
      </c>
      <c r="S721" s="8">
        <f t="shared" si="88"/>
        <v>1992</v>
      </c>
      <c r="T721" s="8">
        <v>1992</v>
      </c>
      <c r="U721" s="8">
        <f t="shared" si="89"/>
        <v>30</v>
      </c>
      <c r="V721" s="7">
        <v>33695</v>
      </c>
      <c r="W721" t="s">
        <v>2743</v>
      </c>
      <c r="X721" s="2">
        <v>1.6379999999999999</v>
      </c>
      <c r="Y721" s="6">
        <f t="shared" si="94"/>
        <v>4.3725474493473214E-2</v>
      </c>
      <c r="AA721" t="s">
        <v>2742</v>
      </c>
      <c r="AB721">
        <v>17391</v>
      </c>
      <c r="AC721">
        <v>19410476</v>
      </c>
      <c r="AD721" t="s">
        <v>4</v>
      </c>
      <c r="AE721">
        <v>40</v>
      </c>
      <c r="AF721">
        <v>4</v>
      </c>
      <c r="AH721" t="s">
        <v>3747</v>
      </c>
      <c r="AI721" t="s">
        <v>3746</v>
      </c>
      <c r="AK721" t="s">
        <v>3745</v>
      </c>
      <c r="AL721">
        <v>46</v>
      </c>
      <c r="AM721" s="5">
        <f t="shared" si="90"/>
        <v>1.5333333333333334</v>
      </c>
      <c r="AN721" s="4">
        <f t="shared" si="95"/>
        <v>2.3223526442004293E-3</v>
      </c>
      <c r="AO721" s="3"/>
      <c r="AP721">
        <v>0</v>
      </c>
      <c r="AR721" t="s">
        <v>0</v>
      </c>
      <c r="AT721" s="2">
        <v>4.931</v>
      </c>
      <c r="AU721" s="1">
        <f t="shared" si="91"/>
        <v>3.1304537938691377</v>
      </c>
      <c r="AV721" s="1">
        <f t="shared" si="92"/>
        <v>2.3023913568836822</v>
      </c>
      <c r="AW721" s="1">
        <f t="shared" si="93"/>
        <v>1.4743289198982263</v>
      </c>
    </row>
    <row r="722" spans="1:49" x14ac:dyDescent="0.2">
      <c r="A722">
        <v>720</v>
      </c>
      <c r="B722" t="s">
        <v>3744</v>
      </c>
      <c r="C722" t="s">
        <v>3743</v>
      </c>
      <c r="F722" t="s">
        <v>3742</v>
      </c>
      <c r="G722" t="s">
        <v>12</v>
      </c>
      <c r="H722" t="s">
        <v>11</v>
      </c>
      <c r="I722" t="s">
        <v>3741</v>
      </c>
      <c r="J722">
        <v>60029575</v>
      </c>
      <c r="K722" t="s">
        <v>3698</v>
      </c>
      <c r="L722" t="s">
        <v>3697</v>
      </c>
      <c r="M722" t="s">
        <v>7</v>
      </c>
      <c r="N722">
        <v>1</v>
      </c>
      <c r="O722" t="s">
        <v>3740</v>
      </c>
      <c r="P722">
        <v>57198673311</v>
      </c>
      <c r="Q722">
        <v>60029575</v>
      </c>
      <c r="R722" s="7">
        <v>33604</v>
      </c>
      <c r="S722" s="8">
        <f t="shared" ref="S722:S785" si="96">YEAR(R722)</f>
        <v>1992</v>
      </c>
      <c r="T722" s="8">
        <v>1992</v>
      </c>
      <c r="U722" s="8">
        <f t="shared" ref="U722:U785" si="97">2022-T722</f>
        <v>30</v>
      </c>
      <c r="V722" s="7">
        <v>33695</v>
      </c>
      <c r="W722" t="s">
        <v>97</v>
      </c>
      <c r="X722" s="2">
        <v>1.6519999999999999</v>
      </c>
      <c r="Y722" s="6">
        <f t="shared" si="94"/>
        <v>4.409919649769093E-2</v>
      </c>
      <c r="AA722" t="s">
        <v>96</v>
      </c>
      <c r="AB722">
        <v>17337</v>
      </c>
      <c r="AC722">
        <v>15582221</v>
      </c>
      <c r="AD722" t="s">
        <v>4</v>
      </c>
      <c r="AE722">
        <v>40</v>
      </c>
      <c r="AF722">
        <v>4</v>
      </c>
      <c r="AH722" t="s">
        <v>3739</v>
      </c>
      <c r="AI722" t="s">
        <v>3738</v>
      </c>
      <c r="AK722" t="s">
        <v>3737</v>
      </c>
      <c r="AL722">
        <v>1</v>
      </c>
      <c r="AM722" s="5">
        <f t="shared" ref="AM722:AM785" si="98">AL722/U722</f>
        <v>3.3333333333333333E-2</v>
      </c>
      <c r="AN722" s="4">
        <f t="shared" si="95"/>
        <v>5.0485927047835418E-5</v>
      </c>
      <c r="AO722" s="3"/>
      <c r="AP722">
        <v>0</v>
      </c>
      <c r="AR722" t="s">
        <v>0</v>
      </c>
      <c r="AT722" s="2" t="s">
        <v>16</v>
      </c>
      <c r="AU722" s="1">
        <f t="shared" ref="AU722:AU785" si="99">(Y722*0.7+AN722*0.3)*100</f>
        <v>3.0884583326498003</v>
      </c>
      <c r="AV722" s="1">
        <f t="shared" ref="AV722:AV785" si="100">(Y722*0.5+AN722*0.5)*100</f>
        <v>2.2074841212369383</v>
      </c>
      <c r="AW722" s="1">
        <f t="shared" ref="AW722:AW785" si="101">(Y722*0.3+AN722*0.7)*100</f>
        <v>1.3265099098240762</v>
      </c>
    </row>
    <row r="723" spans="1:49" x14ac:dyDescent="0.2">
      <c r="A723">
        <v>721</v>
      </c>
      <c r="B723" t="s">
        <v>3736</v>
      </c>
      <c r="C723" t="s">
        <v>3735</v>
      </c>
      <c r="F723" t="s">
        <v>3734</v>
      </c>
      <c r="G723" t="s">
        <v>12</v>
      </c>
      <c r="H723" t="s">
        <v>11</v>
      </c>
      <c r="I723" t="s">
        <v>3733</v>
      </c>
      <c r="J723" t="s">
        <v>3732</v>
      </c>
      <c r="K723" t="s">
        <v>3731</v>
      </c>
      <c r="L723" t="s">
        <v>3730</v>
      </c>
      <c r="M723" t="s">
        <v>904</v>
      </c>
      <c r="N723">
        <v>4</v>
      </c>
      <c r="O723" t="s">
        <v>3729</v>
      </c>
      <c r="P723" t="s">
        <v>3728</v>
      </c>
      <c r="Q723" t="s">
        <v>3727</v>
      </c>
      <c r="R723" s="7">
        <v>33604</v>
      </c>
      <c r="S723" s="8">
        <f t="shared" si="96"/>
        <v>1992</v>
      </c>
      <c r="T723" s="8">
        <v>1992</v>
      </c>
      <c r="U723" s="8">
        <f t="shared" si="97"/>
        <v>30</v>
      </c>
      <c r="V723" s="7">
        <v>33695</v>
      </c>
      <c r="W723" t="s">
        <v>97</v>
      </c>
      <c r="X723" s="2">
        <v>1.6519999999999999</v>
      </c>
      <c r="Y723" s="6">
        <f t="shared" si="94"/>
        <v>4.409919649769093E-2</v>
      </c>
      <c r="AA723" t="s">
        <v>96</v>
      </c>
      <c r="AB723">
        <v>17337</v>
      </c>
      <c r="AC723">
        <v>15582221</v>
      </c>
      <c r="AD723" t="s">
        <v>4</v>
      </c>
      <c r="AE723">
        <v>40</v>
      </c>
      <c r="AF723">
        <v>4</v>
      </c>
      <c r="AH723" t="s">
        <v>3726</v>
      </c>
      <c r="AI723" t="s">
        <v>3725</v>
      </c>
      <c r="AK723" t="s">
        <v>3724</v>
      </c>
      <c r="AL723">
        <v>5</v>
      </c>
      <c r="AM723" s="5">
        <f t="shared" si="98"/>
        <v>0.16666666666666666</v>
      </c>
      <c r="AN723" s="4">
        <f t="shared" si="95"/>
        <v>2.5242963523917705E-4</v>
      </c>
      <c r="AO723" s="3"/>
      <c r="AP723">
        <v>0</v>
      </c>
      <c r="AR723" t="s">
        <v>0</v>
      </c>
      <c r="AT723" s="2" t="s">
        <v>16</v>
      </c>
      <c r="AU723" s="1">
        <f t="shared" si="99"/>
        <v>3.0945166438955405</v>
      </c>
      <c r="AV723" s="1">
        <f t="shared" si="100"/>
        <v>2.2175813066465055</v>
      </c>
      <c r="AW723" s="1">
        <f t="shared" si="101"/>
        <v>1.3406459693974702</v>
      </c>
    </row>
    <row r="724" spans="1:49" x14ac:dyDescent="0.2">
      <c r="A724">
        <v>722</v>
      </c>
      <c r="B724" t="s">
        <v>3723</v>
      </c>
      <c r="C724" t="s">
        <v>3722</v>
      </c>
      <c r="F724" t="s">
        <v>3721</v>
      </c>
      <c r="G724" t="s">
        <v>12</v>
      </c>
      <c r="H724" t="s">
        <v>11</v>
      </c>
      <c r="I724" t="s">
        <v>3720</v>
      </c>
      <c r="J724">
        <v>60016912</v>
      </c>
      <c r="K724" t="s">
        <v>3719</v>
      </c>
      <c r="L724" t="s">
        <v>3718</v>
      </c>
      <c r="M724" t="s">
        <v>3177</v>
      </c>
      <c r="N724">
        <v>3</v>
      </c>
      <c r="O724" t="s">
        <v>3717</v>
      </c>
      <c r="P724" t="s">
        <v>3716</v>
      </c>
      <c r="Q724" t="s">
        <v>3715</v>
      </c>
      <c r="R724" s="7">
        <v>33604</v>
      </c>
      <c r="S724" s="8">
        <f t="shared" si="96"/>
        <v>1992</v>
      </c>
      <c r="T724" s="8">
        <v>1992</v>
      </c>
      <c r="U724" s="8">
        <f t="shared" si="97"/>
        <v>30</v>
      </c>
      <c r="V724" s="7">
        <v>33695</v>
      </c>
      <c r="W724" t="s">
        <v>97</v>
      </c>
      <c r="X724" s="2">
        <v>1.6519999999999999</v>
      </c>
      <c r="Y724" s="6">
        <f t="shared" si="94"/>
        <v>4.409919649769093E-2</v>
      </c>
      <c r="AA724" t="s">
        <v>96</v>
      </c>
      <c r="AB724">
        <v>17337</v>
      </c>
      <c r="AC724">
        <v>15582221</v>
      </c>
      <c r="AD724" t="s">
        <v>4</v>
      </c>
      <c r="AE724">
        <v>40</v>
      </c>
      <c r="AF724">
        <v>4</v>
      </c>
      <c r="AH724" t="s">
        <v>3714</v>
      </c>
      <c r="AI724" t="s">
        <v>3713</v>
      </c>
      <c r="AK724" t="s">
        <v>3712</v>
      </c>
      <c r="AL724">
        <v>6</v>
      </c>
      <c r="AM724" s="5">
        <f t="shared" si="98"/>
        <v>0.2</v>
      </c>
      <c r="AN724" s="4">
        <f t="shared" si="95"/>
        <v>3.0291556228701253E-4</v>
      </c>
      <c r="AO724" s="3"/>
      <c r="AP724">
        <v>0</v>
      </c>
      <c r="AR724" t="s">
        <v>0</v>
      </c>
      <c r="AT724" s="2" t="s">
        <v>16</v>
      </c>
      <c r="AU724" s="1">
        <f t="shared" si="99"/>
        <v>3.0960312217069754</v>
      </c>
      <c r="AV724" s="1">
        <f t="shared" si="100"/>
        <v>2.2201056029988968</v>
      </c>
      <c r="AW724" s="1">
        <f t="shared" si="101"/>
        <v>1.3441799842908186</v>
      </c>
    </row>
    <row r="725" spans="1:49" x14ac:dyDescent="0.2">
      <c r="A725">
        <v>723</v>
      </c>
      <c r="B725" t="s">
        <v>3711</v>
      </c>
      <c r="C725" t="s">
        <v>3710</v>
      </c>
      <c r="F725" t="s">
        <v>3709</v>
      </c>
      <c r="G725" t="s">
        <v>12</v>
      </c>
      <c r="H725" t="s">
        <v>11</v>
      </c>
      <c r="I725" t="s">
        <v>3708</v>
      </c>
      <c r="J725">
        <v>60031126</v>
      </c>
      <c r="K725" t="s">
        <v>2928</v>
      </c>
      <c r="L725" t="s">
        <v>667</v>
      </c>
      <c r="M725" t="s">
        <v>151</v>
      </c>
      <c r="N725">
        <v>3</v>
      </c>
      <c r="O725" t="s">
        <v>3707</v>
      </c>
      <c r="P725" t="s">
        <v>3706</v>
      </c>
      <c r="Q725" t="s">
        <v>2925</v>
      </c>
      <c r="R725" s="7">
        <v>33604</v>
      </c>
      <c r="S725" s="8">
        <f t="shared" si="96"/>
        <v>1992</v>
      </c>
      <c r="T725" s="8">
        <v>1992</v>
      </c>
      <c r="U725" s="8">
        <f t="shared" si="97"/>
        <v>30</v>
      </c>
      <c r="V725" s="7">
        <v>33695</v>
      </c>
      <c r="W725" t="s">
        <v>97</v>
      </c>
      <c r="X725" s="2">
        <v>1.6519999999999999</v>
      </c>
      <c r="Y725" s="6">
        <f t="shared" si="94"/>
        <v>4.409919649769093E-2</v>
      </c>
      <c r="AA725" t="s">
        <v>96</v>
      </c>
      <c r="AB725">
        <v>17337</v>
      </c>
      <c r="AC725">
        <v>15582221</v>
      </c>
      <c r="AD725" t="s">
        <v>4</v>
      </c>
      <c r="AE725">
        <v>40</v>
      </c>
      <c r="AF725">
        <v>4</v>
      </c>
      <c r="AH725" t="s">
        <v>3705</v>
      </c>
      <c r="AI725" t="s">
        <v>3704</v>
      </c>
      <c r="AK725" t="s">
        <v>3703</v>
      </c>
      <c r="AL725">
        <v>56</v>
      </c>
      <c r="AM725" s="5">
        <f t="shared" si="98"/>
        <v>1.8666666666666667</v>
      </c>
      <c r="AN725" s="4">
        <f t="shared" si="95"/>
        <v>2.8272119146787833E-3</v>
      </c>
      <c r="AO725" s="3"/>
      <c r="AP725">
        <v>0</v>
      </c>
      <c r="AR725" t="s">
        <v>0</v>
      </c>
      <c r="AT725" s="2" t="s">
        <v>16</v>
      </c>
      <c r="AU725" s="1">
        <f t="shared" si="99"/>
        <v>3.1717601122787284</v>
      </c>
      <c r="AV725" s="1">
        <f t="shared" si="100"/>
        <v>2.3463204206184853</v>
      </c>
      <c r="AW725" s="1">
        <f t="shared" si="101"/>
        <v>1.5208807289582424</v>
      </c>
    </row>
    <row r="726" spans="1:49" x14ac:dyDescent="0.2">
      <c r="A726">
        <v>724</v>
      </c>
      <c r="B726" t="s">
        <v>3702</v>
      </c>
      <c r="C726" t="s">
        <v>3701</v>
      </c>
      <c r="F726" t="s">
        <v>3700</v>
      </c>
      <c r="G726" t="s">
        <v>12</v>
      </c>
      <c r="H726" t="s">
        <v>11</v>
      </c>
      <c r="I726" t="s">
        <v>3699</v>
      </c>
      <c r="J726">
        <v>60029575</v>
      </c>
      <c r="K726" t="s">
        <v>3698</v>
      </c>
      <c r="L726" t="s">
        <v>3697</v>
      </c>
      <c r="M726" t="s">
        <v>7</v>
      </c>
      <c r="N726">
        <v>1</v>
      </c>
      <c r="O726" t="s">
        <v>3696</v>
      </c>
      <c r="P726">
        <v>7501734902</v>
      </c>
      <c r="Q726">
        <v>60029575</v>
      </c>
      <c r="R726" s="7">
        <v>33604</v>
      </c>
      <c r="S726" s="8">
        <f t="shared" si="96"/>
        <v>1992</v>
      </c>
      <c r="T726" s="8">
        <v>1992</v>
      </c>
      <c r="U726" s="8">
        <f t="shared" si="97"/>
        <v>30</v>
      </c>
      <c r="V726" s="7">
        <v>33695</v>
      </c>
      <c r="W726" t="s">
        <v>1557</v>
      </c>
      <c r="X726" s="2">
        <v>1.137</v>
      </c>
      <c r="Y726" s="6">
        <f t="shared" si="94"/>
        <v>3.0351565628253384E-2</v>
      </c>
      <c r="AA726">
        <v>189251</v>
      </c>
      <c r="AB726">
        <v>17336</v>
      </c>
      <c r="AD726" t="s">
        <v>4</v>
      </c>
      <c r="AE726">
        <v>28</v>
      </c>
      <c r="AF726">
        <v>2</v>
      </c>
      <c r="AH726" t="s">
        <v>3695</v>
      </c>
      <c r="AI726" t="s">
        <v>3694</v>
      </c>
      <c r="AK726" t="s">
        <v>3693</v>
      </c>
      <c r="AL726">
        <v>90</v>
      </c>
      <c r="AM726" s="5">
        <f t="shared" si="98"/>
        <v>3</v>
      </c>
      <c r="AN726" s="4">
        <f t="shared" si="95"/>
        <v>4.5437334343051876E-3</v>
      </c>
      <c r="AO726" s="3"/>
      <c r="AP726">
        <v>0</v>
      </c>
      <c r="AR726" t="s">
        <v>0</v>
      </c>
      <c r="AT726" s="2" t="s">
        <v>16</v>
      </c>
      <c r="AU726" s="1">
        <f t="shared" si="99"/>
        <v>2.2609215970068921</v>
      </c>
      <c r="AV726" s="1">
        <f t="shared" si="100"/>
        <v>1.7447649531279288</v>
      </c>
      <c r="AW726" s="1">
        <f t="shared" si="101"/>
        <v>1.2286083092489648</v>
      </c>
    </row>
    <row r="727" spans="1:49" x14ac:dyDescent="0.2">
      <c r="A727">
        <v>725</v>
      </c>
      <c r="B727" t="s">
        <v>3692</v>
      </c>
      <c r="C727" t="s">
        <v>3691</v>
      </c>
      <c r="F727" t="s">
        <v>3690</v>
      </c>
      <c r="G727" t="s">
        <v>12</v>
      </c>
      <c r="H727" t="s">
        <v>11</v>
      </c>
      <c r="I727" t="s">
        <v>2582</v>
      </c>
      <c r="J727">
        <v>60005510</v>
      </c>
      <c r="K727" t="s">
        <v>2918</v>
      </c>
      <c r="L727" t="s">
        <v>2593</v>
      </c>
      <c r="M727" t="s">
        <v>2592</v>
      </c>
      <c r="N727">
        <v>1</v>
      </c>
      <c r="O727" t="s">
        <v>3689</v>
      </c>
      <c r="P727">
        <v>7102842938</v>
      </c>
      <c r="Q727">
        <v>60005510</v>
      </c>
      <c r="R727" s="7">
        <v>33604</v>
      </c>
      <c r="S727" s="8">
        <f t="shared" si="96"/>
        <v>1992</v>
      </c>
      <c r="T727" s="8">
        <v>1992</v>
      </c>
      <c r="U727" s="8">
        <f t="shared" si="97"/>
        <v>30</v>
      </c>
      <c r="V727" s="7">
        <v>33695</v>
      </c>
      <c r="W727" t="s">
        <v>2743</v>
      </c>
      <c r="X727" s="2">
        <v>1.6379999999999999</v>
      </c>
      <c r="Y727" s="6">
        <f t="shared" si="94"/>
        <v>4.3725474493473214E-2</v>
      </c>
      <c r="AA727" t="s">
        <v>2742</v>
      </c>
      <c r="AB727">
        <v>17391</v>
      </c>
      <c r="AC727">
        <v>19410476</v>
      </c>
      <c r="AD727" t="s">
        <v>4</v>
      </c>
      <c r="AE727">
        <v>40</v>
      </c>
      <c r="AF727">
        <v>4</v>
      </c>
      <c r="AH727" t="s">
        <v>3688</v>
      </c>
      <c r="AI727" t="s">
        <v>3687</v>
      </c>
      <c r="AK727" t="s">
        <v>3686</v>
      </c>
      <c r="AL727">
        <v>14</v>
      </c>
      <c r="AM727" s="5">
        <f t="shared" si="98"/>
        <v>0.46666666666666667</v>
      </c>
      <c r="AN727" s="4">
        <f t="shared" si="95"/>
        <v>7.0680297866969582E-4</v>
      </c>
      <c r="AO727" s="3"/>
      <c r="AP727">
        <v>0</v>
      </c>
      <c r="AR727" t="s">
        <v>0</v>
      </c>
      <c r="AT727" s="2">
        <v>4.931</v>
      </c>
      <c r="AU727" s="1">
        <f t="shared" si="99"/>
        <v>3.0819873039032157</v>
      </c>
      <c r="AV727" s="1">
        <f t="shared" si="100"/>
        <v>2.2216138736071454</v>
      </c>
      <c r="AW727" s="1">
        <f t="shared" si="101"/>
        <v>1.361240443311075</v>
      </c>
    </row>
    <row r="728" spans="1:49" x14ac:dyDescent="0.2">
      <c r="A728">
        <v>726</v>
      </c>
      <c r="B728" t="s">
        <v>3685</v>
      </c>
      <c r="C728" t="s">
        <v>3684</v>
      </c>
      <c r="F728" t="s">
        <v>3683</v>
      </c>
      <c r="G728" t="s">
        <v>12</v>
      </c>
      <c r="H728" t="s">
        <v>11</v>
      </c>
      <c r="I728" t="s">
        <v>3682</v>
      </c>
      <c r="J728">
        <v>115913743</v>
      </c>
      <c r="K728" t="s">
        <v>3681</v>
      </c>
      <c r="L728" t="s">
        <v>461</v>
      </c>
      <c r="M728" t="s">
        <v>460</v>
      </c>
      <c r="N728">
        <v>2</v>
      </c>
      <c r="O728" t="s">
        <v>3680</v>
      </c>
      <c r="P728" t="s">
        <v>3679</v>
      </c>
      <c r="Q728" t="s">
        <v>3678</v>
      </c>
      <c r="R728" s="7">
        <v>33604</v>
      </c>
      <c r="S728" s="8">
        <f t="shared" si="96"/>
        <v>1992</v>
      </c>
      <c r="T728" s="8">
        <v>1992</v>
      </c>
      <c r="U728" s="8">
        <f t="shared" si="97"/>
        <v>30</v>
      </c>
      <c r="V728" s="7">
        <v>33664</v>
      </c>
      <c r="W728" t="s">
        <v>3522</v>
      </c>
      <c r="X728" s="2">
        <v>0.39600000000000002</v>
      </c>
      <c r="Y728" s="6">
        <f t="shared" si="94"/>
        <v>1.0570993833586931E-2</v>
      </c>
      <c r="AA728">
        <v>8858985</v>
      </c>
      <c r="AB728">
        <v>25993</v>
      </c>
      <c r="AD728" t="s">
        <v>4</v>
      </c>
      <c r="AE728">
        <v>7</v>
      </c>
      <c r="AF728">
        <v>3</v>
      </c>
      <c r="AH728" s="9">
        <v>44289</v>
      </c>
      <c r="AI728" t="s">
        <v>3677</v>
      </c>
      <c r="AK728" t="s">
        <v>3676</v>
      </c>
      <c r="AL728">
        <v>0</v>
      </c>
      <c r="AM728" s="5">
        <f t="shared" si="98"/>
        <v>0</v>
      </c>
      <c r="AN728" s="4">
        <f t="shared" si="95"/>
        <v>0</v>
      </c>
      <c r="AO728" s="3"/>
      <c r="AP728">
        <v>0</v>
      </c>
      <c r="AR728" t="s">
        <v>0</v>
      </c>
      <c r="AT728" s="2" t="s">
        <v>16</v>
      </c>
      <c r="AU728" s="1">
        <f t="shared" si="99"/>
        <v>0.73996956835108518</v>
      </c>
      <c r="AV728" s="1">
        <f t="shared" si="100"/>
        <v>0.52854969167934651</v>
      </c>
      <c r="AW728" s="1">
        <f t="shared" si="101"/>
        <v>0.3171298150076079</v>
      </c>
    </row>
    <row r="729" spans="1:49" x14ac:dyDescent="0.2">
      <c r="A729">
        <v>727</v>
      </c>
      <c r="B729" t="s">
        <v>3675</v>
      </c>
      <c r="C729" t="s">
        <v>3674</v>
      </c>
      <c r="F729" t="s">
        <v>3673</v>
      </c>
      <c r="G729" t="s">
        <v>12</v>
      </c>
      <c r="H729" t="s">
        <v>11</v>
      </c>
      <c r="I729" t="s">
        <v>3672</v>
      </c>
      <c r="J729" t="s">
        <v>3671</v>
      </c>
      <c r="K729" t="s">
        <v>3670</v>
      </c>
      <c r="L729" t="s">
        <v>3669</v>
      </c>
      <c r="M729" t="s">
        <v>125</v>
      </c>
      <c r="N729">
        <v>5</v>
      </c>
      <c r="O729" t="s">
        <v>3668</v>
      </c>
      <c r="P729" t="s">
        <v>3667</v>
      </c>
      <c r="Q729" t="s">
        <v>3666</v>
      </c>
      <c r="R729" s="7">
        <v>33604</v>
      </c>
      <c r="S729" s="8">
        <f t="shared" si="96"/>
        <v>1992</v>
      </c>
      <c r="T729" s="8">
        <v>1992</v>
      </c>
      <c r="U729" s="8">
        <f t="shared" si="97"/>
        <v>30</v>
      </c>
      <c r="V729" s="7">
        <v>33664</v>
      </c>
      <c r="W729" t="s">
        <v>414</v>
      </c>
      <c r="X729" s="2">
        <v>2.141</v>
      </c>
      <c r="Y729" s="6">
        <f t="shared" si="94"/>
        <v>5.7152772216438434E-2</v>
      </c>
      <c r="AA729">
        <v>1962892</v>
      </c>
      <c r="AB729">
        <v>17360</v>
      </c>
      <c r="AC729">
        <v>15580644</v>
      </c>
      <c r="AD729" t="s">
        <v>4</v>
      </c>
      <c r="AE729">
        <v>30</v>
      </c>
      <c r="AF729">
        <v>2</v>
      </c>
      <c r="AH729" t="s">
        <v>3665</v>
      </c>
      <c r="AI729" t="s">
        <v>3664</v>
      </c>
      <c r="AK729" t="s">
        <v>3663</v>
      </c>
      <c r="AL729">
        <v>85</v>
      </c>
      <c r="AM729" s="5">
        <f t="shared" si="98"/>
        <v>2.8333333333333335</v>
      </c>
      <c r="AN729" s="4">
        <f t="shared" si="95"/>
        <v>4.2913037990660102E-3</v>
      </c>
      <c r="AO729" s="3"/>
      <c r="AP729">
        <v>0</v>
      </c>
      <c r="AR729" t="s">
        <v>0</v>
      </c>
      <c r="AT729" s="2" t="s">
        <v>16</v>
      </c>
      <c r="AU729" s="1">
        <f t="shared" si="99"/>
        <v>4.1294331691226702</v>
      </c>
      <c r="AV729" s="1">
        <f t="shared" si="100"/>
        <v>3.0722038007752221</v>
      </c>
      <c r="AW729" s="1">
        <f t="shared" si="101"/>
        <v>2.0149744324277736</v>
      </c>
    </row>
    <row r="730" spans="1:49" x14ac:dyDescent="0.2">
      <c r="A730">
        <v>728</v>
      </c>
      <c r="B730" t="s">
        <v>3662</v>
      </c>
      <c r="C730" t="s">
        <v>3661</v>
      </c>
      <c r="F730" t="s">
        <v>3660</v>
      </c>
      <c r="G730" t="s">
        <v>12</v>
      </c>
      <c r="H730" t="s">
        <v>11</v>
      </c>
      <c r="I730" t="s">
        <v>3659</v>
      </c>
      <c r="J730" t="s">
        <v>3658</v>
      </c>
      <c r="K730" t="s">
        <v>3657</v>
      </c>
      <c r="L730" t="s">
        <v>3656</v>
      </c>
      <c r="M730" t="s">
        <v>125</v>
      </c>
      <c r="N730">
        <v>3</v>
      </c>
      <c r="O730" t="s">
        <v>3655</v>
      </c>
      <c r="P730" t="s">
        <v>3654</v>
      </c>
      <c r="Q730" t="s">
        <v>3653</v>
      </c>
      <c r="R730" s="7">
        <v>33604</v>
      </c>
      <c r="S730" s="8">
        <f t="shared" si="96"/>
        <v>1992</v>
      </c>
      <c r="T730" s="8">
        <v>1992</v>
      </c>
      <c r="U730" s="8">
        <f t="shared" si="97"/>
        <v>30</v>
      </c>
      <c r="V730" s="7">
        <v>33664</v>
      </c>
      <c r="W730" t="s">
        <v>136</v>
      </c>
      <c r="X730" s="2">
        <v>1.3720000000000001</v>
      </c>
      <c r="Y730" s="6">
        <f t="shared" si="94"/>
        <v>3.662475641333654E-2</v>
      </c>
      <c r="AA730">
        <v>189480</v>
      </c>
      <c r="AB730">
        <v>17366</v>
      </c>
      <c r="AC730">
        <v>15579670</v>
      </c>
      <c r="AD730" t="s">
        <v>4</v>
      </c>
      <c r="AE730">
        <v>40</v>
      </c>
      <c r="AF730">
        <v>3</v>
      </c>
      <c r="AH730" t="s">
        <v>3652</v>
      </c>
      <c r="AI730" t="s">
        <v>3651</v>
      </c>
      <c r="AK730" t="s">
        <v>3650</v>
      </c>
      <c r="AL730">
        <v>20</v>
      </c>
      <c r="AM730" s="5">
        <f t="shared" si="98"/>
        <v>0.66666666666666663</v>
      </c>
      <c r="AN730" s="4">
        <f t="shared" si="95"/>
        <v>1.0097185409567082E-3</v>
      </c>
      <c r="AO730" s="3"/>
      <c r="AP730">
        <v>0</v>
      </c>
      <c r="AQ730" t="s">
        <v>895</v>
      </c>
      <c r="AR730" t="s">
        <v>0</v>
      </c>
      <c r="AS730" t="s">
        <v>893</v>
      </c>
      <c r="AT730" s="2" t="s">
        <v>16</v>
      </c>
      <c r="AU730" s="1">
        <f t="shared" si="99"/>
        <v>2.5940245051622588</v>
      </c>
      <c r="AV730" s="1">
        <f t="shared" si="100"/>
        <v>1.8817237477146624</v>
      </c>
      <c r="AW730" s="1">
        <f t="shared" si="101"/>
        <v>1.1694229902670656</v>
      </c>
    </row>
    <row r="731" spans="1:49" x14ac:dyDescent="0.2">
      <c r="A731">
        <v>729</v>
      </c>
      <c r="B731" t="s">
        <v>3649</v>
      </c>
      <c r="C731" t="s">
        <v>3648</v>
      </c>
      <c r="F731" t="s">
        <v>3647</v>
      </c>
      <c r="G731" t="s">
        <v>12</v>
      </c>
      <c r="H731" t="s">
        <v>11</v>
      </c>
      <c r="I731" t="s">
        <v>3646</v>
      </c>
      <c r="J731" t="s">
        <v>3645</v>
      </c>
      <c r="K731" t="s">
        <v>3644</v>
      </c>
      <c r="L731" t="s">
        <v>3643</v>
      </c>
      <c r="M731" t="s">
        <v>904</v>
      </c>
      <c r="N731">
        <v>3</v>
      </c>
      <c r="O731" t="s">
        <v>3642</v>
      </c>
      <c r="P731" t="s">
        <v>3641</v>
      </c>
      <c r="Q731" t="s">
        <v>3640</v>
      </c>
      <c r="R731" s="7">
        <v>33604</v>
      </c>
      <c r="S731" s="8">
        <f t="shared" si="96"/>
        <v>1992</v>
      </c>
      <c r="T731" s="8">
        <v>1992</v>
      </c>
      <c r="U731" s="8">
        <f t="shared" si="97"/>
        <v>30</v>
      </c>
      <c r="V731" s="7">
        <v>33664</v>
      </c>
      <c r="W731" t="s">
        <v>1458</v>
      </c>
      <c r="X731" s="2">
        <v>0.30399999999999999</v>
      </c>
      <c r="Y731" s="6">
        <f t="shared" si="94"/>
        <v>8.115106377299057E-3</v>
      </c>
      <c r="AA731">
        <v>8952477</v>
      </c>
      <c r="AB731">
        <v>12250</v>
      </c>
      <c r="AC731">
        <v>10982760</v>
      </c>
      <c r="AD731" t="s">
        <v>4</v>
      </c>
      <c r="AE731">
        <v>5</v>
      </c>
      <c r="AF731">
        <v>3</v>
      </c>
      <c r="AH731" t="s">
        <v>3639</v>
      </c>
      <c r="AI731" t="s">
        <v>3638</v>
      </c>
      <c r="AJ731" t="s">
        <v>3637</v>
      </c>
      <c r="AK731" t="s">
        <v>3636</v>
      </c>
      <c r="AL731">
        <v>6</v>
      </c>
      <c r="AM731" s="5">
        <f t="shared" si="98"/>
        <v>0.2</v>
      </c>
      <c r="AN731" s="4">
        <f t="shared" si="95"/>
        <v>3.0291556228701253E-4</v>
      </c>
      <c r="AO731" s="3"/>
      <c r="AP731">
        <v>0</v>
      </c>
      <c r="AR731" t="s">
        <v>0</v>
      </c>
      <c r="AT731" s="2" t="s">
        <v>16</v>
      </c>
      <c r="AU731" s="1">
        <f t="shared" si="99"/>
        <v>0.57714491327954431</v>
      </c>
      <c r="AV731" s="1">
        <f t="shared" si="100"/>
        <v>0.4209010969793035</v>
      </c>
      <c r="AW731" s="1">
        <f t="shared" si="101"/>
        <v>0.26465728067906258</v>
      </c>
    </row>
    <row r="732" spans="1:49" x14ac:dyDescent="0.2">
      <c r="A732">
        <v>730</v>
      </c>
      <c r="B732" t="s">
        <v>3635</v>
      </c>
      <c r="C732" t="s">
        <v>3634</v>
      </c>
      <c r="F732" t="s">
        <v>3633</v>
      </c>
      <c r="G732" t="s">
        <v>12</v>
      </c>
      <c r="H732" t="s">
        <v>11</v>
      </c>
      <c r="I732" t="s">
        <v>2595</v>
      </c>
      <c r="J732">
        <v>60017161</v>
      </c>
      <c r="K732" t="s">
        <v>2594</v>
      </c>
      <c r="L732" t="s">
        <v>2593</v>
      </c>
      <c r="M732" t="s">
        <v>2592</v>
      </c>
      <c r="N732">
        <v>2</v>
      </c>
      <c r="O732" t="s">
        <v>3632</v>
      </c>
      <c r="P732" t="s">
        <v>3631</v>
      </c>
      <c r="Q732" t="s">
        <v>3630</v>
      </c>
      <c r="R732" s="7">
        <v>33604</v>
      </c>
      <c r="S732" s="8">
        <f t="shared" si="96"/>
        <v>1992</v>
      </c>
      <c r="T732" s="8">
        <v>1992</v>
      </c>
      <c r="U732" s="8">
        <f t="shared" si="97"/>
        <v>30</v>
      </c>
      <c r="V732" s="7">
        <v>33664</v>
      </c>
      <c r="W732" t="s">
        <v>97</v>
      </c>
      <c r="X732" s="2">
        <v>1.6519999999999999</v>
      </c>
      <c r="Y732" s="6">
        <f t="shared" si="94"/>
        <v>4.409919649769093E-2</v>
      </c>
      <c r="AA732" t="s">
        <v>96</v>
      </c>
      <c r="AB732">
        <v>17337</v>
      </c>
      <c r="AC732">
        <v>15582221</v>
      </c>
      <c r="AD732" t="s">
        <v>4</v>
      </c>
      <c r="AE732">
        <v>40</v>
      </c>
      <c r="AF732">
        <v>3</v>
      </c>
      <c r="AH732" t="s">
        <v>3629</v>
      </c>
      <c r="AI732" t="s">
        <v>3628</v>
      </c>
      <c r="AK732" t="s">
        <v>3627</v>
      </c>
      <c r="AL732">
        <v>6</v>
      </c>
      <c r="AM732" s="5">
        <f t="shared" si="98"/>
        <v>0.2</v>
      </c>
      <c r="AN732" s="4">
        <f t="shared" si="95"/>
        <v>3.0291556228701253E-4</v>
      </c>
      <c r="AO732" s="3"/>
      <c r="AP732">
        <v>0</v>
      </c>
      <c r="AR732" t="s">
        <v>0</v>
      </c>
      <c r="AT732" s="2" t="s">
        <v>16</v>
      </c>
      <c r="AU732" s="1">
        <f t="shared" si="99"/>
        <v>3.0960312217069754</v>
      </c>
      <c r="AV732" s="1">
        <f t="shared" si="100"/>
        <v>2.2201056029988968</v>
      </c>
      <c r="AW732" s="1">
        <f t="shared" si="101"/>
        <v>1.3441799842908186</v>
      </c>
    </row>
    <row r="733" spans="1:49" x14ac:dyDescent="0.2">
      <c r="A733">
        <v>731</v>
      </c>
      <c r="B733" t="s">
        <v>3626</v>
      </c>
      <c r="C733" t="s">
        <v>3625</v>
      </c>
      <c r="F733" t="s">
        <v>3624</v>
      </c>
      <c r="G733" t="s">
        <v>12</v>
      </c>
      <c r="H733" t="s">
        <v>11</v>
      </c>
      <c r="I733" t="s">
        <v>3623</v>
      </c>
      <c r="J733">
        <v>60003892</v>
      </c>
      <c r="K733" t="s">
        <v>1858</v>
      </c>
      <c r="L733" t="s">
        <v>1857</v>
      </c>
      <c r="M733" t="s">
        <v>7</v>
      </c>
      <c r="N733">
        <v>2</v>
      </c>
      <c r="O733" t="s">
        <v>3622</v>
      </c>
      <c r="P733" t="s">
        <v>3621</v>
      </c>
      <c r="Q733" t="s">
        <v>3620</v>
      </c>
      <c r="R733" s="7">
        <v>33604</v>
      </c>
      <c r="S733" s="8">
        <f t="shared" si="96"/>
        <v>1992</v>
      </c>
      <c r="T733" s="8">
        <v>1992</v>
      </c>
      <c r="U733" s="8">
        <f t="shared" si="97"/>
        <v>30</v>
      </c>
      <c r="V733" s="7">
        <v>33664</v>
      </c>
      <c r="W733" t="s">
        <v>97</v>
      </c>
      <c r="X733" s="2">
        <v>1.6519999999999999</v>
      </c>
      <c r="Y733" s="6">
        <f t="shared" si="94"/>
        <v>4.409919649769093E-2</v>
      </c>
      <c r="AA733" t="s">
        <v>96</v>
      </c>
      <c r="AB733">
        <v>17337</v>
      </c>
      <c r="AC733">
        <v>15582221</v>
      </c>
      <c r="AD733" t="s">
        <v>4</v>
      </c>
      <c r="AE733">
        <v>40</v>
      </c>
      <c r="AF733">
        <v>3</v>
      </c>
      <c r="AH733" t="s">
        <v>3619</v>
      </c>
      <c r="AI733" t="s">
        <v>3618</v>
      </c>
      <c r="AK733" t="s">
        <v>3617</v>
      </c>
      <c r="AL733">
        <v>86</v>
      </c>
      <c r="AM733" s="5">
        <f t="shared" si="98"/>
        <v>2.8666666666666667</v>
      </c>
      <c r="AN733" s="4">
        <f t="shared" si="95"/>
        <v>4.3417897261138457E-3</v>
      </c>
      <c r="AO733" s="3"/>
      <c r="AP733">
        <v>0</v>
      </c>
      <c r="AR733" t="s">
        <v>0</v>
      </c>
      <c r="AT733" s="2" t="s">
        <v>16</v>
      </c>
      <c r="AU733" s="1">
        <f t="shared" si="99"/>
        <v>3.2171974466217805</v>
      </c>
      <c r="AV733" s="1">
        <f t="shared" si="100"/>
        <v>2.4220493111902388</v>
      </c>
      <c r="AW733" s="1">
        <f t="shared" si="101"/>
        <v>1.6269011757586969</v>
      </c>
    </row>
    <row r="734" spans="1:49" x14ac:dyDescent="0.2">
      <c r="A734">
        <v>732</v>
      </c>
      <c r="B734" t="s">
        <v>3616</v>
      </c>
      <c r="C734" t="s">
        <v>3615</v>
      </c>
      <c r="F734" t="s">
        <v>3614</v>
      </c>
      <c r="G734" t="s">
        <v>12</v>
      </c>
      <c r="H734" t="s">
        <v>11</v>
      </c>
      <c r="I734" t="s">
        <v>3613</v>
      </c>
      <c r="J734">
        <v>60012370</v>
      </c>
      <c r="K734" t="s">
        <v>3612</v>
      </c>
      <c r="L734" t="s">
        <v>3611</v>
      </c>
      <c r="M734" t="s">
        <v>3610</v>
      </c>
      <c r="N734">
        <v>3</v>
      </c>
      <c r="O734" t="s">
        <v>3609</v>
      </c>
      <c r="P734" t="s">
        <v>3608</v>
      </c>
      <c r="Q734" t="s">
        <v>3607</v>
      </c>
      <c r="R734" s="7">
        <v>33604</v>
      </c>
      <c r="S734" s="8">
        <f t="shared" si="96"/>
        <v>1992</v>
      </c>
      <c r="T734" s="8">
        <v>1992</v>
      </c>
      <c r="U734" s="8">
        <f t="shared" si="97"/>
        <v>30</v>
      </c>
      <c r="V734" s="7">
        <v>33664</v>
      </c>
      <c r="W734" t="s">
        <v>97</v>
      </c>
      <c r="X734" s="2">
        <v>1.6519999999999999</v>
      </c>
      <c r="Y734" s="6">
        <f t="shared" si="94"/>
        <v>4.409919649769093E-2</v>
      </c>
      <c r="AA734" t="s">
        <v>96</v>
      </c>
      <c r="AB734">
        <v>17337</v>
      </c>
      <c r="AC734">
        <v>15582221</v>
      </c>
      <c r="AD734" t="s">
        <v>4</v>
      </c>
      <c r="AE734">
        <v>40</v>
      </c>
      <c r="AF734">
        <v>3</v>
      </c>
      <c r="AH734" t="s">
        <v>3606</v>
      </c>
      <c r="AI734" t="s">
        <v>3605</v>
      </c>
      <c r="AK734" t="s">
        <v>3604</v>
      </c>
      <c r="AL734">
        <v>44</v>
      </c>
      <c r="AM734" s="5">
        <f t="shared" si="98"/>
        <v>1.4666666666666666</v>
      </c>
      <c r="AN734" s="4">
        <f t="shared" si="95"/>
        <v>2.2213807901047583E-3</v>
      </c>
      <c r="AO734" s="3"/>
      <c r="AP734">
        <v>0</v>
      </c>
      <c r="AR734" t="s">
        <v>0</v>
      </c>
      <c r="AT734" s="2" t="s">
        <v>16</v>
      </c>
      <c r="AU734" s="1">
        <f t="shared" si="99"/>
        <v>3.1535851785415079</v>
      </c>
      <c r="AV734" s="1">
        <f t="shared" si="100"/>
        <v>2.3160288643897844</v>
      </c>
      <c r="AW734" s="1">
        <f t="shared" si="101"/>
        <v>1.4784725502380609</v>
      </c>
    </row>
    <row r="735" spans="1:49" x14ac:dyDescent="0.2">
      <c r="A735">
        <v>733</v>
      </c>
      <c r="B735" t="s">
        <v>3603</v>
      </c>
      <c r="C735" t="s">
        <v>3602</v>
      </c>
      <c r="F735" t="s">
        <v>3601</v>
      </c>
      <c r="G735" t="s">
        <v>12</v>
      </c>
      <c r="H735" t="s">
        <v>11</v>
      </c>
      <c r="I735" t="s">
        <v>3600</v>
      </c>
      <c r="J735" t="s">
        <v>3599</v>
      </c>
      <c r="K735" t="s">
        <v>3598</v>
      </c>
      <c r="L735" t="s">
        <v>3597</v>
      </c>
      <c r="M735" t="s">
        <v>904</v>
      </c>
      <c r="N735">
        <v>1</v>
      </c>
      <c r="O735" t="s">
        <v>3596</v>
      </c>
      <c r="P735">
        <v>6701919037</v>
      </c>
      <c r="Q735" t="s">
        <v>3595</v>
      </c>
      <c r="R735" s="7">
        <v>33604</v>
      </c>
      <c r="S735" s="8">
        <f t="shared" si="96"/>
        <v>1992</v>
      </c>
      <c r="T735" s="8">
        <v>1992</v>
      </c>
      <c r="U735" s="8">
        <f t="shared" si="97"/>
        <v>30</v>
      </c>
      <c r="V735" s="7">
        <v>33664</v>
      </c>
      <c r="W735" t="s">
        <v>97</v>
      </c>
      <c r="X735" s="2">
        <v>1.6519999999999999</v>
      </c>
      <c r="Y735" s="6">
        <f t="shared" si="94"/>
        <v>4.409919649769093E-2</v>
      </c>
      <c r="AA735" t="s">
        <v>96</v>
      </c>
      <c r="AB735">
        <v>17337</v>
      </c>
      <c r="AC735">
        <v>15582221</v>
      </c>
      <c r="AD735" t="s">
        <v>4</v>
      </c>
      <c r="AE735">
        <v>40</v>
      </c>
      <c r="AF735">
        <v>3</v>
      </c>
      <c r="AH735" t="s">
        <v>3594</v>
      </c>
      <c r="AI735" t="s">
        <v>3593</v>
      </c>
      <c r="AK735" t="s">
        <v>3592</v>
      </c>
      <c r="AL735">
        <v>7</v>
      </c>
      <c r="AM735" s="5">
        <f t="shared" si="98"/>
        <v>0.23333333333333334</v>
      </c>
      <c r="AN735" s="4">
        <f t="shared" si="95"/>
        <v>3.5340148933484791E-4</v>
      </c>
      <c r="AO735" s="3"/>
      <c r="AP735">
        <v>0</v>
      </c>
      <c r="AR735" t="s">
        <v>0</v>
      </c>
      <c r="AT735" s="2" t="s">
        <v>16</v>
      </c>
      <c r="AU735" s="1">
        <f t="shared" si="99"/>
        <v>3.0975457995184108</v>
      </c>
      <c r="AV735" s="1">
        <f t="shared" si="100"/>
        <v>2.222629899351289</v>
      </c>
      <c r="AW735" s="1">
        <f t="shared" si="101"/>
        <v>1.3477139991841671</v>
      </c>
    </row>
    <row r="736" spans="1:49" x14ac:dyDescent="0.2">
      <c r="A736">
        <v>734</v>
      </c>
      <c r="B736" t="s">
        <v>3591</v>
      </c>
      <c r="C736" t="s">
        <v>3590</v>
      </c>
      <c r="D736" t="s">
        <v>3589</v>
      </c>
      <c r="F736" t="s">
        <v>3588</v>
      </c>
      <c r="G736" t="s">
        <v>12</v>
      </c>
      <c r="H736" t="s">
        <v>11</v>
      </c>
      <c r="I736" t="s">
        <v>1225</v>
      </c>
      <c r="J736">
        <v>60027271</v>
      </c>
      <c r="K736" t="s">
        <v>1224</v>
      </c>
      <c r="L736" t="s">
        <v>1223</v>
      </c>
      <c r="M736" t="s">
        <v>7</v>
      </c>
      <c r="N736">
        <v>1</v>
      </c>
      <c r="O736" t="s">
        <v>1222</v>
      </c>
      <c r="P736">
        <v>16538973000</v>
      </c>
      <c r="Q736">
        <v>60027271</v>
      </c>
      <c r="R736" s="7">
        <v>33604</v>
      </c>
      <c r="S736" s="8">
        <f t="shared" si="96"/>
        <v>1992</v>
      </c>
      <c r="T736" s="8">
        <v>1992</v>
      </c>
      <c r="U736" s="8">
        <f t="shared" si="97"/>
        <v>30</v>
      </c>
      <c r="V736" s="7">
        <v>33664</v>
      </c>
      <c r="W736" t="s">
        <v>1221</v>
      </c>
      <c r="X736" s="2">
        <v>1.0049999999999999</v>
      </c>
      <c r="Y736" s="6">
        <f t="shared" si="94"/>
        <v>2.6827901017057738E-2</v>
      </c>
      <c r="AA736">
        <v>160032</v>
      </c>
      <c r="AB736">
        <v>27959</v>
      </c>
      <c r="AD736" t="s">
        <v>4</v>
      </c>
      <c r="AE736">
        <v>329</v>
      </c>
      <c r="AF736">
        <v>2</v>
      </c>
      <c r="AH736" t="s">
        <v>3587</v>
      </c>
      <c r="AI736" t="s">
        <v>3586</v>
      </c>
      <c r="AK736" t="s">
        <v>3585</v>
      </c>
      <c r="AL736">
        <v>12</v>
      </c>
      <c r="AM736" s="5">
        <f t="shared" si="98"/>
        <v>0.4</v>
      </c>
      <c r="AN736" s="4">
        <f t="shared" si="95"/>
        <v>6.0583112457402507E-4</v>
      </c>
      <c r="AO736" s="3"/>
      <c r="AP736">
        <v>0</v>
      </c>
      <c r="AR736" t="s">
        <v>0</v>
      </c>
      <c r="AT736" s="2" t="s">
        <v>16</v>
      </c>
      <c r="AU736" s="1">
        <f t="shared" si="99"/>
        <v>1.8961280049312623</v>
      </c>
      <c r="AV736" s="1">
        <f t="shared" si="100"/>
        <v>1.3716866070815883</v>
      </c>
      <c r="AW736" s="1">
        <f t="shared" si="101"/>
        <v>0.84724520923191382</v>
      </c>
    </row>
    <row r="737" spans="1:49" x14ac:dyDescent="0.2">
      <c r="A737">
        <v>735</v>
      </c>
      <c r="B737" t="s">
        <v>3584</v>
      </c>
      <c r="C737" t="s">
        <v>3583</v>
      </c>
      <c r="F737" t="s">
        <v>3582</v>
      </c>
      <c r="G737" t="s">
        <v>12</v>
      </c>
      <c r="H737" t="s">
        <v>11</v>
      </c>
      <c r="I737" t="s">
        <v>3581</v>
      </c>
      <c r="J737">
        <v>60008107</v>
      </c>
      <c r="K737" t="s">
        <v>3580</v>
      </c>
      <c r="L737" t="s">
        <v>3579</v>
      </c>
      <c r="M737" t="s">
        <v>151</v>
      </c>
      <c r="N737">
        <v>2</v>
      </c>
      <c r="O737" t="s">
        <v>3578</v>
      </c>
      <c r="P737" t="s">
        <v>3577</v>
      </c>
      <c r="Q737" t="s">
        <v>3576</v>
      </c>
      <c r="R737" s="7">
        <v>33604</v>
      </c>
      <c r="S737" s="8">
        <f t="shared" si="96"/>
        <v>1992</v>
      </c>
      <c r="T737" s="8">
        <v>1992</v>
      </c>
      <c r="U737" s="8">
        <f t="shared" si="97"/>
        <v>30</v>
      </c>
      <c r="V737" s="7">
        <v>1992</v>
      </c>
      <c r="W737" t="s">
        <v>665</v>
      </c>
      <c r="X737" s="2">
        <v>0.111</v>
      </c>
      <c r="Y737" s="6">
        <f t="shared" si="94"/>
        <v>2.9630816048690639E-3</v>
      </c>
      <c r="AA737">
        <v>87566621</v>
      </c>
      <c r="AB737">
        <v>24890</v>
      </c>
      <c r="AC737">
        <v>15206424</v>
      </c>
      <c r="AD737" t="s">
        <v>4</v>
      </c>
      <c r="AE737">
        <v>75</v>
      </c>
      <c r="AF737">
        <v>3</v>
      </c>
      <c r="AH737" t="s">
        <v>3575</v>
      </c>
      <c r="AI737" t="s">
        <v>3574</v>
      </c>
      <c r="AK737" t="s">
        <v>3573</v>
      </c>
      <c r="AL737">
        <v>0</v>
      </c>
      <c r="AM737" s="5">
        <f t="shared" si="98"/>
        <v>0</v>
      </c>
      <c r="AN737" s="4">
        <f t="shared" si="95"/>
        <v>0</v>
      </c>
      <c r="AO737" s="3"/>
      <c r="AP737">
        <v>0</v>
      </c>
      <c r="AR737" t="s">
        <v>0</v>
      </c>
      <c r="AT737" s="2" t="s">
        <v>16</v>
      </c>
      <c r="AU737" s="1">
        <f t="shared" si="99"/>
        <v>0.20741571234083445</v>
      </c>
      <c r="AV737" s="1">
        <f t="shared" si="100"/>
        <v>0.1481540802434532</v>
      </c>
      <c r="AW737" s="1">
        <f t="shared" si="101"/>
        <v>8.8892448146071903E-2</v>
      </c>
    </row>
    <row r="738" spans="1:49" x14ac:dyDescent="0.2">
      <c r="A738">
        <v>736</v>
      </c>
      <c r="B738" t="s">
        <v>3572</v>
      </c>
      <c r="C738" t="s">
        <v>3571</v>
      </c>
      <c r="F738" t="s">
        <v>3570</v>
      </c>
      <c r="G738" t="s">
        <v>12</v>
      </c>
      <c r="H738" t="s">
        <v>11</v>
      </c>
      <c r="I738" t="s">
        <v>3569</v>
      </c>
      <c r="J738">
        <v>60027090</v>
      </c>
      <c r="K738" t="s">
        <v>2475</v>
      </c>
      <c r="L738" t="s">
        <v>2474</v>
      </c>
      <c r="M738" t="s">
        <v>7</v>
      </c>
      <c r="N738">
        <v>2</v>
      </c>
      <c r="O738" t="s">
        <v>3568</v>
      </c>
      <c r="P738" t="s">
        <v>3567</v>
      </c>
      <c r="Q738" t="s">
        <v>2471</v>
      </c>
      <c r="R738" s="7">
        <v>33604</v>
      </c>
      <c r="S738" s="8">
        <f t="shared" si="96"/>
        <v>1992</v>
      </c>
      <c r="T738" s="8">
        <v>1992</v>
      </c>
      <c r="U738" s="8">
        <f t="shared" si="97"/>
        <v>30</v>
      </c>
      <c r="V738" s="7" t="s">
        <v>3206</v>
      </c>
      <c r="W738" t="s">
        <v>1665</v>
      </c>
      <c r="X738" s="2">
        <v>1.573</v>
      </c>
      <c r="Y738" s="6">
        <f t="shared" si="94"/>
        <v>4.1990336616748086E-2</v>
      </c>
      <c r="AA738">
        <v>7315090</v>
      </c>
      <c r="AB738">
        <v>29586</v>
      </c>
      <c r="AD738" t="s">
        <v>4</v>
      </c>
      <c r="AE738">
        <v>15</v>
      </c>
      <c r="AF738">
        <v>2</v>
      </c>
      <c r="AH738" t="s">
        <v>3566</v>
      </c>
      <c r="AI738" t="s">
        <v>3565</v>
      </c>
      <c r="AK738" t="s">
        <v>3564</v>
      </c>
      <c r="AL738">
        <v>25</v>
      </c>
      <c r="AM738" s="5">
        <f t="shared" si="98"/>
        <v>0.83333333333333337</v>
      </c>
      <c r="AN738" s="4">
        <f t="shared" si="95"/>
        <v>1.2621481761958854E-3</v>
      </c>
      <c r="AO738" s="3"/>
      <c r="AP738">
        <v>0</v>
      </c>
      <c r="AQ738" t="s">
        <v>1971</v>
      </c>
      <c r="AR738" t="s">
        <v>3563</v>
      </c>
      <c r="AS738" t="s">
        <v>1970</v>
      </c>
      <c r="AT738" s="2" t="s">
        <v>16</v>
      </c>
      <c r="AU738" s="1">
        <f t="shared" si="99"/>
        <v>2.9771880084582425</v>
      </c>
      <c r="AV738" s="1">
        <f t="shared" si="100"/>
        <v>2.1626242396471982</v>
      </c>
      <c r="AW738" s="1">
        <f t="shared" si="101"/>
        <v>1.3480604708361545</v>
      </c>
    </row>
    <row r="739" spans="1:49" x14ac:dyDescent="0.2">
      <c r="A739">
        <v>737</v>
      </c>
      <c r="B739" t="s">
        <v>3562</v>
      </c>
      <c r="C739" t="s">
        <v>3561</v>
      </c>
      <c r="F739" t="s">
        <v>3560</v>
      </c>
      <c r="G739" t="s">
        <v>12</v>
      </c>
      <c r="H739" t="s">
        <v>11</v>
      </c>
      <c r="I739" t="s">
        <v>3559</v>
      </c>
      <c r="J739" t="s">
        <v>3553</v>
      </c>
      <c r="K739" t="s">
        <v>3558</v>
      </c>
      <c r="L739" t="s">
        <v>3557</v>
      </c>
      <c r="M739" t="s">
        <v>3556</v>
      </c>
      <c r="N739">
        <v>2</v>
      </c>
      <c r="O739" t="s">
        <v>3555</v>
      </c>
      <c r="P739" t="s">
        <v>3554</v>
      </c>
      <c r="Q739" t="s">
        <v>3553</v>
      </c>
      <c r="R739" s="7">
        <v>33604</v>
      </c>
      <c r="S739" s="8">
        <f t="shared" si="96"/>
        <v>1992</v>
      </c>
      <c r="T739" s="8">
        <v>1992</v>
      </c>
      <c r="U739" s="8">
        <f t="shared" si="97"/>
        <v>30</v>
      </c>
      <c r="V739" s="7">
        <v>33664</v>
      </c>
      <c r="W739" t="s">
        <v>1458</v>
      </c>
      <c r="X739" s="2">
        <v>0.30399999999999999</v>
      </c>
      <c r="Y739" s="6">
        <f t="shared" si="94"/>
        <v>8.115106377299057E-3</v>
      </c>
      <c r="AA739">
        <v>8952477</v>
      </c>
      <c r="AB739">
        <v>12250</v>
      </c>
      <c r="AC739">
        <v>10982760</v>
      </c>
      <c r="AD739" t="s">
        <v>4</v>
      </c>
      <c r="AE739">
        <v>5</v>
      </c>
      <c r="AF739">
        <v>3</v>
      </c>
      <c r="AH739" t="s">
        <v>3552</v>
      </c>
      <c r="AI739" t="s">
        <v>3551</v>
      </c>
      <c r="AJ739" t="s">
        <v>3550</v>
      </c>
      <c r="AK739" t="s">
        <v>3549</v>
      </c>
      <c r="AL739">
        <v>4</v>
      </c>
      <c r="AM739" s="5">
        <f t="shared" si="98"/>
        <v>0.13333333333333333</v>
      </c>
      <c r="AN739" s="4">
        <f t="shared" si="95"/>
        <v>2.0194370819134167E-4</v>
      </c>
      <c r="AO739" s="3"/>
      <c r="AP739">
        <v>0</v>
      </c>
      <c r="AR739" t="s">
        <v>0</v>
      </c>
      <c r="AT739" s="2" t="s">
        <v>16</v>
      </c>
      <c r="AU739" s="1">
        <f t="shared" si="99"/>
        <v>0.57411575765667411</v>
      </c>
      <c r="AV739" s="1">
        <f t="shared" si="100"/>
        <v>0.41585250427451992</v>
      </c>
      <c r="AW739" s="1">
        <f t="shared" si="101"/>
        <v>0.25758925089236562</v>
      </c>
    </row>
    <row r="740" spans="1:49" x14ac:dyDescent="0.2">
      <c r="A740">
        <v>738</v>
      </c>
      <c r="B740" t="s">
        <v>3548</v>
      </c>
      <c r="C740" t="s">
        <v>3547</v>
      </c>
      <c r="F740" t="s">
        <v>3546</v>
      </c>
      <c r="G740" t="s">
        <v>12</v>
      </c>
      <c r="H740" t="s">
        <v>11</v>
      </c>
      <c r="I740" t="s">
        <v>2595</v>
      </c>
      <c r="J740">
        <v>60017161</v>
      </c>
      <c r="K740" t="s">
        <v>2594</v>
      </c>
      <c r="L740" t="s">
        <v>2593</v>
      </c>
      <c r="M740" t="s">
        <v>2592</v>
      </c>
      <c r="N740">
        <v>3</v>
      </c>
      <c r="O740" t="s">
        <v>3545</v>
      </c>
      <c r="P740" t="s">
        <v>3544</v>
      </c>
      <c r="Q740" t="s">
        <v>3543</v>
      </c>
      <c r="R740" s="7">
        <v>33604</v>
      </c>
      <c r="S740" s="8">
        <f t="shared" si="96"/>
        <v>1992</v>
      </c>
      <c r="T740" s="8">
        <v>1992</v>
      </c>
      <c r="U740" s="8">
        <f t="shared" si="97"/>
        <v>30</v>
      </c>
      <c r="V740" s="7">
        <v>33664</v>
      </c>
      <c r="W740" t="s">
        <v>97</v>
      </c>
      <c r="X740" s="2">
        <v>1.6519999999999999</v>
      </c>
      <c r="Y740" s="6">
        <f t="shared" si="94"/>
        <v>4.409919649769093E-2</v>
      </c>
      <c r="AA740" t="s">
        <v>96</v>
      </c>
      <c r="AB740">
        <v>17337</v>
      </c>
      <c r="AC740">
        <v>15582221</v>
      </c>
      <c r="AD740" t="s">
        <v>4</v>
      </c>
      <c r="AE740">
        <v>40</v>
      </c>
      <c r="AF740">
        <v>3</v>
      </c>
      <c r="AH740" t="s">
        <v>3542</v>
      </c>
      <c r="AI740" t="s">
        <v>3541</v>
      </c>
      <c r="AK740" t="s">
        <v>3540</v>
      </c>
      <c r="AL740">
        <v>6</v>
      </c>
      <c r="AM740" s="5">
        <f t="shared" si="98"/>
        <v>0.2</v>
      </c>
      <c r="AN740" s="4">
        <f t="shared" si="95"/>
        <v>3.0291556228701253E-4</v>
      </c>
      <c r="AO740" s="3"/>
      <c r="AP740">
        <v>0</v>
      </c>
      <c r="AR740" t="s">
        <v>0</v>
      </c>
      <c r="AT740" s="2" t="s">
        <v>16</v>
      </c>
      <c r="AU740" s="1">
        <f t="shared" si="99"/>
        <v>3.0960312217069754</v>
      </c>
      <c r="AV740" s="1">
        <f t="shared" si="100"/>
        <v>2.2201056029988968</v>
      </c>
      <c r="AW740" s="1">
        <f t="shared" si="101"/>
        <v>1.3441799842908186</v>
      </c>
    </row>
    <row r="741" spans="1:49" x14ac:dyDescent="0.2">
      <c r="A741">
        <v>739</v>
      </c>
      <c r="B741" t="s">
        <v>3539</v>
      </c>
      <c r="C741" t="s">
        <v>3538</v>
      </c>
      <c r="F741" t="s">
        <v>3537</v>
      </c>
      <c r="G741" t="s">
        <v>12</v>
      </c>
      <c r="H741" t="s">
        <v>11</v>
      </c>
      <c r="I741" t="s">
        <v>3536</v>
      </c>
      <c r="J741">
        <v>60021032</v>
      </c>
      <c r="K741" t="s">
        <v>2567</v>
      </c>
      <c r="L741" t="s">
        <v>2566</v>
      </c>
      <c r="M741" t="s">
        <v>7</v>
      </c>
      <c r="N741">
        <v>2</v>
      </c>
      <c r="O741" t="s">
        <v>3535</v>
      </c>
      <c r="P741" t="s">
        <v>3534</v>
      </c>
      <c r="Q741" t="s">
        <v>3533</v>
      </c>
      <c r="R741" s="7">
        <v>33604</v>
      </c>
      <c r="S741" s="8">
        <f t="shared" si="96"/>
        <v>1992</v>
      </c>
      <c r="T741" s="8">
        <v>1992</v>
      </c>
      <c r="U741" s="8">
        <f t="shared" si="97"/>
        <v>30</v>
      </c>
      <c r="V741" s="7">
        <v>33664</v>
      </c>
      <c r="W741" t="s">
        <v>97</v>
      </c>
      <c r="X741" s="2">
        <v>1.6519999999999999</v>
      </c>
      <c r="Y741" s="6">
        <f t="shared" si="94"/>
        <v>4.409919649769093E-2</v>
      </c>
      <c r="AA741" t="s">
        <v>96</v>
      </c>
      <c r="AB741">
        <v>17337</v>
      </c>
      <c r="AC741">
        <v>15582221</v>
      </c>
      <c r="AD741" t="s">
        <v>4</v>
      </c>
      <c r="AE741">
        <v>40</v>
      </c>
      <c r="AF741">
        <v>3</v>
      </c>
      <c r="AH741" t="s">
        <v>3532</v>
      </c>
      <c r="AI741" t="s">
        <v>3531</v>
      </c>
      <c r="AK741" t="s">
        <v>3530</v>
      </c>
      <c r="AL741">
        <v>117</v>
      </c>
      <c r="AM741" s="5">
        <f t="shared" si="98"/>
        <v>3.9</v>
      </c>
      <c r="AN741" s="4">
        <f t="shared" si="95"/>
        <v>5.9068534645967431E-3</v>
      </c>
      <c r="AO741" s="3"/>
      <c r="AP741">
        <v>0</v>
      </c>
      <c r="AR741" t="s">
        <v>0</v>
      </c>
      <c r="AT741" s="2" t="s">
        <v>16</v>
      </c>
      <c r="AU741" s="1">
        <f t="shared" si="99"/>
        <v>3.2641493587762671</v>
      </c>
      <c r="AV741" s="1">
        <f t="shared" si="100"/>
        <v>2.500302498114384</v>
      </c>
      <c r="AW741" s="1">
        <f t="shared" si="101"/>
        <v>1.7364556374524998</v>
      </c>
    </row>
    <row r="742" spans="1:49" x14ac:dyDescent="0.2">
      <c r="A742">
        <v>740</v>
      </c>
      <c r="B742" t="s">
        <v>3529</v>
      </c>
      <c r="C742" t="s">
        <v>3528</v>
      </c>
      <c r="F742" t="s">
        <v>3527</v>
      </c>
      <c r="G742" t="s">
        <v>12</v>
      </c>
      <c r="H742" t="s">
        <v>11</v>
      </c>
      <c r="I742" t="s">
        <v>3526</v>
      </c>
      <c r="J742">
        <v>100338347</v>
      </c>
      <c r="K742" t="s">
        <v>3525</v>
      </c>
      <c r="L742" t="s">
        <v>3524</v>
      </c>
      <c r="M742" t="s">
        <v>656</v>
      </c>
      <c r="N742">
        <v>1</v>
      </c>
      <c r="O742" t="s">
        <v>3523</v>
      </c>
      <c r="P742">
        <v>7005966238</v>
      </c>
      <c r="Q742">
        <v>100338347</v>
      </c>
      <c r="R742" s="7">
        <v>33604</v>
      </c>
      <c r="S742" s="8">
        <f t="shared" si="96"/>
        <v>1992</v>
      </c>
      <c r="T742" s="8">
        <v>1992</v>
      </c>
      <c r="U742" s="8">
        <f t="shared" si="97"/>
        <v>30</v>
      </c>
      <c r="V742" s="7">
        <v>33664</v>
      </c>
      <c r="W742" t="s">
        <v>3522</v>
      </c>
      <c r="X742" s="2">
        <v>0.39600000000000002</v>
      </c>
      <c r="Y742" s="6">
        <f t="shared" si="94"/>
        <v>1.0570993833586931E-2</v>
      </c>
      <c r="AA742">
        <v>8858985</v>
      </c>
      <c r="AB742">
        <v>25993</v>
      </c>
      <c r="AD742" t="s">
        <v>4</v>
      </c>
      <c r="AE742">
        <v>7</v>
      </c>
      <c r="AF742">
        <v>3</v>
      </c>
      <c r="AH742" s="9">
        <v>44505</v>
      </c>
      <c r="AI742" t="s">
        <v>3521</v>
      </c>
      <c r="AK742" t="s">
        <v>3520</v>
      </c>
      <c r="AL742">
        <v>1</v>
      </c>
      <c r="AM742" s="5">
        <f t="shared" si="98"/>
        <v>3.3333333333333333E-2</v>
      </c>
      <c r="AN742" s="4">
        <f t="shared" si="95"/>
        <v>5.0485927047835418E-5</v>
      </c>
      <c r="AO742" s="3"/>
      <c r="AP742">
        <v>0</v>
      </c>
      <c r="AR742" t="s">
        <v>0</v>
      </c>
      <c r="AT742" s="2" t="s">
        <v>16</v>
      </c>
      <c r="AU742" s="1">
        <f t="shared" si="99"/>
        <v>0.74148414616252023</v>
      </c>
      <c r="AV742" s="1">
        <f t="shared" si="100"/>
        <v>0.53107398803173833</v>
      </c>
      <c r="AW742" s="1">
        <f t="shared" si="101"/>
        <v>0.32066382990095638</v>
      </c>
    </row>
    <row r="743" spans="1:49" x14ac:dyDescent="0.2">
      <c r="A743">
        <v>741</v>
      </c>
      <c r="B743" t="s">
        <v>3519</v>
      </c>
      <c r="C743" t="s">
        <v>3518</v>
      </c>
      <c r="F743" t="s">
        <v>3517</v>
      </c>
      <c r="G743" t="s">
        <v>12</v>
      </c>
      <c r="H743" t="s">
        <v>11</v>
      </c>
      <c r="I743" t="s">
        <v>3516</v>
      </c>
      <c r="J743" t="s">
        <v>3515</v>
      </c>
      <c r="K743" t="s">
        <v>3514</v>
      </c>
      <c r="L743" t="s">
        <v>3513</v>
      </c>
      <c r="M743" t="s">
        <v>3512</v>
      </c>
      <c r="N743">
        <v>2</v>
      </c>
      <c r="O743" t="s">
        <v>3511</v>
      </c>
      <c r="P743" t="s">
        <v>3510</v>
      </c>
      <c r="Q743" t="s">
        <v>3509</v>
      </c>
      <c r="R743" s="7">
        <v>33604</v>
      </c>
      <c r="S743" s="8">
        <f t="shared" si="96"/>
        <v>1992</v>
      </c>
      <c r="T743" s="8">
        <v>1992</v>
      </c>
      <c r="U743" s="8">
        <f t="shared" si="97"/>
        <v>30</v>
      </c>
      <c r="V743" s="7">
        <v>33664</v>
      </c>
      <c r="W743" t="s">
        <v>1458</v>
      </c>
      <c r="X743" s="2">
        <v>0.30399999999999999</v>
      </c>
      <c r="Y743" s="6">
        <f t="shared" si="94"/>
        <v>8.115106377299057E-3</v>
      </c>
      <c r="AA743">
        <v>8952477</v>
      </c>
      <c r="AB743">
        <v>12250</v>
      </c>
      <c r="AC743">
        <v>10982760</v>
      </c>
      <c r="AD743" t="s">
        <v>4</v>
      </c>
      <c r="AE743">
        <v>5</v>
      </c>
      <c r="AF743">
        <v>3</v>
      </c>
      <c r="AH743" t="s">
        <v>3508</v>
      </c>
      <c r="AI743" t="s">
        <v>3507</v>
      </c>
      <c r="AJ743" t="s">
        <v>3506</v>
      </c>
      <c r="AK743" t="s">
        <v>3505</v>
      </c>
      <c r="AL743">
        <v>4</v>
      </c>
      <c r="AM743" s="5">
        <f t="shared" si="98"/>
        <v>0.13333333333333333</v>
      </c>
      <c r="AN743" s="4">
        <f t="shared" si="95"/>
        <v>2.0194370819134167E-4</v>
      </c>
      <c r="AO743" s="3"/>
      <c r="AP743">
        <v>0</v>
      </c>
      <c r="AR743" t="s">
        <v>0</v>
      </c>
      <c r="AT743" s="2" t="s">
        <v>16</v>
      </c>
      <c r="AU743" s="1">
        <f t="shared" si="99"/>
        <v>0.57411575765667411</v>
      </c>
      <c r="AV743" s="1">
        <f t="shared" si="100"/>
        <v>0.41585250427451992</v>
      </c>
      <c r="AW743" s="1">
        <f t="shared" si="101"/>
        <v>0.25758925089236562</v>
      </c>
    </row>
    <row r="744" spans="1:49" x14ac:dyDescent="0.2">
      <c r="A744">
        <v>742</v>
      </c>
      <c r="B744" t="s">
        <v>3504</v>
      </c>
      <c r="C744" t="s">
        <v>3503</v>
      </c>
      <c r="F744" t="s">
        <v>3502</v>
      </c>
      <c r="G744" t="s">
        <v>12</v>
      </c>
      <c r="H744" t="s">
        <v>11</v>
      </c>
      <c r="I744" t="s">
        <v>3501</v>
      </c>
      <c r="J744" t="s">
        <v>3500</v>
      </c>
      <c r="K744" t="s">
        <v>3499</v>
      </c>
      <c r="L744" t="s">
        <v>3498</v>
      </c>
      <c r="M744" t="s">
        <v>3497</v>
      </c>
      <c r="N744">
        <v>2</v>
      </c>
      <c r="O744" t="s">
        <v>3496</v>
      </c>
      <c r="P744" t="s">
        <v>3495</v>
      </c>
      <c r="Q744" t="s">
        <v>3494</v>
      </c>
      <c r="R744" s="7">
        <v>33604</v>
      </c>
      <c r="S744" s="8">
        <f t="shared" si="96"/>
        <v>1992</v>
      </c>
      <c r="T744" s="8">
        <v>1992</v>
      </c>
      <c r="U744" s="8">
        <f t="shared" si="97"/>
        <v>30</v>
      </c>
      <c r="V744" s="7">
        <v>33664</v>
      </c>
      <c r="W744" t="s">
        <v>97</v>
      </c>
      <c r="X744" s="2">
        <v>1.6519999999999999</v>
      </c>
      <c r="Y744" s="6">
        <f t="shared" si="94"/>
        <v>4.409919649769093E-2</v>
      </c>
      <c r="AA744" t="s">
        <v>96</v>
      </c>
      <c r="AB744">
        <v>17337</v>
      </c>
      <c r="AC744">
        <v>15582221</v>
      </c>
      <c r="AD744" t="s">
        <v>4</v>
      </c>
      <c r="AE744">
        <v>40</v>
      </c>
      <c r="AF744">
        <v>3</v>
      </c>
      <c r="AH744" t="s">
        <v>3493</v>
      </c>
      <c r="AI744" t="s">
        <v>3492</v>
      </c>
      <c r="AK744" t="s">
        <v>3491</v>
      </c>
      <c r="AL744">
        <v>13</v>
      </c>
      <c r="AM744" s="5">
        <f t="shared" si="98"/>
        <v>0.43333333333333335</v>
      </c>
      <c r="AN744" s="4">
        <f t="shared" si="95"/>
        <v>6.5631705162186044E-4</v>
      </c>
      <c r="AO744" s="3"/>
      <c r="AP744">
        <v>0</v>
      </c>
      <c r="AR744" t="s">
        <v>0</v>
      </c>
      <c r="AT744" s="2" t="s">
        <v>16</v>
      </c>
      <c r="AU744" s="1">
        <f t="shared" si="99"/>
        <v>3.1066332663870209</v>
      </c>
      <c r="AV744" s="1">
        <f t="shared" si="100"/>
        <v>2.2377756774656397</v>
      </c>
      <c r="AW744" s="1">
        <f t="shared" si="101"/>
        <v>1.368918088544258</v>
      </c>
    </row>
    <row r="745" spans="1:49" x14ac:dyDescent="0.2">
      <c r="A745">
        <v>743</v>
      </c>
      <c r="B745" t="s">
        <v>3490</v>
      </c>
      <c r="C745" t="s">
        <v>3489</v>
      </c>
      <c r="F745" t="s">
        <v>3488</v>
      </c>
      <c r="G745" t="s">
        <v>12</v>
      </c>
      <c r="H745" t="s">
        <v>11</v>
      </c>
      <c r="I745" t="s">
        <v>3487</v>
      </c>
      <c r="J745">
        <v>60023256</v>
      </c>
      <c r="K745" t="s">
        <v>3486</v>
      </c>
      <c r="L745" t="s">
        <v>3485</v>
      </c>
      <c r="M745" t="s">
        <v>338</v>
      </c>
      <c r="N745">
        <v>2</v>
      </c>
      <c r="O745" t="s">
        <v>3484</v>
      </c>
      <c r="P745" t="s">
        <v>3483</v>
      </c>
      <c r="Q745" t="s">
        <v>3482</v>
      </c>
      <c r="R745" s="7">
        <v>33604</v>
      </c>
      <c r="S745" s="8">
        <f t="shared" si="96"/>
        <v>1992</v>
      </c>
      <c r="T745" s="8">
        <v>1992</v>
      </c>
      <c r="U745" s="8">
        <f t="shared" si="97"/>
        <v>30</v>
      </c>
      <c r="V745" s="7" t="s">
        <v>3206</v>
      </c>
      <c r="W745" t="s">
        <v>1665</v>
      </c>
      <c r="X745" s="2">
        <v>1.573</v>
      </c>
      <c r="Y745" s="6">
        <f t="shared" si="94"/>
        <v>4.1990336616748086E-2</v>
      </c>
      <c r="AA745">
        <v>7315090</v>
      </c>
      <c r="AB745">
        <v>29586</v>
      </c>
      <c r="AD745" t="s">
        <v>4</v>
      </c>
      <c r="AE745">
        <v>15</v>
      </c>
      <c r="AF745">
        <v>2</v>
      </c>
      <c r="AH745" t="s">
        <v>3481</v>
      </c>
      <c r="AI745" t="s">
        <v>3480</v>
      </c>
      <c r="AK745" t="s">
        <v>3479</v>
      </c>
      <c r="AL745">
        <v>32</v>
      </c>
      <c r="AM745" s="5">
        <f t="shared" si="98"/>
        <v>1.0666666666666667</v>
      </c>
      <c r="AN745" s="4">
        <f t="shared" si="95"/>
        <v>1.6155496655307334E-3</v>
      </c>
      <c r="AO745" s="3"/>
      <c r="AP745">
        <v>0</v>
      </c>
      <c r="AR745" t="s">
        <v>0</v>
      </c>
      <c r="AT745" s="2" t="s">
        <v>16</v>
      </c>
      <c r="AU745" s="1">
        <f t="shared" si="99"/>
        <v>2.9877900531382879</v>
      </c>
      <c r="AV745" s="1">
        <f t="shared" si="100"/>
        <v>2.180294314113941</v>
      </c>
      <c r="AW745" s="1">
        <f t="shared" si="101"/>
        <v>1.3727985750895937</v>
      </c>
    </row>
    <row r="746" spans="1:49" x14ac:dyDescent="0.2">
      <c r="A746">
        <v>744</v>
      </c>
      <c r="B746" t="s">
        <v>3478</v>
      </c>
      <c r="C746" t="s">
        <v>3477</v>
      </c>
      <c r="F746" t="s">
        <v>3476</v>
      </c>
      <c r="G746" t="s">
        <v>12</v>
      </c>
      <c r="H746" t="s">
        <v>11</v>
      </c>
      <c r="I746" t="s">
        <v>3475</v>
      </c>
      <c r="J746">
        <v>60030526</v>
      </c>
      <c r="K746" t="s">
        <v>3474</v>
      </c>
      <c r="L746" t="s">
        <v>667</v>
      </c>
      <c r="M746" t="s">
        <v>151</v>
      </c>
      <c r="N746">
        <v>5</v>
      </c>
      <c r="O746" t="s">
        <v>3473</v>
      </c>
      <c r="P746" t="s">
        <v>3472</v>
      </c>
      <c r="Q746" t="s">
        <v>3471</v>
      </c>
      <c r="R746" s="7">
        <v>33604</v>
      </c>
      <c r="S746" s="8">
        <f t="shared" si="96"/>
        <v>1992</v>
      </c>
      <c r="T746" s="8">
        <v>1992</v>
      </c>
      <c r="U746" s="8">
        <f t="shared" si="97"/>
        <v>30</v>
      </c>
      <c r="V746" s="7">
        <v>33664</v>
      </c>
      <c r="W746" t="s">
        <v>97</v>
      </c>
      <c r="X746" s="2">
        <v>1.6519999999999999</v>
      </c>
      <c r="Y746" s="6">
        <f t="shared" si="94"/>
        <v>4.409919649769093E-2</v>
      </c>
      <c r="AA746" t="s">
        <v>96</v>
      </c>
      <c r="AB746">
        <v>17337</v>
      </c>
      <c r="AC746">
        <v>15582221</v>
      </c>
      <c r="AD746" t="s">
        <v>4</v>
      </c>
      <c r="AE746">
        <v>40</v>
      </c>
      <c r="AF746">
        <v>3</v>
      </c>
      <c r="AH746" t="s">
        <v>3470</v>
      </c>
      <c r="AI746" t="s">
        <v>3469</v>
      </c>
      <c r="AK746" t="s">
        <v>3468</v>
      </c>
      <c r="AL746">
        <v>92</v>
      </c>
      <c r="AM746" s="5">
        <f t="shared" si="98"/>
        <v>3.0666666666666669</v>
      </c>
      <c r="AN746" s="4">
        <f t="shared" si="95"/>
        <v>4.6447052884008586E-3</v>
      </c>
      <c r="AO746" s="3"/>
      <c r="AP746">
        <v>0</v>
      </c>
      <c r="AR746" t="s">
        <v>0</v>
      </c>
      <c r="AT746" s="2" t="s">
        <v>16</v>
      </c>
      <c r="AU746" s="1">
        <f t="shared" si="99"/>
        <v>3.226284913490391</v>
      </c>
      <c r="AV746" s="1">
        <f t="shared" si="100"/>
        <v>2.4371950893045895</v>
      </c>
      <c r="AW746" s="1">
        <f t="shared" si="101"/>
        <v>1.6481052651187877</v>
      </c>
    </row>
    <row r="747" spans="1:49" x14ac:dyDescent="0.2">
      <c r="A747">
        <v>745</v>
      </c>
      <c r="B747" t="s">
        <v>3467</v>
      </c>
      <c r="C747" t="s">
        <v>3466</v>
      </c>
      <c r="F747" t="s">
        <v>3465</v>
      </c>
      <c r="G747" t="s">
        <v>12</v>
      </c>
      <c r="H747" t="s">
        <v>11</v>
      </c>
      <c r="I747" t="s">
        <v>3464</v>
      </c>
      <c r="J747">
        <v>60001247</v>
      </c>
      <c r="K747" t="s">
        <v>1213</v>
      </c>
      <c r="M747" t="s">
        <v>7</v>
      </c>
      <c r="N747">
        <v>1</v>
      </c>
      <c r="O747" t="s">
        <v>3463</v>
      </c>
      <c r="P747">
        <v>7003451771</v>
      </c>
      <c r="Q747">
        <v>60001247</v>
      </c>
      <c r="R747" s="7">
        <v>33604</v>
      </c>
      <c r="S747" s="8">
        <f t="shared" si="96"/>
        <v>1992</v>
      </c>
      <c r="T747" s="8">
        <v>1992</v>
      </c>
      <c r="U747" s="8">
        <f t="shared" si="97"/>
        <v>30</v>
      </c>
      <c r="V747" s="7">
        <v>33664</v>
      </c>
      <c r="W747" t="s">
        <v>97</v>
      </c>
      <c r="X747" s="2">
        <v>1.6519999999999999</v>
      </c>
      <c r="Y747" s="6">
        <f t="shared" si="94"/>
        <v>4.409919649769093E-2</v>
      </c>
      <c r="AA747" t="s">
        <v>96</v>
      </c>
      <c r="AB747">
        <v>17337</v>
      </c>
      <c r="AC747">
        <v>15582221</v>
      </c>
      <c r="AD747" t="s">
        <v>4</v>
      </c>
      <c r="AE747">
        <v>40</v>
      </c>
      <c r="AF747">
        <v>3</v>
      </c>
      <c r="AH747" t="s">
        <v>3462</v>
      </c>
      <c r="AI747" t="s">
        <v>3461</v>
      </c>
      <c r="AK747" t="s">
        <v>3460</v>
      </c>
      <c r="AL747">
        <v>17</v>
      </c>
      <c r="AM747" s="5">
        <f t="shared" si="98"/>
        <v>0.56666666666666665</v>
      </c>
      <c r="AN747" s="4">
        <f t="shared" si="95"/>
        <v>8.5826075981320206E-4</v>
      </c>
      <c r="AO747" s="3"/>
      <c r="AP747">
        <v>0</v>
      </c>
      <c r="AR747" t="s">
        <v>0</v>
      </c>
      <c r="AT747" s="2" t="s">
        <v>16</v>
      </c>
      <c r="AU747" s="1">
        <f t="shared" si="99"/>
        <v>3.1126915776327611</v>
      </c>
      <c r="AV747" s="1">
        <f t="shared" si="100"/>
        <v>2.2478728628752069</v>
      </c>
      <c r="AW747" s="1">
        <f t="shared" si="101"/>
        <v>1.3830541481176519</v>
      </c>
    </row>
    <row r="748" spans="1:49" x14ac:dyDescent="0.2">
      <c r="A748">
        <v>746</v>
      </c>
      <c r="B748" t="s">
        <v>3459</v>
      </c>
      <c r="C748" t="s">
        <v>3458</v>
      </c>
      <c r="F748" t="s">
        <v>3457</v>
      </c>
      <c r="G748" t="s">
        <v>12</v>
      </c>
      <c r="H748" t="s">
        <v>11</v>
      </c>
      <c r="I748" t="s">
        <v>3066</v>
      </c>
      <c r="J748">
        <v>60005465</v>
      </c>
      <c r="K748" t="s">
        <v>3065</v>
      </c>
      <c r="L748" t="s">
        <v>3064</v>
      </c>
      <c r="M748" t="s">
        <v>545</v>
      </c>
      <c r="N748">
        <v>3</v>
      </c>
      <c r="O748" t="s">
        <v>3456</v>
      </c>
      <c r="P748" t="s">
        <v>3455</v>
      </c>
      <c r="Q748" t="s">
        <v>3454</v>
      </c>
      <c r="R748" s="7">
        <v>33604</v>
      </c>
      <c r="S748" s="8">
        <f t="shared" si="96"/>
        <v>1992</v>
      </c>
      <c r="T748" s="8">
        <v>1992</v>
      </c>
      <c r="U748" s="8">
        <f t="shared" si="97"/>
        <v>30</v>
      </c>
      <c r="V748" s="7">
        <v>33664</v>
      </c>
      <c r="W748" t="s">
        <v>1458</v>
      </c>
      <c r="X748" s="2">
        <v>0.30399999999999999</v>
      </c>
      <c r="Y748" s="6">
        <f t="shared" si="94"/>
        <v>8.115106377299057E-3</v>
      </c>
      <c r="AA748">
        <v>8952477</v>
      </c>
      <c r="AB748">
        <v>12250</v>
      </c>
      <c r="AC748">
        <v>10982760</v>
      </c>
      <c r="AD748" t="s">
        <v>4</v>
      </c>
      <c r="AE748">
        <v>5</v>
      </c>
      <c r="AF748">
        <v>3</v>
      </c>
      <c r="AH748" t="s">
        <v>3453</v>
      </c>
      <c r="AI748" t="s">
        <v>3452</v>
      </c>
      <c r="AJ748" t="s">
        <v>3451</v>
      </c>
      <c r="AK748" t="s">
        <v>3450</v>
      </c>
      <c r="AL748">
        <v>3</v>
      </c>
      <c r="AM748" s="5">
        <f t="shared" si="98"/>
        <v>0.1</v>
      </c>
      <c r="AN748" s="4">
        <f t="shared" si="95"/>
        <v>1.5145778114350627E-4</v>
      </c>
      <c r="AO748" s="3"/>
      <c r="AP748">
        <v>0</v>
      </c>
      <c r="AR748" t="s">
        <v>0</v>
      </c>
      <c r="AT748" s="2" t="s">
        <v>16</v>
      </c>
      <c r="AU748" s="1">
        <f t="shared" si="99"/>
        <v>0.57260117984523917</v>
      </c>
      <c r="AV748" s="1">
        <f t="shared" si="100"/>
        <v>0.41332820792212815</v>
      </c>
      <c r="AW748" s="1">
        <f t="shared" si="101"/>
        <v>0.25405523599901714</v>
      </c>
    </row>
    <row r="749" spans="1:49" x14ac:dyDescent="0.2">
      <c r="A749">
        <v>747</v>
      </c>
      <c r="B749" t="s">
        <v>3449</v>
      </c>
      <c r="C749" t="s">
        <v>3448</v>
      </c>
      <c r="F749" t="s">
        <v>3447</v>
      </c>
      <c r="G749" t="s">
        <v>12</v>
      </c>
      <c r="H749" t="s">
        <v>11</v>
      </c>
      <c r="I749" t="s">
        <v>3446</v>
      </c>
      <c r="J749" t="s">
        <v>3445</v>
      </c>
      <c r="K749" t="s">
        <v>3444</v>
      </c>
      <c r="L749" t="s">
        <v>3443</v>
      </c>
      <c r="M749" t="s">
        <v>3442</v>
      </c>
      <c r="N749">
        <v>4</v>
      </c>
      <c r="O749" t="s">
        <v>3441</v>
      </c>
      <c r="P749" t="s">
        <v>3440</v>
      </c>
      <c r="Q749" t="s">
        <v>3439</v>
      </c>
      <c r="R749" s="7">
        <v>33604</v>
      </c>
      <c r="S749" s="8">
        <f t="shared" si="96"/>
        <v>1992</v>
      </c>
      <c r="T749" s="8">
        <v>1992</v>
      </c>
      <c r="U749" s="8">
        <f t="shared" si="97"/>
        <v>30</v>
      </c>
      <c r="V749" s="7">
        <v>33664</v>
      </c>
      <c r="W749" t="s">
        <v>1458</v>
      </c>
      <c r="X749" s="2">
        <v>0.30399999999999999</v>
      </c>
      <c r="Y749" s="6">
        <f t="shared" si="94"/>
        <v>8.115106377299057E-3</v>
      </c>
      <c r="AA749">
        <v>8952477</v>
      </c>
      <c r="AB749">
        <v>12250</v>
      </c>
      <c r="AC749">
        <v>10982760</v>
      </c>
      <c r="AD749" t="s">
        <v>4</v>
      </c>
      <c r="AE749">
        <v>5</v>
      </c>
      <c r="AF749">
        <v>3</v>
      </c>
      <c r="AH749" t="s">
        <v>3438</v>
      </c>
      <c r="AI749" t="s">
        <v>3437</v>
      </c>
      <c r="AJ749" t="s">
        <v>3436</v>
      </c>
      <c r="AK749" t="s">
        <v>3435</v>
      </c>
      <c r="AL749">
        <v>0</v>
      </c>
      <c r="AM749" s="5">
        <f t="shared" si="98"/>
        <v>0</v>
      </c>
      <c r="AN749" s="4">
        <f t="shared" si="95"/>
        <v>0</v>
      </c>
      <c r="AO749" s="3"/>
      <c r="AP749">
        <v>0</v>
      </c>
      <c r="AR749" t="s">
        <v>0</v>
      </c>
      <c r="AT749" s="2" t="s">
        <v>16</v>
      </c>
      <c r="AU749" s="1">
        <f t="shared" si="99"/>
        <v>0.56805744641093392</v>
      </c>
      <c r="AV749" s="1">
        <f t="shared" si="100"/>
        <v>0.40575531886495286</v>
      </c>
      <c r="AW749" s="1">
        <f t="shared" si="101"/>
        <v>0.24345319131897172</v>
      </c>
    </row>
    <row r="750" spans="1:49" x14ac:dyDescent="0.2">
      <c r="A750">
        <v>748</v>
      </c>
      <c r="B750" t="s">
        <v>3434</v>
      </c>
      <c r="C750" t="s">
        <v>3433</v>
      </c>
      <c r="F750" t="s">
        <v>3432</v>
      </c>
      <c r="G750" t="s">
        <v>12</v>
      </c>
      <c r="H750" t="s">
        <v>11</v>
      </c>
      <c r="I750" t="s">
        <v>3431</v>
      </c>
      <c r="J750">
        <v>60022904</v>
      </c>
      <c r="K750" t="s">
        <v>2746</v>
      </c>
      <c r="L750" t="s">
        <v>2745</v>
      </c>
      <c r="M750" t="s">
        <v>7</v>
      </c>
      <c r="N750">
        <v>2</v>
      </c>
      <c r="O750" t="s">
        <v>3430</v>
      </c>
      <c r="P750" t="s">
        <v>3429</v>
      </c>
      <c r="Q750" t="s">
        <v>3428</v>
      </c>
      <c r="R750" s="7">
        <v>33604</v>
      </c>
      <c r="S750" s="8">
        <f t="shared" si="96"/>
        <v>1992</v>
      </c>
      <c r="T750" s="8">
        <v>1992</v>
      </c>
      <c r="U750" s="8">
        <f t="shared" si="97"/>
        <v>30</v>
      </c>
      <c r="V750" s="7">
        <v>33664</v>
      </c>
      <c r="W750" t="s">
        <v>97</v>
      </c>
      <c r="X750" s="2">
        <v>1.6519999999999999</v>
      </c>
      <c r="Y750" s="6">
        <f t="shared" si="94"/>
        <v>4.409919649769093E-2</v>
      </c>
      <c r="AA750" t="s">
        <v>96</v>
      </c>
      <c r="AB750">
        <v>17337</v>
      </c>
      <c r="AC750">
        <v>15582221</v>
      </c>
      <c r="AD750" t="s">
        <v>4</v>
      </c>
      <c r="AE750">
        <v>40</v>
      </c>
      <c r="AF750">
        <v>3</v>
      </c>
      <c r="AH750" t="s">
        <v>3427</v>
      </c>
      <c r="AI750" t="s">
        <v>3426</v>
      </c>
      <c r="AK750" t="s">
        <v>3425</v>
      </c>
      <c r="AL750">
        <v>5</v>
      </c>
      <c r="AM750" s="5">
        <f t="shared" si="98"/>
        <v>0.16666666666666666</v>
      </c>
      <c r="AN750" s="4">
        <f t="shared" si="95"/>
        <v>2.5242963523917705E-4</v>
      </c>
      <c r="AO750" s="3"/>
      <c r="AP750">
        <v>0</v>
      </c>
      <c r="AR750" t="s">
        <v>0</v>
      </c>
      <c r="AT750" s="2" t="s">
        <v>16</v>
      </c>
      <c r="AU750" s="1">
        <f t="shared" si="99"/>
        <v>3.0945166438955405</v>
      </c>
      <c r="AV750" s="1">
        <f t="shared" si="100"/>
        <v>2.2175813066465055</v>
      </c>
      <c r="AW750" s="1">
        <f t="shared" si="101"/>
        <v>1.3406459693974702</v>
      </c>
    </row>
    <row r="751" spans="1:49" x14ac:dyDescent="0.2">
      <c r="A751">
        <v>749</v>
      </c>
      <c r="B751" t="s">
        <v>3424</v>
      </c>
      <c r="C751" t="s">
        <v>3423</v>
      </c>
      <c r="F751" t="s">
        <v>3422</v>
      </c>
      <c r="G751" t="s">
        <v>12</v>
      </c>
      <c r="H751" t="s">
        <v>11</v>
      </c>
      <c r="I751" t="s">
        <v>3421</v>
      </c>
      <c r="J751">
        <v>60029311</v>
      </c>
      <c r="K751" t="s">
        <v>2144</v>
      </c>
      <c r="L751" t="s">
        <v>2073</v>
      </c>
      <c r="M751" t="s">
        <v>7</v>
      </c>
      <c r="N751">
        <v>1</v>
      </c>
      <c r="O751" t="s">
        <v>3420</v>
      </c>
      <c r="P751">
        <v>7402541743</v>
      </c>
      <c r="Q751">
        <v>60029311</v>
      </c>
      <c r="R751" s="7">
        <v>33604</v>
      </c>
      <c r="S751" s="8">
        <f t="shared" si="96"/>
        <v>1992</v>
      </c>
      <c r="T751" s="8">
        <v>1992</v>
      </c>
      <c r="U751" s="8">
        <f t="shared" si="97"/>
        <v>30</v>
      </c>
      <c r="V751" s="7">
        <v>33664</v>
      </c>
      <c r="W751" t="s">
        <v>97</v>
      </c>
      <c r="X751" s="2">
        <v>1.6519999999999999</v>
      </c>
      <c r="Y751" s="6">
        <f t="shared" si="94"/>
        <v>4.409919649769093E-2</v>
      </c>
      <c r="AA751" t="s">
        <v>96</v>
      </c>
      <c r="AB751">
        <v>17337</v>
      </c>
      <c r="AC751">
        <v>15582221</v>
      </c>
      <c r="AD751" t="s">
        <v>4</v>
      </c>
      <c r="AE751">
        <v>40</v>
      </c>
      <c r="AF751">
        <v>3</v>
      </c>
      <c r="AH751" t="s">
        <v>3419</v>
      </c>
      <c r="AI751" t="s">
        <v>3418</v>
      </c>
      <c r="AK751" t="s">
        <v>3417</v>
      </c>
      <c r="AL751">
        <v>47</v>
      </c>
      <c r="AM751" s="5">
        <f t="shared" si="98"/>
        <v>1.5666666666666667</v>
      </c>
      <c r="AN751" s="4">
        <f t="shared" si="95"/>
        <v>2.3728385712482643E-3</v>
      </c>
      <c r="AO751" s="3"/>
      <c r="AP751">
        <v>0</v>
      </c>
      <c r="AR751" t="s">
        <v>0</v>
      </c>
      <c r="AT751" s="2" t="s">
        <v>16</v>
      </c>
      <c r="AU751" s="1">
        <f t="shared" si="99"/>
        <v>3.1581289119758131</v>
      </c>
      <c r="AV751" s="1">
        <f t="shared" si="100"/>
        <v>2.32360175344696</v>
      </c>
      <c r="AW751" s="1">
        <f t="shared" si="101"/>
        <v>1.4890745949181063</v>
      </c>
    </row>
    <row r="752" spans="1:49" x14ac:dyDescent="0.2">
      <c r="A752">
        <v>750</v>
      </c>
      <c r="B752" t="s">
        <v>3416</v>
      </c>
      <c r="C752" t="s">
        <v>3415</v>
      </c>
      <c r="E752">
        <v>1555850</v>
      </c>
      <c r="F752" t="s">
        <v>3414</v>
      </c>
      <c r="G752" t="s">
        <v>12</v>
      </c>
      <c r="H752" t="s">
        <v>11</v>
      </c>
      <c r="I752" t="s">
        <v>3413</v>
      </c>
      <c r="J752">
        <v>60025488</v>
      </c>
      <c r="K752" t="s">
        <v>1678</v>
      </c>
      <c r="L752" t="s">
        <v>1677</v>
      </c>
      <c r="M752" t="s">
        <v>7</v>
      </c>
      <c r="N752">
        <v>2</v>
      </c>
      <c r="O752" t="s">
        <v>3412</v>
      </c>
      <c r="P752" t="s">
        <v>3411</v>
      </c>
      <c r="Q752" t="s">
        <v>3410</v>
      </c>
      <c r="R752" s="7">
        <v>33604</v>
      </c>
      <c r="S752" s="8">
        <f t="shared" si="96"/>
        <v>1992</v>
      </c>
      <c r="T752" s="8">
        <v>1992</v>
      </c>
      <c r="U752" s="8">
        <f t="shared" si="97"/>
        <v>30</v>
      </c>
      <c r="V752" s="7">
        <v>33664</v>
      </c>
      <c r="W752" t="s">
        <v>2522</v>
      </c>
      <c r="X752" s="2">
        <v>1.1479999999999999</v>
      </c>
      <c r="Y752" s="6">
        <f t="shared" si="94"/>
        <v>3.0645204345853019E-2</v>
      </c>
      <c r="AA752">
        <v>189294</v>
      </c>
      <c r="AB752">
        <v>16318</v>
      </c>
      <c r="AC752">
        <v>15582531</v>
      </c>
      <c r="AD752" t="s">
        <v>4</v>
      </c>
      <c r="AE752">
        <v>39</v>
      </c>
      <c r="AF752">
        <v>3</v>
      </c>
      <c r="AH752" t="s">
        <v>3409</v>
      </c>
      <c r="AI752" t="s">
        <v>3408</v>
      </c>
      <c r="AK752" t="s">
        <v>3407</v>
      </c>
      <c r="AL752">
        <v>44</v>
      </c>
      <c r="AM752" s="5">
        <f t="shared" si="98"/>
        <v>1.4666666666666666</v>
      </c>
      <c r="AN752" s="4">
        <f t="shared" si="95"/>
        <v>2.2213807901047583E-3</v>
      </c>
      <c r="AO752" s="3"/>
      <c r="AP752">
        <v>0</v>
      </c>
      <c r="AQ752" t="s">
        <v>3406</v>
      </c>
      <c r="AR752" t="s">
        <v>3405</v>
      </c>
      <c r="AS752" t="s">
        <v>3404</v>
      </c>
      <c r="AT752" s="2" t="s">
        <v>16</v>
      </c>
      <c r="AU752" s="1">
        <f t="shared" si="99"/>
        <v>2.211805727912854</v>
      </c>
      <c r="AV752" s="1">
        <f t="shared" si="100"/>
        <v>1.6433292567978888</v>
      </c>
      <c r="AW752" s="1">
        <f t="shared" si="101"/>
        <v>1.0748527856829238</v>
      </c>
    </row>
    <row r="753" spans="1:49" x14ac:dyDescent="0.2">
      <c r="A753">
        <v>751</v>
      </c>
      <c r="B753" t="s">
        <v>3403</v>
      </c>
      <c r="C753" t="s">
        <v>3402</v>
      </c>
      <c r="F753" t="s">
        <v>3401</v>
      </c>
      <c r="G753" t="s">
        <v>12</v>
      </c>
      <c r="H753" t="s">
        <v>11</v>
      </c>
      <c r="I753" t="s">
        <v>3400</v>
      </c>
      <c r="J753" t="s">
        <v>3399</v>
      </c>
      <c r="K753" t="s">
        <v>3398</v>
      </c>
      <c r="L753" t="s">
        <v>3397</v>
      </c>
      <c r="M753" t="s">
        <v>125</v>
      </c>
      <c r="N753">
        <v>3</v>
      </c>
      <c r="O753" t="s">
        <v>3396</v>
      </c>
      <c r="P753" t="s">
        <v>3395</v>
      </c>
      <c r="Q753" t="s">
        <v>3394</v>
      </c>
      <c r="R753" s="7">
        <v>33604</v>
      </c>
      <c r="S753" s="8">
        <f t="shared" si="96"/>
        <v>1992</v>
      </c>
      <c r="T753" s="8">
        <v>1992</v>
      </c>
      <c r="U753" s="8">
        <f t="shared" si="97"/>
        <v>30</v>
      </c>
      <c r="V753" s="7">
        <v>33664</v>
      </c>
      <c r="W753" t="s">
        <v>3220</v>
      </c>
      <c r="X753" s="2">
        <v>0.78200000000000003</v>
      </c>
      <c r="Y753" s="6">
        <f t="shared" si="94"/>
        <v>2.0875043378446919E-2</v>
      </c>
      <c r="AA753">
        <v>189316</v>
      </c>
      <c r="AB753">
        <v>19901</v>
      </c>
      <c r="AC753">
        <v>15579611</v>
      </c>
      <c r="AD753" t="s">
        <v>4</v>
      </c>
      <c r="AE753">
        <v>38</v>
      </c>
      <c r="AF753">
        <v>1</v>
      </c>
      <c r="AH753" s="9">
        <v>44507</v>
      </c>
      <c r="AI753" t="s">
        <v>3393</v>
      </c>
      <c r="AK753" t="s">
        <v>3392</v>
      </c>
      <c r="AL753">
        <v>0</v>
      </c>
      <c r="AM753" s="5">
        <f t="shared" si="98"/>
        <v>0</v>
      </c>
      <c r="AN753" s="4">
        <f t="shared" si="95"/>
        <v>0</v>
      </c>
      <c r="AO753" s="3"/>
      <c r="AP753">
        <v>0</v>
      </c>
      <c r="AR753" t="s">
        <v>0</v>
      </c>
      <c r="AT753" s="2">
        <v>3.863</v>
      </c>
      <c r="AU753" s="1">
        <f t="shared" si="99"/>
        <v>1.4612530364912841</v>
      </c>
      <c r="AV753" s="1">
        <f t="shared" si="100"/>
        <v>1.0437521689223459</v>
      </c>
      <c r="AW753" s="1">
        <f t="shared" si="101"/>
        <v>0.62625130135340756</v>
      </c>
    </row>
    <row r="754" spans="1:49" x14ac:dyDescent="0.2">
      <c r="A754">
        <v>752</v>
      </c>
      <c r="B754" t="s">
        <v>3391</v>
      </c>
      <c r="C754" t="s">
        <v>3390</v>
      </c>
      <c r="F754" t="s">
        <v>3389</v>
      </c>
      <c r="G754" t="s">
        <v>12</v>
      </c>
      <c r="H754" t="s">
        <v>11</v>
      </c>
      <c r="I754" t="s">
        <v>3388</v>
      </c>
      <c r="J754">
        <v>60030553</v>
      </c>
      <c r="K754" t="s">
        <v>3387</v>
      </c>
      <c r="L754" t="s">
        <v>3386</v>
      </c>
      <c r="M754" t="s">
        <v>617</v>
      </c>
      <c r="N754">
        <v>2</v>
      </c>
      <c r="O754" t="s">
        <v>3385</v>
      </c>
      <c r="P754" t="s">
        <v>3384</v>
      </c>
      <c r="Q754" t="s">
        <v>3383</v>
      </c>
      <c r="R754" s="7">
        <v>33604</v>
      </c>
      <c r="S754" s="8">
        <f t="shared" si="96"/>
        <v>1992</v>
      </c>
      <c r="T754" s="8">
        <v>1992</v>
      </c>
      <c r="U754" s="8">
        <f t="shared" si="97"/>
        <v>30</v>
      </c>
      <c r="V754" s="7">
        <v>33664</v>
      </c>
      <c r="W754" t="s">
        <v>599</v>
      </c>
      <c r="X754" s="2">
        <v>0.375</v>
      </c>
      <c r="Y754" s="6">
        <f t="shared" si="94"/>
        <v>1.0010410827260351E-2</v>
      </c>
      <c r="AA754">
        <v>135194</v>
      </c>
      <c r="AB754">
        <v>24918</v>
      </c>
      <c r="AD754" t="s">
        <v>4</v>
      </c>
      <c r="AE754">
        <v>28</v>
      </c>
      <c r="AF754">
        <v>6</v>
      </c>
      <c r="AH754" t="s">
        <v>3382</v>
      </c>
      <c r="AI754" t="s">
        <v>3381</v>
      </c>
      <c r="AJ754" t="s">
        <v>3380</v>
      </c>
      <c r="AK754" t="s">
        <v>3379</v>
      </c>
      <c r="AL754">
        <v>23</v>
      </c>
      <c r="AM754" s="5">
        <f t="shared" si="98"/>
        <v>0.76666666666666672</v>
      </c>
      <c r="AN754" s="4">
        <f t="shared" si="95"/>
        <v>1.1611763221002146E-3</v>
      </c>
      <c r="AO754" s="3"/>
      <c r="AP754">
        <v>0</v>
      </c>
      <c r="AR754" t="s">
        <v>0</v>
      </c>
      <c r="AT754" s="2">
        <v>1.3140000000000001</v>
      </c>
      <c r="AU754" s="1">
        <f t="shared" si="99"/>
        <v>0.73556404757123095</v>
      </c>
      <c r="AV754" s="1">
        <f t="shared" si="100"/>
        <v>0.55857935746802834</v>
      </c>
      <c r="AW754" s="1">
        <f t="shared" si="101"/>
        <v>0.38159466736482556</v>
      </c>
    </row>
    <row r="755" spans="1:49" x14ac:dyDescent="0.2">
      <c r="A755">
        <v>753</v>
      </c>
      <c r="B755" t="s">
        <v>3378</v>
      </c>
      <c r="C755" t="s">
        <v>3377</v>
      </c>
      <c r="F755" t="s">
        <v>3376</v>
      </c>
      <c r="G755" t="s">
        <v>12</v>
      </c>
      <c r="H755" t="s">
        <v>11</v>
      </c>
      <c r="I755" t="s">
        <v>3375</v>
      </c>
      <c r="J755" t="s">
        <v>3369</v>
      </c>
      <c r="K755" t="s">
        <v>3374</v>
      </c>
      <c r="L755" t="s">
        <v>3373</v>
      </c>
      <c r="M755" t="s">
        <v>3372</v>
      </c>
      <c r="N755">
        <v>3</v>
      </c>
      <c r="O755" t="s">
        <v>3371</v>
      </c>
      <c r="P755" t="s">
        <v>3370</v>
      </c>
      <c r="Q755" t="s">
        <v>3369</v>
      </c>
      <c r="R755" s="7">
        <v>33604</v>
      </c>
      <c r="S755" s="8">
        <f t="shared" si="96"/>
        <v>1992</v>
      </c>
      <c r="T755" s="8">
        <v>1992</v>
      </c>
      <c r="U755" s="8">
        <f t="shared" si="97"/>
        <v>30</v>
      </c>
      <c r="V755" s="7">
        <v>33664</v>
      </c>
      <c r="W755" t="s">
        <v>599</v>
      </c>
      <c r="X755" s="2">
        <v>0.375</v>
      </c>
      <c r="Y755" s="6">
        <f t="shared" si="94"/>
        <v>1.0010410827260351E-2</v>
      </c>
      <c r="AA755">
        <v>135194</v>
      </c>
      <c r="AB755">
        <v>24918</v>
      </c>
      <c r="AD755" t="s">
        <v>4</v>
      </c>
      <c r="AE755">
        <v>28</v>
      </c>
      <c r="AF755">
        <v>6</v>
      </c>
      <c r="AH755" t="s">
        <v>3368</v>
      </c>
      <c r="AI755" t="s">
        <v>3367</v>
      </c>
      <c r="AJ755" t="s">
        <v>3366</v>
      </c>
      <c r="AK755" t="s">
        <v>3365</v>
      </c>
      <c r="AL755">
        <v>51</v>
      </c>
      <c r="AM755" s="5">
        <f t="shared" si="98"/>
        <v>1.7</v>
      </c>
      <c r="AN755" s="4">
        <f t="shared" si="95"/>
        <v>2.5747822794396063E-3</v>
      </c>
      <c r="AO755" s="3"/>
      <c r="AP755">
        <v>0</v>
      </c>
      <c r="AR755" t="s">
        <v>0</v>
      </c>
      <c r="AT755" s="2">
        <v>1.3140000000000001</v>
      </c>
      <c r="AU755" s="1">
        <f t="shared" si="99"/>
        <v>0.77797222629141272</v>
      </c>
      <c r="AV755" s="1">
        <f t="shared" si="100"/>
        <v>0.62925965533499784</v>
      </c>
      <c r="AW755" s="1">
        <f t="shared" si="101"/>
        <v>0.48054708437858296</v>
      </c>
    </row>
    <row r="756" spans="1:49" x14ac:dyDescent="0.2">
      <c r="A756">
        <v>754</v>
      </c>
      <c r="B756" t="s">
        <v>3364</v>
      </c>
      <c r="C756" t="s">
        <v>3363</v>
      </c>
      <c r="F756" t="s">
        <v>3362</v>
      </c>
      <c r="G756" t="s">
        <v>12</v>
      </c>
      <c r="H756" t="s">
        <v>11</v>
      </c>
      <c r="I756" t="s">
        <v>2910</v>
      </c>
      <c r="J756">
        <v>60026717</v>
      </c>
      <c r="K756" t="s">
        <v>2909</v>
      </c>
      <c r="L756" t="s">
        <v>2908</v>
      </c>
      <c r="M756" t="s">
        <v>7</v>
      </c>
      <c r="N756">
        <v>3</v>
      </c>
      <c r="O756" t="s">
        <v>3361</v>
      </c>
      <c r="P756" t="s">
        <v>3360</v>
      </c>
      <c r="Q756" t="s">
        <v>2905</v>
      </c>
      <c r="R756" s="7">
        <v>33604</v>
      </c>
      <c r="S756" s="8">
        <f t="shared" si="96"/>
        <v>1992</v>
      </c>
      <c r="T756" s="8">
        <v>1992</v>
      </c>
      <c r="U756" s="8">
        <f t="shared" si="97"/>
        <v>30</v>
      </c>
      <c r="V756" s="7">
        <v>33664</v>
      </c>
      <c r="W756" t="s">
        <v>599</v>
      </c>
      <c r="X756" s="2">
        <v>0.375</v>
      </c>
      <c r="Y756" s="6">
        <f t="shared" si="94"/>
        <v>1.0010410827260351E-2</v>
      </c>
      <c r="AA756">
        <v>135194</v>
      </c>
      <c r="AB756">
        <v>24918</v>
      </c>
      <c r="AD756" t="s">
        <v>4</v>
      </c>
      <c r="AE756">
        <v>28</v>
      </c>
      <c r="AF756">
        <v>7</v>
      </c>
      <c r="AH756" t="s">
        <v>3359</v>
      </c>
      <c r="AI756" t="s">
        <v>3358</v>
      </c>
      <c r="AJ756" t="s">
        <v>3357</v>
      </c>
      <c r="AK756" t="s">
        <v>3356</v>
      </c>
      <c r="AL756">
        <v>19</v>
      </c>
      <c r="AM756" s="5">
        <f t="shared" si="98"/>
        <v>0.6333333333333333</v>
      </c>
      <c r="AN756" s="4">
        <f t="shared" si="95"/>
        <v>9.5923261390887281E-4</v>
      </c>
      <c r="AO756" s="3"/>
      <c r="AP756">
        <v>0</v>
      </c>
      <c r="AR756" t="s">
        <v>0</v>
      </c>
      <c r="AT756" s="2">
        <v>1.3140000000000001</v>
      </c>
      <c r="AU756" s="1">
        <f t="shared" si="99"/>
        <v>0.72950573632549076</v>
      </c>
      <c r="AV756" s="1">
        <f t="shared" si="100"/>
        <v>0.54848217205846117</v>
      </c>
      <c r="AW756" s="1">
        <f t="shared" si="101"/>
        <v>0.36745860779143164</v>
      </c>
    </row>
    <row r="757" spans="1:49" x14ac:dyDescent="0.2">
      <c r="A757">
        <v>755</v>
      </c>
      <c r="B757" t="s">
        <v>3355</v>
      </c>
      <c r="C757" t="s">
        <v>3354</v>
      </c>
      <c r="F757" t="s">
        <v>3353</v>
      </c>
      <c r="G757" t="s">
        <v>12</v>
      </c>
      <c r="H757" t="s">
        <v>11</v>
      </c>
      <c r="I757" t="s">
        <v>3352</v>
      </c>
      <c r="N757">
        <v>2</v>
      </c>
      <c r="O757" t="s">
        <v>3351</v>
      </c>
      <c r="P757" t="s">
        <v>3350</v>
      </c>
      <c r="Q757" t="s">
        <v>720</v>
      </c>
      <c r="R757" s="7">
        <v>33604</v>
      </c>
      <c r="S757" s="8">
        <f t="shared" si="96"/>
        <v>1992</v>
      </c>
      <c r="T757" s="8">
        <v>1992</v>
      </c>
      <c r="U757" s="8">
        <f t="shared" si="97"/>
        <v>30</v>
      </c>
      <c r="V757" s="7" t="s">
        <v>3206</v>
      </c>
      <c r="W757" t="s">
        <v>1367</v>
      </c>
      <c r="X757" s="2">
        <v>0.371</v>
      </c>
      <c r="Y757" s="6">
        <f t="shared" si="94"/>
        <v>9.9036331117695747E-3</v>
      </c>
      <c r="AA757">
        <v>486604</v>
      </c>
      <c r="AB757">
        <v>28580</v>
      </c>
      <c r="AC757" t="s">
        <v>1366</v>
      </c>
      <c r="AD757" t="s">
        <v>4</v>
      </c>
      <c r="AE757">
        <v>27</v>
      </c>
      <c r="AF757">
        <v>2</v>
      </c>
      <c r="AH757" t="s">
        <v>3349</v>
      </c>
      <c r="AI757" t="s">
        <v>3348</v>
      </c>
      <c r="AK757" t="s">
        <v>3347</v>
      </c>
      <c r="AL757">
        <v>8</v>
      </c>
      <c r="AM757" s="5">
        <f t="shared" si="98"/>
        <v>0.26666666666666666</v>
      </c>
      <c r="AN757" s="4">
        <f t="shared" si="95"/>
        <v>4.0388741638268334E-4</v>
      </c>
      <c r="AO757" s="3"/>
      <c r="AP757">
        <v>0</v>
      </c>
      <c r="AR757" t="s">
        <v>0</v>
      </c>
      <c r="AT757" s="2">
        <v>1.431</v>
      </c>
      <c r="AU757" s="1">
        <f t="shared" si="99"/>
        <v>0.70537094031535075</v>
      </c>
      <c r="AV757" s="1">
        <f t="shared" si="100"/>
        <v>0.51537602640761293</v>
      </c>
      <c r="AW757" s="1">
        <f t="shared" si="101"/>
        <v>0.32538111249987506</v>
      </c>
    </row>
    <row r="758" spans="1:49" x14ac:dyDescent="0.2">
      <c r="A758">
        <v>756</v>
      </c>
      <c r="B758" t="s">
        <v>3346</v>
      </c>
      <c r="C758" t="s">
        <v>3345</v>
      </c>
      <c r="F758" t="s">
        <v>3344</v>
      </c>
      <c r="G758" t="s">
        <v>12</v>
      </c>
      <c r="H758" t="s">
        <v>11</v>
      </c>
      <c r="I758" t="s">
        <v>3343</v>
      </c>
      <c r="J758">
        <v>60011226</v>
      </c>
      <c r="K758" t="s">
        <v>3342</v>
      </c>
      <c r="L758" t="s">
        <v>3341</v>
      </c>
      <c r="M758" t="s">
        <v>817</v>
      </c>
      <c r="N758">
        <v>3</v>
      </c>
      <c r="O758" t="s">
        <v>3340</v>
      </c>
      <c r="P758" t="s">
        <v>3339</v>
      </c>
      <c r="Q758" t="s">
        <v>3338</v>
      </c>
      <c r="R758" s="7">
        <v>33604</v>
      </c>
      <c r="S758" s="8">
        <f t="shared" si="96"/>
        <v>1992</v>
      </c>
      <c r="T758" s="8">
        <v>1992</v>
      </c>
      <c r="U758" s="8">
        <f t="shared" si="97"/>
        <v>30</v>
      </c>
      <c r="V758" s="7">
        <v>33664</v>
      </c>
      <c r="W758" t="s">
        <v>3337</v>
      </c>
      <c r="X758" s="2">
        <v>0.62</v>
      </c>
      <c r="Y758" s="6">
        <f t="shared" si="94"/>
        <v>1.6550545901070447E-2</v>
      </c>
      <c r="AA758">
        <v>189464</v>
      </c>
      <c r="AB758">
        <v>17364</v>
      </c>
      <c r="AC758">
        <v>19410069</v>
      </c>
      <c r="AD758" t="s">
        <v>4</v>
      </c>
      <c r="AE758">
        <v>28</v>
      </c>
      <c r="AF758">
        <v>2</v>
      </c>
      <c r="AH758" t="s">
        <v>3336</v>
      </c>
      <c r="AI758" t="s">
        <v>3335</v>
      </c>
      <c r="AK758" t="s">
        <v>3334</v>
      </c>
      <c r="AL758">
        <v>6</v>
      </c>
      <c r="AM758" s="5">
        <f t="shared" si="98"/>
        <v>0.2</v>
      </c>
      <c r="AN758" s="4">
        <f t="shared" si="95"/>
        <v>3.0291556228701253E-4</v>
      </c>
      <c r="AO758" s="3"/>
      <c r="AP758">
        <v>0</v>
      </c>
      <c r="AR758" t="s">
        <v>0</v>
      </c>
      <c r="AT758" s="2">
        <v>1.7</v>
      </c>
      <c r="AU758" s="1">
        <f t="shared" si="99"/>
        <v>1.1676256799435416</v>
      </c>
      <c r="AV758" s="1">
        <f t="shared" si="100"/>
        <v>0.84267307316787299</v>
      </c>
      <c r="AW758" s="1">
        <f t="shared" si="101"/>
        <v>0.51772046639220426</v>
      </c>
    </row>
    <row r="759" spans="1:49" x14ac:dyDescent="0.2">
      <c r="A759">
        <v>757</v>
      </c>
      <c r="B759" t="s">
        <v>3333</v>
      </c>
      <c r="C759" t="s">
        <v>3332</v>
      </c>
      <c r="F759" t="s">
        <v>3331</v>
      </c>
      <c r="G759" t="s">
        <v>12</v>
      </c>
      <c r="H759" t="s">
        <v>11</v>
      </c>
      <c r="I759" t="s">
        <v>3330</v>
      </c>
      <c r="J759">
        <v>60008447</v>
      </c>
      <c r="K759" t="s">
        <v>3329</v>
      </c>
      <c r="L759" t="s">
        <v>3328</v>
      </c>
      <c r="M759" t="s">
        <v>617</v>
      </c>
      <c r="N759">
        <v>3</v>
      </c>
      <c r="O759" t="s">
        <v>3327</v>
      </c>
      <c r="P759" t="s">
        <v>3326</v>
      </c>
      <c r="Q759" t="s">
        <v>3325</v>
      </c>
      <c r="R759" s="7">
        <v>33604</v>
      </c>
      <c r="S759" s="8">
        <f t="shared" si="96"/>
        <v>1992</v>
      </c>
      <c r="T759" s="8">
        <v>1992</v>
      </c>
      <c r="U759" s="8">
        <f t="shared" si="97"/>
        <v>30</v>
      </c>
      <c r="V759" s="7">
        <v>33664</v>
      </c>
      <c r="W759" t="s">
        <v>599</v>
      </c>
      <c r="X759" s="2">
        <v>0.375</v>
      </c>
      <c r="Y759" s="6">
        <f t="shared" si="94"/>
        <v>1.0010410827260351E-2</v>
      </c>
      <c r="AA759">
        <v>135194</v>
      </c>
      <c r="AB759">
        <v>24918</v>
      </c>
      <c r="AD759" t="s">
        <v>4</v>
      </c>
      <c r="AE759">
        <v>28</v>
      </c>
      <c r="AF759">
        <v>6</v>
      </c>
      <c r="AH759" t="s">
        <v>3324</v>
      </c>
      <c r="AI759" t="s">
        <v>3323</v>
      </c>
      <c r="AJ759" t="s">
        <v>3322</v>
      </c>
      <c r="AK759" t="s">
        <v>3321</v>
      </c>
      <c r="AL759">
        <v>33</v>
      </c>
      <c r="AM759" s="5">
        <f t="shared" si="98"/>
        <v>1.1000000000000001</v>
      </c>
      <c r="AN759" s="4">
        <f t="shared" si="95"/>
        <v>1.6660355925785689E-3</v>
      </c>
      <c r="AO759" s="3"/>
      <c r="AP759">
        <v>0</v>
      </c>
      <c r="AR759" t="s">
        <v>0</v>
      </c>
      <c r="AT759" s="2">
        <v>1.3140000000000001</v>
      </c>
      <c r="AU759" s="1">
        <f t="shared" si="99"/>
        <v>0.75070982568558164</v>
      </c>
      <c r="AV759" s="1">
        <f t="shared" si="100"/>
        <v>0.58382232099194598</v>
      </c>
      <c r="AW759" s="1">
        <f t="shared" si="101"/>
        <v>0.41693481629831036</v>
      </c>
    </row>
    <row r="760" spans="1:49" x14ac:dyDescent="0.2">
      <c r="A760">
        <v>758</v>
      </c>
      <c r="B760" t="s">
        <v>3320</v>
      </c>
      <c r="C760" t="s">
        <v>3319</v>
      </c>
      <c r="F760" t="s">
        <v>3318</v>
      </c>
      <c r="G760" t="s">
        <v>12</v>
      </c>
      <c r="H760" t="s">
        <v>11</v>
      </c>
      <c r="I760" t="s">
        <v>3317</v>
      </c>
      <c r="N760">
        <v>2</v>
      </c>
      <c r="O760" t="s">
        <v>3316</v>
      </c>
      <c r="P760" t="s">
        <v>3315</v>
      </c>
      <c r="Q760" t="s">
        <v>720</v>
      </c>
      <c r="R760" s="7">
        <v>33604</v>
      </c>
      <c r="S760" s="8">
        <f t="shared" si="96"/>
        <v>1992</v>
      </c>
      <c r="T760" s="8">
        <v>1992</v>
      </c>
      <c r="U760" s="8">
        <f t="shared" si="97"/>
        <v>30</v>
      </c>
      <c r="V760" s="7" t="s">
        <v>3206</v>
      </c>
      <c r="W760" t="s">
        <v>1367</v>
      </c>
      <c r="X760" s="2">
        <v>0.371</v>
      </c>
      <c r="Y760" s="6">
        <f t="shared" si="94"/>
        <v>9.9036331117695747E-3</v>
      </c>
      <c r="AA760">
        <v>486604</v>
      </c>
      <c r="AB760">
        <v>28580</v>
      </c>
      <c r="AC760" t="s">
        <v>1366</v>
      </c>
      <c r="AD760" t="s">
        <v>4</v>
      </c>
      <c r="AE760">
        <v>27</v>
      </c>
      <c r="AF760">
        <v>2</v>
      </c>
      <c r="AH760" t="s">
        <v>3314</v>
      </c>
      <c r="AI760" t="s">
        <v>3313</v>
      </c>
      <c r="AK760" t="s">
        <v>3312</v>
      </c>
      <c r="AL760">
        <v>14</v>
      </c>
      <c r="AM760" s="5">
        <f t="shared" si="98"/>
        <v>0.46666666666666667</v>
      </c>
      <c r="AN760" s="4">
        <f t="shared" si="95"/>
        <v>7.0680297866969582E-4</v>
      </c>
      <c r="AO760" s="3"/>
      <c r="AP760">
        <v>0</v>
      </c>
      <c r="AR760" t="s">
        <v>0</v>
      </c>
      <c r="AT760" s="2">
        <v>1.431</v>
      </c>
      <c r="AU760" s="1">
        <f t="shared" si="99"/>
        <v>0.71445840718396103</v>
      </c>
      <c r="AV760" s="1">
        <f t="shared" si="100"/>
        <v>0.53052180452196351</v>
      </c>
      <c r="AW760" s="1">
        <f t="shared" si="101"/>
        <v>0.34658520185996594</v>
      </c>
    </row>
    <row r="761" spans="1:49" x14ac:dyDescent="0.2">
      <c r="A761">
        <v>759</v>
      </c>
      <c r="B761" t="s">
        <v>3311</v>
      </c>
      <c r="C761" t="s">
        <v>3310</v>
      </c>
      <c r="F761" t="s">
        <v>3309</v>
      </c>
      <c r="G761" t="s">
        <v>12</v>
      </c>
      <c r="H761" t="s">
        <v>11</v>
      </c>
      <c r="I761" t="s">
        <v>3308</v>
      </c>
      <c r="N761">
        <v>4</v>
      </c>
      <c r="O761" t="s">
        <v>3307</v>
      </c>
      <c r="P761" t="s">
        <v>3306</v>
      </c>
      <c r="Q761" t="s">
        <v>1572</v>
      </c>
      <c r="R761" s="7">
        <v>33604</v>
      </c>
      <c r="S761" s="8">
        <f t="shared" si="96"/>
        <v>1992</v>
      </c>
      <c r="T761" s="8">
        <v>1992</v>
      </c>
      <c r="U761" s="8">
        <f t="shared" si="97"/>
        <v>30</v>
      </c>
      <c r="V761" s="7" t="s">
        <v>3206</v>
      </c>
      <c r="W761" t="s">
        <v>1367</v>
      </c>
      <c r="X761" s="2">
        <v>0.371</v>
      </c>
      <c r="Y761" s="6">
        <f t="shared" si="94"/>
        <v>9.9036331117695747E-3</v>
      </c>
      <c r="AA761">
        <v>486604</v>
      </c>
      <c r="AB761">
        <v>28580</v>
      </c>
      <c r="AC761" t="s">
        <v>1366</v>
      </c>
      <c r="AD761" t="s">
        <v>4</v>
      </c>
      <c r="AE761">
        <v>27</v>
      </c>
      <c r="AF761">
        <v>2</v>
      </c>
      <c r="AH761" t="s">
        <v>3305</v>
      </c>
      <c r="AI761" t="s">
        <v>3304</v>
      </c>
      <c r="AK761" t="s">
        <v>3303</v>
      </c>
      <c r="AL761">
        <v>20</v>
      </c>
      <c r="AM761" s="5">
        <f t="shared" si="98"/>
        <v>0.66666666666666663</v>
      </c>
      <c r="AN761" s="4">
        <f t="shared" si="95"/>
        <v>1.0097185409567082E-3</v>
      </c>
      <c r="AO761" s="3"/>
      <c r="AP761">
        <v>0</v>
      </c>
      <c r="AR761" t="s">
        <v>0</v>
      </c>
      <c r="AT761" s="2">
        <v>1.431</v>
      </c>
      <c r="AU761" s="1">
        <f t="shared" si="99"/>
        <v>0.72354587405257142</v>
      </c>
      <c r="AV761" s="1">
        <f t="shared" si="100"/>
        <v>0.5456675826363141</v>
      </c>
      <c r="AW761" s="1">
        <f t="shared" si="101"/>
        <v>0.36778929122005682</v>
      </c>
    </row>
    <row r="762" spans="1:49" x14ac:dyDescent="0.2">
      <c r="A762">
        <v>760</v>
      </c>
      <c r="B762" t="s">
        <v>3302</v>
      </c>
      <c r="C762" t="s">
        <v>3301</v>
      </c>
      <c r="F762" t="s">
        <v>3300</v>
      </c>
      <c r="G762" t="s">
        <v>12</v>
      </c>
      <c r="H762" t="s">
        <v>11</v>
      </c>
      <c r="I762" t="s">
        <v>3299</v>
      </c>
      <c r="J762" t="s">
        <v>3298</v>
      </c>
      <c r="K762" t="s">
        <v>3297</v>
      </c>
      <c r="L762" t="s">
        <v>3296</v>
      </c>
      <c r="M762" t="s">
        <v>931</v>
      </c>
      <c r="N762">
        <v>7</v>
      </c>
      <c r="O762" t="s">
        <v>3295</v>
      </c>
      <c r="P762" t="s">
        <v>3294</v>
      </c>
      <c r="Q762" t="s">
        <v>3293</v>
      </c>
      <c r="R762" s="7">
        <v>33604</v>
      </c>
      <c r="S762" s="8">
        <f t="shared" si="96"/>
        <v>1992</v>
      </c>
      <c r="T762" s="8">
        <v>1992</v>
      </c>
      <c r="U762" s="8">
        <f t="shared" si="97"/>
        <v>30</v>
      </c>
      <c r="V762" s="7">
        <v>33664</v>
      </c>
      <c r="W762" t="s">
        <v>3292</v>
      </c>
      <c r="X762" s="2">
        <v>0.371</v>
      </c>
      <c r="Y762" s="6">
        <f t="shared" si="94"/>
        <v>9.9036331117695747E-3</v>
      </c>
      <c r="AA762">
        <v>214922</v>
      </c>
      <c r="AB762">
        <v>130262</v>
      </c>
      <c r="AC762">
        <v>13474065</v>
      </c>
      <c r="AD762" t="s">
        <v>4</v>
      </c>
      <c r="AE762">
        <v>31</v>
      </c>
      <c r="AF762" t="s">
        <v>3291</v>
      </c>
      <c r="AH762" t="s">
        <v>3290</v>
      </c>
      <c r="AI762" t="s">
        <v>3289</v>
      </c>
      <c r="AJ762" t="s">
        <v>3288</v>
      </c>
      <c r="AK762" t="s">
        <v>3287</v>
      </c>
      <c r="AL762">
        <v>3</v>
      </c>
      <c r="AM762" s="5">
        <f t="shared" si="98"/>
        <v>0.1</v>
      </c>
      <c r="AN762" s="4">
        <f t="shared" si="95"/>
        <v>1.5145778114350627E-4</v>
      </c>
      <c r="AO762" s="3"/>
      <c r="AP762">
        <v>0</v>
      </c>
      <c r="AR762" t="s">
        <v>0</v>
      </c>
      <c r="AT762" s="2">
        <v>1.48</v>
      </c>
      <c r="AU762" s="1">
        <f t="shared" si="99"/>
        <v>0.6977980512581754</v>
      </c>
      <c r="AV762" s="1">
        <f t="shared" si="100"/>
        <v>0.50275454464565406</v>
      </c>
      <c r="AW762" s="1">
        <f t="shared" si="101"/>
        <v>0.30771103803313271</v>
      </c>
    </row>
    <row r="763" spans="1:49" x14ac:dyDescent="0.2">
      <c r="A763">
        <v>761</v>
      </c>
      <c r="B763" t="s">
        <v>3286</v>
      </c>
      <c r="C763" t="s">
        <v>3285</v>
      </c>
      <c r="F763" t="s">
        <v>3284</v>
      </c>
      <c r="G763" t="s">
        <v>12</v>
      </c>
      <c r="H763" t="s">
        <v>11</v>
      </c>
      <c r="I763" t="s">
        <v>3283</v>
      </c>
      <c r="J763">
        <v>60009037</v>
      </c>
      <c r="K763" t="s">
        <v>2673</v>
      </c>
      <c r="L763" t="s">
        <v>2672</v>
      </c>
      <c r="M763" t="s">
        <v>7</v>
      </c>
      <c r="N763">
        <v>3</v>
      </c>
      <c r="O763" t="s">
        <v>3282</v>
      </c>
      <c r="P763" t="s">
        <v>3281</v>
      </c>
      <c r="Q763" t="s">
        <v>3280</v>
      </c>
      <c r="R763" s="7">
        <v>33604</v>
      </c>
      <c r="S763" s="8">
        <f t="shared" si="96"/>
        <v>1992</v>
      </c>
      <c r="T763" s="8">
        <v>1992</v>
      </c>
      <c r="U763" s="8">
        <f t="shared" si="97"/>
        <v>30</v>
      </c>
      <c r="V763" s="7">
        <v>33664</v>
      </c>
      <c r="W763" t="s">
        <v>33</v>
      </c>
      <c r="X763" s="2">
        <v>1.468</v>
      </c>
      <c r="Y763" s="6">
        <f t="shared" si="94"/>
        <v>3.9187421585115186E-2</v>
      </c>
      <c r="AA763">
        <v>906778</v>
      </c>
      <c r="AB763">
        <v>18931</v>
      </c>
      <c r="AD763" t="s">
        <v>4</v>
      </c>
      <c r="AE763">
        <v>40</v>
      </c>
      <c r="AF763">
        <v>3</v>
      </c>
      <c r="AH763" t="s">
        <v>3279</v>
      </c>
      <c r="AI763" t="s">
        <v>3278</v>
      </c>
      <c r="AK763" t="s">
        <v>3277</v>
      </c>
      <c r="AL763">
        <v>21</v>
      </c>
      <c r="AM763" s="5">
        <f t="shared" si="98"/>
        <v>0.7</v>
      </c>
      <c r="AN763" s="4">
        <f t="shared" si="95"/>
        <v>1.0602044680045437E-3</v>
      </c>
      <c r="AO763" s="3"/>
      <c r="AP763">
        <v>0</v>
      </c>
      <c r="AQ763" t="s">
        <v>1376</v>
      </c>
      <c r="AR763" t="s">
        <v>0</v>
      </c>
      <c r="AS763" t="s">
        <v>1374</v>
      </c>
      <c r="AT763" s="2">
        <v>5.0830000000000002</v>
      </c>
      <c r="AU763" s="1">
        <f t="shared" si="99"/>
        <v>2.7749256449981994</v>
      </c>
      <c r="AV763" s="1">
        <f t="shared" si="100"/>
        <v>2.0123813026559865</v>
      </c>
      <c r="AW763" s="1">
        <f t="shared" si="101"/>
        <v>1.2498369603137736</v>
      </c>
    </row>
    <row r="764" spans="1:49" x14ac:dyDescent="0.2">
      <c r="A764">
        <v>762</v>
      </c>
      <c r="B764" t="s">
        <v>3276</v>
      </c>
      <c r="C764" t="s">
        <v>3275</v>
      </c>
      <c r="F764" t="s">
        <v>3274</v>
      </c>
      <c r="G764" t="s">
        <v>12</v>
      </c>
      <c r="H764" t="s">
        <v>11</v>
      </c>
      <c r="I764" t="s">
        <v>3273</v>
      </c>
      <c r="J764">
        <v>60031004</v>
      </c>
      <c r="K764" t="s">
        <v>3272</v>
      </c>
      <c r="L764" t="s">
        <v>3271</v>
      </c>
      <c r="M764" t="s">
        <v>2620</v>
      </c>
      <c r="N764">
        <v>2</v>
      </c>
      <c r="O764" t="s">
        <v>3270</v>
      </c>
      <c r="P764" t="s">
        <v>3269</v>
      </c>
      <c r="Q764" t="s">
        <v>3268</v>
      </c>
      <c r="R764" s="7">
        <v>33604</v>
      </c>
      <c r="S764" s="8">
        <f t="shared" si="96"/>
        <v>1992</v>
      </c>
      <c r="T764" s="8">
        <v>1992</v>
      </c>
      <c r="U764" s="8">
        <f t="shared" si="97"/>
        <v>30</v>
      </c>
      <c r="V764" s="7">
        <v>33664</v>
      </c>
      <c r="W764" t="s">
        <v>599</v>
      </c>
      <c r="X764" s="2">
        <v>0.375</v>
      </c>
      <c r="Y764" s="6">
        <f t="shared" si="94"/>
        <v>1.0010410827260351E-2</v>
      </c>
      <c r="AA764">
        <v>135194</v>
      </c>
      <c r="AB764">
        <v>24918</v>
      </c>
      <c r="AD764" t="s">
        <v>4</v>
      </c>
      <c r="AE764">
        <v>28</v>
      </c>
      <c r="AF764">
        <v>7</v>
      </c>
      <c r="AH764" t="s">
        <v>3267</v>
      </c>
      <c r="AI764" t="s">
        <v>3266</v>
      </c>
      <c r="AJ764" t="s">
        <v>3265</v>
      </c>
      <c r="AK764" t="s">
        <v>3264</v>
      </c>
      <c r="AL764">
        <v>52</v>
      </c>
      <c r="AM764" s="5">
        <f t="shared" si="98"/>
        <v>1.7333333333333334</v>
      </c>
      <c r="AN764" s="4">
        <f t="shared" si="95"/>
        <v>2.6252682064874418E-3</v>
      </c>
      <c r="AO764" s="3"/>
      <c r="AP764">
        <v>0</v>
      </c>
      <c r="AR764" t="s">
        <v>0</v>
      </c>
      <c r="AT764" s="2">
        <v>1.3140000000000001</v>
      </c>
      <c r="AU764" s="1">
        <f t="shared" si="99"/>
        <v>0.77948680410284787</v>
      </c>
      <c r="AV764" s="1">
        <f t="shared" si="100"/>
        <v>0.63178395168738966</v>
      </c>
      <c r="AW764" s="1">
        <f t="shared" si="101"/>
        <v>0.48408109927193138</v>
      </c>
    </row>
    <row r="765" spans="1:49" x14ac:dyDescent="0.2">
      <c r="A765">
        <v>763</v>
      </c>
      <c r="B765" t="s">
        <v>3263</v>
      </c>
      <c r="C765" t="s">
        <v>3262</v>
      </c>
      <c r="F765" t="s">
        <v>3261</v>
      </c>
      <c r="G765" t="s">
        <v>12</v>
      </c>
      <c r="H765" t="s">
        <v>11</v>
      </c>
      <c r="I765" t="s">
        <v>3260</v>
      </c>
      <c r="N765">
        <v>2</v>
      </c>
      <c r="O765" t="s">
        <v>3259</v>
      </c>
      <c r="P765" t="s">
        <v>3258</v>
      </c>
      <c r="Q765" t="s">
        <v>720</v>
      </c>
      <c r="R765" s="7">
        <v>33604</v>
      </c>
      <c r="S765" s="8">
        <f t="shared" si="96"/>
        <v>1992</v>
      </c>
      <c r="T765" s="8">
        <v>1992</v>
      </c>
      <c r="U765" s="8">
        <f t="shared" si="97"/>
        <v>30</v>
      </c>
      <c r="V765" s="7" t="s">
        <v>3206</v>
      </c>
      <c r="W765" t="s">
        <v>1367</v>
      </c>
      <c r="X765" s="2">
        <v>0.371</v>
      </c>
      <c r="Y765" s="6">
        <f t="shared" si="94"/>
        <v>9.9036331117695747E-3</v>
      </c>
      <c r="AA765">
        <v>486604</v>
      </c>
      <c r="AB765">
        <v>28580</v>
      </c>
      <c r="AC765" t="s">
        <v>1366</v>
      </c>
      <c r="AD765" t="s">
        <v>4</v>
      </c>
      <c r="AE765">
        <v>27</v>
      </c>
      <c r="AF765">
        <v>2</v>
      </c>
      <c r="AH765" t="s">
        <v>3257</v>
      </c>
      <c r="AI765" t="s">
        <v>3256</v>
      </c>
      <c r="AK765" t="s">
        <v>3255</v>
      </c>
      <c r="AL765">
        <v>49</v>
      </c>
      <c r="AM765" s="5">
        <f t="shared" si="98"/>
        <v>1.6333333333333333</v>
      </c>
      <c r="AN765" s="4">
        <f t="shared" si="95"/>
        <v>2.4738104253439353E-3</v>
      </c>
      <c r="AO765" s="3"/>
      <c r="AP765">
        <v>0</v>
      </c>
      <c r="AR765" t="s">
        <v>0</v>
      </c>
      <c r="AT765" s="2">
        <v>1.431</v>
      </c>
      <c r="AU765" s="1">
        <f t="shared" si="99"/>
        <v>0.76746863058418824</v>
      </c>
      <c r="AV765" s="1">
        <f t="shared" si="100"/>
        <v>0.61887217685567553</v>
      </c>
      <c r="AW765" s="1">
        <f t="shared" si="101"/>
        <v>0.4702757231271627</v>
      </c>
    </row>
    <row r="766" spans="1:49" x14ac:dyDescent="0.2">
      <c r="A766">
        <v>764</v>
      </c>
      <c r="B766" t="s">
        <v>3254</v>
      </c>
      <c r="C766" t="s">
        <v>3253</v>
      </c>
      <c r="F766" t="s">
        <v>3252</v>
      </c>
      <c r="G766" t="s">
        <v>12</v>
      </c>
      <c r="H766" t="s">
        <v>11</v>
      </c>
      <c r="I766" t="s">
        <v>3251</v>
      </c>
      <c r="J766">
        <v>60032882</v>
      </c>
      <c r="K766" t="s">
        <v>2769</v>
      </c>
      <c r="L766" t="s">
        <v>2768</v>
      </c>
      <c r="M766" t="s">
        <v>273</v>
      </c>
      <c r="N766">
        <v>2</v>
      </c>
      <c r="O766" t="s">
        <v>3250</v>
      </c>
      <c r="P766" t="s">
        <v>3249</v>
      </c>
      <c r="Q766" t="s">
        <v>2765</v>
      </c>
      <c r="R766" s="7">
        <v>33604</v>
      </c>
      <c r="S766" s="8">
        <f t="shared" si="96"/>
        <v>1992</v>
      </c>
      <c r="T766" s="8">
        <v>1992</v>
      </c>
      <c r="U766" s="8">
        <f t="shared" si="97"/>
        <v>30</v>
      </c>
      <c r="V766" s="7">
        <v>33664</v>
      </c>
      <c r="W766" t="s">
        <v>599</v>
      </c>
      <c r="X766" s="2">
        <v>0.375</v>
      </c>
      <c r="Y766" s="6">
        <f t="shared" si="94"/>
        <v>1.0010410827260351E-2</v>
      </c>
      <c r="AA766">
        <v>135194</v>
      </c>
      <c r="AB766">
        <v>24918</v>
      </c>
      <c r="AD766" t="s">
        <v>4</v>
      </c>
      <c r="AE766">
        <v>28</v>
      </c>
      <c r="AF766">
        <v>7</v>
      </c>
      <c r="AH766" t="s">
        <v>3248</v>
      </c>
      <c r="AI766" t="s">
        <v>3247</v>
      </c>
      <c r="AJ766" t="s">
        <v>3246</v>
      </c>
      <c r="AK766" t="s">
        <v>3245</v>
      </c>
      <c r="AL766">
        <v>23</v>
      </c>
      <c r="AM766" s="5">
        <f t="shared" si="98"/>
        <v>0.76666666666666672</v>
      </c>
      <c r="AN766" s="4">
        <f t="shared" si="95"/>
        <v>1.1611763221002146E-3</v>
      </c>
      <c r="AO766" s="3"/>
      <c r="AP766">
        <v>0</v>
      </c>
      <c r="AR766" t="s">
        <v>0</v>
      </c>
      <c r="AT766" s="2">
        <v>1.3140000000000001</v>
      </c>
      <c r="AU766" s="1">
        <f t="shared" si="99"/>
        <v>0.73556404757123095</v>
      </c>
      <c r="AV766" s="1">
        <f t="shared" si="100"/>
        <v>0.55857935746802834</v>
      </c>
      <c r="AW766" s="1">
        <f t="shared" si="101"/>
        <v>0.38159466736482556</v>
      </c>
    </row>
    <row r="767" spans="1:49" x14ac:dyDescent="0.2">
      <c r="A767">
        <v>765</v>
      </c>
      <c r="B767" t="s">
        <v>3244</v>
      </c>
      <c r="C767" t="s">
        <v>3243</v>
      </c>
      <c r="F767" t="s">
        <v>3242</v>
      </c>
      <c r="G767" t="s">
        <v>12</v>
      </c>
      <c r="H767" t="s">
        <v>11</v>
      </c>
      <c r="I767" t="s">
        <v>3241</v>
      </c>
      <c r="J767">
        <v>60020850</v>
      </c>
      <c r="K767" t="s">
        <v>3240</v>
      </c>
      <c r="L767" t="s">
        <v>3239</v>
      </c>
      <c r="M767" t="s">
        <v>3238</v>
      </c>
      <c r="N767">
        <v>2</v>
      </c>
      <c r="O767" t="s">
        <v>3237</v>
      </c>
      <c r="P767" t="s">
        <v>3236</v>
      </c>
      <c r="Q767" t="s">
        <v>3235</v>
      </c>
      <c r="R767" s="7">
        <v>33604</v>
      </c>
      <c r="S767" s="8">
        <f t="shared" si="96"/>
        <v>1992</v>
      </c>
      <c r="T767" s="8">
        <v>1992</v>
      </c>
      <c r="U767" s="8">
        <f t="shared" si="97"/>
        <v>30</v>
      </c>
      <c r="V767" s="7">
        <v>33664</v>
      </c>
      <c r="W767" t="s">
        <v>599</v>
      </c>
      <c r="X767" s="2">
        <v>0.375</v>
      </c>
      <c r="Y767" s="6">
        <f t="shared" si="94"/>
        <v>1.0010410827260351E-2</v>
      </c>
      <c r="AA767">
        <v>135194</v>
      </c>
      <c r="AB767">
        <v>24918</v>
      </c>
      <c r="AD767" t="s">
        <v>4</v>
      </c>
      <c r="AE767">
        <v>28</v>
      </c>
      <c r="AF767">
        <v>6</v>
      </c>
      <c r="AH767" t="s">
        <v>3234</v>
      </c>
      <c r="AI767" t="s">
        <v>3233</v>
      </c>
      <c r="AJ767" t="s">
        <v>3232</v>
      </c>
      <c r="AK767" t="s">
        <v>3231</v>
      </c>
      <c r="AL767">
        <v>0</v>
      </c>
      <c r="AM767" s="5">
        <f t="shared" si="98"/>
        <v>0</v>
      </c>
      <c r="AN767" s="4">
        <f t="shared" si="95"/>
        <v>0</v>
      </c>
      <c r="AO767" s="3"/>
      <c r="AP767">
        <v>0</v>
      </c>
      <c r="AR767" t="s">
        <v>0</v>
      </c>
      <c r="AT767" s="2">
        <v>1.3140000000000001</v>
      </c>
      <c r="AU767" s="1">
        <f t="shared" si="99"/>
        <v>0.70072875790822453</v>
      </c>
      <c r="AV767" s="1">
        <f t="shared" si="100"/>
        <v>0.5005205413630176</v>
      </c>
      <c r="AW767" s="1">
        <f t="shared" si="101"/>
        <v>0.30031232481781051</v>
      </c>
    </row>
    <row r="768" spans="1:49" x14ac:dyDescent="0.2">
      <c r="A768">
        <v>766</v>
      </c>
      <c r="B768" t="s">
        <v>3230</v>
      </c>
      <c r="C768" t="s">
        <v>3229</v>
      </c>
      <c r="F768" t="s">
        <v>3228</v>
      </c>
      <c r="G768" t="s">
        <v>12</v>
      </c>
      <c r="H768" t="s">
        <v>11</v>
      </c>
      <c r="I768" t="s">
        <v>3227</v>
      </c>
      <c r="J768" t="s">
        <v>3226</v>
      </c>
      <c r="K768" t="s">
        <v>3225</v>
      </c>
      <c r="L768" t="s">
        <v>3224</v>
      </c>
      <c r="M768" t="s">
        <v>1561</v>
      </c>
      <c r="N768">
        <v>3</v>
      </c>
      <c r="O768" t="s">
        <v>3223</v>
      </c>
      <c r="P768" t="s">
        <v>3222</v>
      </c>
      <c r="Q768" t="s">
        <v>3221</v>
      </c>
      <c r="R768" s="7">
        <v>33604</v>
      </c>
      <c r="S768" s="8">
        <f t="shared" si="96"/>
        <v>1992</v>
      </c>
      <c r="T768" s="8">
        <v>1992</v>
      </c>
      <c r="U768" s="8">
        <f t="shared" si="97"/>
        <v>30</v>
      </c>
      <c r="V768" s="7">
        <v>33664</v>
      </c>
      <c r="W768" t="s">
        <v>3220</v>
      </c>
      <c r="X768" s="2">
        <v>0.78200000000000003</v>
      </c>
      <c r="Y768" s="6">
        <f t="shared" si="94"/>
        <v>2.0875043378446919E-2</v>
      </c>
      <c r="AA768">
        <v>189316</v>
      </c>
      <c r="AB768">
        <v>19901</v>
      </c>
      <c r="AC768">
        <v>15579611</v>
      </c>
      <c r="AD768" t="s">
        <v>4</v>
      </c>
      <c r="AE768">
        <v>38</v>
      </c>
      <c r="AF768">
        <v>1</v>
      </c>
      <c r="AH768" t="s">
        <v>3219</v>
      </c>
      <c r="AI768" t="s">
        <v>3218</v>
      </c>
      <c r="AK768" t="s">
        <v>3217</v>
      </c>
      <c r="AL768">
        <v>3</v>
      </c>
      <c r="AM768" s="5">
        <f t="shared" si="98"/>
        <v>0.1</v>
      </c>
      <c r="AN768" s="4">
        <f t="shared" si="95"/>
        <v>1.5145778114350627E-4</v>
      </c>
      <c r="AO768" s="3"/>
      <c r="AP768">
        <v>0</v>
      </c>
      <c r="AR768" t="s">
        <v>0</v>
      </c>
      <c r="AT768" s="2">
        <v>3.863</v>
      </c>
      <c r="AU768" s="1">
        <f t="shared" si="99"/>
        <v>1.4657967699255894</v>
      </c>
      <c r="AV768" s="1">
        <f t="shared" si="100"/>
        <v>1.0513250579795212</v>
      </c>
      <c r="AW768" s="1">
        <f t="shared" si="101"/>
        <v>0.636853346033453</v>
      </c>
    </row>
    <row r="769" spans="1:49" x14ac:dyDescent="0.2">
      <c r="A769">
        <v>767</v>
      </c>
      <c r="B769" t="s">
        <v>3216</v>
      </c>
      <c r="C769" t="s">
        <v>3215</v>
      </c>
      <c r="F769" t="s">
        <v>3214</v>
      </c>
      <c r="G769" t="s">
        <v>12</v>
      </c>
      <c r="H769" t="s">
        <v>11</v>
      </c>
      <c r="I769" t="s">
        <v>3213</v>
      </c>
      <c r="J769" t="s">
        <v>3212</v>
      </c>
      <c r="K769" t="s">
        <v>3211</v>
      </c>
      <c r="L769" t="s">
        <v>3210</v>
      </c>
      <c r="M769" t="s">
        <v>931</v>
      </c>
      <c r="N769">
        <v>3</v>
      </c>
      <c r="O769" t="s">
        <v>3209</v>
      </c>
      <c r="P769" t="s">
        <v>3208</v>
      </c>
      <c r="Q769" t="s">
        <v>3207</v>
      </c>
      <c r="R769" s="7">
        <v>33604</v>
      </c>
      <c r="S769" s="8">
        <f t="shared" si="96"/>
        <v>1992</v>
      </c>
      <c r="T769" s="8">
        <v>1992</v>
      </c>
      <c r="U769" s="8">
        <f t="shared" si="97"/>
        <v>30</v>
      </c>
      <c r="V769" s="7" t="s">
        <v>3206</v>
      </c>
      <c r="W769" t="s">
        <v>1330</v>
      </c>
      <c r="X769" s="2">
        <v>0.75800000000000001</v>
      </c>
      <c r="Y769" s="6">
        <f t="shared" si="94"/>
        <v>2.0234377085502256E-2</v>
      </c>
      <c r="AA769">
        <v>224650</v>
      </c>
      <c r="AB769">
        <v>29589</v>
      </c>
      <c r="AD769" t="s">
        <v>4</v>
      </c>
      <c r="AE769">
        <v>29</v>
      </c>
      <c r="AF769">
        <v>2</v>
      </c>
      <c r="AH769" t="s">
        <v>3205</v>
      </c>
      <c r="AI769" t="s">
        <v>3204</v>
      </c>
      <c r="AK769" t="s">
        <v>3203</v>
      </c>
      <c r="AL769">
        <v>4</v>
      </c>
      <c r="AM769" s="5">
        <f t="shared" si="98"/>
        <v>0.13333333333333333</v>
      </c>
      <c r="AN769" s="4">
        <f t="shared" si="95"/>
        <v>2.0194370819134167E-4</v>
      </c>
      <c r="AO769" s="3"/>
      <c r="AP769">
        <v>0</v>
      </c>
      <c r="AR769" t="s">
        <v>0</v>
      </c>
      <c r="AT769" s="2">
        <v>1.282</v>
      </c>
      <c r="AU769" s="1">
        <f t="shared" si="99"/>
        <v>1.422464707230898</v>
      </c>
      <c r="AV769" s="1">
        <f t="shared" si="100"/>
        <v>1.0218160396846798</v>
      </c>
      <c r="AW769" s="1">
        <f t="shared" si="101"/>
        <v>0.62116737213846152</v>
      </c>
    </row>
    <row r="770" spans="1:49" x14ac:dyDescent="0.2">
      <c r="A770">
        <v>768</v>
      </c>
      <c r="B770" t="s">
        <v>3202</v>
      </c>
      <c r="C770" t="s">
        <v>3201</v>
      </c>
      <c r="F770" t="s">
        <v>3200</v>
      </c>
      <c r="G770" t="s">
        <v>12</v>
      </c>
      <c r="H770" t="s">
        <v>11</v>
      </c>
      <c r="I770" t="s">
        <v>1958</v>
      </c>
      <c r="J770">
        <v>60000990</v>
      </c>
      <c r="K770" t="s">
        <v>1957</v>
      </c>
      <c r="L770" t="s">
        <v>1956</v>
      </c>
      <c r="M770" t="s">
        <v>1091</v>
      </c>
      <c r="N770">
        <v>2</v>
      </c>
      <c r="O770" t="s">
        <v>3199</v>
      </c>
      <c r="P770" t="s">
        <v>1954</v>
      </c>
      <c r="Q770" t="s">
        <v>1953</v>
      </c>
      <c r="R770" s="7">
        <v>33604</v>
      </c>
      <c r="S770" s="8">
        <f t="shared" si="96"/>
        <v>1992</v>
      </c>
      <c r="T770" s="8">
        <v>1992</v>
      </c>
      <c r="U770" s="8">
        <f t="shared" si="97"/>
        <v>30</v>
      </c>
      <c r="V770" s="7" t="s">
        <v>2590</v>
      </c>
      <c r="W770" s="11" t="s">
        <v>2692</v>
      </c>
      <c r="X770" s="2">
        <v>2.383</v>
      </c>
      <c r="Y770" s="6">
        <f t="shared" ref="Y770:Y833" si="102">(X770-$Z$4)/($Z$3-$Z$4)</f>
        <v>6.3612824003630442E-2</v>
      </c>
      <c r="AA770" t="s">
        <v>2691</v>
      </c>
      <c r="AB770">
        <v>101151</v>
      </c>
      <c r="AD770" t="s">
        <v>4</v>
      </c>
      <c r="AE770">
        <v>139</v>
      </c>
      <c r="AF770">
        <v>1</v>
      </c>
      <c r="AH770" t="s">
        <v>3198</v>
      </c>
      <c r="AI770" t="s">
        <v>3197</v>
      </c>
      <c r="AK770" t="s">
        <v>3196</v>
      </c>
      <c r="AL770">
        <v>5</v>
      </c>
      <c r="AM770" s="5">
        <f t="shared" si="98"/>
        <v>0.16666666666666666</v>
      </c>
      <c r="AN770" s="4">
        <f t="shared" ref="AN770:AN833" si="103">(AM770-$AO$4)/($AO$3-$AO$4)</f>
        <v>2.5242963523917705E-4</v>
      </c>
      <c r="AO770" s="3"/>
      <c r="AP770">
        <v>0</v>
      </c>
      <c r="AR770" t="s">
        <v>0</v>
      </c>
      <c r="AT770" s="2" t="s">
        <v>16</v>
      </c>
      <c r="AU770" s="1">
        <f t="shared" si="99"/>
        <v>4.4604705693113065</v>
      </c>
      <c r="AV770" s="1">
        <f t="shared" si="100"/>
        <v>3.1932626819434811</v>
      </c>
      <c r="AW770" s="1">
        <f t="shared" si="101"/>
        <v>1.9260547945756556</v>
      </c>
    </row>
    <row r="771" spans="1:49" x14ac:dyDescent="0.2">
      <c r="A771">
        <v>769</v>
      </c>
      <c r="B771" t="s">
        <v>3195</v>
      </c>
      <c r="C771" t="s">
        <v>3194</v>
      </c>
      <c r="F771" t="s">
        <v>3193</v>
      </c>
      <c r="G771" t="s">
        <v>12</v>
      </c>
      <c r="H771" t="s">
        <v>11</v>
      </c>
      <c r="I771" t="s">
        <v>3192</v>
      </c>
      <c r="J771">
        <v>60010818</v>
      </c>
      <c r="K771" t="s">
        <v>3191</v>
      </c>
      <c r="L771" t="s">
        <v>3190</v>
      </c>
      <c r="M771" t="s">
        <v>856</v>
      </c>
      <c r="N771">
        <v>2</v>
      </c>
      <c r="O771" t="s">
        <v>3189</v>
      </c>
      <c r="P771" t="s">
        <v>3188</v>
      </c>
      <c r="Q771" t="s">
        <v>3187</v>
      </c>
      <c r="R771" s="7">
        <v>33604</v>
      </c>
      <c r="S771" s="8">
        <f t="shared" si="96"/>
        <v>1992</v>
      </c>
      <c r="T771" s="8">
        <v>1992</v>
      </c>
      <c r="U771" s="8">
        <f t="shared" si="97"/>
        <v>30</v>
      </c>
      <c r="V771" s="7">
        <v>33635</v>
      </c>
      <c r="W771" t="s">
        <v>599</v>
      </c>
      <c r="X771" s="2">
        <v>0.375</v>
      </c>
      <c r="Y771" s="6">
        <f t="shared" si="102"/>
        <v>1.0010410827260351E-2</v>
      </c>
      <c r="AA771">
        <v>135194</v>
      </c>
      <c r="AB771">
        <v>24918</v>
      </c>
      <c r="AD771" t="s">
        <v>4</v>
      </c>
      <c r="AE771">
        <v>28</v>
      </c>
      <c r="AF771">
        <v>4</v>
      </c>
      <c r="AH771">
        <v>365</v>
      </c>
      <c r="AI771" t="s">
        <v>3186</v>
      </c>
      <c r="AJ771" t="s">
        <v>3185</v>
      </c>
      <c r="AK771" t="s">
        <v>3184</v>
      </c>
      <c r="AL771">
        <v>15</v>
      </c>
      <c r="AM771" s="5">
        <f t="shared" si="98"/>
        <v>0.5</v>
      </c>
      <c r="AN771" s="4">
        <f t="shared" si="103"/>
        <v>7.572889057175312E-4</v>
      </c>
      <c r="AO771" s="3"/>
      <c r="AP771">
        <v>0</v>
      </c>
      <c r="AR771" t="s">
        <v>0</v>
      </c>
      <c r="AT771" s="2">
        <v>1.3140000000000001</v>
      </c>
      <c r="AU771" s="1">
        <f t="shared" si="99"/>
        <v>0.72344742507975057</v>
      </c>
      <c r="AV771" s="1">
        <f t="shared" si="100"/>
        <v>0.53838498664889411</v>
      </c>
      <c r="AW771" s="1">
        <f t="shared" si="101"/>
        <v>0.35332254821803771</v>
      </c>
    </row>
    <row r="772" spans="1:49" x14ac:dyDescent="0.2">
      <c r="A772">
        <v>770</v>
      </c>
      <c r="B772" t="s">
        <v>3183</v>
      </c>
      <c r="C772" t="s">
        <v>3182</v>
      </c>
      <c r="F772" t="s">
        <v>3181</v>
      </c>
      <c r="G772" t="s">
        <v>12</v>
      </c>
      <c r="H772" t="s">
        <v>11</v>
      </c>
      <c r="I772" t="s">
        <v>3180</v>
      </c>
      <c r="J772">
        <v>60012704</v>
      </c>
      <c r="K772" t="s">
        <v>3179</v>
      </c>
      <c r="L772" t="s">
        <v>3178</v>
      </c>
      <c r="M772" t="s">
        <v>3177</v>
      </c>
      <c r="N772">
        <v>3</v>
      </c>
      <c r="O772" t="s">
        <v>3176</v>
      </c>
      <c r="P772" t="s">
        <v>3175</v>
      </c>
      <c r="Q772" t="s">
        <v>3174</v>
      </c>
      <c r="R772" s="7">
        <v>33604</v>
      </c>
      <c r="S772" s="8">
        <f t="shared" si="96"/>
        <v>1992</v>
      </c>
      <c r="T772" s="8">
        <v>1992</v>
      </c>
      <c r="U772" s="8">
        <f t="shared" si="97"/>
        <v>30</v>
      </c>
      <c r="V772" s="7">
        <v>33635</v>
      </c>
      <c r="W772" t="s">
        <v>1458</v>
      </c>
      <c r="X772" s="2">
        <v>0.30399999999999999</v>
      </c>
      <c r="Y772" s="6">
        <f t="shared" si="102"/>
        <v>8.115106377299057E-3</v>
      </c>
      <c r="AA772">
        <v>8952477</v>
      </c>
      <c r="AB772">
        <v>12250</v>
      </c>
      <c r="AC772">
        <v>10982760</v>
      </c>
      <c r="AD772" t="s">
        <v>4</v>
      </c>
      <c r="AE772">
        <v>5</v>
      </c>
      <c r="AF772">
        <v>2</v>
      </c>
      <c r="AH772" t="s">
        <v>3173</v>
      </c>
      <c r="AI772" t="s">
        <v>3172</v>
      </c>
      <c r="AJ772" t="s">
        <v>3171</v>
      </c>
      <c r="AK772" t="s">
        <v>3170</v>
      </c>
      <c r="AL772">
        <v>1</v>
      </c>
      <c r="AM772" s="5">
        <f t="shared" si="98"/>
        <v>3.3333333333333333E-2</v>
      </c>
      <c r="AN772" s="4">
        <f t="shared" si="103"/>
        <v>5.0485927047835418E-5</v>
      </c>
      <c r="AO772" s="3"/>
      <c r="AP772">
        <v>0</v>
      </c>
      <c r="AR772" t="s">
        <v>0</v>
      </c>
      <c r="AT772" s="2" t="s">
        <v>16</v>
      </c>
      <c r="AU772" s="1">
        <f t="shared" si="99"/>
        <v>0.56957202422236908</v>
      </c>
      <c r="AV772" s="1">
        <f t="shared" si="100"/>
        <v>0.40827961521734463</v>
      </c>
      <c r="AW772" s="1">
        <f t="shared" si="101"/>
        <v>0.2469872062123202</v>
      </c>
    </row>
    <row r="773" spans="1:49" x14ac:dyDescent="0.2">
      <c r="A773">
        <v>771</v>
      </c>
      <c r="B773" t="s">
        <v>3169</v>
      </c>
      <c r="C773" t="s">
        <v>3168</v>
      </c>
      <c r="F773" t="s">
        <v>3167</v>
      </c>
      <c r="G773" t="s">
        <v>12</v>
      </c>
      <c r="H773" t="s">
        <v>11</v>
      </c>
      <c r="I773" t="s">
        <v>3166</v>
      </c>
      <c r="J773" t="s">
        <v>3165</v>
      </c>
      <c r="K773" t="s">
        <v>3164</v>
      </c>
      <c r="L773" t="s">
        <v>3163</v>
      </c>
      <c r="M773" t="s">
        <v>3162</v>
      </c>
      <c r="N773">
        <v>1</v>
      </c>
      <c r="O773" t="s">
        <v>3161</v>
      </c>
      <c r="P773">
        <v>7005097473</v>
      </c>
      <c r="Q773" t="s">
        <v>3160</v>
      </c>
      <c r="R773" s="7">
        <v>33604</v>
      </c>
      <c r="S773" s="8">
        <f t="shared" si="96"/>
        <v>1992</v>
      </c>
      <c r="T773" s="8">
        <v>1992</v>
      </c>
      <c r="U773" s="8">
        <f t="shared" si="97"/>
        <v>30</v>
      </c>
      <c r="V773" s="7">
        <v>33635</v>
      </c>
      <c r="W773" t="s">
        <v>97</v>
      </c>
      <c r="X773" s="2">
        <v>1.6519999999999999</v>
      </c>
      <c r="Y773" s="6">
        <f t="shared" si="102"/>
        <v>4.409919649769093E-2</v>
      </c>
      <c r="AA773" t="s">
        <v>96</v>
      </c>
      <c r="AB773">
        <v>17337</v>
      </c>
      <c r="AC773">
        <v>15582221</v>
      </c>
      <c r="AD773" t="s">
        <v>4</v>
      </c>
      <c r="AE773">
        <v>40</v>
      </c>
      <c r="AF773">
        <v>2</v>
      </c>
      <c r="AH773" t="s">
        <v>3159</v>
      </c>
      <c r="AI773" t="s">
        <v>3158</v>
      </c>
      <c r="AK773" t="s">
        <v>3157</v>
      </c>
      <c r="AL773">
        <v>34</v>
      </c>
      <c r="AM773" s="5">
        <f t="shared" si="98"/>
        <v>1.1333333333333333</v>
      </c>
      <c r="AN773" s="4">
        <f t="shared" si="103"/>
        <v>1.7165215196264041E-3</v>
      </c>
      <c r="AO773" s="3"/>
      <c r="AP773">
        <v>0</v>
      </c>
      <c r="AR773" t="s">
        <v>0</v>
      </c>
      <c r="AT773" s="2" t="s">
        <v>16</v>
      </c>
      <c r="AU773" s="1">
        <f t="shared" si="99"/>
        <v>3.1384394004271572</v>
      </c>
      <c r="AV773" s="1">
        <f t="shared" si="100"/>
        <v>2.2907859008658669</v>
      </c>
      <c r="AW773" s="1">
        <f t="shared" si="101"/>
        <v>1.4431324013045761</v>
      </c>
    </row>
    <row r="774" spans="1:49" x14ac:dyDescent="0.2">
      <c r="A774">
        <v>772</v>
      </c>
      <c r="B774" t="s">
        <v>3156</v>
      </c>
      <c r="C774" t="s">
        <v>3155</v>
      </c>
      <c r="F774" t="s">
        <v>3154</v>
      </c>
      <c r="G774" t="s">
        <v>12</v>
      </c>
      <c r="H774" t="s">
        <v>11</v>
      </c>
      <c r="I774" t="s">
        <v>3153</v>
      </c>
      <c r="J774" t="s">
        <v>3152</v>
      </c>
      <c r="K774" t="s">
        <v>3151</v>
      </c>
      <c r="L774" t="s">
        <v>3150</v>
      </c>
      <c r="M774" t="s">
        <v>125</v>
      </c>
      <c r="N774">
        <v>2</v>
      </c>
      <c r="O774" t="s">
        <v>3149</v>
      </c>
      <c r="P774" t="s">
        <v>3148</v>
      </c>
      <c r="Q774" t="s">
        <v>3147</v>
      </c>
      <c r="R774" s="7">
        <v>33604</v>
      </c>
      <c r="S774" s="8">
        <f t="shared" si="96"/>
        <v>1992</v>
      </c>
      <c r="T774" s="8">
        <v>1992</v>
      </c>
      <c r="U774" s="8">
        <f t="shared" si="97"/>
        <v>30</v>
      </c>
      <c r="V774" s="7">
        <v>33635</v>
      </c>
      <c r="W774" t="s">
        <v>136</v>
      </c>
      <c r="X774" s="2">
        <v>1.3720000000000001</v>
      </c>
      <c r="Y774" s="6">
        <f t="shared" si="102"/>
        <v>3.662475641333654E-2</v>
      </c>
      <c r="AA774">
        <v>189480</v>
      </c>
      <c r="AB774">
        <v>17366</v>
      </c>
      <c r="AC774">
        <v>15579670</v>
      </c>
      <c r="AD774" t="s">
        <v>4</v>
      </c>
      <c r="AE774">
        <v>40</v>
      </c>
      <c r="AF774">
        <v>2</v>
      </c>
      <c r="AH774" t="s">
        <v>3146</v>
      </c>
      <c r="AI774" t="s">
        <v>3145</v>
      </c>
      <c r="AK774" t="s">
        <v>3144</v>
      </c>
      <c r="AL774">
        <v>9</v>
      </c>
      <c r="AM774" s="5">
        <f t="shared" si="98"/>
        <v>0.3</v>
      </c>
      <c r="AN774" s="4">
        <f t="shared" si="103"/>
        <v>4.5437334343051872E-4</v>
      </c>
      <c r="AO774" s="3"/>
      <c r="AP774">
        <v>0</v>
      </c>
      <c r="AQ774" t="s">
        <v>2118</v>
      </c>
      <c r="AR774" t="s">
        <v>3143</v>
      </c>
      <c r="AS774" t="s">
        <v>2117</v>
      </c>
      <c r="AT774" s="2" t="s">
        <v>16</v>
      </c>
      <c r="AU774" s="1">
        <f t="shared" si="99"/>
        <v>2.5773641492364732</v>
      </c>
      <c r="AV774" s="1">
        <f t="shared" si="100"/>
        <v>1.853956487838353</v>
      </c>
      <c r="AW774" s="1">
        <f t="shared" si="101"/>
        <v>1.1305488264402326</v>
      </c>
    </row>
    <row r="775" spans="1:49" x14ac:dyDescent="0.2">
      <c r="A775">
        <v>773</v>
      </c>
      <c r="B775" t="s">
        <v>3142</v>
      </c>
      <c r="C775" t="s">
        <v>3141</v>
      </c>
      <c r="D775">
        <v>22231392900185</v>
      </c>
      <c r="F775" t="s">
        <v>3140</v>
      </c>
      <c r="G775" t="s">
        <v>12</v>
      </c>
      <c r="H775" t="s">
        <v>11</v>
      </c>
      <c r="I775" t="s">
        <v>3139</v>
      </c>
      <c r="J775">
        <v>60003892</v>
      </c>
      <c r="K775" t="s">
        <v>1858</v>
      </c>
      <c r="L775" t="s">
        <v>1857</v>
      </c>
      <c r="M775" t="s">
        <v>7</v>
      </c>
      <c r="N775">
        <v>3</v>
      </c>
      <c r="O775" t="s">
        <v>3138</v>
      </c>
      <c r="P775" t="s">
        <v>3137</v>
      </c>
      <c r="Q775" t="s">
        <v>3136</v>
      </c>
      <c r="R775" s="7">
        <v>33604</v>
      </c>
      <c r="S775" s="8">
        <f t="shared" si="96"/>
        <v>1992</v>
      </c>
      <c r="T775" s="8">
        <v>1992</v>
      </c>
      <c r="U775" s="8">
        <f t="shared" si="97"/>
        <v>30</v>
      </c>
      <c r="V775" s="7">
        <v>33635</v>
      </c>
      <c r="W775" t="s">
        <v>2603</v>
      </c>
      <c r="X775" s="2">
        <v>0.65200000000000002</v>
      </c>
      <c r="Y775" s="6">
        <f t="shared" si="102"/>
        <v>1.7404767624996664E-2</v>
      </c>
      <c r="AA775">
        <v>222313</v>
      </c>
      <c r="AB775">
        <v>12179</v>
      </c>
      <c r="AD775" t="s">
        <v>4</v>
      </c>
      <c r="AE775">
        <v>51</v>
      </c>
      <c r="AF775" s="9">
        <v>44256</v>
      </c>
      <c r="AH775" t="s">
        <v>3135</v>
      </c>
      <c r="AI775" t="s">
        <v>3134</v>
      </c>
      <c r="AK775" t="s">
        <v>3133</v>
      </c>
      <c r="AL775">
        <v>43</v>
      </c>
      <c r="AM775" s="5">
        <f t="shared" si="98"/>
        <v>1.4333333333333333</v>
      </c>
      <c r="AN775" s="4">
        <f t="shared" si="103"/>
        <v>2.1708948630569228E-3</v>
      </c>
      <c r="AO775" s="3"/>
      <c r="AP775">
        <v>0</v>
      </c>
      <c r="AQ775" t="s">
        <v>2118</v>
      </c>
      <c r="AR775" t="s">
        <v>3132</v>
      </c>
      <c r="AS775" t="s">
        <v>2117</v>
      </c>
      <c r="AT775" s="2">
        <v>3.5990000000000002</v>
      </c>
      <c r="AU775" s="1">
        <f t="shared" si="99"/>
        <v>1.283460579641474</v>
      </c>
      <c r="AV775" s="1">
        <f t="shared" si="100"/>
        <v>0.97878312440267934</v>
      </c>
      <c r="AW775" s="1">
        <f t="shared" si="101"/>
        <v>0.67410566916388448</v>
      </c>
    </row>
    <row r="776" spans="1:49" x14ac:dyDescent="0.2">
      <c r="A776">
        <v>774</v>
      </c>
      <c r="B776" t="s">
        <v>3131</v>
      </c>
      <c r="C776" t="s">
        <v>3130</v>
      </c>
      <c r="F776" t="s">
        <v>3129</v>
      </c>
      <c r="G776" t="s">
        <v>12</v>
      </c>
      <c r="H776" t="s">
        <v>11</v>
      </c>
      <c r="I776" t="s">
        <v>3128</v>
      </c>
      <c r="J776">
        <v>60025778</v>
      </c>
      <c r="K776" t="s">
        <v>25</v>
      </c>
      <c r="L776" t="s">
        <v>24</v>
      </c>
      <c r="M776" t="s">
        <v>7</v>
      </c>
      <c r="N776">
        <v>3</v>
      </c>
      <c r="O776" t="s">
        <v>3127</v>
      </c>
      <c r="P776" t="s">
        <v>3126</v>
      </c>
      <c r="Q776" t="s">
        <v>311</v>
      </c>
      <c r="R776" s="7">
        <v>33604</v>
      </c>
      <c r="S776" s="8">
        <f t="shared" si="96"/>
        <v>1992</v>
      </c>
      <c r="T776" s="8">
        <v>1992</v>
      </c>
      <c r="U776" s="8">
        <f t="shared" si="97"/>
        <v>30</v>
      </c>
      <c r="V776" s="7">
        <v>33635</v>
      </c>
      <c r="W776" t="s">
        <v>20</v>
      </c>
      <c r="X776" s="2">
        <v>0.94</v>
      </c>
      <c r="Y776" s="6">
        <f t="shared" si="102"/>
        <v>2.5092763140332611E-2</v>
      </c>
      <c r="AA776">
        <v>10518207</v>
      </c>
      <c r="AB776">
        <v>63372</v>
      </c>
      <c r="AD776" t="s">
        <v>4</v>
      </c>
      <c r="AE776">
        <v>2</v>
      </c>
      <c r="AF776">
        <v>2</v>
      </c>
      <c r="AH776" t="s">
        <v>3125</v>
      </c>
      <c r="AI776" t="s">
        <v>3124</v>
      </c>
      <c r="AK776" t="s">
        <v>3123</v>
      </c>
      <c r="AL776">
        <v>13</v>
      </c>
      <c r="AM776" s="5">
        <f t="shared" si="98"/>
        <v>0.43333333333333335</v>
      </c>
      <c r="AN776" s="4">
        <f t="shared" si="103"/>
        <v>6.5631705162186044E-4</v>
      </c>
      <c r="AO776" s="3"/>
      <c r="AP776">
        <v>0</v>
      </c>
      <c r="AR776" t="s">
        <v>0</v>
      </c>
      <c r="AT776" s="2" t="s">
        <v>16</v>
      </c>
      <c r="AU776" s="1">
        <f t="shared" si="99"/>
        <v>1.7761829313719384</v>
      </c>
      <c r="AV776" s="1">
        <f t="shared" si="100"/>
        <v>1.2874540095977236</v>
      </c>
      <c r="AW776" s="1">
        <f t="shared" si="101"/>
        <v>0.79872508782350848</v>
      </c>
    </row>
    <row r="777" spans="1:49" x14ac:dyDescent="0.2">
      <c r="A777">
        <v>775</v>
      </c>
      <c r="B777" t="s">
        <v>3122</v>
      </c>
      <c r="C777" t="s">
        <v>3121</v>
      </c>
      <c r="F777" t="s">
        <v>3120</v>
      </c>
      <c r="G777" t="s">
        <v>12</v>
      </c>
      <c r="H777" t="s">
        <v>11</v>
      </c>
      <c r="I777" t="s">
        <v>3119</v>
      </c>
      <c r="J777" t="s">
        <v>3118</v>
      </c>
      <c r="K777" t="s">
        <v>3117</v>
      </c>
      <c r="L777" t="s">
        <v>3116</v>
      </c>
      <c r="M777" t="s">
        <v>3115</v>
      </c>
      <c r="N777">
        <v>2</v>
      </c>
      <c r="O777" t="s">
        <v>3114</v>
      </c>
      <c r="P777" t="s">
        <v>3113</v>
      </c>
      <c r="Q777" t="s">
        <v>3112</v>
      </c>
      <c r="R777" s="7">
        <v>33604</v>
      </c>
      <c r="S777" s="8">
        <f t="shared" si="96"/>
        <v>1992</v>
      </c>
      <c r="T777" s="8">
        <v>1992</v>
      </c>
      <c r="U777" s="8">
        <f t="shared" si="97"/>
        <v>30</v>
      </c>
      <c r="V777" s="7">
        <v>33635</v>
      </c>
      <c r="W777" t="s">
        <v>1458</v>
      </c>
      <c r="X777" s="2">
        <v>0.30399999999999999</v>
      </c>
      <c r="Y777" s="6">
        <f t="shared" si="102"/>
        <v>8.115106377299057E-3</v>
      </c>
      <c r="AA777">
        <v>8952477</v>
      </c>
      <c r="AB777">
        <v>12250</v>
      </c>
      <c r="AC777">
        <v>10982760</v>
      </c>
      <c r="AD777" t="s">
        <v>4</v>
      </c>
      <c r="AE777">
        <v>5</v>
      </c>
      <c r="AF777">
        <v>2</v>
      </c>
      <c r="AH777" t="s">
        <v>3111</v>
      </c>
      <c r="AI777" t="s">
        <v>3110</v>
      </c>
      <c r="AJ777" t="s">
        <v>3109</v>
      </c>
      <c r="AK777" t="s">
        <v>3108</v>
      </c>
      <c r="AL777">
        <v>0</v>
      </c>
      <c r="AM777" s="5">
        <f t="shared" si="98"/>
        <v>0</v>
      </c>
      <c r="AN777" s="4">
        <f t="shared" si="103"/>
        <v>0</v>
      </c>
      <c r="AO777" s="3"/>
      <c r="AP777">
        <v>0</v>
      </c>
      <c r="AR777" t="s">
        <v>0</v>
      </c>
      <c r="AT777" s="2" t="s">
        <v>16</v>
      </c>
      <c r="AU777" s="1">
        <f t="shared" si="99"/>
        <v>0.56805744641093392</v>
      </c>
      <c r="AV777" s="1">
        <f t="shared" si="100"/>
        <v>0.40575531886495286</v>
      </c>
      <c r="AW777" s="1">
        <f t="shared" si="101"/>
        <v>0.24345319131897172</v>
      </c>
    </row>
    <row r="778" spans="1:49" x14ac:dyDescent="0.2">
      <c r="A778">
        <v>776</v>
      </c>
      <c r="B778" t="s">
        <v>3107</v>
      </c>
      <c r="C778" t="s">
        <v>3106</v>
      </c>
      <c r="F778" t="s">
        <v>3105</v>
      </c>
      <c r="G778" t="s">
        <v>12</v>
      </c>
      <c r="H778" t="s">
        <v>11</v>
      </c>
      <c r="I778" t="s">
        <v>3104</v>
      </c>
      <c r="J778">
        <v>101013616</v>
      </c>
      <c r="K778" t="s">
        <v>3103</v>
      </c>
      <c r="L778" t="s">
        <v>3102</v>
      </c>
      <c r="M778" t="s">
        <v>856</v>
      </c>
      <c r="N778">
        <v>2</v>
      </c>
      <c r="O778" t="s">
        <v>3101</v>
      </c>
      <c r="P778" t="s">
        <v>3100</v>
      </c>
      <c r="Q778" t="s">
        <v>3099</v>
      </c>
      <c r="R778" s="7">
        <v>33604</v>
      </c>
      <c r="S778" s="8">
        <f t="shared" si="96"/>
        <v>1992</v>
      </c>
      <c r="T778" s="8">
        <v>1992</v>
      </c>
      <c r="U778" s="8">
        <f t="shared" si="97"/>
        <v>30</v>
      </c>
      <c r="V778" s="7" t="s">
        <v>2590</v>
      </c>
      <c r="W778" s="11" t="s">
        <v>2692</v>
      </c>
      <c r="X778" s="2">
        <v>2.383</v>
      </c>
      <c r="Y778" s="6">
        <f t="shared" si="102"/>
        <v>6.3612824003630442E-2</v>
      </c>
      <c r="AA778" t="s">
        <v>2691</v>
      </c>
      <c r="AB778">
        <v>101151</v>
      </c>
      <c r="AD778" t="s">
        <v>4</v>
      </c>
      <c r="AE778">
        <v>139</v>
      </c>
      <c r="AF778">
        <v>1</v>
      </c>
      <c r="AH778" t="s">
        <v>3098</v>
      </c>
      <c r="AI778" t="s">
        <v>3097</v>
      </c>
      <c r="AK778" t="s">
        <v>3096</v>
      </c>
      <c r="AL778">
        <v>16</v>
      </c>
      <c r="AM778" s="5">
        <f t="shared" si="98"/>
        <v>0.53333333333333333</v>
      </c>
      <c r="AN778" s="4">
        <f t="shared" si="103"/>
        <v>8.0777483276536668E-4</v>
      </c>
      <c r="AO778" s="3"/>
      <c r="AP778">
        <v>0</v>
      </c>
      <c r="AR778" t="s">
        <v>0</v>
      </c>
      <c r="AT778" s="2" t="s">
        <v>16</v>
      </c>
      <c r="AU778" s="1">
        <f t="shared" si="99"/>
        <v>4.4771309252370921</v>
      </c>
      <c r="AV778" s="1">
        <f t="shared" si="100"/>
        <v>3.2210299418197903</v>
      </c>
      <c r="AW778" s="1">
        <f t="shared" si="101"/>
        <v>1.9649289584024887</v>
      </c>
    </row>
    <row r="779" spans="1:49" x14ac:dyDescent="0.2">
      <c r="A779">
        <v>777</v>
      </c>
      <c r="B779" t="s">
        <v>3095</v>
      </c>
      <c r="C779" t="s">
        <v>3094</v>
      </c>
      <c r="F779" t="s">
        <v>3093</v>
      </c>
      <c r="G779" t="s">
        <v>12</v>
      </c>
      <c r="H779" t="s">
        <v>11</v>
      </c>
      <c r="I779" t="s">
        <v>3092</v>
      </c>
      <c r="J779" t="s">
        <v>3091</v>
      </c>
      <c r="K779" t="s">
        <v>3090</v>
      </c>
      <c r="L779" t="s">
        <v>3089</v>
      </c>
      <c r="M779" t="s">
        <v>432</v>
      </c>
      <c r="N779">
        <v>4</v>
      </c>
      <c r="O779" t="s">
        <v>3088</v>
      </c>
      <c r="P779" t="s">
        <v>3087</v>
      </c>
      <c r="Q779" t="s">
        <v>3086</v>
      </c>
      <c r="R779" s="7">
        <v>33604</v>
      </c>
      <c r="S779" s="8">
        <f t="shared" si="96"/>
        <v>1992</v>
      </c>
      <c r="T779" s="8">
        <v>1992</v>
      </c>
      <c r="U779" s="8">
        <f t="shared" si="97"/>
        <v>30</v>
      </c>
      <c r="V779" s="7">
        <v>1992</v>
      </c>
      <c r="W779" t="s">
        <v>665</v>
      </c>
      <c r="X779" s="2">
        <v>0.111</v>
      </c>
      <c r="Y779" s="6">
        <f t="shared" si="102"/>
        <v>2.9630816048690639E-3</v>
      </c>
      <c r="AA779">
        <v>87566621</v>
      </c>
      <c r="AB779">
        <v>24890</v>
      </c>
      <c r="AC779">
        <v>15206424</v>
      </c>
      <c r="AD779" t="s">
        <v>4</v>
      </c>
      <c r="AE779">
        <v>75</v>
      </c>
      <c r="AF779">
        <v>2</v>
      </c>
      <c r="AH779" t="s">
        <v>3085</v>
      </c>
      <c r="AI779" t="s">
        <v>3084</v>
      </c>
      <c r="AK779" t="s">
        <v>3083</v>
      </c>
      <c r="AL779">
        <v>0</v>
      </c>
      <c r="AM779" s="5">
        <f t="shared" si="98"/>
        <v>0</v>
      </c>
      <c r="AN779" s="4">
        <f t="shared" si="103"/>
        <v>0</v>
      </c>
      <c r="AO779" s="3"/>
      <c r="AP779">
        <v>0</v>
      </c>
      <c r="AR779" t="s">
        <v>0</v>
      </c>
      <c r="AT779" s="2" t="s">
        <v>16</v>
      </c>
      <c r="AU779" s="1">
        <f t="shared" si="99"/>
        <v>0.20741571234083445</v>
      </c>
      <c r="AV779" s="1">
        <f t="shared" si="100"/>
        <v>0.1481540802434532</v>
      </c>
      <c r="AW779" s="1">
        <f t="shared" si="101"/>
        <v>8.8892448146071903E-2</v>
      </c>
    </row>
    <row r="780" spans="1:49" x14ac:dyDescent="0.2">
      <c r="A780">
        <v>778</v>
      </c>
      <c r="B780" t="s">
        <v>3082</v>
      </c>
      <c r="C780" t="s">
        <v>3081</v>
      </c>
      <c r="F780" t="s">
        <v>3080</v>
      </c>
      <c r="G780" t="s">
        <v>12</v>
      </c>
      <c r="H780" t="s">
        <v>11</v>
      </c>
      <c r="I780" t="s">
        <v>3079</v>
      </c>
      <c r="J780">
        <v>60070928</v>
      </c>
      <c r="K780" t="s">
        <v>3078</v>
      </c>
      <c r="L780" t="s">
        <v>3077</v>
      </c>
      <c r="M780" t="s">
        <v>3076</v>
      </c>
      <c r="N780">
        <v>3</v>
      </c>
      <c r="O780" t="s">
        <v>3075</v>
      </c>
      <c r="P780" t="s">
        <v>3074</v>
      </c>
      <c r="Q780" t="s">
        <v>3073</v>
      </c>
      <c r="R780" s="7">
        <v>33604</v>
      </c>
      <c r="S780" s="8">
        <f t="shared" si="96"/>
        <v>1992</v>
      </c>
      <c r="T780" s="8">
        <v>1992</v>
      </c>
      <c r="U780" s="8">
        <f t="shared" si="97"/>
        <v>30</v>
      </c>
      <c r="V780" s="7" t="s">
        <v>2590</v>
      </c>
      <c r="W780" s="11" t="s">
        <v>2692</v>
      </c>
      <c r="X780" s="2">
        <v>2.383</v>
      </c>
      <c r="Y780" s="6">
        <f t="shared" si="102"/>
        <v>6.3612824003630442E-2</v>
      </c>
      <c r="AA780" t="s">
        <v>2691</v>
      </c>
      <c r="AB780">
        <v>101151</v>
      </c>
      <c r="AD780" t="s">
        <v>4</v>
      </c>
      <c r="AE780">
        <v>139</v>
      </c>
      <c r="AF780">
        <v>1</v>
      </c>
      <c r="AH780" t="s">
        <v>3072</v>
      </c>
      <c r="AI780" t="s">
        <v>3071</v>
      </c>
      <c r="AK780" t="s">
        <v>3070</v>
      </c>
      <c r="AL780">
        <v>4</v>
      </c>
      <c r="AM780" s="5">
        <f t="shared" si="98"/>
        <v>0.13333333333333333</v>
      </c>
      <c r="AN780" s="4">
        <f t="shared" si="103"/>
        <v>2.0194370819134167E-4</v>
      </c>
      <c r="AO780" s="3"/>
      <c r="AP780">
        <v>0</v>
      </c>
      <c r="AR780" t="s">
        <v>0</v>
      </c>
      <c r="AT780" s="2" t="s">
        <v>16</v>
      </c>
      <c r="AU780" s="1">
        <f t="shared" si="99"/>
        <v>4.4589559914998711</v>
      </c>
      <c r="AV780" s="1">
        <f t="shared" si="100"/>
        <v>3.1907383855910889</v>
      </c>
      <c r="AW780" s="1">
        <f t="shared" si="101"/>
        <v>1.9225207796823069</v>
      </c>
    </row>
    <row r="781" spans="1:49" x14ac:dyDescent="0.2">
      <c r="A781">
        <v>779</v>
      </c>
      <c r="B781" t="s">
        <v>3069</v>
      </c>
      <c r="C781" t="s">
        <v>3068</v>
      </c>
      <c r="F781" t="s">
        <v>3067</v>
      </c>
      <c r="G781" t="s">
        <v>12</v>
      </c>
      <c r="H781" t="s">
        <v>11</v>
      </c>
      <c r="I781" t="s">
        <v>3066</v>
      </c>
      <c r="J781">
        <v>60005465</v>
      </c>
      <c r="K781" t="s">
        <v>3065</v>
      </c>
      <c r="L781" t="s">
        <v>3064</v>
      </c>
      <c r="M781" t="s">
        <v>545</v>
      </c>
      <c r="N781">
        <v>2</v>
      </c>
      <c r="O781" t="s">
        <v>3063</v>
      </c>
      <c r="P781" t="s">
        <v>3062</v>
      </c>
      <c r="Q781" t="s">
        <v>3061</v>
      </c>
      <c r="R781" s="7">
        <v>33604</v>
      </c>
      <c r="S781" s="8">
        <f t="shared" si="96"/>
        <v>1992</v>
      </c>
      <c r="T781" s="8">
        <v>1992</v>
      </c>
      <c r="U781" s="8">
        <f t="shared" si="97"/>
        <v>30</v>
      </c>
      <c r="V781" s="7">
        <v>33635</v>
      </c>
      <c r="W781" t="s">
        <v>1458</v>
      </c>
      <c r="X781" s="2">
        <v>0.30399999999999999</v>
      </c>
      <c r="Y781" s="6">
        <f t="shared" si="102"/>
        <v>8.115106377299057E-3</v>
      </c>
      <c r="AA781">
        <v>8952477</v>
      </c>
      <c r="AB781">
        <v>12250</v>
      </c>
      <c r="AC781">
        <v>10982760</v>
      </c>
      <c r="AD781" t="s">
        <v>4</v>
      </c>
      <c r="AE781">
        <v>5</v>
      </c>
      <c r="AF781">
        <v>2</v>
      </c>
      <c r="AH781" t="s">
        <v>778</v>
      </c>
      <c r="AI781" t="s">
        <v>3060</v>
      </c>
      <c r="AJ781" t="s">
        <v>3059</v>
      </c>
      <c r="AK781" t="s">
        <v>3058</v>
      </c>
      <c r="AL781">
        <v>3</v>
      </c>
      <c r="AM781" s="5">
        <f t="shared" si="98"/>
        <v>0.1</v>
      </c>
      <c r="AN781" s="4">
        <f t="shared" si="103"/>
        <v>1.5145778114350627E-4</v>
      </c>
      <c r="AO781" s="3"/>
      <c r="AP781">
        <v>0</v>
      </c>
      <c r="AR781" t="s">
        <v>0</v>
      </c>
      <c r="AT781" s="2" t="s">
        <v>16</v>
      </c>
      <c r="AU781" s="1">
        <f t="shared" si="99"/>
        <v>0.57260117984523917</v>
      </c>
      <c r="AV781" s="1">
        <f t="shared" si="100"/>
        <v>0.41332820792212815</v>
      </c>
      <c r="AW781" s="1">
        <f t="shared" si="101"/>
        <v>0.25405523599901714</v>
      </c>
    </row>
    <row r="782" spans="1:49" x14ac:dyDescent="0.2">
      <c r="A782">
        <v>780</v>
      </c>
      <c r="B782" t="s">
        <v>3057</v>
      </c>
      <c r="C782" t="s">
        <v>3056</v>
      </c>
      <c r="F782" t="s">
        <v>3055</v>
      </c>
      <c r="G782" t="s">
        <v>12</v>
      </c>
      <c r="H782" t="s">
        <v>11</v>
      </c>
      <c r="I782" t="s">
        <v>3054</v>
      </c>
      <c r="J782" t="s">
        <v>3053</v>
      </c>
      <c r="K782" t="s">
        <v>3052</v>
      </c>
      <c r="L782" t="s">
        <v>3051</v>
      </c>
      <c r="M782" t="s">
        <v>3050</v>
      </c>
      <c r="N782">
        <v>2</v>
      </c>
      <c r="O782" t="s">
        <v>3049</v>
      </c>
      <c r="P782" t="s">
        <v>3048</v>
      </c>
      <c r="Q782" t="s">
        <v>3047</v>
      </c>
      <c r="R782" s="7">
        <v>33604</v>
      </c>
      <c r="S782" s="8">
        <f t="shared" si="96"/>
        <v>1992</v>
      </c>
      <c r="T782" s="8">
        <v>1992</v>
      </c>
      <c r="U782" s="8">
        <f t="shared" si="97"/>
        <v>30</v>
      </c>
      <c r="V782" s="7">
        <v>33635</v>
      </c>
      <c r="W782" t="s">
        <v>97</v>
      </c>
      <c r="X782" s="2">
        <v>1.6519999999999999</v>
      </c>
      <c r="Y782" s="6">
        <f t="shared" si="102"/>
        <v>4.409919649769093E-2</v>
      </c>
      <c r="AA782" t="s">
        <v>96</v>
      </c>
      <c r="AB782">
        <v>17337</v>
      </c>
      <c r="AC782">
        <v>15582221</v>
      </c>
      <c r="AD782" t="s">
        <v>4</v>
      </c>
      <c r="AE782">
        <v>40</v>
      </c>
      <c r="AF782">
        <v>2</v>
      </c>
      <c r="AH782" t="s">
        <v>3046</v>
      </c>
      <c r="AI782" t="s">
        <v>3045</v>
      </c>
      <c r="AK782" t="s">
        <v>3044</v>
      </c>
      <c r="AL782">
        <v>34</v>
      </c>
      <c r="AM782" s="5">
        <f t="shared" si="98"/>
        <v>1.1333333333333333</v>
      </c>
      <c r="AN782" s="4">
        <f t="shared" si="103"/>
        <v>1.7165215196264041E-3</v>
      </c>
      <c r="AO782" s="3"/>
      <c r="AP782">
        <v>0</v>
      </c>
      <c r="AR782" t="s">
        <v>0</v>
      </c>
      <c r="AT782" s="2" t="s">
        <v>16</v>
      </c>
      <c r="AU782" s="1">
        <f t="shared" si="99"/>
        <v>3.1384394004271572</v>
      </c>
      <c r="AV782" s="1">
        <f t="shared" si="100"/>
        <v>2.2907859008658669</v>
      </c>
      <c r="AW782" s="1">
        <f t="shared" si="101"/>
        <v>1.4431324013045761</v>
      </c>
    </row>
    <row r="783" spans="1:49" x14ac:dyDescent="0.2">
      <c r="A783">
        <v>781</v>
      </c>
      <c r="B783" t="s">
        <v>3043</v>
      </c>
      <c r="C783" t="s">
        <v>3042</v>
      </c>
      <c r="F783" t="s">
        <v>3041</v>
      </c>
      <c r="G783" t="s">
        <v>12</v>
      </c>
      <c r="H783" t="s">
        <v>11</v>
      </c>
      <c r="I783" t="s">
        <v>3040</v>
      </c>
      <c r="N783">
        <v>2</v>
      </c>
      <c r="O783" t="s">
        <v>3039</v>
      </c>
      <c r="P783" t="s">
        <v>3038</v>
      </c>
      <c r="Q783" t="s">
        <v>720</v>
      </c>
      <c r="R783" s="7">
        <v>33604</v>
      </c>
      <c r="S783" s="8">
        <f t="shared" si="96"/>
        <v>1992</v>
      </c>
      <c r="T783" s="8">
        <v>1992</v>
      </c>
      <c r="U783" s="8">
        <f t="shared" si="97"/>
        <v>30</v>
      </c>
      <c r="V783" s="7">
        <v>33635</v>
      </c>
      <c r="W783" t="s">
        <v>2799</v>
      </c>
      <c r="X783" s="2">
        <v>0.88100000000000001</v>
      </c>
      <c r="Y783" s="6">
        <f t="shared" si="102"/>
        <v>2.3517791836843653E-2</v>
      </c>
      <c r="AA783">
        <v>10459243</v>
      </c>
      <c r="AB783">
        <v>17248</v>
      </c>
      <c r="AD783" t="s">
        <v>4</v>
      </c>
      <c r="AE783">
        <v>34</v>
      </c>
      <c r="AF783">
        <v>1</v>
      </c>
      <c r="AH783" t="s">
        <v>3037</v>
      </c>
      <c r="AL783">
        <v>5</v>
      </c>
      <c r="AM783" s="5">
        <f t="shared" si="98"/>
        <v>0.16666666666666666</v>
      </c>
      <c r="AN783" s="4">
        <f t="shared" si="103"/>
        <v>2.5242963523917705E-4</v>
      </c>
      <c r="AO783" s="3"/>
      <c r="AP783">
        <v>0</v>
      </c>
      <c r="AR783" t="s">
        <v>0</v>
      </c>
      <c r="AT783" s="2" t="s">
        <v>16</v>
      </c>
      <c r="AU783" s="1">
        <f t="shared" si="99"/>
        <v>1.6538183176362309</v>
      </c>
      <c r="AV783" s="1">
        <f t="shared" si="100"/>
        <v>1.1885110736041415</v>
      </c>
      <c r="AW783" s="1">
        <f t="shared" si="101"/>
        <v>0.72320382957205198</v>
      </c>
    </row>
    <row r="784" spans="1:49" x14ac:dyDescent="0.2">
      <c r="A784">
        <v>782</v>
      </c>
      <c r="B784" t="s">
        <v>3036</v>
      </c>
      <c r="C784" t="s">
        <v>3035</v>
      </c>
      <c r="F784" t="s">
        <v>3034</v>
      </c>
      <c r="G784" t="s">
        <v>12</v>
      </c>
      <c r="H784" t="s">
        <v>11</v>
      </c>
      <c r="I784" t="s">
        <v>3033</v>
      </c>
      <c r="J784">
        <v>60017366</v>
      </c>
      <c r="K784" t="s">
        <v>3032</v>
      </c>
      <c r="L784" t="s">
        <v>3031</v>
      </c>
      <c r="M784" t="s">
        <v>7</v>
      </c>
      <c r="N784">
        <v>1</v>
      </c>
      <c r="O784" t="s">
        <v>3030</v>
      </c>
      <c r="P784">
        <v>7201761344</v>
      </c>
      <c r="Q784">
        <v>60017366</v>
      </c>
      <c r="R784" s="7">
        <v>33604</v>
      </c>
      <c r="S784" s="8">
        <f t="shared" si="96"/>
        <v>1992</v>
      </c>
      <c r="T784" s="8">
        <v>1992</v>
      </c>
      <c r="U784" s="8">
        <f t="shared" si="97"/>
        <v>30</v>
      </c>
      <c r="V784" s="7">
        <v>33635</v>
      </c>
      <c r="W784" t="s">
        <v>2799</v>
      </c>
      <c r="X784" s="2">
        <v>0.88100000000000001</v>
      </c>
      <c r="Y784" s="6">
        <f t="shared" si="102"/>
        <v>2.3517791836843653E-2</v>
      </c>
      <c r="AA784">
        <v>10459243</v>
      </c>
      <c r="AB784">
        <v>17248</v>
      </c>
      <c r="AD784" t="s">
        <v>4</v>
      </c>
      <c r="AE784">
        <v>34</v>
      </c>
      <c r="AF784">
        <v>1</v>
      </c>
      <c r="AH784" t="s">
        <v>3029</v>
      </c>
      <c r="AI784" t="s">
        <v>3028</v>
      </c>
      <c r="AK784" t="s">
        <v>3027</v>
      </c>
      <c r="AL784">
        <v>7</v>
      </c>
      <c r="AM784" s="5">
        <f t="shared" si="98"/>
        <v>0.23333333333333334</v>
      </c>
      <c r="AN784" s="4">
        <f t="shared" si="103"/>
        <v>3.5340148933484791E-4</v>
      </c>
      <c r="AO784" s="3"/>
      <c r="AP784">
        <v>0</v>
      </c>
      <c r="AR784" t="s">
        <v>0</v>
      </c>
      <c r="AT784" s="2" t="s">
        <v>16</v>
      </c>
      <c r="AU784" s="1">
        <f t="shared" si="99"/>
        <v>1.6568474732591012</v>
      </c>
      <c r="AV784" s="1">
        <f t="shared" si="100"/>
        <v>1.193559666308925</v>
      </c>
      <c r="AW784" s="1">
        <f t="shared" si="101"/>
        <v>0.73027185935874883</v>
      </c>
    </row>
    <row r="785" spans="1:49" x14ac:dyDescent="0.2">
      <c r="A785">
        <v>783</v>
      </c>
      <c r="B785" t="s">
        <v>3026</v>
      </c>
      <c r="C785" t="s">
        <v>3025</v>
      </c>
      <c r="F785" t="s">
        <v>3024</v>
      </c>
      <c r="G785" t="s">
        <v>12</v>
      </c>
      <c r="H785" t="s">
        <v>11</v>
      </c>
      <c r="I785" t="s">
        <v>3023</v>
      </c>
      <c r="J785">
        <v>60000891</v>
      </c>
      <c r="K785" t="s">
        <v>3022</v>
      </c>
      <c r="L785" t="s">
        <v>3021</v>
      </c>
      <c r="M785" t="s">
        <v>856</v>
      </c>
      <c r="N785">
        <v>2</v>
      </c>
      <c r="O785" t="s">
        <v>3020</v>
      </c>
      <c r="P785" t="s">
        <v>3019</v>
      </c>
      <c r="Q785" t="s">
        <v>3018</v>
      </c>
      <c r="R785" s="7">
        <v>33604</v>
      </c>
      <c r="S785" s="8">
        <f t="shared" si="96"/>
        <v>1992</v>
      </c>
      <c r="T785" s="8">
        <v>1992</v>
      </c>
      <c r="U785" s="8">
        <f t="shared" si="97"/>
        <v>30</v>
      </c>
      <c r="V785" s="7">
        <v>33635</v>
      </c>
      <c r="W785" t="s">
        <v>599</v>
      </c>
      <c r="X785" s="2">
        <v>0.375</v>
      </c>
      <c r="Y785" s="6">
        <f t="shared" si="102"/>
        <v>1.0010410827260351E-2</v>
      </c>
      <c r="AA785">
        <v>135194</v>
      </c>
      <c r="AB785">
        <v>24918</v>
      </c>
      <c r="AD785" t="s">
        <v>4</v>
      </c>
      <c r="AE785">
        <v>28</v>
      </c>
      <c r="AF785">
        <v>5</v>
      </c>
      <c r="AH785" t="s">
        <v>3017</v>
      </c>
      <c r="AI785" t="s">
        <v>3016</v>
      </c>
      <c r="AJ785" t="s">
        <v>3015</v>
      </c>
      <c r="AK785" t="s">
        <v>3014</v>
      </c>
      <c r="AL785">
        <v>4</v>
      </c>
      <c r="AM785" s="5">
        <f t="shared" si="98"/>
        <v>0.13333333333333333</v>
      </c>
      <c r="AN785" s="4">
        <f t="shared" si="103"/>
        <v>2.0194370819134167E-4</v>
      </c>
      <c r="AO785" s="3"/>
      <c r="AP785">
        <v>0</v>
      </c>
      <c r="AR785" t="s">
        <v>0</v>
      </c>
      <c r="AT785" s="2">
        <v>1.3140000000000001</v>
      </c>
      <c r="AU785" s="1">
        <f t="shared" si="99"/>
        <v>0.70678706915396483</v>
      </c>
      <c r="AV785" s="1">
        <f t="shared" si="100"/>
        <v>0.51061772677258466</v>
      </c>
      <c r="AW785" s="1">
        <f t="shared" si="101"/>
        <v>0.31444838439120443</v>
      </c>
    </row>
    <row r="786" spans="1:49" x14ac:dyDescent="0.2">
      <c r="A786">
        <v>784</v>
      </c>
      <c r="B786" t="s">
        <v>3013</v>
      </c>
      <c r="C786" t="s">
        <v>3012</v>
      </c>
      <c r="F786" t="s">
        <v>3011</v>
      </c>
      <c r="G786" t="s">
        <v>12</v>
      </c>
      <c r="H786" t="s">
        <v>11</v>
      </c>
      <c r="I786" t="s">
        <v>3010</v>
      </c>
      <c r="J786" t="s">
        <v>3009</v>
      </c>
      <c r="K786" t="s">
        <v>3008</v>
      </c>
      <c r="L786" t="s">
        <v>3007</v>
      </c>
      <c r="M786" t="s">
        <v>904</v>
      </c>
      <c r="N786">
        <v>4</v>
      </c>
      <c r="O786" t="s">
        <v>3006</v>
      </c>
      <c r="P786" t="s">
        <v>3005</v>
      </c>
      <c r="Q786" t="s">
        <v>3004</v>
      </c>
      <c r="R786" s="7">
        <v>33604</v>
      </c>
      <c r="S786" s="8">
        <f t="shared" ref="S786:S849" si="104">YEAR(R786)</f>
        <v>1992</v>
      </c>
      <c r="T786" s="8">
        <v>1992</v>
      </c>
      <c r="U786" s="8">
        <f t="shared" ref="U786:U849" si="105">2022-T786</f>
        <v>30</v>
      </c>
      <c r="V786" s="7">
        <v>33635</v>
      </c>
      <c r="W786" t="s">
        <v>1458</v>
      </c>
      <c r="X786" s="2">
        <v>0.30399999999999999</v>
      </c>
      <c r="Y786" s="6">
        <f t="shared" si="102"/>
        <v>8.115106377299057E-3</v>
      </c>
      <c r="AA786">
        <v>8952477</v>
      </c>
      <c r="AB786">
        <v>12250</v>
      </c>
      <c r="AC786">
        <v>10982760</v>
      </c>
      <c r="AD786" t="s">
        <v>4</v>
      </c>
      <c r="AE786">
        <v>5</v>
      </c>
      <c r="AF786">
        <v>2</v>
      </c>
      <c r="AH786" t="s">
        <v>3003</v>
      </c>
      <c r="AI786" t="s">
        <v>3002</v>
      </c>
      <c r="AJ786" t="s">
        <v>3001</v>
      </c>
      <c r="AK786" t="s">
        <v>3000</v>
      </c>
      <c r="AL786">
        <v>4</v>
      </c>
      <c r="AM786" s="5">
        <f t="shared" ref="AM786:AM849" si="106">AL786/U786</f>
        <v>0.13333333333333333</v>
      </c>
      <c r="AN786" s="4">
        <f t="shared" si="103"/>
        <v>2.0194370819134167E-4</v>
      </c>
      <c r="AO786" s="3"/>
      <c r="AP786">
        <v>0</v>
      </c>
      <c r="AR786" t="s">
        <v>0</v>
      </c>
      <c r="AT786" s="2" t="s">
        <v>16</v>
      </c>
      <c r="AU786" s="1">
        <f t="shared" ref="AU786:AU849" si="107">(Y786*0.7+AN786*0.3)*100</f>
        <v>0.57411575765667411</v>
      </c>
      <c r="AV786" s="1">
        <f t="shared" ref="AV786:AV849" si="108">(Y786*0.5+AN786*0.5)*100</f>
        <v>0.41585250427451992</v>
      </c>
      <c r="AW786" s="1">
        <f t="shared" ref="AW786:AW849" si="109">(Y786*0.3+AN786*0.7)*100</f>
        <v>0.25758925089236562</v>
      </c>
    </row>
    <row r="787" spans="1:49" x14ac:dyDescent="0.2">
      <c r="A787">
        <v>785</v>
      </c>
      <c r="B787" t="s">
        <v>2999</v>
      </c>
      <c r="C787" t="s">
        <v>2998</v>
      </c>
      <c r="D787">
        <v>22231392900266</v>
      </c>
      <c r="F787" t="s">
        <v>2997</v>
      </c>
      <c r="G787" t="s">
        <v>12</v>
      </c>
      <c r="H787" t="s">
        <v>11</v>
      </c>
      <c r="I787" t="s">
        <v>2996</v>
      </c>
      <c r="J787">
        <v>60024609</v>
      </c>
      <c r="K787" t="s">
        <v>2995</v>
      </c>
      <c r="L787" t="s">
        <v>2994</v>
      </c>
      <c r="M787" t="s">
        <v>7</v>
      </c>
      <c r="N787">
        <v>1</v>
      </c>
      <c r="O787" t="s">
        <v>2993</v>
      </c>
      <c r="P787">
        <v>35617633700</v>
      </c>
      <c r="Q787">
        <v>60024609</v>
      </c>
      <c r="R787" s="7">
        <v>33604</v>
      </c>
      <c r="S787" s="8">
        <f t="shared" si="104"/>
        <v>1992</v>
      </c>
      <c r="T787" s="8">
        <v>1992</v>
      </c>
      <c r="U787" s="8">
        <f t="shared" si="105"/>
        <v>30</v>
      </c>
      <c r="V787" s="7">
        <v>33635</v>
      </c>
      <c r="W787" t="s">
        <v>2603</v>
      </c>
      <c r="X787" s="2">
        <v>0.65200000000000002</v>
      </c>
      <c r="Y787" s="6">
        <f t="shared" si="102"/>
        <v>1.7404767624996664E-2</v>
      </c>
      <c r="AA787">
        <v>222313</v>
      </c>
      <c r="AB787">
        <v>12179</v>
      </c>
      <c r="AD787" t="s">
        <v>4</v>
      </c>
      <c r="AE787">
        <v>51</v>
      </c>
      <c r="AF787" s="9">
        <v>44256</v>
      </c>
      <c r="AH787" t="s">
        <v>2992</v>
      </c>
      <c r="AI787" t="s">
        <v>2991</v>
      </c>
      <c r="AK787" t="s">
        <v>2990</v>
      </c>
      <c r="AL787">
        <v>13</v>
      </c>
      <c r="AM787" s="5">
        <f t="shared" si="106"/>
        <v>0.43333333333333335</v>
      </c>
      <c r="AN787" s="4">
        <f t="shared" si="103"/>
        <v>6.5631705162186044E-4</v>
      </c>
      <c r="AO787" s="3"/>
      <c r="AP787">
        <v>0</v>
      </c>
      <c r="AR787" t="s">
        <v>0</v>
      </c>
      <c r="AT787" s="2">
        <v>3.5990000000000002</v>
      </c>
      <c r="AU787" s="1">
        <f t="shared" si="107"/>
        <v>1.2380232452984223</v>
      </c>
      <c r="AV787" s="1">
        <f t="shared" si="108"/>
        <v>0.9030542338309262</v>
      </c>
      <c r="AW787" s="1">
        <f t="shared" si="109"/>
        <v>0.56808522236343006</v>
      </c>
    </row>
    <row r="788" spans="1:49" x14ac:dyDescent="0.2">
      <c r="A788">
        <v>786</v>
      </c>
      <c r="B788" t="s">
        <v>2989</v>
      </c>
      <c r="C788" t="s">
        <v>2988</v>
      </c>
      <c r="F788" t="s">
        <v>2987</v>
      </c>
      <c r="G788" t="s">
        <v>12</v>
      </c>
      <c r="H788" t="s">
        <v>11</v>
      </c>
      <c r="I788" t="s">
        <v>2986</v>
      </c>
      <c r="J788">
        <v>60031126</v>
      </c>
      <c r="K788" t="s">
        <v>2928</v>
      </c>
      <c r="L788" t="s">
        <v>667</v>
      </c>
      <c r="M788" t="s">
        <v>151</v>
      </c>
      <c r="N788">
        <v>4</v>
      </c>
      <c r="O788" t="s">
        <v>2985</v>
      </c>
      <c r="P788" t="s">
        <v>2984</v>
      </c>
      <c r="Q788" t="s">
        <v>2983</v>
      </c>
      <c r="R788" s="7">
        <v>33604</v>
      </c>
      <c r="S788" s="8">
        <f t="shared" si="104"/>
        <v>1992</v>
      </c>
      <c r="T788" s="8">
        <v>1992</v>
      </c>
      <c r="U788" s="8">
        <f t="shared" si="105"/>
        <v>30</v>
      </c>
      <c r="V788" s="7" t="s">
        <v>2590</v>
      </c>
      <c r="W788" s="11" t="s">
        <v>2692</v>
      </c>
      <c r="X788" s="2">
        <v>2.383</v>
      </c>
      <c r="Y788" s="6">
        <f t="shared" si="102"/>
        <v>6.3612824003630442E-2</v>
      </c>
      <c r="AA788" t="s">
        <v>2691</v>
      </c>
      <c r="AB788">
        <v>101151</v>
      </c>
      <c r="AD788" t="s">
        <v>4</v>
      </c>
      <c r="AE788">
        <v>139</v>
      </c>
      <c r="AF788">
        <v>1</v>
      </c>
      <c r="AH788" t="s">
        <v>2982</v>
      </c>
      <c r="AI788" t="s">
        <v>2981</v>
      </c>
      <c r="AK788" t="s">
        <v>2980</v>
      </c>
      <c r="AL788">
        <v>31</v>
      </c>
      <c r="AM788" s="5">
        <f t="shared" si="106"/>
        <v>1.0333333333333334</v>
      </c>
      <c r="AN788" s="4">
        <f t="shared" si="103"/>
        <v>1.5650637384828981E-3</v>
      </c>
      <c r="AO788" s="3"/>
      <c r="AP788">
        <v>0</v>
      </c>
      <c r="AR788" t="s">
        <v>0</v>
      </c>
      <c r="AT788" s="2" t="s">
        <v>16</v>
      </c>
      <c r="AU788" s="1">
        <f t="shared" si="107"/>
        <v>4.4998495924086175</v>
      </c>
      <c r="AV788" s="1">
        <f t="shared" si="108"/>
        <v>3.2588943871056668</v>
      </c>
      <c r="AW788" s="1">
        <f t="shared" si="109"/>
        <v>2.0179391818027161</v>
      </c>
    </row>
    <row r="789" spans="1:49" x14ac:dyDescent="0.2">
      <c r="A789">
        <v>787</v>
      </c>
      <c r="B789" t="s">
        <v>2979</v>
      </c>
      <c r="C789" t="s">
        <v>2978</v>
      </c>
      <c r="F789" t="s">
        <v>2977</v>
      </c>
      <c r="G789" t="s">
        <v>12</v>
      </c>
      <c r="H789" t="s">
        <v>11</v>
      </c>
      <c r="I789" t="s">
        <v>2976</v>
      </c>
      <c r="J789">
        <v>60030551</v>
      </c>
      <c r="K789" t="s">
        <v>2975</v>
      </c>
      <c r="L789" t="s">
        <v>2974</v>
      </c>
      <c r="M789" t="s">
        <v>7</v>
      </c>
      <c r="N789">
        <v>2</v>
      </c>
      <c r="O789" t="s">
        <v>2973</v>
      </c>
      <c r="P789" t="s">
        <v>2972</v>
      </c>
      <c r="Q789" t="s">
        <v>2971</v>
      </c>
      <c r="R789" s="7">
        <v>33604</v>
      </c>
      <c r="S789" s="8">
        <f t="shared" si="104"/>
        <v>1992</v>
      </c>
      <c r="T789" s="8">
        <v>1992</v>
      </c>
      <c r="U789" s="8">
        <f t="shared" si="105"/>
        <v>30</v>
      </c>
      <c r="V789" s="7">
        <v>33635</v>
      </c>
      <c r="W789" t="s">
        <v>97</v>
      </c>
      <c r="X789" s="2">
        <v>1.6519999999999999</v>
      </c>
      <c r="Y789" s="6">
        <f t="shared" si="102"/>
        <v>4.409919649769093E-2</v>
      </c>
      <c r="AA789" t="s">
        <v>96</v>
      </c>
      <c r="AB789">
        <v>17337</v>
      </c>
      <c r="AC789">
        <v>15582221</v>
      </c>
      <c r="AD789" t="s">
        <v>4</v>
      </c>
      <c r="AE789">
        <v>40</v>
      </c>
      <c r="AF789">
        <v>2</v>
      </c>
      <c r="AH789" t="s">
        <v>2970</v>
      </c>
      <c r="AI789" t="s">
        <v>2969</v>
      </c>
      <c r="AK789" t="s">
        <v>2968</v>
      </c>
      <c r="AL789">
        <v>12</v>
      </c>
      <c r="AM789" s="5">
        <f t="shared" si="106"/>
        <v>0.4</v>
      </c>
      <c r="AN789" s="4">
        <f t="shared" si="103"/>
        <v>6.0583112457402507E-4</v>
      </c>
      <c r="AO789" s="3"/>
      <c r="AP789">
        <v>0</v>
      </c>
      <c r="AR789" t="s">
        <v>0</v>
      </c>
      <c r="AT789" s="2" t="s">
        <v>16</v>
      </c>
      <c r="AU789" s="1">
        <f t="shared" si="107"/>
        <v>3.1051186885755859</v>
      </c>
      <c r="AV789" s="1">
        <f t="shared" si="108"/>
        <v>2.2352513811132479</v>
      </c>
      <c r="AW789" s="1">
        <f t="shared" si="109"/>
        <v>1.3653840736509095</v>
      </c>
    </row>
    <row r="790" spans="1:49" x14ac:dyDescent="0.2">
      <c r="A790">
        <v>788</v>
      </c>
      <c r="B790" t="s">
        <v>2967</v>
      </c>
      <c r="C790" t="s">
        <v>2966</v>
      </c>
      <c r="D790" t="s">
        <v>2965</v>
      </c>
      <c r="F790" t="s">
        <v>2964</v>
      </c>
      <c r="G790" t="s">
        <v>12</v>
      </c>
      <c r="H790" t="s">
        <v>11</v>
      </c>
      <c r="I790" t="s">
        <v>2963</v>
      </c>
      <c r="J790" t="s">
        <v>2962</v>
      </c>
      <c r="K790" t="s">
        <v>2961</v>
      </c>
      <c r="L790" t="s">
        <v>2960</v>
      </c>
      <c r="M790" t="s">
        <v>2959</v>
      </c>
      <c r="N790">
        <v>3</v>
      </c>
      <c r="O790" t="s">
        <v>2958</v>
      </c>
      <c r="P790" t="s">
        <v>2957</v>
      </c>
      <c r="Q790" t="s">
        <v>2956</v>
      </c>
      <c r="R790" s="7">
        <v>33604</v>
      </c>
      <c r="S790" s="8">
        <f t="shared" si="104"/>
        <v>1992</v>
      </c>
      <c r="T790" s="8">
        <v>1992</v>
      </c>
      <c r="U790" s="8">
        <f t="shared" si="105"/>
        <v>30</v>
      </c>
      <c r="V790" s="7">
        <v>33635</v>
      </c>
      <c r="W790" t="s">
        <v>2955</v>
      </c>
      <c r="X790" s="2">
        <v>0.90700000000000003</v>
      </c>
      <c r="Y790" s="6">
        <f t="shared" si="102"/>
        <v>2.4211846987533703E-2</v>
      </c>
      <c r="AA790">
        <v>1651684</v>
      </c>
      <c r="AB790">
        <v>25548</v>
      </c>
      <c r="AD790" t="s">
        <v>4</v>
      </c>
      <c r="AE790">
        <v>26</v>
      </c>
      <c r="AF790">
        <v>2</v>
      </c>
      <c r="AH790" t="s">
        <v>2954</v>
      </c>
      <c r="AI790" t="s">
        <v>2953</v>
      </c>
      <c r="AJ790" t="s">
        <v>2952</v>
      </c>
      <c r="AK790" t="s">
        <v>2951</v>
      </c>
      <c r="AL790">
        <v>30</v>
      </c>
      <c r="AM790" s="5">
        <f t="shared" si="106"/>
        <v>1</v>
      </c>
      <c r="AN790" s="4">
        <f t="shared" si="103"/>
        <v>1.5145778114350624E-3</v>
      </c>
      <c r="AO790" s="3"/>
      <c r="AP790">
        <v>0</v>
      </c>
      <c r="AR790" t="s">
        <v>0</v>
      </c>
      <c r="AT790" s="2">
        <v>4.6619999999999999</v>
      </c>
      <c r="AU790" s="1">
        <f t="shared" si="107"/>
        <v>1.7402666234704107</v>
      </c>
      <c r="AV790" s="1">
        <f t="shared" si="108"/>
        <v>1.2863212399484383</v>
      </c>
      <c r="AW790" s="1">
        <f t="shared" si="109"/>
        <v>0.8323758564264655</v>
      </c>
    </row>
    <row r="791" spans="1:49" x14ac:dyDescent="0.2">
      <c r="A791">
        <v>789</v>
      </c>
      <c r="B791" t="s">
        <v>2950</v>
      </c>
      <c r="C791" t="s">
        <v>2949</v>
      </c>
      <c r="F791" t="s">
        <v>2948</v>
      </c>
      <c r="G791" t="s">
        <v>12</v>
      </c>
      <c r="H791" t="s">
        <v>11</v>
      </c>
      <c r="I791" t="s">
        <v>2947</v>
      </c>
      <c r="J791">
        <v>60021211</v>
      </c>
      <c r="K791" t="s">
        <v>2946</v>
      </c>
      <c r="L791" t="s">
        <v>2945</v>
      </c>
      <c r="M791" t="s">
        <v>7</v>
      </c>
      <c r="N791">
        <v>1</v>
      </c>
      <c r="O791" t="s">
        <v>2944</v>
      </c>
      <c r="P791">
        <v>7103231658</v>
      </c>
      <c r="Q791">
        <v>60021211</v>
      </c>
      <c r="R791" s="7">
        <v>33604</v>
      </c>
      <c r="S791" s="8">
        <f t="shared" si="104"/>
        <v>1992</v>
      </c>
      <c r="T791" s="8">
        <v>1992</v>
      </c>
      <c r="U791" s="8">
        <f t="shared" si="105"/>
        <v>30</v>
      </c>
      <c r="V791" s="7">
        <v>33635</v>
      </c>
      <c r="W791" t="s">
        <v>1975</v>
      </c>
      <c r="X791" s="2">
        <v>0.81</v>
      </c>
      <c r="Y791" s="6">
        <f t="shared" si="102"/>
        <v>2.1622487386882359E-2</v>
      </c>
      <c r="AA791">
        <v>10411135</v>
      </c>
      <c r="AB791">
        <v>12116</v>
      </c>
      <c r="AC791">
        <v>19410174</v>
      </c>
      <c r="AD791" t="s">
        <v>4</v>
      </c>
      <c r="AE791">
        <v>4</v>
      </c>
      <c r="AF791">
        <v>2</v>
      </c>
      <c r="AH791" t="s">
        <v>2943</v>
      </c>
      <c r="AI791" t="s">
        <v>2942</v>
      </c>
      <c r="AK791" t="s">
        <v>2941</v>
      </c>
      <c r="AL791">
        <v>14</v>
      </c>
      <c r="AM791" s="5">
        <f t="shared" si="106"/>
        <v>0.46666666666666667</v>
      </c>
      <c r="AN791" s="4">
        <f t="shared" si="103"/>
        <v>7.0680297866969582E-4</v>
      </c>
      <c r="AO791" s="3"/>
      <c r="AP791">
        <v>0</v>
      </c>
      <c r="AR791" t="s">
        <v>0</v>
      </c>
      <c r="AT791" s="2">
        <v>2.468</v>
      </c>
      <c r="AU791" s="1">
        <f t="shared" si="107"/>
        <v>1.5347782064418558</v>
      </c>
      <c r="AV791" s="1">
        <f t="shared" si="108"/>
        <v>1.1164645182776027</v>
      </c>
      <c r="AW791" s="1">
        <f t="shared" si="109"/>
        <v>0.69815083011334944</v>
      </c>
    </row>
    <row r="792" spans="1:49" x14ac:dyDescent="0.2">
      <c r="A792">
        <v>790</v>
      </c>
      <c r="B792" t="s">
        <v>2940</v>
      </c>
      <c r="C792" t="s">
        <v>2939</v>
      </c>
      <c r="F792" t="s">
        <v>2938</v>
      </c>
      <c r="G792" t="s">
        <v>12</v>
      </c>
      <c r="H792" t="s">
        <v>11</v>
      </c>
      <c r="I792" t="s">
        <v>2937</v>
      </c>
      <c r="J792">
        <v>60025555</v>
      </c>
      <c r="K792" t="s">
        <v>2889</v>
      </c>
      <c r="L792" t="s">
        <v>667</v>
      </c>
      <c r="M792" t="s">
        <v>151</v>
      </c>
      <c r="N792">
        <v>1</v>
      </c>
      <c r="O792" t="s">
        <v>2936</v>
      </c>
      <c r="P792">
        <v>7403134314</v>
      </c>
      <c r="Q792">
        <v>60025555</v>
      </c>
      <c r="R792" s="7">
        <v>33604</v>
      </c>
      <c r="S792" s="8">
        <f t="shared" si="104"/>
        <v>1992</v>
      </c>
      <c r="T792" s="8">
        <v>1992</v>
      </c>
      <c r="U792" s="8">
        <f t="shared" si="105"/>
        <v>30</v>
      </c>
      <c r="V792" s="7">
        <v>1992</v>
      </c>
      <c r="W792" t="s">
        <v>665</v>
      </c>
      <c r="X792" s="2">
        <v>0.111</v>
      </c>
      <c r="Y792" s="6">
        <f t="shared" si="102"/>
        <v>2.9630816048690639E-3</v>
      </c>
      <c r="AA792">
        <v>87566621</v>
      </c>
      <c r="AB792">
        <v>24890</v>
      </c>
      <c r="AC792">
        <v>15206424</v>
      </c>
      <c r="AD792" t="s">
        <v>4</v>
      </c>
      <c r="AE792">
        <v>75</v>
      </c>
      <c r="AF792">
        <v>2</v>
      </c>
      <c r="AH792" t="s">
        <v>2935</v>
      </c>
      <c r="AI792" t="s">
        <v>2934</v>
      </c>
      <c r="AK792" t="s">
        <v>2933</v>
      </c>
      <c r="AL792">
        <v>0</v>
      </c>
      <c r="AM792" s="5">
        <f t="shared" si="106"/>
        <v>0</v>
      </c>
      <c r="AN792" s="4">
        <f t="shared" si="103"/>
        <v>0</v>
      </c>
      <c r="AO792" s="3"/>
      <c r="AP792">
        <v>0</v>
      </c>
      <c r="AR792" t="s">
        <v>0</v>
      </c>
      <c r="AT792" s="2" t="s">
        <v>16</v>
      </c>
      <c r="AU792" s="1">
        <f t="shared" si="107"/>
        <v>0.20741571234083445</v>
      </c>
      <c r="AV792" s="1">
        <f t="shared" si="108"/>
        <v>0.1481540802434532</v>
      </c>
      <c r="AW792" s="1">
        <f t="shared" si="109"/>
        <v>8.8892448146071903E-2</v>
      </c>
    </row>
    <row r="793" spans="1:49" x14ac:dyDescent="0.2">
      <c r="A793">
        <v>791</v>
      </c>
      <c r="B793" t="s">
        <v>2932</v>
      </c>
      <c r="C793" t="s">
        <v>2931</v>
      </c>
      <c r="F793" t="s">
        <v>2930</v>
      </c>
      <c r="G793" t="s">
        <v>12</v>
      </c>
      <c r="H793" t="s">
        <v>11</v>
      </c>
      <c r="I793" t="s">
        <v>2929</v>
      </c>
      <c r="J793">
        <v>60031126</v>
      </c>
      <c r="K793" t="s">
        <v>2928</v>
      </c>
      <c r="L793" t="s">
        <v>667</v>
      </c>
      <c r="M793" t="s">
        <v>151</v>
      </c>
      <c r="N793">
        <v>3</v>
      </c>
      <c r="O793" t="s">
        <v>2927</v>
      </c>
      <c r="P793" t="s">
        <v>2926</v>
      </c>
      <c r="Q793" t="s">
        <v>2925</v>
      </c>
      <c r="R793" s="7">
        <v>33604</v>
      </c>
      <c r="S793" s="8">
        <f t="shared" si="104"/>
        <v>1992</v>
      </c>
      <c r="T793" s="8">
        <v>1992</v>
      </c>
      <c r="U793" s="8">
        <f t="shared" si="105"/>
        <v>30</v>
      </c>
      <c r="V793" s="7">
        <v>33635</v>
      </c>
      <c r="W793" t="s">
        <v>97</v>
      </c>
      <c r="X793" s="2">
        <v>1.6519999999999999</v>
      </c>
      <c r="Y793" s="6">
        <f t="shared" si="102"/>
        <v>4.409919649769093E-2</v>
      </c>
      <c r="AA793" t="s">
        <v>96</v>
      </c>
      <c r="AB793">
        <v>17337</v>
      </c>
      <c r="AC793">
        <v>15582221</v>
      </c>
      <c r="AD793" t="s">
        <v>4</v>
      </c>
      <c r="AE793">
        <v>40</v>
      </c>
      <c r="AF793">
        <v>2</v>
      </c>
      <c r="AH793" t="s">
        <v>2924</v>
      </c>
      <c r="AI793" t="s">
        <v>2923</v>
      </c>
      <c r="AK793" t="s">
        <v>2922</v>
      </c>
      <c r="AL793">
        <v>73</v>
      </c>
      <c r="AM793" s="5">
        <f t="shared" si="106"/>
        <v>2.4333333333333331</v>
      </c>
      <c r="AN793" s="4">
        <f t="shared" si="103"/>
        <v>3.6854726744919852E-3</v>
      </c>
      <c r="AO793" s="3"/>
      <c r="AP793">
        <v>0</v>
      </c>
      <c r="AR793" t="s">
        <v>0</v>
      </c>
      <c r="AT793" s="2" t="s">
        <v>16</v>
      </c>
      <c r="AU793" s="1">
        <f t="shared" si="107"/>
        <v>3.1975079350731246</v>
      </c>
      <c r="AV793" s="1">
        <f t="shared" si="108"/>
        <v>2.3892334586091457</v>
      </c>
      <c r="AW793" s="1">
        <f t="shared" si="109"/>
        <v>1.5809589821451668</v>
      </c>
    </row>
    <row r="794" spans="1:49" x14ac:dyDescent="0.2">
      <c r="A794">
        <v>792</v>
      </c>
      <c r="B794" t="s">
        <v>2921</v>
      </c>
      <c r="C794" t="s">
        <v>2920</v>
      </c>
      <c r="F794" t="s">
        <v>2919</v>
      </c>
      <c r="G794" t="s">
        <v>12</v>
      </c>
      <c r="H794" t="s">
        <v>11</v>
      </c>
      <c r="I794" t="s">
        <v>2582</v>
      </c>
      <c r="J794">
        <v>60005510</v>
      </c>
      <c r="K794" t="s">
        <v>2918</v>
      </c>
      <c r="L794" t="s">
        <v>2593</v>
      </c>
      <c r="M794" t="s">
        <v>2592</v>
      </c>
      <c r="N794">
        <v>2</v>
      </c>
      <c r="O794" t="s">
        <v>2578</v>
      </c>
      <c r="P794" t="s">
        <v>2577</v>
      </c>
      <c r="Q794" t="s">
        <v>2917</v>
      </c>
      <c r="R794" s="7">
        <v>33604</v>
      </c>
      <c r="S794" s="8">
        <f t="shared" si="104"/>
        <v>1992</v>
      </c>
      <c r="T794" s="8">
        <v>1992</v>
      </c>
      <c r="U794" s="8">
        <f t="shared" si="105"/>
        <v>30</v>
      </c>
      <c r="V794" s="7" t="s">
        <v>2590</v>
      </c>
      <c r="W794" s="11" t="s">
        <v>2692</v>
      </c>
      <c r="X794" s="2">
        <v>2.383</v>
      </c>
      <c r="Y794" s="6">
        <f t="shared" si="102"/>
        <v>6.3612824003630442E-2</v>
      </c>
      <c r="AA794" t="s">
        <v>2691</v>
      </c>
      <c r="AB794">
        <v>101151</v>
      </c>
      <c r="AD794" t="s">
        <v>4</v>
      </c>
      <c r="AE794">
        <v>139</v>
      </c>
      <c r="AF794">
        <v>1</v>
      </c>
      <c r="AH794" t="s">
        <v>2916</v>
      </c>
      <c r="AI794" t="s">
        <v>2915</v>
      </c>
      <c r="AK794" t="s">
        <v>2914</v>
      </c>
      <c r="AL794">
        <v>6</v>
      </c>
      <c r="AM794" s="5">
        <f t="shared" si="106"/>
        <v>0.2</v>
      </c>
      <c r="AN794" s="4">
        <f t="shared" si="103"/>
        <v>3.0291556228701253E-4</v>
      </c>
      <c r="AO794" s="3"/>
      <c r="AP794">
        <v>0</v>
      </c>
      <c r="AR794" t="s">
        <v>0</v>
      </c>
      <c r="AT794" s="2" t="s">
        <v>16</v>
      </c>
      <c r="AU794" s="1">
        <f t="shared" si="107"/>
        <v>4.461985147122741</v>
      </c>
      <c r="AV794" s="1">
        <f t="shared" si="108"/>
        <v>3.1957869782958728</v>
      </c>
      <c r="AW794" s="1">
        <f t="shared" si="109"/>
        <v>1.9295888094690041</v>
      </c>
    </row>
    <row r="795" spans="1:49" x14ac:dyDescent="0.2">
      <c r="A795">
        <v>793</v>
      </c>
      <c r="B795" t="s">
        <v>2913</v>
      </c>
      <c r="C795" t="s">
        <v>2912</v>
      </c>
      <c r="F795" t="s">
        <v>2911</v>
      </c>
      <c r="G795" t="s">
        <v>12</v>
      </c>
      <c r="H795" t="s">
        <v>11</v>
      </c>
      <c r="I795" t="s">
        <v>2910</v>
      </c>
      <c r="J795">
        <v>60026717</v>
      </c>
      <c r="K795" t="s">
        <v>2909</v>
      </c>
      <c r="L795" t="s">
        <v>2908</v>
      </c>
      <c r="M795" t="s">
        <v>7</v>
      </c>
      <c r="N795">
        <v>3</v>
      </c>
      <c r="O795" t="s">
        <v>2907</v>
      </c>
      <c r="P795" t="s">
        <v>2906</v>
      </c>
      <c r="Q795" t="s">
        <v>2905</v>
      </c>
      <c r="R795" s="7">
        <v>33604</v>
      </c>
      <c r="S795" s="8">
        <f t="shared" si="104"/>
        <v>1992</v>
      </c>
      <c r="T795" s="8">
        <v>1992</v>
      </c>
      <c r="U795" s="8">
        <f t="shared" si="105"/>
        <v>30</v>
      </c>
      <c r="V795" s="7">
        <v>33635</v>
      </c>
      <c r="W795" t="s">
        <v>1458</v>
      </c>
      <c r="X795" s="2">
        <v>0.30399999999999999</v>
      </c>
      <c r="Y795" s="6">
        <f t="shared" si="102"/>
        <v>8.115106377299057E-3</v>
      </c>
      <c r="AA795">
        <v>8952477</v>
      </c>
      <c r="AB795">
        <v>12250</v>
      </c>
      <c r="AC795">
        <v>10982760</v>
      </c>
      <c r="AD795" t="s">
        <v>4</v>
      </c>
      <c r="AE795">
        <v>5</v>
      </c>
      <c r="AF795">
        <v>2</v>
      </c>
      <c r="AH795" t="s">
        <v>2904</v>
      </c>
      <c r="AI795" t="s">
        <v>2903</v>
      </c>
      <c r="AJ795" t="s">
        <v>2902</v>
      </c>
      <c r="AK795" t="s">
        <v>2901</v>
      </c>
      <c r="AL795">
        <v>4</v>
      </c>
      <c r="AM795" s="5">
        <f t="shared" si="106"/>
        <v>0.13333333333333333</v>
      </c>
      <c r="AN795" s="4">
        <f t="shared" si="103"/>
        <v>2.0194370819134167E-4</v>
      </c>
      <c r="AO795" s="3"/>
      <c r="AP795">
        <v>0</v>
      </c>
      <c r="AR795" t="s">
        <v>0</v>
      </c>
      <c r="AT795" s="2" t="s">
        <v>16</v>
      </c>
      <c r="AU795" s="1">
        <f t="shared" si="107"/>
        <v>0.57411575765667411</v>
      </c>
      <c r="AV795" s="1">
        <f t="shared" si="108"/>
        <v>0.41585250427451992</v>
      </c>
      <c r="AW795" s="1">
        <f t="shared" si="109"/>
        <v>0.25758925089236562</v>
      </c>
    </row>
    <row r="796" spans="1:49" x14ac:dyDescent="0.2">
      <c r="A796">
        <v>794</v>
      </c>
      <c r="B796" t="s">
        <v>2900</v>
      </c>
      <c r="C796" t="s">
        <v>2899</v>
      </c>
      <c r="F796" t="s">
        <v>2898</v>
      </c>
      <c r="G796" t="s">
        <v>12</v>
      </c>
      <c r="H796" t="s">
        <v>11</v>
      </c>
      <c r="I796" t="s">
        <v>2897</v>
      </c>
      <c r="N796">
        <v>1</v>
      </c>
      <c r="O796" t="s">
        <v>2896</v>
      </c>
      <c r="P796">
        <v>7004170397</v>
      </c>
      <c r="R796" s="7">
        <v>33604</v>
      </c>
      <c r="S796" s="8">
        <f t="shared" si="104"/>
        <v>1992</v>
      </c>
      <c r="T796" s="8">
        <v>1992</v>
      </c>
      <c r="U796" s="8">
        <f t="shared" si="105"/>
        <v>30</v>
      </c>
      <c r="V796" s="7">
        <v>33635</v>
      </c>
      <c r="W796" t="s">
        <v>2895</v>
      </c>
      <c r="X796" s="2">
        <v>0.22600000000000001</v>
      </c>
      <c r="Y796" s="6">
        <f t="shared" si="102"/>
        <v>6.0329409252289053E-3</v>
      </c>
      <c r="AA796">
        <v>2786648</v>
      </c>
      <c r="AB796">
        <v>17299</v>
      </c>
      <c r="AD796" t="s">
        <v>4</v>
      </c>
      <c r="AE796">
        <v>11</v>
      </c>
      <c r="AF796">
        <v>1</v>
      </c>
      <c r="AH796" t="s">
        <v>2894</v>
      </c>
      <c r="AL796">
        <v>3</v>
      </c>
      <c r="AM796" s="5">
        <f t="shared" si="106"/>
        <v>0.1</v>
      </c>
      <c r="AN796" s="4">
        <f t="shared" si="103"/>
        <v>1.5145778114350627E-4</v>
      </c>
      <c r="AO796" s="3"/>
      <c r="AP796">
        <v>0</v>
      </c>
      <c r="AR796" t="s">
        <v>0</v>
      </c>
      <c r="AT796" s="2" t="s">
        <v>16</v>
      </c>
      <c r="AU796" s="1">
        <f t="shared" si="107"/>
        <v>0.42684959820032858</v>
      </c>
      <c r="AV796" s="1">
        <f t="shared" si="108"/>
        <v>0.30921993531862058</v>
      </c>
      <c r="AW796" s="1">
        <f t="shared" si="109"/>
        <v>0.19159027243691257</v>
      </c>
    </row>
    <row r="797" spans="1:49" x14ac:dyDescent="0.2">
      <c r="A797">
        <v>795</v>
      </c>
      <c r="B797" t="s">
        <v>2893</v>
      </c>
      <c r="C797" t="s">
        <v>2892</v>
      </c>
      <c r="F797" t="s">
        <v>2891</v>
      </c>
      <c r="G797" t="s">
        <v>12</v>
      </c>
      <c r="H797" t="s">
        <v>11</v>
      </c>
      <c r="I797" t="s">
        <v>2890</v>
      </c>
      <c r="J797">
        <v>60025555</v>
      </c>
      <c r="K797" t="s">
        <v>2889</v>
      </c>
      <c r="L797" t="s">
        <v>667</v>
      </c>
      <c r="M797" t="s">
        <v>151</v>
      </c>
      <c r="N797">
        <v>5</v>
      </c>
      <c r="O797" t="s">
        <v>2888</v>
      </c>
      <c r="P797" t="s">
        <v>2887</v>
      </c>
      <c r="Q797" t="s">
        <v>2886</v>
      </c>
      <c r="R797" s="7">
        <v>33604</v>
      </c>
      <c r="S797" s="8">
        <f t="shared" si="104"/>
        <v>1992</v>
      </c>
      <c r="T797" s="8">
        <v>1992</v>
      </c>
      <c r="U797" s="8">
        <f t="shared" si="105"/>
        <v>30</v>
      </c>
      <c r="V797" s="7">
        <v>33635</v>
      </c>
      <c r="W797" t="s">
        <v>2873</v>
      </c>
      <c r="X797" s="2">
        <v>1.365</v>
      </c>
      <c r="Y797" s="6">
        <f t="shared" si="102"/>
        <v>3.6437895411227675E-2</v>
      </c>
      <c r="AA797">
        <v>189545</v>
      </c>
      <c r="AB797">
        <v>17393</v>
      </c>
      <c r="AC797">
        <v>19399359</v>
      </c>
      <c r="AD797" t="s">
        <v>4</v>
      </c>
      <c r="AE797">
        <v>41</v>
      </c>
      <c r="AF797">
        <v>1</v>
      </c>
      <c r="AH797" t="s">
        <v>2245</v>
      </c>
      <c r="AI797" t="s">
        <v>2885</v>
      </c>
      <c r="AK797" t="s">
        <v>2884</v>
      </c>
      <c r="AL797">
        <v>76</v>
      </c>
      <c r="AM797" s="5">
        <f t="shared" si="106"/>
        <v>2.5333333333333332</v>
      </c>
      <c r="AN797" s="4">
        <f t="shared" si="103"/>
        <v>3.8369304556354913E-3</v>
      </c>
      <c r="AO797" s="3"/>
      <c r="AP797">
        <v>0</v>
      </c>
      <c r="AR797" t="s">
        <v>0</v>
      </c>
      <c r="AT797" s="2" t="s">
        <v>16</v>
      </c>
      <c r="AU797" s="1">
        <f t="shared" si="107"/>
        <v>2.6657605924550016</v>
      </c>
      <c r="AV797" s="1">
        <f t="shared" si="108"/>
        <v>2.0137412933431582</v>
      </c>
      <c r="AW797" s="1">
        <f t="shared" si="109"/>
        <v>1.3617219942313146</v>
      </c>
    </row>
    <row r="798" spans="1:49" x14ac:dyDescent="0.2">
      <c r="A798">
        <v>796</v>
      </c>
      <c r="B798" t="s">
        <v>2883</v>
      </c>
      <c r="C798" t="s">
        <v>2882</v>
      </c>
      <c r="F798" t="s">
        <v>2881</v>
      </c>
      <c r="G798" t="s">
        <v>12</v>
      </c>
      <c r="H798" t="s">
        <v>11</v>
      </c>
      <c r="I798" t="s">
        <v>2880</v>
      </c>
      <c r="J798" t="s">
        <v>2874</v>
      </c>
      <c r="K798" t="s">
        <v>2879</v>
      </c>
      <c r="L798" t="s">
        <v>2878</v>
      </c>
      <c r="M798" t="s">
        <v>2877</v>
      </c>
      <c r="N798">
        <v>2</v>
      </c>
      <c r="O798" t="s">
        <v>2876</v>
      </c>
      <c r="P798" t="s">
        <v>2875</v>
      </c>
      <c r="Q798" t="s">
        <v>2874</v>
      </c>
      <c r="R798" s="7">
        <v>33604</v>
      </c>
      <c r="S798" s="8">
        <f t="shared" si="104"/>
        <v>1992</v>
      </c>
      <c r="T798" s="8">
        <v>1992</v>
      </c>
      <c r="U798" s="8">
        <f t="shared" si="105"/>
        <v>30</v>
      </c>
      <c r="V798" s="7">
        <v>33635</v>
      </c>
      <c r="W798" t="s">
        <v>2873</v>
      </c>
      <c r="X798" s="2">
        <v>1.365</v>
      </c>
      <c r="Y798" s="6">
        <f t="shared" si="102"/>
        <v>3.6437895411227675E-2</v>
      </c>
      <c r="AA798">
        <v>189545</v>
      </c>
      <c r="AB798">
        <v>17393</v>
      </c>
      <c r="AC798">
        <v>19399359</v>
      </c>
      <c r="AD798" t="s">
        <v>4</v>
      </c>
      <c r="AE798">
        <v>41</v>
      </c>
      <c r="AF798">
        <v>1</v>
      </c>
      <c r="AH798" t="s">
        <v>792</v>
      </c>
      <c r="AI798" t="s">
        <v>2872</v>
      </c>
      <c r="AK798" t="s">
        <v>2871</v>
      </c>
      <c r="AL798">
        <v>237</v>
      </c>
      <c r="AM798" s="5">
        <f t="shared" si="106"/>
        <v>7.9</v>
      </c>
      <c r="AN798" s="4">
        <f t="shared" si="103"/>
        <v>1.1965164710336994E-2</v>
      </c>
      <c r="AO798" s="3"/>
      <c r="AP798">
        <v>0</v>
      </c>
      <c r="AQ798" t="s">
        <v>2870</v>
      </c>
      <c r="AR798" t="s">
        <v>0</v>
      </c>
      <c r="AS798" t="s">
        <v>2869</v>
      </c>
      <c r="AT798" s="2" t="s">
        <v>16</v>
      </c>
      <c r="AU798" s="1">
        <f t="shared" si="107"/>
        <v>2.9096076200960468</v>
      </c>
      <c r="AV798" s="1">
        <f t="shared" si="108"/>
        <v>2.4201530060782335</v>
      </c>
      <c r="AW798" s="1">
        <f t="shared" si="109"/>
        <v>1.9306983920604197</v>
      </c>
    </row>
    <row r="799" spans="1:49" x14ac:dyDescent="0.2">
      <c r="A799">
        <v>797</v>
      </c>
      <c r="B799" t="s">
        <v>2868</v>
      </c>
      <c r="C799" t="s">
        <v>2867</v>
      </c>
      <c r="F799" t="s">
        <v>2866</v>
      </c>
      <c r="G799" t="s">
        <v>12</v>
      </c>
      <c r="H799" t="s">
        <v>11</v>
      </c>
      <c r="I799" t="s">
        <v>2865</v>
      </c>
      <c r="J799" t="s">
        <v>2864</v>
      </c>
      <c r="K799" t="s">
        <v>2863</v>
      </c>
      <c r="L799" t="s">
        <v>2862</v>
      </c>
      <c r="M799" t="s">
        <v>2861</v>
      </c>
      <c r="N799">
        <v>3</v>
      </c>
      <c r="O799" t="s">
        <v>2860</v>
      </c>
      <c r="P799" t="s">
        <v>2859</v>
      </c>
      <c r="Q799" t="s">
        <v>2858</v>
      </c>
      <c r="R799" s="7">
        <v>33604</v>
      </c>
      <c r="S799" s="8">
        <f t="shared" si="104"/>
        <v>1992</v>
      </c>
      <c r="T799" s="8">
        <v>1992</v>
      </c>
      <c r="U799" s="8">
        <f t="shared" si="105"/>
        <v>30</v>
      </c>
      <c r="V799" s="7">
        <v>33635</v>
      </c>
      <c r="W799" t="s">
        <v>599</v>
      </c>
      <c r="X799" s="2">
        <v>0.375</v>
      </c>
      <c r="Y799" s="6">
        <f t="shared" si="102"/>
        <v>1.0010410827260351E-2</v>
      </c>
      <c r="AA799">
        <v>135194</v>
      </c>
      <c r="AB799">
        <v>24918</v>
      </c>
      <c r="AD799" t="s">
        <v>4</v>
      </c>
      <c r="AE799">
        <v>28</v>
      </c>
      <c r="AF799">
        <v>4</v>
      </c>
      <c r="AH799" t="s">
        <v>2857</v>
      </c>
      <c r="AI799" t="s">
        <v>2856</v>
      </c>
      <c r="AJ799" t="s">
        <v>2855</v>
      </c>
      <c r="AK799" t="s">
        <v>2854</v>
      </c>
      <c r="AL799">
        <v>6</v>
      </c>
      <c r="AM799" s="5">
        <f t="shared" si="106"/>
        <v>0.2</v>
      </c>
      <c r="AN799" s="4">
        <f t="shared" si="103"/>
        <v>3.0291556228701253E-4</v>
      </c>
      <c r="AO799" s="3"/>
      <c r="AP799">
        <v>0</v>
      </c>
      <c r="AR799" t="s">
        <v>0</v>
      </c>
      <c r="AT799" s="2">
        <v>1.3140000000000001</v>
      </c>
      <c r="AU799" s="1">
        <f t="shared" si="107"/>
        <v>0.70981622477683493</v>
      </c>
      <c r="AV799" s="1">
        <f t="shared" si="108"/>
        <v>0.51566631947736818</v>
      </c>
      <c r="AW799" s="1">
        <f t="shared" si="109"/>
        <v>0.32151641417790139</v>
      </c>
    </row>
    <row r="800" spans="1:49" x14ac:dyDescent="0.2">
      <c r="A800">
        <v>798</v>
      </c>
      <c r="B800" t="s">
        <v>2853</v>
      </c>
      <c r="C800" t="s">
        <v>2852</v>
      </c>
      <c r="D800" t="s">
        <v>2851</v>
      </c>
      <c r="F800" t="s">
        <v>2850</v>
      </c>
      <c r="G800" t="s">
        <v>12</v>
      </c>
      <c r="H800" t="s">
        <v>11</v>
      </c>
      <c r="I800" t="s">
        <v>2849</v>
      </c>
      <c r="J800">
        <v>60007776</v>
      </c>
      <c r="K800" t="s">
        <v>2848</v>
      </c>
      <c r="L800" t="s">
        <v>2847</v>
      </c>
      <c r="M800" t="s">
        <v>7</v>
      </c>
      <c r="N800">
        <v>3</v>
      </c>
      <c r="O800" t="s">
        <v>2846</v>
      </c>
      <c r="P800" t="s">
        <v>2845</v>
      </c>
      <c r="Q800" t="s">
        <v>2844</v>
      </c>
      <c r="R800" s="7">
        <v>33604</v>
      </c>
      <c r="S800" s="8">
        <f t="shared" si="104"/>
        <v>1992</v>
      </c>
      <c r="T800" s="8">
        <v>1992</v>
      </c>
      <c r="U800" s="8">
        <f t="shared" si="105"/>
        <v>30</v>
      </c>
      <c r="V800" s="7">
        <v>33635</v>
      </c>
      <c r="W800" t="s">
        <v>2603</v>
      </c>
      <c r="X800" s="2">
        <v>0.65200000000000002</v>
      </c>
      <c r="Y800" s="6">
        <f t="shared" si="102"/>
        <v>1.7404767624996664E-2</v>
      </c>
      <c r="AA800">
        <v>222313</v>
      </c>
      <c r="AB800">
        <v>12179</v>
      </c>
      <c r="AD800" t="s">
        <v>4</v>
      </c>
      <c r="AE800">
        <v>51</v>
      </c>
      <c r="AF800" s="9">
        <v>44256</v>
      </c>
      <c r="AH800" t="s">
        <v>2843</v>
      </c>
      <c r="AI800" t="s">
        <v>2842</v>
      </c>
      <c r="AK800" t="s">
        <v>2841</v>
      </c>
      <c r="AL800">
        <v>22</v>
      </c>
      <c r="AM800" s="5">
        <f t="shared" si="106"/>
        <v>0.73333333333333328</v>
      </c>
      <c r="AN800" s="4">
        <f t="shared" si="103"/>
        <v>1.1106903950523792E-3</v>
      </c>
      <c r="AO800" s="3"/>
      <c r="AP800">
        <v>0</v>
      </c>
      <c r="AQ800" t="s">
        <v>2118</v>
      </c>
      <c r="AR800" t="s">
        <v>2840</v>
      </c>
      <c r="AS800" t="s">
        <v>2117</v>
      </c>
      <c r="AT800" s="2">
        <v>3.5990000000000002</v>
      </c>
      <c r="AU800" s="1">
        <f t="shared" si="107"/>
        <v>1.2516544456013377</v>
      </c>
      <c r="AV800" s="1">
        <f t="shared" si="108"/>
        <v>0.92577290100245224</v>
      </c>
      <c r="AW800" s="1">
        <f t="shared" si="109"/>
        <v>0.59989135640356639</v>
      </c>
    </row>
    <row r="801" spans="1:49" x14ac:dyDescent="0.2">
      <c r="A801">
        <v>799</v>
      </c>
      <c r="B801" t="s">
        <v>2839</v>
      </c>
      <c r="C801" t="s">
        <v>2838</v>
      </c>
      <c r="F801" t="s">
        <v>2837</v>
      </c>
      <c r="G801" t="s">
        <v>12</v>
      </c>
      <c r="H801" t="s">
        <v>11</v>
      </c>
      <c r="I801" t="s">
        <v>2836</v>
      </c>
      <c r="J801">
        <v>60015272</v>
      </c>
      <c r="K801" t="s">
        <v>2835</v>
      </c>
      <c r="L801" t="s">
        <v>1934</v>
      </c>
      <c r="M801" t="s">
        <v>7</v>
      </c>
      <c r="N801">
        <v>2</v>
      </c>
      <c r="O801" t="s">
        <v>2834</v>
      </c>
      <c r="P801" t="s">
        <v>2833</v>
      </c>
      <c r="Q801" t="s">
        <v>2832</v>
      </c>
      <c r="R801" s="7">
        <v>33604</v>
      </c>
      <c r="S801" s="8">
        <f t="shared" si="104"/>
        <v>1992</v>
      </c>
      <c r="T801" s="8">
        <v>1992</v>
      </c>
      <c r="U801" s="8">
        <f t="shared" si="105"/>
        <v>30</v>
      </c>
      <c r="V801" s="7">
        <v>33635</v>
      </c>
      <c r="W801" t="s">
        <v>97</v>
      </c>
      <c r="X801" s="2">
        <v>1.6519999999999999</v>
      </c>
      <c r="Y801" s="6">
        <f t="shared" si="102"/>
        <v>4.409919649769093E-2</v>
      </c>
      <c r="AA801" t="s">
        <v>96</v>
      </c>
      <c r="AB801">
        <v>17337</v>
      </c>
      <c r="AC801">
        <v>15582221</v>
      </c>
      <c r="AD801" t="s">
        <v>4</v>
      </c>
      <c r="AE801">
        <v>40</v>
      </c>
      <c r="AF801">
        <v>2</v>
      </c>
      <c r="AH801" t="s">
        <v>2831</v>
      </c>
      <c r="AI801" t="s">
        <v>2830</v>
      </c>
      <c r="AK801" t="s">
        <v>2829</v>
      </c>
      <c r="AL801">
        <v>8</v>
      </c>
      <c r="AM801" s="5">
        <f t="shared" si="106"/>
        <v>0.26666666666666666</v>
      </c>
      <c r="AN801" s="4">
        <f t="shared" si="103"/>
        <v>4.0388741638268334E-4</v>
      </c>
      <c r="AO801" s="3"/>
      <c r="AP801">
        <v>0</v>
      </c>
      <c r="AR801" t="s">
        <v>0</v>
      </c>
      <c r="AT801" s="2" t="s">
        <v>16</v>
      </c>
      <c r="AU801" s="1">
        <f t="shared" si="107"/>
        <v>3.0990603773298453</v>
      </c>
      <c r="AV801" s="1">
        <f t="shared" si="108"/>
        <v>2.2251541957036807</v>
      </c>
      <c r="AW801" s="1">
        <f t="shared" si="109"/>
        <v>1.3512480140775156</v>
      </c>
    </row>
    <row r="802" spans="1:49" x14ac:dyDescent="0.2">
      <c r="A802">
        <v>800</v>
      </c>
      <c r="B802" t="s">
        <v>2828</v>
      </c>
      <c r="C802" t="s">
        <v>2827</v>
      </c>
      <c r="F802" t="s">
        <v>2826</v>
      </c>
      <c r="G802" t="s">
        <v>12</v>
      </c>
      <c r="H802" t="s">
        <v>11</v>
      </c>
      <c r="I802" t="s">
        <v>669</v>
      </c>
      <c r="J802">
        <v>115667939</v>
      </c>
      <c r="K802" t="s">
        <v>2825</v>
      </c>
      <c r="M802" t="s">
        <v>7</v>
      </c>
      <c r="N802">
        <v>3</v>
      </c>
      <c r="O802" t="s">
        <v>2824</v>
      </c>
      <c r="P802" t="s">
        <v>2823</v>
      </c>
      <c r="Q802" t="s">
        <v>2822</v>
      </c>
      <c r="R802" s="7">
        <v>33604</v>
      </c>
      <c r="S802" s="8">
        <f t="shared" si="104"/>
        <v>1992</v>
      </c>
      <c r="T802" s="8">
        <v>1992</v>
      </c>
      <c r="U802" s="8">
        <f t="shared" si="105"/>
        <v>30</v>
      </c>
      <c r="V802" s="7">
        <v>33635</v>
      </c>
      <c r="W802" t="s">
        <v>97</v>
      </c>
      <c r="X802" s="2">
        <v>1.6519999999999999</v>
      </c>
      <c r="Y802" s="6">
        <f t="shared" si="102"/>
        <v>4.409919649769093E-2</v>
      </c>
      <c r="AA802" t="s">
        <v>96</v>
      </c>
      <c r="AB802">
        <v>17337</v>
      </c>
      <c r="AC802">
        <v>15582221</v>
      </c>
      <c r="AD802" t="s">
        <v>4</v>
      </c>
      <c r="AE802">
        <v>40</v>
      </c>
      <c r="AF802">
        <v>2</v>
      </c>
      <c r="AH802" t="s">
        <v>2821</v>
      </c>
      <c r="AI802" t="s">
        <v>2820</v>
      </c>
      <c r="AK802" t="s">
        <v>2819</v>
      </c>
      <c r="AL802">
        <v>19</v>
      </c>
      <c r="AM802" s="5">
        <f t="shared" si="106"/>
        <v>0.6333333333333333</v>
      </c>
      <c r="AN802" s="4">
        <f t="shared" si="103"/>
        <v>9.5923261390887281E-4</v>
      </c>
      <c r="AO802" s="3"/>
      <c r="AP802">
        <v>0</v>
      </c>
      <c r="AR802" t="s">
        <v>0</v>
      </c>
      <c r="AT802" s="2" t="s">
        <v>16</v>
      </c>
      <c r="AU802" s="1">
        <f t="shared" si="107"/>
        <v>3.1157207332556314</v>
      </c>
      <c r="AV802" s="1">
        <f t="shared" si="108"/>
        <v>2.2529214555799904</v>
      </c>
      <c r="AW802" s="1">
        <f t="shared" si="109"/>
        <v>1.3901221779043489</v>
      </c>
    </row>
    <row r="803" spans="1:49" x14ac:dyDescent="0.2">
      <c r="A803">
        <v>801</v>
      </c>
      <c r="B803" t="s">
        <v>2818</v>
      </c>
      <c r="C803" t="s">
        <v>2817</v>
      </c>
      <c r="F803" t="s">
        <v>2816</v>
      </c>
      <c r="G803" t="s">
        <v>12</v>
      </c>
      <c r="H803" t="s">
        <v>11</v>
      </c>
      <c r="I803" t="s">
        <v>2815</v>
      </c>
      <c r="J803">
        <v>60031828</v>
      </c>
      <c r="K803" t="s">
        <v>2814</v>
      </c>
      <c r="L803" t="s">
        <v>2813</v>
      </c>
      <c r="M803" t="s">
        <v>393</v>
      </c>
      <c r="N803">
        <v>4</v>
      </c>
      <c r="O803" t="s">
        <v>2812</v>
      </c>
      <c r="P803" t="s">
        <v>2811</v>
      </c>
      <c r="Q803" t="s">
        <v>2810</v>
      </c>
      <c r="R803" s="7">
        <v>33604</v>
      </c>
      <c r="S803" s="8">
        <f t="shared" si="104"/>
        <v>1992</v>
      </c>
      <c r="T803" s="8">
        <v>1992</v>
      </c>
      <c r="U803" s="8">
        <f t="shared" si="105"/>
        <v>30</v>
      </c>
      <c r="V803" s="7" t="s">
        <v>2590</v>
      </c>
      <c r="W803" s="11" t="s">
        <v>2809</v>
      </c>
      <c r="X803" s="2">
        <v>2.383</v>
      </c>
      <c r="Y803" s="6">
        <f t="shared" si="102"/>
        <v>6.3612824003630442E-2</v>
      </c>
      <c r="AA803" t="s">
        <v>2808</v>
      </c>
      <c r="AB803">
        <v>96433</v>
      </c>
      <c r="AD803" t="s">
        <v>4</v>
      </c>
      <c r="AE803">
        <v>139</v>
      </c>
      <c r="AF803">
        <v>1</v>
      </c>
      <c r="AH803" s="10">
        <v>46023</v>
      </c>
      <c r="AI803" t="s">
        <v>2807</v>
      </c>
      <c r="AK803" t="s">
        <v>2806</v>
      </c>
      <c r="AL803">
        <v>74</v>
      </c>
      <c r="AM803" s="5">
        <f t="shared" si="106"/>
        <v>2.4666666666666668</v>
      </c>
      <c r="AN803" s="4">
        <f t="shared" si="103"/>
        <v>3.7359586015398212E-3</v>
      </c>
      <c r="AO803" s="3"/>
      <c r="AP803">
        <v>0</v>
      </c>
      <c r="AR803" t="s">
        <v>0</v>
      </c>
      <c r="AT803" s="2" t="s">
        <v>16</v>
      </c>
      <c r="AU803" s="1">
        <f t="shared" si="107"/>
        <v>4.5649764383003255</v>
      </c>
      <c r="AV803" s="1">
        <f t="shared" si="108"/>
        <v>3.3674391302585129</v>
      </c>
      <c r="AW803" s="1">
        <f t="shared" si="109"/>
        <v>2.1699018222167008</v>
      </c>
    </row>
    <row r="804" spans="1:49" x14ac:dyDescent="0.2">
      <c r="A804">
        <v>802</v>
      </c>
      <c r="B804" t="s">
        <v>2805</v>
      </c>
      <c r="C804" t="s">
        <v>2804</v>
      </c>
      <c r="F804" t="s">
        <v>2803</v>
      </c>
      <c r="G804" t="s">
        <v>12</v>
      </c>
      <c r="H804" t="s">
        <v>11</v>
      </c>
      <c r="I804" t="s">
        <v>2026</v>
      </c>
      <c r="J804">
        <v>60025778</v>
      </c>
      <c r="K804" t="s">
        <v>25</v>
      </c>
      <c r="L804" t="s">
        <v>24</v>
      </c>
      <c r="M804" t="s">
        <v>7</v>
      </c>
      <c r="N804">
        <v>5</v>
      </c>
      <c r="O804" t="s">
        <v>2802</v>
      </c>
      <c r="P804" t="s">
        <v>2801</v>
      </c>
      <c r="Q804" t="s">
        <v>2800</v>
      </c>
      <c r="R804" s="7">
        <v>33604</v>
      </c>
      <c r="S804" s="8">
        <f t="shared" si="104"/>
        <v>1992</v>
      </c>
      <c r="T804" s="8">
        <v>1992</v>
      </c>
      <c r="U804" s="8">
        <f t="shared" si="105"/>
        <v>30</v>
      </c>
      <c r="V804" s="7">
        <v>33635</v>
      </c>
      <c r="W804" t="s">
        <v>2799</v>
      </c>
      <c r="X804" s="2">
        <v>0.88100000000000001</v>
      </c>
      <c r="Y804" s="6">
        <f t="shared" si="102"/>
        <v>2.3517791836843653E-2</v>
      </c>
      <c r="AA804">
        <v>10459243</v>
      </c>
      <c r="AB804">
        <v>17248</v>
      </c>
      <c r="AD804" t="s">
        <v>4</v>
      </c>
      <c r="AE804">
        <v>34</v>
      </c>
      <c r="AF804">
        <v>1</v>
      </c>
      <c r="AH804" s="10">
        <v>42552</v>
      </c>
      <c r="AL804">
        <v>40</v>
      </c>
      <c r="AM804" s="5">
        <f t="shared" si="106"/>
        <v>1.3333333333333333</v>
      </c>
      <c r="AN804" s="4">
        <f t="shared" si="103"/>
        <v>2.0194370819134164E-3</v>
      </c>
      <c r="AO804" s="3"/>
      <c r="AP804">
        <v>0</v>
      </c>
      <c r="AR804" t="s">
        <v>0</v>
      </c>
      <c r="AT804" s="2" t="s">
        <v>16</v>
      </c>
      <c r="AU804" s="1">
        <f t="shared" si="107"/>
        <v>1.7068285410364581</v>
      </c>
      <c r="AV804" s="1">
        <f t="shared" si="108"/>
        <v>1.2768614459378536</v>
      </c>
      <c r="AW804" s="1">
        <f t="shared" si="109"/>
        <v>0.8468943508392488</v>
      </c>
    </row>
    <row r="805" spans="1:49" x14ac:dyDescent="0.2">
      <c r="A805">
        <v>803</v>
      </c>
      <c r="B805" t="s">
        <v>2798</v>
      </c>
      <c r="C805" t="s">
        <v>2797</v>
      </c>
      <c r="F805" t="s">
        <v>2796</v>
      </c>
      <c r="G805" t="s">
        <v>12</v>
      </c>
      <c r="H805" t="s">
        <v>11</v>
      </c>
      <c r="I805" t="s">
        <v>2795</v>
      </c>
      <c r="J805" t="s">
        <v>2794</v>
      </c>
      <c r="K805" t="s">
        <v>2793</v>
      </c>
      <c r="L805" t="s">
        <v>2792</v>
      </c>
      <c r="M805" t="s">
        <v>2791</v>
      </c>
      <c r="N805">
        <v>3</v>
      </c>
      <c r="O805" t="s">
        <v>2790</v>
      </c>
      <c r="P805" t="s">
        <v>2789</v>
      </c>
      <c r="Q805" t="s">
        <v>2788</v>
      </c>
      <c r="R805" s="7">
        <v>33604</v>
      </c>
      <c r="S805" s="8">
        <f t="shared" si="104"/>
        <v>1992</v>
      </c>
      <c r="T805" s="8">
        <v>1992</v>
      </c>
      <c r="U805" s="8">
        <f t="shared" si="105"/>
        <v>30</v>
      </c>
      <c r="V805" s="7">
        <v>33635</v>
      </c>
      <c r="W805" t="s">
        <v>136</v>
      </c>
      <c r="X805" s="2">
        <v>1.3720000000000001</v>
      </c>
      <c r="Y805" s="6">
        <f t="shared" si="102"/>
        <v>3.662475641333654E-2</v>
      </c>
      <c r="AA805">
        <v>189480</v>
      </c>
      <c r="AB805">
        <v>17366</v>
      </c>
      <c r="AC805">
        <v>15579670</v>
      </c>
      <c r="AD805" t="s">
        <v>4</v>
      </c>
      <c r="AE805">
        <v>40</v>
      </c>
      <c r="AF805">
        <v>2</v>
      </c>
      <c r="AH805" t="s">
        <v>2787</v>
      </c>
      <c r="AI805" t="s">
        <v>2786</v>
      </c>
      <c r="AK805" t="s">
        <v>2785</v>
      </c>
      <c r="AL805">
        <v>31</v>
      </c>
      <c r="AM805" s="5">
        <f t="shared" si="106"/>
        <v>1.0333333333333334</v>
      </c>
      <c r="AN805" s="4">
        <f t="shared" si="103"/>
        <v>1.5650637384828981E-3</v>
      </c>
      <c r="AO805" s="3"/>
      <c r="AP805">
        <v>0</v>
      </c>
      <c r="AQ805" t="s">
        <v>2784</v>
      </c>
      <c r="AR805" t="s">
        <v>0</v>
      </c>
      <c r="AS805" t="s">
        <v>2783</v>
      </c>
      <c r="AT805" s="2" t="s">
        <v>16</v>
      </c>
      <c r="AU805" s="1">
        <f t="shared" si="107"/>
        <v>2.6106848610880444</v>
      </c>
      <c r="AV805" s="1">
        <f t="shared" si="108"/>
        <v>1.9094910075909719</v>
      </c>
      <c r="AW805" s="1">
        <f t="shared" si="109"/>
        <v>1.2082971540938992</v>
      </c>
    </row>
    <row r="806" spans="1:49" x14ac:dyDescent="0.2">
      <c r="A806">
        <v>804</v>
      </c>
      <c r="B806" t="s">
        <v>2782</v>
      </c>
      <c r="C806" t="s">
        <v>2781</v>
      </c>
      <c r="F806" t="s">
        <v>2780</v>
      </c>
      <c r="G806" t="s">
        <v>12</v>
      </c>
      <c r="H806" t="s">
        <v>11</v>
      </c>
      <c r="I806" t="s">
        <v>2779</v>
      </c>
      <c r="J806">
        <v>60030813</v>
      </c>
      <c r="K806" t="s">
        <v>2778</v>
      </c>
      <c r="L806" t="s">
        <v>2512</v>
      </c>
      <c r="M806" t="s">
        <v>393</v>
      </c>
      <c r="N806">
        <v>1</v>
      </c>
      <c r="O806" t="s">
        <v>2777</v>
      </c>
      <c r="P806">
        <v>55495914500</v>
      </c>
      <c r="Q806">
        <v>60030813</v>
      </c>
      <c r="R806" s="7">
        <v>33604</v>
      </c>
      <c r="S806" s="8">
        <f t="shared" si="104"/>
        <v>1992</v>
      </c>
      <c r="T806" s="8">
        <v>1992</v>
      </c>
      <c r="U806" s="8">
        <f t="shared" si="105"/>
        <v>30</v>
      </c>
      <c r="V806" s="7">
        <v>33635</v>
      </c>
      <c r="W806" t="s">
        <v>599</v>
      </c>
      <c r="X806" s="2">
        <v>0.375</v>
      </c>
      <c r="Y806" s="6">
        <f t="shared" si="102"/>
        <v>1.0010410827260351E-2</v>
      </c>
      <c r="AA806">
        <v>135194</v>
      </c>
      <c r="AB806">
        <v>24918</v>
      </c>
      <c r="AD806" t="s">
        <v>4</v>
      </c>
      <c r="AE806">
        <v>28</v>
      </c>
      <c r="AF806">
        <v>4</v>
      </c>
      <c r="AH806" t="s">
        <v>2776</v>
      </c>
      <c r="AI806" t="s">
        <v>2775</v>
      </c>
      <c r="AJ806" t="s">
        <v>596</v>
      </c>
      <c r="AK806" t="s">
        <v>2774</v>
      </c>
      <c r="AL806">
        <v>3</v>
      </c>
      <c r="AM806" s="5">
        <f t="shared" si="106"/>
        <v>0.1</v>
      </c>
      <c r="AN806" s="4">
        <f t="shared" si="103"/>
        <v>1.5145778114350627E-4</v>
      </c>
      <c r="AO806" s="3"/>
      <c r="AP806">
        <v>0</v>
      </c>
      <c r="AR806" t="s">
        <v>0</v>
      </c>
      <c r="AT806" s="2">
        <v>1.3140000000000001</v>
      </c>
      <c r="AU806" s="1">
        <f t="shared" si="107"/>
        <v>0.70527249134252978</v>
      </c>
      <c r="AV806" s="1">
        <f t="shared" si="108"/>
        <v>0.50809343042019284</v>
      </c>
      <c r="AW806" s="1">
        <f t="shared" si="109"/>
        <v>0.31091436949785595</v>
      </c>
    </row>
    <row r="807" spans="1:49" x14ac:dyDescent="0.2">
      <c r="A807">
        <v>805</v>
      </c>
      <c r="B807" t="s">
        <v>2773</v>
      </c>
      <c r="C807" t="s">
        <v>2772</v>
      </c>
      <c r="F807" t="s">
        <v>2771</v>
      </c>
      <c r="G807" t="s">
        <v>12</v>
      </c>
      <c r="H807" t="s">
        <v>11</v>
      </c>
      <c r="I807" t="s">
        <v>2770</v>
      </c>
      <c r="J807">
        <v>60032882</v>
      </c>
      <c r="K807" t="s">
        <v>2769</v>
      </c>
      <c r="L807" t="s">
        <v>2768</v>
      </c>
      <c r="M807" t="s">
        <v>273</v>
      </c>
      <c r="N807">
        <v>2</v>
      </c>
      <c r="O807" t="s">
        <v>2767</v>
      </c>
      <c r="P807" t="s">
        <v>2766</v>
      </c>
      <c r="Q807" t="s">
        <v>2765</v>
      </c>
      <c r="R807" s="7">
        <v>33604</v>
      </c>
      <c r="S807" s="8">
        <f t="shared" si="104"/>
        <v>1992</v>
      </c>
      <c r="T807" s="8">
        <v>1992</v>
      </c>
      <c r="U807" s="8">
        <f t="shared" si="105"/>
        <v>30</v>
      </c>
      <c r="V807" s="7">
        <v>33635</v>
      </c>
      <c r="W807" t="s">
        <v>1458</v>
      </c>
      <c r="X807" s="2">
        <v>0.30399999999999999</v>
      </c>
      <c r="Y807" s="6">
        <f t="shared" si="102"/>
        <v>8.115106377299057E-3</v>
      </c>
      <c r="AA807">
        <v>8952477</v>
      </c>
      <c r="AB807">
        <v>12250</v>
      </c>
      <c r="AC807">
        <v>10982760</v>
      </c>
      <c r="AD807" t="s">
        <v>4</v>
      </c>
      <c r="AE807">
        <v>5</v>
      </c>
      <c r="AF807">
        <v>2</v>
      </c>
      <c r="AH807" t="s">
        <v>2764</v>
      </c>
      <c r="AI807" t="s">
        <v>2763</v>
      </c>
      <c r="AJ807" t="s">
        <v>2762</v>
      </c>
      <c r="AK807" t="s">
        <v>2761</v>
      </c>
      <c r="AL807">
        <v>27</v>
      </c>
      <c r="AM807" s="5">
        <f t="shared" si="106"/>
        <v>0.9</v>
      </c>
      <c r="AN807" s="4">
        <f t="shared" si="103"/>
        <v>1.3631200302915562E-3</v>
      </c>
      <c r="AO807" s="3"/>
      <c r="AP807">
        <v>0</v>
      </c>
      <c r="AR807" t="s">
        <v>0</v>
      </c>
      <c r="AT807" s="2" t="s">
        <v>16</v>
      </c>
      <c r="AU807" s="1">
        <f t="shared" si="107"/>
        <v>0.60895104731968053</v>
      </c>
      <c r="AV807" s="1">
        <f t="shared" si="108"/>
        <v>0.47391132037953065</v>
      </c>
      <c r="AW807" s="1">
        <f t="shared" si="109"/>
        <v>0.33887159343938061</v>
      </c>
    </row>
    <row r="808" spans="1:49" x14ac:dyDescent="0.2">
      <c r="A808">
        <v>806</v>
      </c>
      <c r="B808" t="s">
        <v>2760</v>
      </c>
      <c r="C808" t="s">
        <v>2759</v>
      </c>
      <c r="F808" t="s">
        <v>2758</v>
      </c>
      <c r="G808" t="s">
        <v>12</v>
      </c>
      <c r="H808" t="s">
        <v>11</v>
      </c>
      <c r="I808" t="s">
        <v>2757</v>
      </c>
      <c r="J808">
        <v>60091252</v>
      </c>
      <c r="K808" t="s">
        <v>2756</v>
      </c>
      <c r="L808" t="s">
        <v>2755</v>
      </c>
      <c r="M808" t="s">
        <v>7</v>
      </c>
      <c r="N808">
        <v>1</v>
      </c>
      <c r="O808" t="s">
        <v>2754</v>
      </c>
      <c r="P808">
        <v>7003457797</v>
      </c>
      <c r="Q808">
        <v>60091252</v>
      </c>
      <c r="R808" s="7">
        <v>33604</v>
      </c>
      <c r="S808" s="8">
        <f t="shared" si="104"/>
        <v>1992</v>
      </c>
      <c r="T808" s="8">
        <v>1992</v>
      </c>
      <c r="U808" s="8">
        <f t="shared" si="105"/>
        <v>30</v>
      </c>
      <c r="V808" s="7">
        <v>33635</v>
      </c>
      <c r="W808" t="s">
        <v>194</v>
      </c>
      <c r="X808" s="2">
        <v>2.383</v>
      </c>
      <c r="Y808" s="6">
        <f t="shared" si="102"/>
        <v>6.3612824003630442E-2</v>
      </c>
      <c r="AA808">
        <v>189219</v>
      </c>
      <c r="AB808">
        <v>17915</v>
      </c>
      <c r="AC808">
        <v>15582256</v>
      </c>
      <c r="AD808" t="s">
        <v>4</v>
      </c>
      <c r="AE808">
        <v>80</v>
      </c>
      <c r="AF808">
        <v>2</v>
      </c>
      <c r="AH808" t="s">
        <v>2753</v>
      </c>
      <c r="AI808" t="s">
        <v>2752</v>
      </c>
      <c r="AK808" t="s">
        <v>2751</v>
      </c>
      <c r="AL808">
        <v>3</v>
      </c>
      <c r="AM808" s="5">
        <f t="shared" si="106"/>
        <v>0.1</v>
      </c>
      <c r="AN808" s="4">
        <f t="shared" si="103"/>
        <v>1.5145778114350627E-4</v>
      </c>
      <c r="AO808" s="3"/>
      <c r="AP808">
        <v>0</v>
      </c>
      <c r="AR808" t="s">
        <v>0</v>
      </c>
      <c r="AT808" s="2">
        <v>10.961</v>
      </c>
      <c r="AU808" s="1">
        <f t="shared" si="107"/>
        <v>4.4574414136884357</v>
      </c>
      <c r="AV808" s="1">
        <f t="shared" si="108"/>
        <v>3.1882140892386972</v>
      </c>
      <c r="AW808" s="1">
        <f t="shared" si="109"/>
        <v>1.9189867647889589</v>
      </c>
    </row>
    <row r="809" spans="1:49" x14ac:dyDescent="0.2">
      <c r="A809">
        <v>807</v>
      </c>
      <c r="B809" t="s">
        <v>2750</v>
      </c>
      <c r="C809" t="s">
        <v>2749</v>
      </c>
      <c r="F809" t="s">
        <v>2748</v>
      </c>
      <c r="G809" t="s">
        <v>12</v>
      </c>
      <c r="H809" t="s">
        <v>11</v>
      </c>
      <c r="I809" t="s">
        <v>2747</v>
      </c>
      <c r="J809">
        <v>60022904</v>
      </c>
      <c r="K809" t="s">
        <v>2746</v>
      </c>
      <c r="L809" t="s">
        <v>2745</v>
      </c>
      <c r="M809" t="s">
        <v>7</v>
      </c>
      <c r="N809">
        <v>1</v>
      </c>
      <c r="O809" t="s">
        <v>2744</v>
      </c>
      <c r="P809">
        <v>6603428063</v>
      </c>
      <c r="Q809">
        <v>60022904</v>
      </c>
      <c r="R809" s="7">
        <v>33604</v>
      </c>
      <c r="S809" s="8">
        <f t="shared" si="104"/>
        <v>1992</v>
      </c>
      <c r="T809" s="8">
        <v>1992</v>
      </c>
      <c r="U809" s="8">
        <f t="shared" si="105"/>
        <v>30</v>
      </c>
      <c r="V809" s="7">
        <v>33635</v>
      </c>
      <c r="W809" t="s">
        <v>2743</v>
      </c>
      <c r="X809" s="2">
        <v>1.6379999999999999</v>
      </c>
      <c r="Y809" s="6">
        <f t="shared" si="102"/>
        <v>4.3725474493473214E-2</v>
      </c>
      <c r="AA809" t="s">
        <v>2742</v>
      </c>
      <c r="AB809">
        <v>17391</v>
      </c>
      <c r="AC809">
        <v>19410476</v>
      </c>
      <c r="AD809" t="s">
        <v>4</v>
      </c>
      <c r="AE809">
        <v>40</v>
      </c>
      <c r="AF809">
        <v>2</v>
      </c>
      <c r="AH809" t="s">
        <v>2741</v>
      </c>
      <c r="AI809" t="s">
        <v>2740</v>
      </c>
      <c r="AK809" t="s">
        <v>2739</v>
      </c>
      <c r="AL809">
        <v>4</v>
      </c>
      <c r="AM809" s="5">
        <f t="shared" si="106"/>
        <v>0.13333333333333333</v>
      </c>
      <c r="AN809" s="4">
        <f t="shared" si="103"/>
        <v>2.0194370819134167E-4</v>
      </c>
      <c r="AO809" s="3"/>
      <c r="AP809">
        <v>0</v>
      </c>
      <c r="AR809" t="s">
        <v>0</v>
      </c>
      <c r="AT809" s="2">
        <v>4.931</v>
      </c>
      <c r="AU809" s="1">
        <f t="shared" si="107"/>
        <v>3.066841525788865</v>
      </c>
      <c r="AV809" s="1">
        <f t="shared" si="108"/>
        <v>2.1963709100832278</v>
      </c>
      <c r="AW809" s="1">
        <f t="shared" si="109"/>
        <v>1.3259002943775904</v>
      </c>
    </row>
    <row r="810" spans="1:49" x14ac:dyDescent="0.2">
      <c r="A810">
        <v>808</v>
      </c>
      <c r="B810" t="s">
        <v>2738</v>
      </c>
      <c r="C810" t="s">
        <v>2737</v>
      </c>
      <c r="F810" t="s">
        <v>2736</v>
      </c>
      <c r="G810" t="s">
        <v>12</v>
      </c>
      <c r="H810" t="s">
        <v>11</v>
      </c>
      <c r="I810" t="s">
        <v>2735</v>
      </c>
      <c r="J810">
        <v>60022109</v>
      </c>
      <c r="K810" t="s">
        <v>2734</v>
      </c>
      <c r="L810" t="s">
        <v>2733</v>
      </c>
      <c r="M810" t="s">
        <v>856</v>
      </c>
      <c r="N810">
        <v>1</v>
      </c>
      <c r="O810" t="s">
        <v>2732</v>
      </c>
      <c r="P810">
        <v>7006827241</v>
      </c>
      <c r="Q810">
        <v>60022109</v>
      </c>
      <c r="R810" s="7">
        <v>33604</v>
      </c>
      <c r="S810" s="8">
        <f t="shared" si="104"/>
        <v>1992</v>
      </c>
      <c r="T810" s="8">
        <v>1992</v>
      </c>
      <c r="U810" s="8">
        <f t="shared" si="105"/>
        <v>30</v>
      </c>
      <c r="V810" s="7">
        <v>33635</v>
      </c>
      <c r="W810" t="s">
        <v>2731</v>
      </c>
      <c r="X810" s="2">
        <v>0.312</v>
      </c>
      <c r="Y810" s="6">
        <f t="shared" si="102"/>
        <v>8.3286618082806119E-3</v>
      </c>
      <c r="AA810">
        <v>9540695</v>
      </c>
      <c r="AB810">
        <v>61637</v>
      </c>
      <c r="AD810" t="s">
        <v>4</v>
      </c>
      <c r="AE810">
        <v>4</v>
      </c>
      <c r="AF810">
        <v>1</v>
      </c>
      <c r="AH810" s="9">
        <v>44473</v>
      </c>
      <c r="AI810" t="s">
        <v>2730</v>
      </c>
      <c r="AK810" t="s">
        <v>2729</v>
      </c>
      <c r="AL810">
        <v>13</v>
      </c>
      <c r="AM810" s="5">
        <f t="shared" si="106"/>
        <v>0.43333333333333335</v>
      </c>
      <c r="AN810" s="4">
        <f t="shared" si="103"/>
        <v>6.5631705162186044E-4</v>
      </c>
      <c r="AO810" s="3"/>
      <c r="AP810">
        <v>0</v>
      </c>
      <c r="AR810" t="s">
        <v>0</v>
      </c>
      <c r="AT810" s="2" t="s">
        <v>16</v>
      </c>
      <c r="AU810" s="1">
        <f t="shared" si="107"/>
        <v>0.60269583812829863</v>
      </c>
      <c r="AV810" s="1">
        <f t="shared" si="108"/>
        <v>0.44924894299512363</v>
      </c>
      <c r="AW810" s="1">
        <f t="shared" si="109"/>
        <v>0.29580204786194858</v>
      </c>
    </row>
    <row r="811" spans="1:49" x14ac:dyDescent="0.2">
      <c r="A811">
        <v>809</v>
      </c>
      <c r="B811" t="s">
        <v>2728</v>
      </c>
      <c r="C811" t="s">
        <v>2727</v>
      </c>
      <c r="F811" t="s">
        <v>2726</v>
      </c>
      <c r="G811" t="s">
        <v>12</v>
      </c>
      <c r="H811" t="s">
        <v>11</v>
      </c>
      <c r="I811" t="s">
        <v>2725</v>
      </c>
      <c r="J811" t="s">
        <v>2724</v>
      </c>
      <c r="K811" t="s">
        <v>2723</v>
      </c>
      <c r="L811" t="s">
        <v>2722</v>
      </c>
      <c r="M811" t="s">
        <v>2721</v>
      </c>
      <c r="N811">
        <v>3</v>
      </c>
      <c r="O811" t="s">
        <v>2720</v>
      </c>
      <c r="P811" t="s">
        <v>2719</v>
      </c>
      <c r="Q811" t="s">
        <v>2718</v>
      </c>
      <c r="R811" s="7">
        <v>33604</v>
      </c>
      <c r="S811" s="8">
        <f t="shared" si="104"/>
        <v>1992</v>
      </c>
      <c r="T811" s="8">
        <v>1992</v>
      </c>
      <c r="U811" s="8">
        <f t="shared" si="105"/>
        <v>30</v>
      </c>
      <c r="V811" s="7">
        <v>1992</v>
      </c>
      <c r="W811" t="s">
        <v>665</v>
      </c>
      <c r="X811" s="2">
        <v>0.111</v>
      </c>
      <c r="Y811" s="6">
        <f t="shared" si="102"/>
        <v>2.9630816048690639E-3</v>
      </c>
      <c r="AA811">
        <v>87566621</v>
      </c>
      <c r="AB811">
        <v>24890</v>
      </c>
      <c r="AC811">
        <v>15206424</v>
      </c>
      <c r="AD811" t="s">
        <v>4</v>
      </c>
      <c r="AE811">
        <v>75</v>
      </c>
      <c r="AF811">
        <v>2</v>
      </c>
      <c r="AH811" t="s">
        <v>2717</v>
      </c>
      <c r="AI811" t="s">
        <v>2716</v>
      </c>
      <c r="AK811" t="s">
        <v>2715</v>
      </c>
      <c r="AL811">
        <v>0</v>
      </c>
      <c r="AM811" s="5">
        <f t="shared" si="106"/>
        <v>0</v>
      </c>
      <c r="AN811" s="4">
        <f t="shared" si="103"/>
        <v>0</v>
      </c>
      <c r="AO811" s="3"/>
      <c r="AP811">
        <v>0</v>
      </c>
      <c r="AR811" t="s">
        <v>0</v>
      </c>
      <c r="AT811" s="2" t="s">
        <v>16</v>
      </c>
      <c r="AU811" s="1">
        <f t="shared" si="107"/>
        <v>0.20741571234083445</v>
      </c>
      <c r="AV811" s="1">
        <f t="shared" si="108"/>
        <v>0.1481540802434532</v>
      </c>
      <c r="AW811" s="1">
        <f t="shared" si="109"/>
        <v>8.8892448146071903E-2</v>
      </c>
    </row>
    <row r="812" spans="1:49" x14ac:dyDescent="0.2">
      <c r="A812">
        <v>810</v>
      </c>
      <c r="B812" t="s">
        <v>2714</v>
      </c>
      <c r="C812" t="s">
        <v>2713</v>
      </c>
      <c r="F812" t="s">
        <v>2712</v>
      </c>
      <c r="G812" t="s">
        <v>12</v>
      </c>
      <c r="H812" t="s">
        <v>11</v>
      </c>
      <c r="I812" t="s">
        <v>2711</v>
      </c>
      <c r="J812">
        <v>60022195</v>
      </c>
      <c r="K812" t="s">
        <v>2052</v>
      </c>
      <c r="L812" t="s">
        <v>2051</v>
      </c>
      <c r="M812" t="s">
        <v>7</v>
      </c>
      <c r="N812">
        <v>2</v>
      </c>
      <c r="O812" t="s">
        <v>2710</v>
      </c>
      <c r="P812" t="s">
        <v>2709</v>
      </c>
      <c r="Q812" t="s">
        <v>2048</v>
      </c>
      <c r="R812" s="7">
        <v>33604</v>
      </c>
      <c r="S812" s="8">
        <f t="shared" si="104"/>
        <v>1992</v>
      </c>
      <c r="T812" s="8">
        <v>1992</v>
      </c>
      <c r="U812" s="8">
        <f t="shared" si="105"/>
        <v>30</v>
      </c>
      <c r="V812" s="7" t="s">
        <v>2590</v>
      </c>
      <c r="W812" s="11" t="s">
        <v>2692</v>
      </c>
      <c r="X812" s="2">
        <v>2.383</v>
      </c>
      <c r="Y812" s="6">
        <f t="shared" si="102"/>
        <v>6.3612824003630442E-2</v>
      </c>
      <c r="AA812" t="s">
        <v>2691</v>
      </c>
      <c r="AB812">
        <v>101151</v>
      </c>
      <c r="AD812" t="s">
        <v>4</v>
      </c>
      <c r="AE812">
        <v>139</v>
      </c>
      <c r="AF812">
        <v>1</v>
      </c>
      <c r="AH812" s="10">
        <v>42675</v>
      </c>
      <c r="AI812" t="s">
        <v>2708</v>
      </c>
      <c r="AK812" t="s">
        <v>2707</v>
      </c>
      <c r="AL812">
        <v>51</v>
      </c>
      <c r="AM812" s="5">
        <f t="shared" si="106"/>
        <v>1.7</v>
      </c>
      <c r="AN812" s="4">
        <f t="shared" si="103"/>
        <v>2.5747822794396063E-3</v>
      </c>
      <c r="AO812" s="3"/>
      <c r="AP812">
        <v>0</v>
      </c>
      <c r="AR812" t="s">
        <v>0</v>
      </c>
      <c r="AT812" s="2" t="s">
        <v>16</v>
      </c>
      <c r="AU812" s="1">
        <f t="shared" si="107"/>
        <v>4.5301411486373189</v>
      </c>
      <c r="AV812" s="1">
        <f t="shared" si="108"/>
        <v>3.3093803141535023</v>
      </c>
      <c r="AW812" s="1">
        <f t="shared" si="109"/>
        <v>2.0886194796696858</v>
      </c>
    </row>
    <row r="813" spans="1:49" x14ac:dyDescent="0.2">
      <c r="A813">
        <v>811</v>
      </c>
      <c r="B813" t="s">
        <v>2706</v>
      </c>
      <c r="C813" t="s">
        <v>2705</v>
      </c>
      <c r="F813" t="s">
        <v>2704</v>
      </c>
      <c r="G813" t="s">
        <v>12</v>
      </c>
      <c r="H813" t="s">
        <v>11</v>
      </c>
      <c r="I813" t="s">
        <v>2703</v>
      </c>
      <c r="J813">
        <v>60003088</v>
      </c>
      <c r="K813" t="s">
        <v>2702</v>
      </c>
      <c r="L813" t="s">
        <v>1223</v>
      </c>
      <c r="M813" t="s">
        <v>7</v>
      </c>
      <c r="N813">
        <v>1</v>
      </c>
      <c r="O813" t="s">
        <v>2701</v>
      </c>
      <c r="P813">
        <v>7005822795</v>
      </c>
      <c r="Q813">
        <v>60003088</v>
      </c>
      <c r="R813" s="7">
        <v>33604</v>
      </c>
      <c r="S813" s="8">
        <f t="shared" si="104"/>
        <v>1992</v>
      </c>
      <c r="T813" s="8">
        <v>1992</v>
      </c>
      <c r="U813" s="8">
        <f t="shared" si="105"/>
        <v>30</v>
      </c>
      <c r="V813" s="7" t="s">
        <v>2590</v>
      </c>
      <c r="W813" s="11" t="s">
        <v>2692</v>
      </c>
      <c r="X813" s="2">
        <v>2.383</v>
      </c>
      <c r="Y813" s="6">
        <f t="shared" si="102"/>
        <v>6.3612824003630442E-2</v>
      </c>
      <c r="AA813" t="s">
        <v>2691</v>
      </c>
      <c r="AB813">
        <v>101151</v>
      </c>
      <c r="AD813" t="s">
        <v>4</v>
      </c>
      <c r="AE813">
        <v>139</v>
      </c>
      <c r="AF813">
        <v>1</v>
      </c>
      <c r="AH813" t="s">
        <v>2700</v>
      </c>
      <c r="AI813" t="s">
        <v>2699</v>
      </c>
      <c r="AK813" t="s">
        <v>2698</v>
      </c>
      <c r="AL813">
        <v>16</v>
      </c>
      <c r="AM813" s="5">
        <f t="shared" si="106"/>
        <v>0.53333333333333333</v>
      </c>
      <c r="AN813" s="4">
        <f t="shared" si="103"/>
        <v>8.0777483276536668E-4</v>
      </c>
      <c r="AO813" s="3"/>
      <c r="AP813">
        <v>0</v>
      </c>
      <c r="AR813" t="s">
        <v>0</v>
      </c>
      <c r="AT813" s="2" t="s">
        <v>16</v>
      </c>
      <c r="AU813" s="1">
        <f t="shared" si="107"/>
        <v>4.4771309252370921</v>
      </c>
      <c r="AV813" s="1">
        <f t="shared" si="108"/>
        <v>3.2210299418197903</v>
      </c>
      <c r="AW813" s="1">
        <f t="shared" si="109"/>
        <v>1.9649289584024887</v>
      </c>
    </row>
    <row r="814" spans="1:49" x14ac:dyDescent="0.2">
      <c r="A814">
        <v>812</v>
      </c>
      <c r="B814" t="s">
        <v>2697</v>
      </c>
      <c r="C814" t="s">
        <v>2696</v>
      </c>
      <c r="F814" t="s">
        <v>2695</v>
      </c>
      <c r="G814" t="s">
        <v>12</v>
      </c>
      <c r="H814" t="s">
        <v>11</v>
      </c>
      <c r="I814" t="s">
        <v>2694</v>
      </c>
      <c r="J814">
        <v>60008250</v>
      </c>
      <c r="K814" t="s">
        <v>1586</v>
      </c>
      <c r="L814" t="s">
        <v>1585</v>
      </c>
      <c r="M814" t="s">
        <v>856</v>
      </c>
      <c r="N814">
        <v>1</v>
      </c>
      <c r="O814" t="s">
        <v>2693</v>
      </c>
      <c r="P814">
        <v>7005551892</v>
      </c>
      <c r="Q814">
        <v>60008250</v>
      </c>
      <c r="R814" s="7">
        <v>33604</v>
      </c>
      <c r="S814" s="8">
        <f t="shared" si="104"/>
        <v>1992</v>
      </c>
      <c r="T814" s="8">
        <v>1992</v>
      </c>
      <c r="U814" s="8">
        <f t="shared" si="105"/>
        <v>30</v>
      </c>
      <c r="V814" s="7" t="s">
        <v>2590</v>
      </c>
      <c r="W814" s="11" t="s">
        <v>2692</v>
      </c>
      <c r="X814" s="2">
        <v>2.383</v>
      </c>
      <c r="Y814" s="6">
        <f t="shared" si="102"/>
        <v>6.3612824003630442E-2</v>
      </c>
      <c r="AA814" t="s">
        <v>2691</v>
      </c>
      <c r="AB814">
        <v>101151</v>
      </c>
      <c r="AD814" t="s">
        <v>4</v>
      </c>
      <c r="AE814">
        <v>139</v>
      </c>
      <c r="AF814">
        <v>1</v>
      </c>
      <c r="AH814" t="s">
        <v>2690</v>
      </c>
      <c r="AI814" t="s">
        <v>2689</v>
      </c>
      <c r="AK814" t="s">
        <v>2688</v>
      </c>
      <c r="AL814">
        <v>2</v>
      </c>
      <c r="AM814" s="5">
        <f t="shared" si="106"/>
        <v>6.6666666666666666E-2</v>
      </c>
      <c r="AN814" s="4">
        <f t="shared" si="103"/>
        <v>1.0097185409567084E-4</v>
      </c>
      <c r="AO814" s="3"/>
      <c r="AP814">
        <v>0</v>
      </c>
      <c r="AR814" t="s">
        <v>0</v>
      </c>
      <c r="AT814" s="2" t="s">
        <v>16</v>
      </c>
      <c r="AU814" s="1">
        <f t="shared" si="107"/>
        <v>4.4559268358770012</v>
      </c>
      <c r="AV814" s="1">
        <f t="shared" si="108"/>
        <v>3.1856897928863059</v>
      </c>
      <c r="AW814" s="1">
        <f t="shared" si="109"/>
        <v>1.9154527498956102</v>
      </c>
    </row>
    <row r="815" spans="1:49" x14ac:dyDescent="0.2">
      <c r="A815">
        <v>813</v>
      </c>
      <c r="B815" t="s">
        <v>2687</v>
      </c>
      <c r="C815" t="s">
        <v>2686</v>
      </c>
      <c r="F815" t="s">
        <v>2685</v>
      </c>
      <c r="G815" t="s">
        <v>12</v>
      </c>
      <c r="H815" t="s">
        <v>11</v>
      </c>
      <c r="I815" t="s">
        <v>2684</v>
      </c>
      <c r="J815">
        <v>60000745</v>
      </c>
      <c r="K815" t="s">
        <v>1235</v>
      </c>
      <c r="L815" t="s">
        <v>1234</v>
      </c>
      <c r="M815" t="s">
        <v>7</v>
      </c>
      <c r="N815">
        <v>2</v>
      </c>
      <c r="O815" t="s">
        <v>2683</v>
      </c>
      <c r="P815" t="s">
        <v>2682</v>
      </c>
      <c r="Q815" t="s">
        <v>2681</v>
      </c>
      <c r="R815" s="7">
        <v>33604</v>
      </c>
      <c r="S815" s="8">
        <f t="shared" si="104"/>
        <v>1992</v>
      </c>
      <c r="T815" s="8">
        <v>1992</v>
      </c>
      <c r="U815" s="8">
        <f t="shared" si="105"/>
        <v>30</v>
      </c>
      <c r="V815" s="7">
        <v>33635</v>
      </c>
      <c r="W815" t="s">
        <v>97</v>
      </c>
      <c r="X815" s="2">
        <v>1.6519999999999999</v>
      </c>
      <c r="Y815" s="6">
        <f t="shared" si="102"/>
        <v>4.409919649769093E-2</v>
      </c>
      <c r="AA815" t="s">
        <v>96</v>
      </c>
      <c r="AB815">
        <v>17337</v>
      </c>
      <c r="AC815">
        <v>15582221</v>
      </c>
      <c r="AD815" t="s">
        <v>4</v>
      </c>
      <c r="AE815">
        <v>40</v>
      </c>
      <c r="AF815">
        <v>2</v>
      </c>
      <c r="AH815" t="s">
        <v>2680</v>
      </c>
      <c r="AI815" t="s">
        <v>2679</v>
      </c>
      <c r="AK815" t="s">
        <v>2678</v>
      </c>
      <c r="AL815">
        <v>21</v>
      </c>
      <c r="AM815" s="5">
        <f t="shared" si="106"/>
        <v>0.7</v>
      </c>
      <c r="AN815" s="4">
        <f t="shared" si="103"/>
        <v>1.0602044680045437E-3</v>
      </c>
      <c r="AO815" s="3"/>
      <c r="AP815">
        <v>0</v>
      </c>
      <c r="AR815" t="s">
        <v>0</v>
      </c>
      <c r="AT815" s="2" t="s">
        <v>16</v>
      </c>
      <c r="AU815" s="1">
        <f t="shared" si="107"/>
        <v>3.1187498888785017</v>
      </c>
      <c r="AV815" s="1">
        <f t="shared" si="108"/>
        <v>2.2579700482847738</v>
      </c>
      <c r="AW815" s="1">
        <f t="shared" si="109"/>
        <v>1.3971902076910458</v>
      </c>
    </row>
    <row r="816" spans="1:49" x14ac:dyDescent="0.2">
      <c r="A816">
        <v>814</v>
      </c>
      <c r="B816" t="s">
        <v>2677</v>
      </c>
      <c r="C816" t="s">
        <v>2676</v>
      </c>
      <c r="F816" t="s">
        <v>2675</v>
      </c>
      <c r="G816" t="s">
        <v>12</v>
      </c>
      <c r="H816" t="s">
        <v>11</v>
      </c>
      <c r="I816" t="s">
        <v>2674</v>
      </c>
      <c r="J816">
        <v>60009037</v>
      </c>
      <c r="K816" t="s">
        <v>2673</v>
      </c>
      <c r="L816" t="s">
        <v>2672</v>
      </c>
      <c r="M816" t="s">
        <v>7</v>
      </c>
      <c r="N816">
        <v>1</v>
      </c>
      <c r="O816" t="s">
        <v>2671</v>
      </c>
      <c r="P816">
        <v>7404814915</v>
      </c>
      <c r="Q816">
        <v>60009037</v>
      </c>
      <c r="R816" s="7">
        <v>33604</v>
      </c>
      <c r="S816" s="8">
        <f t="shared" si="104"/>
        <v>1992</v>
      </c>
      <c r="T816" s="8">
        <v>1992</v>
      </c>
      <c r="U816" s="8">
        <f t="shared" si="105"/>
        <v>30</v>
      </c>
      <c r="V816" s="7">
        <v>33635</v>
      </c>
      <c r="W816" t="s">
        <v>1458</v>
      </c>
      <c r="X816" s="2">
        <v>0.30399999999999999</v>
      </c>
      <c r="Y816" s="6">
        <f t="shared" si="102"/>
        <v>8.115106377299057E-3</v>
      </c>
      <c r="AA816">
        <v>8952477</v>
      </c>
      <c r="AB816">
        <v>12250</v>
      </c>
      <c r="AC816">
        <v>10982760</v>
      </c>
      <c r="AD816" t="s">
        <v>4</v>
      </c>
      <c r="AE816">
        <v>5</v>
      </c>
      <c r="AF816">
        <v>2</v>
      </c>
      <c r="AH816" t="s">
        <v>2670</v>
      </c>
      <c r="AI816" t="s">
        <v>2669</v>
      </c>
      <c r="AJ816" t="s">
        <v>2668</v>
      </c>
      <c r="AK816" t="s">
        <v>2667</v>
      </c>
      <c r="AL816">
        <v>21</v>
      </c>
      <c r="AM816" s="5">
        <f t="shared" si="106"/>
        <v>0.7</v>
      </c>
      <c r="AN816" s="4">
        <f t="shared" si="103"/>
        <v>1.0602044680045437E-3</v>
      </c>
      <c r="AO816" s="3"/>
      <c r="AP816">
        <v>0</v>
      </c>
      <c r="AR816" t="s">
        <v>0</v>
      </c>
      <c r="AT816" s="2" t="s">
        <v>16</v>
      </c>
      <c r="AU816" s="1">
        <f t="shared" si="107"/>
        <v>0.59986358045107024</v>
      </c>
      <c r="AV816" s="1">
        <f t="shared" si="108"/>
        <v>0.45876554226518002</v>
      </c>
      <c r="AW816" s="1">
        <f t="shared" si="109"/>
        <v>0.31766750407928979</v>
      </c>
    </row>
    <row r="817" spans="1:49" x14ac:dyDescent="0.2">
      <c r="A817">
        <v>815</v>
      </c>
      <c r="B817" t="s">
        <v>2666</v>
      </c>
      <c r="C817" t="s">
        <v>2665</v>
      </c>
      <c r="F817" t="s">
        <v>2664</v>
      </c>
      <c r="G817" t="s">
        <v>12</v>
      </c>
      <c r="H817" t="s">
        <v>11</v>
      </c>
      <c r="I817" t="s">
        <v>2663</v>
      </c>
      <c r="J817">
        <v>60103653</v>
      </c>
      <c r="K817" t="s">
        <v>2662</v>
      </c>
      <c r="L817" t="s">
        <v>657</v>
      </c>
      <c r="M817" t="s">
        <v>656</v>
      </c>
      <c r="N817">
        <v>1</v>
      </c>
      <c r="O817" t="s">
        <v>2661</v>
      </c>
      <c r="P817">
        <v>35568243700</v>
      </c>
      <c r="Q817">
        <v>60103653</v>
      </c>
      <c r="R817" s="7">
        <v>33604</v>
      </c>
      <c r="S817" s="8">
        <f t="shared" si="104"/>
        <v>1992</v>
      </c>
      <c r="T817" s="8">
        <v>1992</v>
      </c>
      <c r="U817" s="8">
        <f t="shared" si="105"/>
        <v>30</v>
      </c>
      <c r="V817" s="7">
        <v>33635</v>
      </c>
      <c r="W817" t="s">
        <v>97</v>
      </c>
      <c r="X817" s="2">
        <v>1.6519999999999999</v>
      </c>
      <c r="Y817" s="6">
        <f t="shared" si="102"/>
        <v>4.409919649769093E-2</v>
      </c>
      <c r="AA817" t="s">
        <v>96</v>
      </c>
      <c r="AB817">
        <v>17337</v>
      </c>
      <c r="AC817">
        <v>15582221</v>
      </c>
      <c r="AD817" t="s">
        <v>4</v>
      </c>
      <c r="AE817">
        <v>40</v>
      </c>
      <c r="AF817">
        <v>2</v>
      </c>
      <c r="AH817" t="s">
        <v>2660</v>
      </c>
      <c r="AI817" t="s">
        <v>2659</v>
      </c>
      <c r="AK817" t="s">
        <v>2658</v>
      </c>
      <c r="AL817">
        <v>24</v>
      </c>
      <c r="AM817" s="5">
        <f t="shared" si="106"/>
        <v>0.8</v>
      </c>
      <c r="AN817" s="4">
        <f t="shared" si="103"/>
        <v>1.2116622491480501E-3</v>
      </c>
      <c r="AO817" s="3"/>
      <c r="AP817">
        <v>0</v>
      </c>
      <c r="AR817" t="s">
        <v>0</v>
      </c>
      <c r="AT817" s="2" t="s">
        <v>16</v>
      </c>
      <c r="AU817" s="1">
        <f t="shared" si="107"/>
        <v>3.1232936223128065</v>
      </c>
      <c r="AV817" s="1">
        <f t="shared" si="108"/>
        <v>2.2655429373419489</v>
      </c>
      <c r="AW817" s="1">
        <f t="shared" si="109"/>
        <v>1.4077922523710913</v>
      </c>
    </row>
    <row r="818" spans="1:49" x14ac:dyDescent="0.2">
      <c r="A818">
        <v>816</v>
      </c>
      <c r="B818" t="s">
        <v>2657</v>
      </c>
      <c r="C818" t="s">
        <v>2656</v>
      </c>
      <c r="F818" t="s">
        <v>2655</v>
      </c>
      <c r="G818" t="s">
        <v>12</v>
      </c>
      <c r="H818" t="s">
        <v>11</v>
      </c>
      <c r="I818" t="s">
        <v>2654</v>
      </c>
      <c r="N818">
        <v>3</v>
      </c>
      <c r="O818" t="s">
        <v>2653</v>
      </c>
      <c r="P818" t="s">
        <v>2652</v>
      </c>
      <c r="Q818" t="s">
        <v>1191</v>
      </c>
      <c r="R818" s="7">
        <v>33604</v>
      </c>
      <c r="S818" s="8">
        <f t="shared" si="104"/>
        <v>1992</v>
      </c>
      <c r="T818" s="8">
        <v>1992</v>
      </c>
      <c r="U818" s="8">
        <f t="shared" si="105"/>
        <v>30</v>
      </c>
      <c r="V818" s="7">
        <v>33635</v>
      </c>
      <c r="W818" t="s">
        <v>97</v>
      </c>
      <c r="X818" s="2">
        <v>1.6519999999999999</v>
      </c>
      <c r="Y818" s="6">
        <f t="shared" si="102"/>
        <v>4.409919649769093E-2</v>
      </c>
      <c r="AA818" t="s">
        <v>96</v>
      </c>
      <c r="AB818">
        <v>17337</v>
      </c>
      <c r="AC818">
        <v>15582221</v>
      </c>
      <c r="AD818" t="s">
        <v>4</v>
      </c>
      <c r="AE818">
        <v>40</v>
      </c>
      <c r="AF818">
        <v>2</v>
      </c>
      <c r="AH818" t="s">
        <v>2651</v>
      </c>
      <c r="AI818" t="s">
        <v>2650</v>
      </c>
      <c r="AK818" t="s">
        <v>2649</v>
      </c>
      <c r="AL818">
        <v>12</v>
      </c>
      <c r="AM818" s="5">
        <f t="shared" si="106"/>
        <v>0.4</v>
      </c>
      <c r="AN818" s="4">
        <f t="shared" si="103"/>
        <v>6.0583112457402507E-4</v>
      </c>
      <c r="AO818" s="3"/>
      <c r="AP818">
        <v>0</v>
      </c>
      <c r="AR818" t="s">
        <v>0</v>
      </c>
      <c r="AT818" s="2" t="s">
        <v>16</v>
      </c>
      <c r="AU818" s="1">
        <f t="shared" si="107"/>
        <v>3.1051186885755859</v>
      </c>
      <c r="AV818" s="1">
        <f t="shared" si="108"/>
        <v>2.2352513811132479</v>
      </c>
      <c r="AW818" s="1">
        <f t="shared" si="109"/>
        <v>1.3653840736509095</v>
      </c>
    </row>
    <row r="819" spans="1:49" x14ac:dyDescent="0.2">
      <c r="A819">
        <v>817</v>
      </c>
      <c r="B819" t="s">
        <v>2648</v>
      </c>
      <c r="C819" t="s">
        <v>2647</v>
      </c>
      <c r="F819" t="s">
        <v>2646</v>
      </c>
      <c r="G819" t="s">
        <v>12</v>
      </c>
      <c r="H819" t="s">
        <v>11</v>
      </c>
      <c r="I819" t="s">
        <v>1994</v>
      </c>
      <c r="J819">
        <v>60031624</v>
      </c>
      <c r="K819" t="s">
        <v>1993</v>
      </c>
      <c r="L819" t="s">
        <v>1992</v>
      </c>
      <c r="M819" t="s">
        <v>338</v>
      </c>
      <c r="N819">
        <v>3</v>
      </c>
      <c r="O819" t="s">
        <v>2645</v>
      </c>
      <c r="P819" t="s">
        <v>2644</v>
      </c>
      <c r="Q819" t="s">
        <v>1989</v>
      </c>
      <c r="R819" s="7">
        <v>33604</v>
      </c>
      <c r="S819" s="8">
        <f t="shared" si="104"/>
        <v>1992</v>
      </c>
      <c r="T819" s="8">
        <v>1992</v>
      </c>
      <c r="U819" s="8">
        <f t="shared" si="105"/>
        <v>30</v>
      </c>
      <c r="V819" s="7">
        <v>33635</v>
      </c>
      <c r="W819" t="s">
        <v>136</v>
      </c>
      <c r="X819" s="2">
        <v>1.3720000000000001</v>
      </c>
      <c r="Y819" s="6">
        <f t="shared" si="102"/>
        <v>3.662475641333654E-2</v>
      </c>
      <c r="AA819">
        <v>189480</v>
      </c>
      <c r="AB819">
        <v>17366</v>
      </c>
      <c r="AC819">
        <v>15579670</v>
      </c>
      <c r="AD819" t="s">
        <v>4</v>
      </c>
      <c r="AE819">
        <v>40</v>
      </c>
      <c r="AF819">
        <v>2</v>
      </c>
      <c r="AH819" t="s">
        <v>2643</v>
      </c>
      <c r="AI819" t="s">
        <v>2642</v>
      </c>
      <c r="AK819" t="s">
        <v>2641</v>
      </c>
      <c r="AL819">
        <v>15</v>
      </c>
      <c r="AM819" s="5">
        <f t="shared" si="106"/>
        <v>0.5</v>
      </c>
      <c r="AN819" s="4">
        <f t="shared" si="103"/>
        <v>7.572889057175312E-4</v>
      </c>
      <c r="AO819" s="3"/>
      <c r="AP819">
        <v>0</v>
      </c>
      <c r="AR819" t="s">
        <v>0</v>
      </c>
      <c r="AT819" s="2" t="s">
        <v>16</v>
      </c>
      <c r="AU819" s="1">
        <f t="shared" si="107"/>
        <v>2.5864516161050837</v>
      </c>
      <c r="AV819" s="1">
        <f t="shared" si="108"/>
        <v>1.8691022659527035</v>
      </c>
      <c r="AW819" s="1">
        <f t="shared" si="109"/>
        <v>1.1517529158003235</v>
      </c>
    </row>
    <row r="820" spans="1:49" x14ac:dyDescent="0.2">
      <c r="A820">
        <v>818</v>
      </c>
      <c r="B820" t="s">
        <v>2640</v>
      </c>
      <c r="C820" t="s">
        <v>2639</v>
      </c>
      <c r="D820">
        <v>22231392900163</v>
      </c>
      <c r="F820" t="s">
        <v>2638</v>
      </c>
      <c r="G820" t="s">
        <v>12</v>
      </c>
      <c r="H820" t="s">
        <v>11</v>
      </c>
      <c r="I820" t="s">
        <v>2637</v>
      </c>
      <c r="J820">
        <v>60008023</v>
      </c>
      <c r="K820" t="s">
        <v>2636</v>
      </c>
      <c r="L820" t="s">
        <v>2635</v>
      </c>
      <c r="M820" t="s">
        <v>7</v>
      </c>
      <c r="N820">
        <v>2</v>
      </c>
      <c r="O820" t="s">
        <v>2634</v>
      </c>
      <c r="P820" t="s">
        <v>2633</v>
      </c>
      <c r="Q820" t="s">
        <v>2632</v>
      </c>
      <c r="R820" s="7">
        <v>33604</v>
      </c>
      <c r="S820" s="8">
        <f t="shared" si="104"/>
        <v>1992</v>
      </c>
      <c r="T820" s="8">
        <v>1992</v>
      </c>
      <c r="U820" s="8">
        <f t="shared" si="105"/>
        <v>30</v>
      </c>
      <c r="V820" s="7">
        <v>33635</v>
      </c>
      <c r="W820" t="s">
        <v>2603</v>
      </c>
      <c r="X820" s="2">
        <v>0.65200000000000002</v>
      </c>
      <c r="Y820" s="6">
        <f t="shared" si="102"/>
        <v>1.7404767624996664E-2</v>
      </c>
      <c r="AA820">
        <v>222313</v>
      </c>
      <c r="AB820">
        <v>12179</v>
      </c>
      <c r="AD820" t="s">
        <v>4</v>
      </c>
      <c r="AE820">
        <v>51</v>
      </c>
      <c r="AF820" s="9">
        <v>44256</v>
      </c>
      <c r="AH820" t="s">
        <v>2631</v>
      </c>
      <c r="AI820" t="s">
        <v>2630</v>
      </c>
      <c r="AK820" t="s">
        <v>2629</v>
      </c>
      <c r="AL820">
        <v>5</v>
      </c>
      <c r="AM820" s="5">
        <f t="shared" si="106"/>
        <v>0.16666666666666666</v>
      </c>
      <c r="AN820" s="4">
        <f t="shared" si="103"/>
        <v>2.5242963523917705E-4</v>
      </c>
      <c r="AO820" s="3"/>
      <c r="AP820">
        <v>0</v>
      </c>
      <c r="AQ820" t="s">
        <v>2628</v>
      </c>
      <c r="AR820" t="s">
        <v>0</v>
      </c>
      <c r="AS820" t="s">
        <v>2627</v>
      </c>
      <c r="AT820" s="2">
        <v>3.5990000000000002</v>
      </c>
      <c r="AU820" s="1">
        <f t="shared" si="107"/>
        <v>1.2259066228069417</v>
      </c>
      <c r="AV820" s="1">
        <f t="shared" si="108"/>
        <v>0.88285986301179198</v>
      </c>
      <c r="AW820" s="1">
        <f t="shared" si="109"/>
        <v>0.53981310321664222</v>
      </c>
    </row>
    <row r="821" spans="1:49" x14ac:dyDescent="0.2">
      <c r="A821">
        <v>819</v>
      </c>
      <c r="B821" t="s">
        <v>2626</v>
      </c>
      <c r="C821" t="s">
        <v>2625</v>
      </c>
      <c r="F821" t="s">
        <v>2624</v>
      </c>
      <c r="G821" t="s">
        <v>12</v>
      </c>
      <c r="H821" t="s">
        <v>11</v>
      </c>
      <c r="I821" t="s">
        <v>2623</v>
      </c>
      <c r="J821">
        <v>60009512</v>
      </c>
      <c r="K821" t="s">
        <v>2622</v>
      </c>
      <c r="L821" t="s">
        <v>2621</v>
      </c>
      <c r="M821" t="s">
        <v>2620</v>
      </c>
      <c r="N821">
        <v>3</v>
      </c>
      <c r="O821" t="s">
        <v>2619</v>
      </c>
      <c r="P821" t="s">
        <v>2618</v>
      </c>
      <c r="Q821" t="s">
        <v>2617</v>
      </c>
      <c r="R821" s="7">
        <v>33604</v>
      </c>
      <c r="S821" s="8">
        <f t="shared" si="104"/>
        <v>1992</v>
      </c>
      <c r="T821" s="8">
        <v>1992</v>
      </c>
      <c r="U821" s="8">
        <f t="shared" si="105"/>
        <v>30</v>
      </c>
      <c r="V821" s="7">
        <v>33635</v>
      </c>
      <c r="W821" t="s">
        <v>97</v>
      </c>
      <c r="X821" s="2">
        <v>1.6519999999999999</v>
      </c>
      <c r="Y821" s="6">
        <f t="shared" si="102"/>
        <v>4.409919649769093E-2</v>
      </c>
      <c r="AA821" t="s">
        <v>96</v>
      </c>
      <c r="AB821">
        <v>17337</v>
      </c>
      <c r="AC821">
        <v>15582221</v>
      </c>
      <c r="AD821" t="s">
        <v>4</v>
      </c>
      <c r="AE821">
        <v>40</v>
      </c>
      <c r="AF821">
        <v>2</v>
      </c>
      <c r="AH821" t="s">
        <v>2616</v>
      </c>
      <c r="AI821" t="s">
        <v>2615</v>
      </c>
      <c r="AK821" t="s">
        <v>2614</v>
      </c>
      <c r="AL821">
        <v>12</v>
      </c>
      <c r="AM821" s="5">
        <f t="shared" si="106"/>
        <v>0.4</v>
      </c>
      <c r="AN821" s="4">
        <f t="shared" si="103"/>
        <v>6.0583112457402507E-4</v>
      </c>
      <c r="AO821" s="3"/>
      <c r="AP821">
        <v>0</v>
      </c>
      <c r="AR821" t="s">
        <v>0</v>
      </c>
      <c r="AT821" s="2" t="s">
        <v>16</v>
      </c>
      <c r="AU821" s="1">
        <f t="shared" si="107"/>
        <v>3.1051186885755859</v>
      </c>
      <c r="AV821" s="1">
        <f t="shared" si="108"/>
        <v>2.2352513811132479</v>
      </c>
      <c r="AW821" s="1">
        <f t="shared" si="109"/>
        <v>1.3653840736509095</v>
      </c>
    </row>
    <row r="822" spans="1:49" x14ac:dyDescent="0.2">
      <c r="A822">
        <v>820</v>
      </c>
      <c r="B822" t="s">
        <v>2613</v>
      </c>
      <c r="C822" t="s">
        <v>2612</v>
      </c>
      <c r="D822">
        <v>22231392900222</v>
      </c>
      <c r="F822" t="s">
        <v>2611</v>
      </c>
      <c r="G822" t="s">
        <v>12</v>
      </c>
      <c r="H822" t="s">
        <v>11</v>
      </c>
      <c r="I822" t="s">
        <v>2610</v>
      </c>
      <c r="J822" t="s">
        <v>2609</v>
      </c>
      <c r="K822" t="s">
        <v>2608</v>
      </c>
      <c r="L822" t="s">
        <v>2607</v>
      </c>
      <c r="M822" t="s">
        <v>904</v>
      </c>
      <c r="N822">
        <v>4</v>
      </c>
      <c r="O822" t="s">
        <v>2606</v>
      </c>
      <c r="P822" t="s">
        <v>2605</v>
      </c>
      <c r="Q822" t="s">
        <v>2604</v>
      </c>
      <c r="R822" s="7">
        <v>33604</v>
      </c>
      <c r="S822" s="8">
        <f t="shared" si="104"/>
        <v>1992</v>
      </c>
      <c r="T822" s="8">
        <v>1992</v>
      </c>
      <c r="U822" s="8">
        <f t="shared" si="105"/>
        <v>30</v>
      </c>
      <c r="V822" s="7">
        <v>33635</v>
      </c>
      <c r="W822" t="s">
        <v>2603</v>
      </c>
      <c r="X822" s="2">
        <v>0.65200000000000002</v>
      </c>
      <c r="Y822" s="6">
        <f t="shared" si="102"/>
        <v>1.7404767624996664E-2</v>
      </c>
      <c r="AA822">
        <v>222313</v>
      </c>
      <c r="AB822">
        <v>12179</v>
      </c>
      <c r="AD822" t="s">
        <v>4</v>
      </c>
      <c r="AE822">
        <v>51</v>
      </c>
      <c r="AF822" s="9">
        <v>44256</v>
      </c>
      <c r="AH822" t="s">
        <v>2602</v>
      </c>
      <c r="AI822" t="s">
        <v>2601</v>
      </c>
      <c r="AK822" t="s">
        <v>2600</v>
      </c>
      <c r="AL822">
        <v>2</v>
      </c>
      <c r="AM822" s="5">
        <f t="shared" si="106"/>
        <v>6.6666666666666666E-2</v>
      </c>
      <c r="AN822" s="4">
        <f t="shared" si="103"/>
        <v>1.0097185409567084E-4</v>
      </c>
      <c r="AO822" s="3"/>
      <c r="AP822">
        <v>0</v>
      </c>
      <c r="AR822" t="s">
        <v>2599</v>
      </c>
      <c r="AT822" s="2">
        <v>3.5990000000000002</v>
      </c>
      <c r="AU822" s="1">
        <f t="shared" si="107"/>
        <v>1.2213628893726367</v>
      </c>
      <c r="AV822" s="1">
        <f t="shared" si="108"/>
        <v>0.87528697395461674</v>
      </c>
      <c r="AW822" s="1">
        <f t="shared" si="109"/>
        <v>0.52921105853659689</v>
      </c>
    </row>
    <row r="823" spans="1:49" x14ac:dyDescent="0.2">
      <c r="A823">
        <v>821</v>
      </c>
      <c r="B823" t="s">
        <v>2598</v>
      </c>
      <c r="C823" t="s">
        <v>2597</v>
      </c>
      <c r="F823" t="s">
        <v>2596</v>
      </c>
      <c r="G823" t="s">
        <v>12</v>
      </c>
      <c r="H823" t="s">
        <v>11</v>
      </c>
      <c r="I823" t="s">
        <v>2595</v>
      </c>
      <c r="J823">
        <v>60017161</v>
      </c>
      <c r="K823" t="s">
        <v>2594</v>
      </c>
      <c r="L823" t="s">
        <v>2593</v>
      </c>
      <c r="M823" t="s">
        <v>2592</v>
      </c>
      <c r="N823">
        <v>1</v>
      </c>
      <c r="O823" t="s">
        <v>2591</v>
      </c>
      <c r="P823">
        <v>7202596473</v>
      </c>
      <c r="Q823">
        <v>60017161</v>
      </c>
      <c r="R823" s="7">
        <v>33604</v>
      </c>
      <c r="S823" s="8">
        <f t="shared" si="104"/>
        <v>1992</v>
      </c>
      <c r="T823" s="8">
        <v>1992</v>
      </c>
      <c r="U823" s="8">
        <f t="shared" si="105"/>
        <v>30</v>
      </c>
      <c r="V823" s="7" t="s">
        <v>2590</v>
      </c>
      <c r="W823" s="11" t="s">
        <v>2589</v>
      </c>
      <c r="X823" s="2">
        <v>2.383</v>
      </c>
      <c r="Y823" s="6">
        <f t="shared" si="102"/>
        <v>6.3612824003630442E-2</v>
      </c>
      <c r="AA823">
        <v>9563776</v>
      </c>
      <c r="AB823">
        <v>68339</v>
      </c>
      <c r="AD823" t="s">
        <v>4</v>
      </c>
      <c r="AE823">
        <v>139</v>
      </c>
      <c r="AF823">
        <v>1</v>
      </c>
      <c r="AH823" t="s">
        <v>2588</v>
      </c>
      <c r="AI823" t="s">
        <v>2587</v>
      </c>
      <c r="AK823" t="s">
        <v>2586</v>
      </c>
      <c r="AL823">
        <v>2</v>
      </c>
      <c r="AM823" s="5">
        <f t="shared" si="106"/>
        <v>6.6666666666666666E-2</v>
      </c>
      <c r="AN823" s="4">
        <f t="shared" si="103"/>
        <v>1.0097185409567084E-4</v>
      </c>
      <c r="AO823" s="3"/>
      <c r="AP823">
        <v>0</v>
      </c>
      <c r="AR823" t="s">
        <v>0</v>
      </c>
      <c r="AT823" s="2" t="s">
        <v>16</v>
      </c>
      <c r="AU823" s="1">
        <f t="shared" si="107"/>
        <v>4.4559268358770012</v>
      </c>
      <c r="AV823" s="1">
        <f t="shared" si="108"/>
        <v>3.1856897928863059</v>
      </c>
      <c r="AW823" s="1">
        <f t="shared" si="109"/>
        <v>1.9154527498956102</v>
      </c>
    </row>
    <row r="824" spans="1:49" x14ac:dyDescent="0.2">
      <c r="A824">
        <v>822</v>
      </c>
      <c r="B824" t="s">
        <v>2585</v>
      </c>
      <c r="C824" t="s">
        <v>2584</v>
      </c>
      <c r="F824" t="s">
        <v>2583</v>
      </c>
      <c r="G824" t="s">
        <v>12</v>
      </c>
      <c r="H824" t="s">
        <v>11</v>
      </c>
      <c r="I824" t="s">
        <v>2582</v>
      </c>
      <c r="J824" t="s">
        <v>2576</v>
      </c>
      <c r="K824" t="s">
        <v>2581</v>
      </c>
      <c r="L824" t="s">
        <v>2580</v>
      </c>
      <c r="M824" t="s">
        <v>2579</v>
      </c>
      <c r="N824">
        <v>2</v>
      </c>
      <c r="O824" t="s">
        <v>2578</v>
      </c>
      <c r="P824" t="s">
        <v>2577</v>
      </c>
      <c r="Q824" t="s">
        <v>2576</v>
      </c>
      <c r="R824" s="7">
        <v>33604</v>
      </c>
      <c r="S824" s="8">
        <f t="shared" si="104"/>
        <v>1992</v>
      </c>
      <c r="T824" s="8">
        <v>1992</v>
      </c>
      <c r="U824" s="8">
        <f t="shared" si="105"/>
        <v>30</v>
      </c>
      <c r="V824" s="7">
        <v>33635</v>
      </c>
      <c r="W824" t="s">
        <v>599</v>
      </c>
      <c r="X824" s="2">
        <v>0.375</v>
      </c>
      <c r="Y824" s="6">
        <f t="shared" si="102"/>
        <v>1.0010410827260351E-2</v>
      </c>
      <c r="AA824">
        <v>135194</v>
      </c>
      <c r="AB824">
        <v>24918</v>
      </c>
      <c r="AD824" t="s">
        <v>4</v>
      </c>
      <c r="AE824">
        <v>28</v>
      </c>
      <c r="AF824">
        <v>4</v>
      </c>
      <c r="AH824" t="s">
        <v>2575</v>
      </c>
      <c r="AI824" t="s">
        <v>2574</v>
      </c>
      <c r="AJ824" t="s">
        <v>2573</v>
      </c>
      <c r="AK824" t="s">
        <v>2572</v>
      </c>
      <c r="AL824">
        <v>0</v>
      </c>
      <c r="AM824" s="5">
        <f t="shared" si="106"/>
        <v>0</v>
      </c>
      <c r="AN824" s="4">
        <f t="shared" si="103"/>
        <v>0</v>
      </c>
      <c r="AO824" s="3"/>
      <c r="AP824">
        <v>0</v>
      </c>
      <c r="AR824" t="s">
        <v>0</v>
      </c>
      <c r="AT824" s="2">
        <v>1.3140000000000001</v>
      </c>
      <c r="AU824" s="1">
        <f t="shared" si="107"/>
        <v>0.70072875790822453</v>
      </c>
      <c r="AV824" s="1">
        <f t="shared" si="108"/>
        <v>0.5005205413630176</v>
      </c>
      <c r="AW824" s="1">
        <f t="shared" si="109"/>
        <v>0.30031232481781051</v>
      </c>
    </row>
    <row r="825" spans="1:49" x14ac:dyDescent="0.2">
      <c r="A825">
        <v>823</v>
      </c>
      <c r="B825" t="s">
        <v>2571</v>
      </c>
      <c r="C825" t="s">
        <v>2570</v>
      </c>
      <c r="F825" t="s">
        <v>2569</v>
      </c>
      <c r="G825" t="s">
        <v>12</v>
      </c>
      <c r="H825" t="s">
        <v>11</v>
      </c>
      <c r="I825" t="s">
        <v>2568</v>
      </c>
      <c r="J825">
        <v>60019647</v>
      </c>
      <c r="K825" t="s">
        <v>2567</v>
      </c>
      <c r="L825" t="s">
        <v>2566</v>
      </c>
      <c r="M825" t="s">
        <v>7</v>
      </c>
      <c r="N825">
        <v>2</v>
      </c>
      <c r="O825" t="s">
        <v>2565</v>
      </c>
      <c r="P825" t="s">
        <v>2564</v>
      </c>
      <c r="Q825" t="s">
        <v>2563</v>
      </c>
      <c r="R825" s="7">
        <v>33604</v>
      </c>
      <c r="S825" s="8">
        <f t="shared" si="104"/>
        <v>1992</v>
      </c>
      <c r="T825" s="8">
        <v>1992</v>
      </c>
      <c r="U825" s="8">
        <f t="shared" si="105"/>
        <v>30</v>
      </c>
      <c r="V825" s="7">
        <v>33635</v>
      </c>
      <c r="W825" t="s">
        <v>20</v>
      </c>
      <c r="X825" s="2">
        <v>0.94</v>
      </c>
      <c r="Y825" s="6">
        <f t="shared" si="102"/>
        <v>2.5092763140332611E-2</v>
      </c>
      <c r="AA825">
        <v>10518207</v>
      </c>
      <c r="AB825">
        <v>63372</v>
      </c>
      <c r="AD825" t="s">
        <v>4</v>
      </c>
      <c r="AE825">
        <v>2</v>
      </c>
      <c r="AF825">
        <v>2</v>
      </c>
      <c r="AH825" t="s">
        <v>2562</v>
      </c>
      <c r="AI825" t="s">
        <v>2561</v>
      </c>
      <c r="AK825" t="s">
        <v>2560</v>
      </c>
      <c r="AL825">
        <v>2</v>
      </c>
      <c r="AM825" s="5">
        <f t="shared" si="106"/>
        <v>6.6666666666666666E-2</v>
      </c>
      <c r="AN825" s="4">
        <f t="shared" si="103"/>
        <v>1.0097185409567084E-4</v>
      </c>
      <c r="AO825" s="3"/>
      <c r="AP825">
        <v>0</v>
      </c>
      <c r="AR825" t="s">
        <v>0</v>
      </c>
      <c r="AT825" s="2" t="s">
        <v>16</v>
      </c>
      <c r="AU825" s="1">
        <f t="shared" si="107"/>
        <v>1.7595225754461528</v>
      </c>
      <c r="AV825" s="1">
        <f t="shared" si="108"/>
        <v>1.2596867497214141</v>
      </c>
      <c r="AW825" s="1">
        <f t="shared" si="109"/>
        <v>0.75985092399667531</v>
      </c>
    </row>
    <row r="826" spans="1:49" x14ac:dyDescent="0.2">
      <c r="A826">
        <v>824</v>
      </c>
      <c r="B826" t="s">
        <v>2559</v>
      </c>
      <c r="C826" t="s">
        <v>2558</v>
      </c>
      <c r="F826" t="s">
        <v>2557</v>
      </c>
      <c r="G826" t="s">
        <v>12</v>
      </c>
      <c r="H826" t="s">
        <v>11</v>
      </c>
      <c r="I826" t="s">
        <v>2556</v>
      </c>
      <c r="J826">
        <v>60001881</v>
      </c>
      <c r="K826" t="s">
        <v>2555</v>
      </c>
      <c r="L826" t="s">
        <v>2554</v>
      </c>
      <c r="M826" t="s">
        <v>856</v>
      </c>
      <c r="N826">
        <v>3</v>
      </c>
      <c r="O826" t="s">
        <v>2553</v>
      </c>
      <c r="P826" t="s">
        <v>2552</v>
      </c>
      <c r="Q826" t="s">
        <v>2551</v>
      </c>
      <c r="R826" s="7">
        <v>33604</v>
      </c>
      <c r="S826" s="8">
        <f t="shared" si="104"/>
        <v>1992</v>
      </c>
      <c r="T826" s="8">
        <v>1992</v>
      </c>
      <c r="U826" s="8">
        <f t="shared" si="105"/>
        <v>30</v>
      </c>
      <c r="V826" s="7">
        <v>33635</v>
      </c>
      <c r="W826" t="s">
        <v>599</v>
      </c>
      <c r="X826" s="2">
        <v>0.375</v>
      </c>
      <c r="Y826" s="6">
        <f t="shared" si="102"/>
        <v>1.0010410827260351E-2</v>
      </c>
      <c r="AA826">
        <v>135194</v>
      </c>
      <c r="AB826">
        <v>24918</v>
      </c>
      <c r="AD826" t="s">
        <v>4</v>
      </c>
      <c r="AE826">
        <v>28</v>
      </c>
      <c r="AF826">
        <v>5</v>
      </c>
      <c r="AH826" t="s">
        <v>2550</v>
      </c>
      <c r="AI826" t="s">
        <v>2549</v>
      </c>
      <c r="AJ826" t="s">
        <v>2548</v>
      </c>
      <c r="AK826" t="s">
        <v>2547</v>
      </c>
      <c r="AL826">
        <v>2</v>
      </c>
      <c r="AM826" s="5">
        <f t="shared" si="106"/>
        <v>6.6666666666666666E-2</v>
      </c>
      <c r="AN826" s="4">
        <f t="shared" si="103"/>
        <v>1.0097185409567084E-4</v>
      </c>
      <c r="AO826" s="3"/>
      <c r="AP826">
        <v>0</v>
      </c>
      <c r="AR826" t="s">
        <v>0</v>
      </c>
      <c r="AT826" s="2">
        <v>1.3140000000000001</v>
      </c>
      <c r="AU826" s="1">
        <f t="shared" si="107"/>
        <v>0.70375791353109474</v>
      </c>
      <c r="AV826" s="1">
        <f t="shared" si="108"/>
        <v>0.50556913406780113</v>
      </c>
      <c r="AW826" s="1">
        <f t="shared" si="109"/>
        <v>0.30738035460450747</v>
      </c>
    </row>
    <row r="827" spans="1:49" x14ac:dyDescent="0.2">
      <c r="A827">
        <v>825</v>
      </c>
      <c r="B827" t="s">
        <v>2546</v>
      </c>
      <c r="C827" t="s">
        <v>2545</v>
      </c>
      <c r="F827" t="s">
        <v>2544</v>
      </c>
      <c r="G827" t="s">
        <v>12</v>
      </c>
      <c r="H827" t="s">
        <v>11</v>
      </c>
      <c r="I827" t="s">
        <v>2543</v>
      </c>
      <c r="J827">
        <v>60016218</v>
      </c>
      <c r="K827" t="s">
        <v>2542</v>
      </c>
      <c r="L827" t="s">
        <v>2541</v>
      </c>
      <c r="M827" t="s">
        <v>2540</v>
      </c>
      <c r="N827">
        <v>3</v>
      </c>
      <c r="O827" t="s">
        <v>2539</v>
      </c>
      <c r="P827" t="s">
        <v>2538</v>
      </c>
      <c r="Q827" t="s">
        <v>2537</v>
      </c>
      <c r="R827" s="7">
        <v>33604</v>
      </c>
      <c r="S827" s="8">
        <f t="shared" si="104"/>
        <v>1992</v>
      </c>
      <c r="T827" s="8">
        <v>1992</v>
      </c>
      <c r="U827" s="8">
        <f t="shared" si="105"/>
        <v>30</v>
      </c>
      <c r="V827" s="7">
        <v>33635</v>
      </c>
      <c r="W827" t="s">
        <v>599</v>
      </c>
      <c r="X827" s="2">
        <v>0.375</v>
      </c>
      <c r="Y827" s="6">
        <f t="shared" si="102"/>
        <v>1.0010410827260351E-2</v>
      </c>
      <c r="AA827">
        <v>135194</v>
      </c>
      <c r="AB827">
        <v>24918</v>
      </c>
      <c r="AD827" t="s">
        <v>4</v>
      </c>
      <c r="AE827">
        <v>28</v>
      </c>
      <c r="AF827">
        <v>4</v>
      </c>
      <c r="AH827" t="s">
        <v>2536</v>
      </c>
      <c r="AI827" t="s">
        <v>2535</v>
      </c>
      <c r="AJ827" t="s">
        <v>2534</v>
      </c>
      <c r="AK827" t="s">
        <v>2533</v>
      </c>
      <c r="AL827">
        <v>3</v>
      </c>
      <c r="AM827" s="5">
        <f t="shared" si="106"/>
        <v>0.1</v>
      </c>
      <c r="AN827" s="4">
        <f t="shared" si="103"/>
        <v>1.5145778114350627E-4</v>
      </c>
      <c r="AO827" s="3"/>
      <c r="AP827">
        <v>0</v>
      </c>
      <c r="AR827" t="s">
        <v>0</v>
      </c>
      <c r="AT827" s="2">
        <v>1.3140000000000001</v>
      </c>
      <c r="AU827" s="1">
        <f t="shared" si="107"/>
        <v>0.70527249134252978</v>
      </c>
      <c r="AV827" s="1">
        <f t="shared" si="108"/>
        <v>0.50809343042019284</v>
      </c>
      <c r="AW827" s="1">
        <f t="shared" si="109"/>
        <v>0.31091436949785595</v>
      </c>
    </row>
    <row r="828" spans="1:49" x14ac:dyDescent="0.2">
      <c r="A828">
        <v>826</v>
      </c>
      <c r="B828" t="s">
        <v>2532</v>
      </c>
      <c r="C828" t="s">
        <v>2531</v>
      </c>
      <c r="E828">
        <v>1612617</v>
      </c>
      <c r="F828" t="s">
        <v>2530</v>
      </c>
      <c r="G828" t="s">
        <v>12</v>
      </c>
      <c r="H828" t="s">
        <v>11</v>
      </c>
      <c r="I828" t="s">
        <v>2529</v>
      </c>
      <c r="J828" t="s">
        <v>2528</v>
      </c>
      <c r="K828" t="s">
        <v>2527</v>
      </c>
      <c r="L828" t="s">
        <v>2526</v>
      </c>
      <c r="M828" t="s">
        <v>904</v>
      </c>
      <c r="N828">
        <v>3</v>
      </c>
      <c r="O828" t="s">
        <v>2525</v>
      </c>
      <c r="P828" t="s">
        <v>2524</v>
      </c>
      <c r="Q828" t="s">
        <v>2523</v>
      </c>
      <c r="R828" s="7">
        <v>33604</v>
      </c>
      <c r="S828" s="8">
        <f t="shared" si="104"/>
        <v>1992</v>
      </c>
      <c r="T828" s="8">
        <v>1992</v>
      </c>
      <c r="U828" s="8">
        <f t="shared" si="105"/>
        <v>30</v>
      </c>
      <c r="V828" s="7">
        <v>33635</v>
      </c>
      <c r="W828" t="s">
        <v>2522</v>
      </c>
      <c r="X828" s="2">
        <v>1.1479999999999999</v>
      </c>
      <c r="Y828" s="6">
        <f t="shared" si="102"/>
        <v>3.0645204345853019E-2</v>
      </c>
      <c r="AA828">
        <v>189294</v>
      </c>
      <c r="AB828">
        <v>16318</v>
      </c>
      <c r="AC828">
        <v>15582531</v>
      </c>
      <c r="AD828" t="s">
        <v>4</v>
      </c>
      <c r="AE828">
        <v>39</v>
      </c>
      <c r="AF828">
        <v>2</v>
      </c>
      <c r="AH828" t="s">
        <v>2521</v>
      </c>
      <c r="AI828" t="s">
        <v>2520</v>
      </c>
      <c r="AK828" t="s">
        <v>2519</v>
      </c>
      <c r="AL828">
        <v>18</v>
      </c>
      <c r="AM828" s="5">
        <f t="shared" si="106"/>
        <v>0.6</v>
      </c>
      <c r="AN828" s="4">
        <f t="shared" si="103"/>
        <v>9.0874668686103744E-4</v>
      </c>
      <c r="AO828" s="3"/>
      <c r="AP828">
        <v>0</v>
      </c>
      <c r="AQ828" t="s">
        <v>895</v>
      </c>
      <c r="AR828" t="s">
        <v>2518</v>
      </c>
      <c r="AS828" t="s">
        <v>893</v>
      </c>
      <c r="AT828" s="2" t="s">
        <v>16</v>
      </c>
      <c r="AU828" s="1">
        <f t="shared" si="107"/>
        <v>2.1724267048155426</v>
      </c>
      <c r="AV828" s="1">
        <f t="shared" si="108"/>
        <v>1.5776975516357028</v>
      </c>
      <c r="AW828" s="1">
        <f t="shared" si="109"/>
        <v>0.98296839845586315</v>
      </c>
    </row>
    <row r="829" spans="1:49" x14ac:dyDescent="0.2">
      <c r="A829">
        <v>827</v>
      </c>
      <c r="B829" t="s">
        <v>2517</v>
      </c>
      <c r="C829" t="s">
        <v>2516</v>
      </c>
      <c r="F829" t="s">
        <v>2515</v>
      </c>
      <c r="G829" t="s">
        <v>12</v>
      </c>
      <c r="H829" t="s">
        <v>11</v>
      </c>
      <c r="I829" t="s">
        <v>2514</v>
      </c>
      <c r="J829">
        <v>60016849</v>
      </c>
      <c r="K829" t="s">
        <v>2513</v>
      </c>
      <c r="L829" t="s">
        <v>2512</v>
      </c>
      <c r="M829" t="s">
        <v>393</v>
      </c>
      <c r="N829">
        <v>4</v>
      </c>
      <c r="O829" t="s">
        <v>2511</v>
      </c>
      <c r="P829" t="s">
        <v>2510</v>
      </c>
      <c r="Q829" t="s">
        <v>2509</v>
      </c>
      <c r="R829" s="7">
        <v>33604</v>
      </c>
      <c r="S829" s="8">
        <f t="shared" si="104"/>
        <v>1992</v>
      </c>
      <c r="T829" s="8">
        <v>1992</v>
      </c>
      <c r="U829" s="8">
        <f t="shared" si="105"/>
        <v>30</v>
      </c>
      <c r="V829" s="7">
        <v>33635</v>
      </c>
      <c r="W829" t="s">
        <v>2508</v>
      </c>
      <c r="X829" s="2">
        <v>0.76800000000000002</v>
      </c>
      <c r="Y829" s="6">
        <f t="shared" si="102"/>
        <v>2.0501321374229199E-2</v>
      </c>
      <c r="AA829" t="s">
        <v>2507</v>
      </c>
      <c r="AB829">
        <v>25901</v>
      </c>
      <c r="AC829">
        <v>10990518</v>
      </c>
      <c r="AD829" t="s">
        <v>4</v>
      </c>
      <c r="AE829">
        <v>30</v>
      </c>
      <c r="AF829">
        <v>2</v>
      </c>
      <c r="AH829" t="s">
        <v>2506</v>
      </c>
      <c r="AI829" t="s">
        <v>2505</v>
      </c>
      <c r="AJ829" t="s">
        <v>2504</v>
      </c>
      <c r="AK829" t="s">
        <v>2503</v>
      </c>
      <c r="AL829">
        <v>11</v>
      </c>
      <c r="AM829" s="5">
        <f t="shared" si="106"/>
        <v>0.36666666666666664</v>
      </c>
      <c r="AN829" s="4">
        <f t="shared" si="103"/>
        <v>5.5534519752618958E-4</v>
      </c>
      <c r="AO829" s="3"/>
      <c r="AP829">
        <v>0</v>
      </c>
      <c r="AR829" t="s">
        <v>0</v>
      </c>
      <c r="AT829" s="2" t="s">
        <v>16</v>
      </c>
      <c r="AU829" s="1">
        <f t="shared" si="107"/>
        <v>1.4517528521218295</v>
      </c>
      <c r="AV829" s="1">
        <f t="shared" si="108"/>
        <v>1.0528333285877693</v>
      </c>
      <c r="AW829" s="1">
        <f t="shared" si="109"/>
        <v>0.65391380505370922</v>
      </c>
    </row>
    <row r="830" spans="1:49" x14ac:dyDescent="0.2">
      <c r="A830">
        <v>828</v>
      </c>
      <c r="B830" t="s">
        <v>2502</v>
      </c>
      <c r="C830" t="s">
        <v>2501</v>
      </c>
      <c r="F830" t="s">
        <v>2500</v>
      </c>
      <c r="G830" t="s">
        <v>12</v>
      </c>
      <c r="H830" t="s">
        <v>11</v>
      </c>
      <c r="I830" t="s">
        <v>2499</v>
      </c>
      <c r="J830">
        <v>60021378</v>
      </c>
      <c r="K830" t="s">
        <v>2498</v>
      </c>
      <c r="L830" t="s">
        <v>2497</v>
      </c>
      <c r="M830" t="s">
        <v>7</v>
      </c>
      <c r="N830">
        <v>3</v>
      </c>
      <c r="O830" t="s">
        <v>2496</v>
      </c>
      <c r="P830" t="s">
        <v>2495</v>
      </c>
      <c r="Q830" t="s">
        <v>2494</v>
      </c>
      <c r="R830" s="7">
        <v>33604</v>
      </c>
      <c r="S830" s="8">
        <f t="shared" si="104"/>
        <v>1992</v>
      </c>
      <c r="T830" s="8">
        <v>1992</v>
      </c>
      <c r="U830" s="8">
        <f t="shared" si="105"/>
        <v>30</v>
      </c>
      <c r="V830" s="7">
        <v>33635</v>
      </c>
      <c r="W830" t="s">
        <v>33</v>
      </c>
      <c r="X830" s="2">
        <v>1.468</v>
      </c>
      <c r="Y830" s="6">
        <f t="shared" si="102"/>
        <v>3.9187421585115186E-2</v>
      </c>
      <c r="AA830">
        <v>906778</v>
      </c>
      <c r="AB830">
        <v>18931</v>
      </c>
      <c r="AD830" t="s">
        <v>4</v>
      </c>
      <c r="AE830">
        <v>40</v>
      </c>
      <c r="AF830">
        <v>2</v>
      </c>
      <c r="AH830" t="s">
        <v>2493</v>
      </c>
      <c r="AI830" t="s">
        <v>2492</v>
      </c>
      <c r="AK830" t="s">
        <v>2491</v>
      </c>
      <c r="AL830">
        <v>1</v>
      </c>
      <c r="AM830" s="5">
        <f t="shared" si="106"/>
        <v>3.3333333333333333E-2</v>
      </c>
      <c r="AN830" s="4">
        <f t="shared" si="103"/>
        <v>5.0485927047835418E-5</v>
      </c>
      <c r="AO830" s="3"/>
      <c r="AP830">
        <v>0</v>
      </c>
      <c r="AR830" t="s">
        <v>0</v>
      </c>
      <c r="AT830" s="2">
        <v>5.0830000000000002</v>
      </c>
      <c r="AU830" s="1">
        <f t="shared" si="107"/>
        <v>2.744634088769498</v>
      </c>
      <c r="AV830" s="1">
        <f t="shared" si="108"/>
        <v>1.9618953756081512</v>
      </c>
      <c r="AW830" s="1">
        <f t="shared" si="109"/>
        <v>1.1791566624468042</v>
      </c>
    </row>
    <row r="831" spans="1:49" x14ac:dyDescent="0.2">
      <c r="A831">
        <v>829</v>
      </c>
      <c r="B831" t="s">
        <v>2490</v>
      </c>
      <c r="C831" t="s">
        <v>2489</v>
      </c>
      <c r="E831">
        <v>1556632</v>
      </c>
      <c r="F831" t="s">
        <v>2488</v>
      </c>
      <c r="G831" t="s">
        <v>12</v>
      </c>
      <c r="H831" t="s">
        <v>11</v>
      </c>
      <c r="I831" t="s">
        <v>2487</v>
      </c>
      <c r="J831">
        <v>60005455</v>
      </c>
      <c r="K831" t="s">
        <v>647</v>
      </c>
      <c r="L831" t="s">
        <v>646</v>
      </c>
      <c r="M831" t="s">
        <v>7</v>
      </c>
      <c r="N831">
        <v>3</v>
      </c>
      <c r="O831" t="s">
        <v>2486</v>
      </c>
      <c r="P831" t="s">
        <v>2485</v>
      </c>
      <c r="Q831" t="s">
        <v>2484</v>
      </c>
      <c r="R831" s="7">
        <v>33604</v>
      </c>
      <c r="S831" s="8">
        <f t="shared" si="104"/>
        <v>1992</v>
      </c>
      <c r="T831" s="8">
        <v>1992</v>
      </c>
      <c r="U831" s="8">
        <f t="shared" si="105"/>
        <v>30</v>
      </c>
      <c r="V831" s="7">
        <v>1992</v>
      </c>
      <c r="W831" t="s">
        <v>2483</v>
      </c>
      <c r="X831" s="2">
        <v>0.51100000000000001</v>
      </c>
      <c r="Y831" s="6">
        <f t="shared" si="102"/>
        <v>1.3640853153946772E-2</v>
      </c>
      <c r="AA831">
        <v>1677063</v>
      </c>
      <c r="AB831">
        <v>16746</v>
      </c>
      <c r="AD831" t="s">
        <v>4</v>
      </c>
      <c r="AE831">
        <v>8</v>
      </c>
      <c r="AF831">
        <v>1</v>
      </c>
      <c r="AH831" t="s">
        <v>1401</v>
      </c>
      <c r="AI831" t="s">
        <v>2482</v>
      </c>
      <c r="AJ831" t="s">
        <v>2481</v>
      </c>
      <c r="AK831" t="s">
        <v>2480</v>
      </c>
      <c r="AL831">
        <v>40</v>
      </c>
      <c r="AM831" s="5">
        <f t="shared" si="106"/>
        <v>1.3333333333333333</v>
      </c>
      <c r="AN831" s="4">
        <f t="shared" si="103"/>
        <v>2.0194370819134164E-3</v>
      </c>
      <c r="AO831" s="3"/>
      <c r="AP831">
        <v>0</v>
      </c>
      <c r="AQ831" t="s">
        <v>876</v>
      </c>
      <c r="AR831" t="s">
        <v>0</v>
      </c>
      <c r="AS831" t="s">
        <v>874</v>
      </c>
      <c r="AT831" s="2">
        <v>1.25</v>
      </c>
      <c r="AU831" s="1">
        <f t="shared" si="107"/>
        <v>1.0154428332336765</v>
      </c>
      <c r="AV831" s="1">
        <f t="shared" si="108"/>
        <v>0.78301451179300952</v>
      </c>
      <c r="AW831" s="1">
        <f t="shared" si="109"/>
        <v>0.55058619035234235</v>
      </c>
    </row>
    <row r="832" spans="1:49" x14ac:dyDescent="0.2">
      <c r="A832">
        <v>830</v>
      </c>
      <c r="B832" t="s">
        <v>2479</v>
      </c>
      <c r="C832" t="s">
        <v>2478</v>
      </c>
      <c r="F832" t="s">
        <v>2477</v>
      </c>
      <c r="G832" t="s">
        <v>12</v>
      </c>
      <c r="H832" t="s">
        <v>11</v>
      </c>
      <c r="I832" t="s">
        <v>2476</v>
      </c>
      <c r="J832">
        <v>60027090</v>
      </c>
      <c r="K832" t="s">
        <v>2475</v>
      </c>
      <c r="L832" t="s">
        <v>2474</v>
      </c>
      <c r="M832" t="s">
        <v>7</v>
      </c>
      <c r="N832">
        <v>2</v>
      </c>
      <c r="O832" t="s">
        <v>2473</v>
      </c>
      <c r="P832" t="s">
        <v>2472</v>
      </c>
      <c r="Q832" t="s">
        <v>2471</v>
      </c>
      <c r="R832" s="7">
        <v>33604</v>
      </c>
      <c r="S832" s="8">
        <f t="shared" si="104"/>
        <v>1992</v>
      </c>
      <c r="T832" s="8">
        <v>1992</v>
      </c>
      <c r="U832" s="8">
        <f t="shared" si="105"/>
        <v>30</v>
      </c>
      <c r="V832" s="7">
        <v>33635</v>
      </c>
      <c r="W832" t="s">
        <v>33</v>
      </c>
      <c r="X832" s="2">
        <v>1.468</v>
      </c>
      <c r="Y832" s="6">
        <f t="shared" si="102"/>
        <v>3.9187421585115186E-2</v>
      </c>
      <c r="AA832">
        <v>906778</v>
      </c>
      <c r="AB832">
        <v>18931</v>
      </c>
      <c r="AD832" t="s">
        <v>4</v>
      </c>
      <c r="AE832">
        <v>40</v>
      </c>
      <c r="AF832">
        <v>2</v>
      </c>
      <c r="AH832" t="s">
        <v>2470</v>
      </c>
      <c r="AI832" t="s">
        <v>2469</v>
      </c>
      <c r="AK832" t="s">
        <v>2468</v>
      </c>
      <c r="AL832">
        <v>72</v>
      </c>
      <c r="AM832" s="5">
        <f t="shared" si="106"/>
        <v>2.4</v>
      </c>
      <c r="AN832" s="4">
        <f t="shared" si="103"/>
        <v>3.6349867474441497E-3</v>
      </c>
      <c r="AO832" s="3"/>
      <c r="AP832">
        <v>0</v>
      </c>
      <c r="AR832" t="s">
        <v>0</v>
      </c>
      <c r="AT832" s="2">
        <v>5.0830000000000002</v>
      </c>
      <c r="AU832" s="1">
        <f t="shared" si="107"/>
        <v>2.8521691133813873</v>
      </c>
      <c r="AV832" s="1">
        <f t="shared" si="108"/>
        <v>2.1411204166279667</v>
      </c>
      <c r="AW832" s="1">
        <f t="shared" si="109"/>
        <v>1.4300717198745461</v>
      </c>
    </row>
    <row r="833" spans="1:49" x14ac:dyDescent="0.2">
      <c r="A833">
        <v>831</v>
      </c>
      <c r="B833" t="s">
        <v>2467</v>
      </c>
      <c r="C833" t="s">
        <v>2466</v>
      </c>
      <c r="F833" t="s">
        <v>2465</v>
      </c>
      <c r="G833" t="s">
        <v>12</v>
      </c>
      <c r="H833" t="s">
        <v>11</v>
      </c>
      <c r="I833" t="s">
        <v>2464</v>
      </c>
      <c r="J833">
        <v>60003500</v>
      </c>
      <c r="K833" t="s">
        <v>1690</v>
      </c>
      <c r="L833" t="s">
        <v>1689</v>
      </c>
      <c r="M833" t="s">
        <v>7</v>
      </c>
      <c r="N833">
        <v>2</v>
      </c>
      <c r="O833" t="s">
        <v>2463</v>
      </c>
      <c r="P833" t="s">
        <v>2462</v>
      </c>
      <c r="Q833" t="s">
        <v>1686</v>
      </c>
      <c r="R833" s="7">
        <v>33604</v>
      </c>
      <c r="S833" s="8">
        <f t="shared" si="104"/>
        <v>1992</v>
      </c>
      <c r="T833" s="8">
        <v>1992</v>
      </c>
      <c r="U833" s="8">
        <f t="shared" si="105"/>
        <v>30</v>
      </c>
      <c r="V833" s="7">
        <v>33635</v>
      </c>
      <c r="W833" t="s">
        <v>33</v>
      </c>
      <c r="X833" s="2">
        <v>1.468</v>
      </c>
      <c r="Y833" s="6">
        <f t="shared" si="102"/>
        <v>3.9187421585115186E-2</v>
      </c>
      <c r="AA833">
        <v>906778</v>
      </c>
      <c r="AB833">
        <v>18931</v>
      </c>
      <c r="AD833" t="s">
        <v>4</v>
      </c>
      <c r="AE833">
        <v>40</v>
      </c>
      <c r="AF833">
        <v>2</v>
      </c>
      <c r="AH833" t="s">
        <v>2461</v>
      </c>
      <c r="AI833" t="s">
        <v>2460</v>
      </c>
      <c r="AK833" t="s">
        <v>2459</v>
      </c>
      <c r="AL833">
        <v>66</v>
      </c>
      <c r="AM833" s="5">
        <f t="shared" si="106"/>
        <v>2.2000000000000002</v>
      </c>
      <c r="AN833" s="4">
        <f t="shared" si="103"/>
        <v>3.3320711851571377E-3</v>
      </c>
      <c r="AO833" s="3"/>
      <c r="AP833">
        <v>0</v>
      </c>
      <c r="AQ833" t="s">
        <v>190</v>
      </c>
      <c r="AR833" t="s">
        <v>2458</v>
      </c>
      <c r="AS833" t="s">
        <v>188</v>
      </c>
      <c r="AT833" s="2">
        <v>5.0830000000000002</v>
      </c>
      <c r="AU833" s="1">
        <f t="shared" si="107"/>
        <v>2.8430816465127768</v>
      </c>
      <c r="AV833" s="1">
        <f t="shared" si="108"/>
        <v>2.125974638513616</v>
      </c>
      <c r="AW833" s="1">
        <f t="shared" si="109"/>
        <v>1.4088676305144552</v>
      </c>
    </row>
    <row r="834" spans="1:49" x14ac:dyDescent="0.2">
      <c r="A834">
        <v>832</v>
      </c>
      <c r="B834" t="s">
        <v>2457</v>
      </c>
      <c r="F834" t="s">
        <v>2456</v>
      </c>
      <c r="G834" t="s">
        <v>12</v>
      </c>
      <c r="H834" t="s">
        <v>11</v>
      </c>
      <c r="R834" s="7">
        <v>33604</v>
      </c>
      <c r="S834" s="8">
        <f t="shared" si="104"/>
        <v>1992</v>
      </c>
      <c r="T834" s="8">
        <v>1992</v>
      </c>
      <c r="U834" s="8">
        <f t="shared" si="105"/>
        <v>30</v>
      </c>
      <c r="V834" s="7">
        <v>1992</v>
      </c>
      <c r="W834" t="s">
        <v>2455</v>
      </c>
      <c r="X834" s="2" t="s">
        <v>16</v>
      </c>
      <c r="Y834" s="6" t="e">
        <f t="shared" ref="Y834:Y897" si="110">(X834-$Z$4)/($Z$3-$Z$4)</f>
        <v>#VALUE!</v>
      </c>
      <c r="AB834">
        <v>31326</v>
      </c>
      <c r="AD834" t="s">
        <v>4</v>
      </c>
      <c r="AE834">
        <v>14</v>
      </c>
      <c r="AF834">
        <v>8</v>
      </c>
      <c r="AH834" t="s">
        <v>2454</v>
      </c>
      <c r="AI834" t="s">
        <v>2453</v>
      </c>
      <c r="AK834" t="s">
        <v>2452</v>
      </c>
      <c r="AL834">
        <v>0</v>
      </c>
      <c r="AM834" s="5">
        <f t="shared" si="106"/>
        <v>0</v>
      </c>
      <c r="AN834" s="4">
        <f t="shared" ref="AN834:AN897" si="111">(AM834-$AO$4)/($AO$3-$AO$4)</f>
        <v>0</v>
      </c>
      <c r="AO834" s="3"/>
      <c r="AP834">
        <v>0</v>
      </c>
      <c r="AR834" t="s">
        <v>0</v>
      </c>
      <c r="AT834" s="2" t="s">
        <v>16</v>
      </c>
      <c r="AU834" s="1" t="e">
        <f t="shared" si="107"/>
        <v>#VALUE!</v>
      </c>
      <c r="AV834" s="1" t="e">
        <f t="shared" si="108"/>
        <v>#VALUE!</v>
      </c>
      <c r="AW834" s="1" t="e">
        <f t="shared" si="109"/>
        <v>#VALUE!</v>
      </c>
    </row>
    <row r="835" spans="1:49" x14ac:dyDescent="0.2">
      <c r="A835">
        <v>833</v>
      </c>
      <c r="B835" t="s">
        <v>2451</v>
      </c>
      <c r="C835" t="s">
        <v>2450</v>
      </c>
      <c r="F835" t="s">
        <v>2449</v>
      </c>
      <c r="G835" t="s">
        <v>12</v>
      </c>
      <c r="H835" t="s">
        <v>11</v>
      </c>
      <c r="I835" t="s">
        <v>2448</v>
      </c>
      <c r="N835">
        <v>5</v>
      </c>
      <c r="O835" t="s">
        <v>2447</v>
      </c>
      <c r="P835" t="s">
        <v>2446</v>
      </c>
      <c r="Q835" t="s">
        <v>2445</v>
      </c>
      <c r="R835" s="7">
        <v>33604</v>
      </c>
      <c r="S835" s="8">
        <f t="shared" si="104"/>
        <v>1992</v>
      </c>
      <c r="T835" s="8">
        <v>1992</v>
      </c>
      <c r="U835" s="8">
        <f t="shared" si="105"/>
        <v>30</v>
      </c>
      <c r="V835" s="7">
        <v>1992</v>
      </c>
      <c r="W835" t="s">
        <v>801</v>
      </c>
      <c r="X835" s="2" t="s">
        <v>16</v>
      </c>
      <c r="Y835" s="6" t="e">
        <f t="shared" si="110"/>
        <v>#VALUE!</v>
      </c>
      <c r="AB835">
        <v>13549</v>
      </c>
      <c r="AD835" t="s">
        <v>4</v>
      </c>
      <c r="AE835">
        <v>9</v>
      </c>
      <c r="AF835">
        <v>3</v>
      </c>
      <c r="AH835" t="s">
        <v>2444</v>
      </c>
      <c r="AI835" t="s">
        <v>2443</v>
      </c>
      <c r="AK835" t="s">
        <v>2442</v>
      </c>
      <c r="AL835">
        <v>13</v>
      </c>
      <c r="AM835" s="5">
        <f t="shared" si="106"/>
        <v>0.43333333333333335</v>
      </c>
      <c r="AN835" s="4">
        <f t="shared" si="111"/>
        <v>6.5631705162186044E-4</v>
      </c>
      <c r="AO835" s="3"/>
      <c r="AP835">
        <v>0</v>
      </c>
      <c r="AR835" t="s">
        <v>0</v>
      </c>
      <c r="AT835" s="2" t="s">
        <v>16</v>
      </c>
      <c r="AU835" s="1" t="e">
        <f t="shared" si="107"/>
        <v>#VALUE!</v>
      </c>
      <c r="AV835" s="1" t="e">
        <f t="shared" si="108"/>
        <v>#VALUE!</v>
      </c>
      <c r="AW835" s="1" t="e">
        <f t="shared" si="109"/>
        <v>#VALUE!</v>
      </c>
    </row>
    <row r="836" spans="1:49" x14ac:dyDescent="0.2">
      <c r="A836">
        <v>834</v>
      </c>
      <c r="B836" t="s">
        <v>2441</v>
      </c>
      <c r="C836" t="s">
        <v>2440</v>
      </c>
      <c r="E836">
        <v>1346506</v>
      </c>
      <c r="F836" t="s">
        <v>2439</v>
      </c>
      <c r="G836" t="s">
        <v>12</v>
      </c>
      <c r="H836" t="s">
        <v>11</v>
      </c>
      <c r="I836" t="s">
        <v>2438</v>
      </c>
      <c r="J836" t="s">
        <v>2432</v>
      </c>
      <c r="K836" t="s">
        <v>2437</v>
      </c>
      <c r="L836" t="s">
        <v>2436</v>
      </c>
      <c r="M836" t="s">
        <v>2435</v>
      </c>
      <c r="N836">
        <v>2</v>
      </c>
      <c r="O836" t="s">
        <v>2434</v>
      </c>
      <c r="P836" t="s">
        <v>2433</v>
      </c>
      <c r="Q836" t="s">
        <v>2432</v>
      </c>
      <c r="R836" s="7">
        <v>33604</v>
      </c>
      <c r="S836" s="8">
        <f t="shared" si="104"/>
        <v>1992</v>
      </c>
      <c r="T836" s="8">
        <v>1992</v>
      </c>
      <c r="U836" s="8">
        <f t="shared" si="105"/>
        <v>30</v>
      </c>
      <c r="V836" s="7">
        <v>33604</v>
      </c>
      <c r="W836" t="s">
        <v>1901</v>
      </c>
      <c r="X836" s="2" t="s">
        <v>16</v>
      </c>
      <c r="Y836" s="6" t="e">
        <f t="shared" si="110"/>
        <v>#VALUE!</v>
      </c>
      <c r="AA836" t="s">
        <v>1900</v>
      </c>
      <c r="AB836">
        <v>18446</v>
      </c>
      <c r="AC836">
        <v>14320878</v>
      </c>
      <c r="AD836" t="s">
        <v>4</v>
      </c>
      <c r="AE836">
        <v>267</v>
      </c>
      <c r="AF836">
        <v>1</v>
      </c>
      <c r="AH836" t="s">
        <v>2431</v>
      </c>
      <c r="AI836" t="s">
        <v>2430</v>
      </c>
      <c r="AJ836" t="s">
        <v>2429</v>
      </c>
      <c r="AK836" t="s">
        <v>2428</v>
      </c>
      <c r="AL836">
        <v>179</v>
      </c>
      <c r="AM836" s="5">
        <f t="shared" si="106"/>
        <v>5.9666666666666668</v>
      </c>
      <c r="AN836" s="4">
        <f t="shared" si="111"/>
        <v>9.0369809415625398E-3</v>
      </c>
      <c r="AO836" s="3"/>
      <c r="AP836">
        <v>0</v>
      </c>
      <c r="AR836" t="s">
        <v>0</v>
      </c>
      <c r="AT836" s="2" t="s">
        <v>16</v>
      </c>
      <c r="AU836" s="1" t="e">
        <f t="shared" si="107"/>
        <v>#VALUE!</v>
      </c>
      <c r="AV836" s="1" t="e">
        <f t="shared" si="108"/>
        <v>#VALUE!</v>
      </c>
      <c r="AW836" s="1" t="e">
        <f t="shared" si="109"/>
        <v>#VALUE!</v>
      </c>
    </row>
    <row r="837" spans="1:49" x14ac:dyDescent="0.2">
      <c r="A837">
        <v>835</v>
      </c>
      <c r="B837" t="s">
        <v>2427</v>
      </c>
      <c r="C837" t="s">
        <v>2426</v>
      </c>
      <c r="D837" t="s">
        <v>2425</v>
      </c>
      <c r="E837">
        <v>1384218</v>
      </c>
      <c r="F837" t="s">
        <v>2424</v>
      </c>
      <c r="G837" t="s">
        <v>12</v>
      </c>
      <c r="H837" t="s">
        <v>11</v>
      </c>
      <c r="I837" t="s">
        <v>2423</v>
      </c>
      <c r="J837" t="s">
        <v>2422</v>
      </c>
      <c r="K837" t="s">
        <v>2421</v>
      </c>
      <c r="L837" t="s">
        <v>2420</v>
      </c>
      <c r="M837" t="s">
        <v>2419</v>
      </c>
      <c r="N837">
        <v>7</v>
      </c>
      <c r="O837" t="s">
        <v>2418</v>
      </c>
      <c r="P837" t="s">
        <v>2417</v>
      </c>
      <c r="Q837" t="s">
        <v>2416</v>
      </c>
      <c r="R837" s="7">
        <v>33604</v>
      </c>
      <c r="S837" s="8">
        <f t="shared" si="104"/>
        <v>1992</v>
      </c>
      <c r="T837" s="8">
        <v>1992</v>
      </c>
      <c r="U837" s="8">
        <f t="shared" si="105"/>
        <v>30</v>
      </c>
      <c r="V837" s="7">
        <v>33878</v>
      </c>
      <c r="W837" t="s">
        <v>2415</v>
      </c>
      <c r="X837" s="2">
        <v>0.86099999999999999</v>
      </c>
      <c r="Y837" s="6">
        <f t="shared" si="110"/>
        <v>2.2983903259389767E-2</v>
      </c>
      <c r="AA837">
        <v>904295</v>
      </c>
      <c r="AB837">
        <v>20558</v>
      </c>
      <c r="AC837">
        <v>15279995</v>
      </c>
      <c r="AD837" t="s">
        <v>4</v>
      </c>
      <c r="AE837">
        <v>40</v>
      </c>
      <c r="AF837">
        <v>4</v>
      </c>
      <c r="AH837" t="s">
        <v>2414</v>
      </c>
      <c r="AI837" t="s">
        <v>2413</v>
      </c>
      <c r="AK837" t="s">
        <v>2412</v>
      </c>
      <c r="AL837">
        <v>12</v>
      </c>
      <c r="AM837" s="5">
        <f t="shared" si="106"/>
        <v>0.4</v>
      </c>
      <c r="AN837" s="4">
        <f t="shared" si="111"/>
        <v>6.0583112457402507E-4</v>
      </c>
      <c r="AO837" s="3"/>
      <c r="AP837">
        <v>0</v>
      </c>
      <c r="AR837" t="s">
        <v>0</v>
      </c>
      <c r="AT837" s="2">
        <v>2.649</v>
      </c>
      <c r="AU837" s="1">
        <f t="shared" si="107"/>
        <v>1.6270481618945045</v>
      </c>
      <c r="AV837" s="1">
        <f t="shared" si="108"/>
        <v>1.1794867191981897</v>
      </c>
      <c r="AW837" s="1">
        <f t="shared" si="109"/>
        <v>0.73192527650187467</v>
      </c>
    </row>
    <row r="838" spans="1:49" x14ac:dyDescent="0.2">
      <c r="A838">
        <v>836</v>
      </c>
      <c r="B838" t="s">
        <v>2411</v>
      </c>
      <c r="C838" t="s">
        <v>2410</v>
      </c>
      <c r="E838">
        <v>1392063</v>
      </c>
      <c r="F838" t="s">
        <v>2409</v>
      </c>
      <c r="G838" t="s">
        <v>12</v>
      </c>
      <c r="H838" t="s">
        <v>11</v>
      </c>
      <c r="I838" t="s">
        <v>2408</v>
      </c>
      <c r="J838">
        <v>60029170</v>
      </c>
      <c r="K838" t="s">
        <v>2407</v>
      </c>
      <c r="L838" t="s">
        <v>2406</v>
      </c>
      <c r="M838" t="s">
        <v>1091</v>
      </c>
      <c r="N838">
        <v>3</v>
      </c>
      <c r="O838" t="s">
        <v>2405</v>
      </c>
      <c r="P838" t="s">
        <v>2404</v>
      </c>
      <c r="Q838" t="s">
        <v>2403</v>
      </c>
      <c r="R838" s="7">
        <v>33604</v>
      </c>
      <c r="S838" s="8">
        <f t="shared" si="104"/>
        <v>1992</v>
      </c>
      <c r="T838" s="8">
        <v>1992</v>
      </c>
      <c r="U838" s="8">
        <f t="shared" si="105"/>
        <v>30</v>
      </c>
      <c r="V838" s="7">
        <v>33848</v>
      </c>
      <c r="W838" t="s">
        <v>1511</v>
      </c>
      <c r="X838" s="2">
        <v>0.53600000000000003</v>
      </c>
      <c r="Y838" s="6">
        <f t="shared" si="110"/>
        <v>1.430821387576413E-2</v>
      </c>
      <c r="AA838" t="s">
        <v>1510</v>
      </c>
      <c r="AB838">
        <v>20920</v>
      </c>
      <c r="AC838">
        <v>10970029</v>
      </c>
      <c r="AD838" t="s">
        <v>4</v>
      </c>
      <c r="AE838">
        <v>22</v>
      </c>
      <c r="AF838">
        <v>4</v>
      </c>
      <c r="AH838" t="s">
        <v>2402</v>
      </c>
      <c r="AI838" t="s">
        <v>2401</v>
      </c>
      <c r="AJ838" t="s">
        <v>2400</v>
      </c>
      <c r="AK838" t="s">
        <v>2399</v>
      </c>
      <c r="AL838">
        <v>100</v>
      </c>
      <c r="AM838" s="5">
        <f t="shared" si="106"/>
        <v>3.3333333333333335</v>
      </c>
      <c r="AN838" s="4">
        <f t="shared" si="111"/>
        <v>5.0485927047835416E-3</v>
      </c>
      <c r="AO838" s="3"/>
      <c r="AP838">
        <v>0</v>
      </c>
      <c r="AR838" t="s">
        <v>0</v>
      </c>
      <c r="AT838" s="2">
        <v>2.7690000000000001</v>
      </c>
      <c r="AU838" s="1">
        <f t="shared" si="107"/>
        <v>1.1530327524469954</v>
      </c>
      <c r="AV838" s="1">
        <f t="shared" si="108"/>
        <v>0.96784032902738348</v>
      </c>
      <c r="AW838" s="1">
        <f t="shared" si="109"/>
        <v>0.78264790560777175</v>
      </c>
    </row>
    <row r="839" spans="1:49" x14ac:dyDescent="0.2">
      <c r="A839">
        <v>837</v>
      </c>
      <c r="B839" t="s">
        <v>2398</v>
      </c>
      <c r="C839" t="s">
        <v>2397</v>
      </c>
      <c r="F839" t="s">
        <v>2396</v>
      </c>
      <c r="G839" t="s">
        <v>12</v>
      </c>
      <c r="H839" t="s">
        <v>11</v>
      </c>
      <c r="I839" t="s">
        <v>2395</v>
      </c>
      <c r="J839">
        <v>60018319</v>
      </c>
      <c r="K839" t="s">
        <v>2394</v>
      </c>
      <c r="L839" t="s">
        <v>2393</v>
      </c>
      <c r="M839" t="s">
        <v>7</v>
      </c>
      <c r="N839">
        <v>3</v>
      </c>
      <c r="O839" t="s">
        <v>2392</v>
      </c>
      <c r="P839" t="s">
        <v>2391</v>
      </c>
      <c r="Q839" t="s">
        <v>2390</v>
      </c>
      <c r="R839" s="7">
        <v>33604</v>
      </c>
      <c r="S839" s="8">
        <f t="shared" si="104"/>
        <v>1992</v>
      </c>
      <c r="T839" s="8">
        <v>1992</v>
      </c>
      <c r="U839" s="8">
        <f t="shared" si="105"/>
        <v>30</v>
      </c>
      <c r="V839" s="7">
        <v>1992</v>
      </c>
      <c r="W839" t="s">
        <v>1427</v>
      </c>
      <c r="X839" s="2">
        <v>0.61899999999999999</v>
      </c>
      <c r="Y839" s="6">
        <f t="shared" si="110"/>
        <v>1.6523851472197752E-2</v>
      </c>
      <c r="AA839">
        <v>14966</v>
      </c>
      <c r="AB839">
        <v>12936</v>
      </c>
      <c r="AD839" t="s">
        <v>4</v>
      </c>
      <c r="AE839">
        <v>92</v>
      </c>
      <c r="AF839" t="s">
        <v>2389</v>
      </c>
      <c r="AH839" t="s">
        <v>2388</v>
      </c>
      <c r="AL839">
        <v>0</v>
      </c>
      <c r="AM839" s="5">
        <f t="shared" si="106"/>
        <v>0</v>
      </c>
      <c r="AN839" s="4">
        <f t="shared" si="111"/>
        <v>0</v>
      </c>
      <c r="AO839" s="3"/>
      <c r="AP839">
        <v>0</v>
      </c>
      <c r="AR839" t="s">
        <v>0</v>
      </c>
      <c r="AT839" s="2" t="s">
        <v>16</v>
      </c>
      <c r="AU839" s="1">
        <f t="shared" si="107"/>
        <v>1.1566696030538426</v>
      </c>
      <c r="AV839" s="1">
        <f t="shared" si="108"/>
        <v>0.82619257360988763</v>
      </c>
      <c r="AW839" s="1">
        <f t="shared" si="109"/>
        <v>0.49571554416593261</v>
      </c>
    </row>
    <row r="840" spans="1:49" x14ac:dyDescent="0.2">
      <c r="A840">
        <v>838</v>
      </c>
      <c r="B840" t="s">
        <v>2387</v>
      </c>
      <c r="E840">
        <v>1425355</v>
      </c>
      <c r="F840" t="s">
        <v>2386</v>
      </c>
      <c r="G840" t="s">
        <v>12</v>
      </c>
      <c r="H840" t="s">
        <v>11</v>
      </c>
      <c r="I840" t="s">
        <v>2385</v>
      </c>
      <c r="J840">
        <v>60003269</v>
      </c>
      <c r="K840" t="s">
        <v>2384</v>
      </c>
      <c r="L840" t="s">
        <v>2383</v>
      </c>
      <c r="M840" t="s">
        <v>7</v>
      </c>
      <c r="N840">
        <v>3</v>
      </c>
      <c r="O840" t="s">
        <v>2382</v>
      </c>
      <c r="P840" t="s">
        <v>2381</v>
      </c>
      <c r="Q840" t="s">
        <v>2380</v>
      </c>
      <c r="R840" s="7">
        <v>33604</v>
      </c>
      <c r="S840" s="8">
        <f t="shared" si="104"/>
        <v>1992</v>
      </c>
      <c r="T840" s="8">
        <v>1992</v>
      </c>
      <c r="U840" s="8">
        <f t="shared" si="105"/>
        <v>30</v>
      </c>
      <c r="V840" s="7">
        <v>1992</v>
      </c>
      <c r="W840" t="s">
        <v>2379</v>
      </c>
      <c r="X840" s="2">
        <v>0.15</v>
      </c>
      <c r="Y840" s="6">
        <f t="shared" si="110"/>
        <v>4.0041643309041402E-3</v>
      </c>
      <c r="AA840">
        <v>9501991</v>
      </c>
      <c r="AB840">
        <v>14531</v>
      </c>
      <c r="AD840" t="s">
        <v>4</v>
      </c>
      <c r="AE840">
        <v>115</v>
      </c>
      <c r="AF840">
        <v>3</v>
      </c>
      <c r="AH840" t="s">
        <v>2378</v>
      </c>
      <c r="AJ840" t="s">
        <v>2377</v>
      </c>
      <c r="AL840">
        <v>57</v>
      </c>
      <c r="AM840" s="5">
        <f t="shared" si="106"/>
        <v>1.9</v>
      </c>
      <c r="AN840" s="4">
        <f t="shared" si="111"/>
        <v>2.8776978417266188E-3</v>
      </c>
      <c r="AO840" s="3"/>
      <c r="AP840">
        <v>0</v>
      </c>
      <c r="AQ840" t="s">
        <v>2376</v>
      </c>
      <c r="AR840" t="s">
        <v>2375</v>
      </c>
      <c r="AS840" t="s">
        <v>2374</v>
      </c>
      <c r="AT840" s="2">
        <v>6.8680000000000003</v>
      </c>
      <c r="AU840" s="1">
        <f t="shared" si="107"/>
        <v>0.3666224384150884</v>
      </c>
      <c r="AV840" s="1">
        <f t="shared" si="108"/>
        <v>0.34409310863153797</v>
      </c>
      <c r="AW840" s="1">
        <f t="shared" si="109"/>
        <v>0.32156377884798748</v>
      </c>
    </row>
    <row r="841" spans="1:49" x14ac:dyDescent="0.2">
      <c r="A841">
        <v>839</v>
      </c>
      <c r="B841" t="s">
        <v>2373</v>
      </c>
      <c r="C841" t="s">
        <v>2372</v>
      </c>
      <c r="D841" t="s">
        <v>2371</v>
      </c>
      <c r="E841">
        <v>1405556</v>
      </c>
      <c r="F841" t="s">
        <v>2370</v>
      </c>
      <c r="G841" t="s">
        <v>12</v>
      </c>
      <c r="H841" t="s">
        <v>11</v>
      </c>
      <c r="I841" t="s">
        <v>2369</v>
      </c>
      <c r="J841">
        <v>60005681</v>
      </c>
      <c r="K841" t="s">
        <v>2368</v>
      </c>
      <c r="L841" t="s">
        <v>2367</v>
      </c>
      <c r="M841" t="s">
        <v>1548</v>
      </c>
      <c r="N841">
        <v>3</v>
      </c>
      <c r="O841" t="s">
        <v>2366</v>
      </c>
      <c r="P841" t="s">
        <v>2365</v>
      </c>
      <c r="Q841" t="s">
        <v>2364</v>
      </c>
      <c r="R841" s="7">
        <v>33604</v>
      </c>
      <c r="S841" s="8">
        <f t="shared" si="104"/>
        <v>1992</v>
      </c>
      <c r="T841" s="8">
        <v>1992</v>
      </c>
      <c r="U841" s="8">
        <f t="shared" si="105"/>
        <v>30</v>
      </c>
      <c r="V841" s="7">
        <v>33848</v>
      </c>
      <c r="W841" t="s">
        <v>2363</v>
      </c>
      <c r="X841" s="2" t="s">
        <v>16</v>
      </c>
      <c r="Y841" s="6" t="e">
        <f t="shared" si="110"/>
        <v>#VALUE!</v>
      </c>
      <c r="AA841">
        <v>1415425</v>
      </c>
      <c r="AB841">
        <v>37667</v>
      </c>
      <c r="AD841" t="s">
        <v>4</v>
      </c>
      <c r="AE841">
        <v>14</v>
      </c>
      <c r="AF841">
        <v>5</v>
      </c>
      <c r="AH841" t="s">
        <v>2362</v>
      </c>
      <c r="AI841" t="s">
        <v>2361</v>
      </c>
      <c r="AJ841" t="s">
        <v>2360</v>
      </c>
      <c r="AK841" t="s">
        <v>2359</v>
      </c>
      <c r="AL841">
        <v>4</v>
      </c>
      <c r="AM841" s="5">
        <f t="shared" si="106"/>
        <v>0.13333333333333333</v>
      </c>
      <c r="AN841" s="4">
        <f t="shared" si="111"/>
        <v>2.0194370819134167E-4</v>
      </c>
      <c r="AO841" s="3"/>
      <c r="AP841">
        <v>0</v>
      </c>
      <c r="AR841" t="s">
        <v>0</v>
      </c>
      <c r="AT841" s="2" t="s">
        <v>16</v>
      </c>
      <c r="AU841" s="1" t="e">
        <f t="shared" si="107"/>
        <v>#VALUE!</v>
      </c>
      <c r="AV841" s="1" t="e">
        <f t="shared" si="108"/>
        <v>#VALUE!</v>
      </c>
      <c r="AW841" s="1" t="e">
        <f t="shared" si="109"/>
        <v>#VALUE!</v>
      </c>
    </row>
    <row r="842" spans="1:49" x14ac:dyDescent="0.2">
      <c r="A842">
        <v>840</v>
      </c>
      <c r="B842" t="s">
        <v>2358</v>
      </c>
      <c r="C842" t="s">
        <v>2357</v>
      </c>
      <c r="F842" t="s">
        <v>2356</v>
      </c>
      <c r="G842" t="s">
        <v>12</v>
      </c>
      <c r="H842" t="s">
        <v>11</v>
      </c>
      <c r="I842" t="s">
        <v>2355</v>
      </c>
      <c r="J842">
        <v>60023053</v>
      </c>
      <c r="K842" t="s">
        <v>2354</v>
      </c>
      <c r="L842" t="s">
        <v>2353</v>
      </c>
      <c r="M842" t="s">
        <v>7</v>
      </c>
      <c r="N842">
        <v>2</v>
      </c>
      <c r="O842" t="s">
        <v>2352</v>
      </c>
      <c r="P842" t="s">
        <v>2351</v>
      </c>
      <c r="Q842" t="s">
        <v>2350</v>
      </c>
      <c r="R842" s="7">
        <v>33604</v>
      </c>
      <c r="S842" s="8">
        <f t="shared" si="104"/>
        <v>1992</v>
      </c>
      <c r="T842" s="8">
        <v>1992</v>
      </c>
      <c r="U842" s="8">
        <f t="shared" si="105"/>
        <v>30</v>
      </c>
      <c r="V842" s="7">
        <v>33604</v>
      </c>
      <c r="W842" t="s">
        <v>194</v>
      </c>
      <c r="X842" s="2">
        <v>2.383</v>
      </c>
      <c r="Y842" s="6">
        <f t="shared" si="110"/>
        <v>6.3612824003630442E-2</v>
      </c>
      <c r="AA842">
        <v>189219</v>
      </c>
      <c r="AB842">
        <v>17915</v>
      </c>
      <c r="AC842">
        <v>15582256</v>
      </c>
      <c r="AD842" t="s">
        <v>4</v>
      </c>
      <c r="AE842">
        <v>80</v>
      </c>
      <c r="AF842">
        <v>1</v>
      </c>
      <c r="AH842" t="s">
        <v>991</v>
      </c>
      <c r="AI842" t="s">
        <v>2349</v>
      </c>
      <c r="AK842" t="s">
        <v>2348</v>
      </c>
      <c r="AL842">
        <v>29</v>
      </c>
      <c r="AM842" s="5">
        <f t="shared" si="106"/>
        <v>0.96666666666666667</v>
      </c>
      <c r="AN842" s="4">
        <f t="shared" si="111"/>
        <v>1.4640918843872271E-3</v>
      </c>
      <c r="AO842" s="3"/>
      <c r="AP842">
        <v>0</v>
      </c>
      <c r="AR842" t="s">
        <v>0</v>
      </c>
      <c r="AT842" s="2">
        <v>10.961</v>
      </c>
      <c r="AU842" s="1">
        <f t="shared" si="107"/>
        <v>4.4968204367857476</v>
      </c>
      <c r="AV842" s="1">
        <f t="shared" si="108"/>
        <v>3.2538457944008838</v>
      </c>
      <c r="AW842" s="1">
        <f t="shared" si="109"/>
        <v>2.0108711520160192</v>
      </c>
    </row>
    <row r="843" spans="1:49" x14ac:dyDescent="0.2">
      <c r="A843">
        <v>841</v>
      </c>
      <c r="B843" t="s">
        <v>2347</v>
      </c>
      <c r="F843" t="s">
        <v>2346</v>
      </c>
      <c r="G843" t="s">
        <v>12</v>
      </c>
      <c r="H843" t="s">
        <v>11</v>
      </c>
      <c r="I843" t="s">
        <v>2345</v>
      </c>
      <c r="N843">
        <v>3</v>
      </c>
      <c r="O843" t="s">
        <v>2344</v>
      </c>
      <c r="P843" t="s">
        <v>2343</v>
      </c>
      <c r="Q843" t="s">
        <v>1191</v>
      </c>
      <c r="R843" s="7">
        <v>33604</v>
      </c>
      <c r="S843" s="8">
        <f t="shared" si="104"/>
        <v>1992</v>
      </c>
      <c r="T843" s="8">
        <v>1992</v>
      </c>
      <c r="U843" s="8">
        <f t="shared" si="105"/>
        <v>30</v>
      </c>
      <c r="V843" s="7">
        <v>1992</v>
      </c>
      <c r="W843" t="s">
        <v>1252</v>
      </c>
      <c r="X843" s="2" t="s">
        <v>16</v>
      </c>
      <c r="Y843" s="6" t="e">
        <f t="shared" si="110"/>
        <v>#VALUE!</v>
      </c>
      <c r="AA843">
        <v>87566648</v>
      </c>
      <c r="AB843">
        <v>74127</v>
      </c>
      <c r="AD843" t="s">
        <v>4</v>
      </c>
      <c r="AE843">
        <v>37</v>
      </c>
      <c r="AF843">
        <v>5</v>
      </c>
      <c r="AH843" t="s">
        <v>2342</v>
      </c>
      <c r="AI843" t="s">
        <v>2341</v>
      </c>
      <c r="AK843" t="s">
        <v>2340</v>
      </c>
      <c r="AL843">
        <v>0</v>
      </c>
      <c r="AM843" s="5">
        <f t="shared" si="106"/>
        <v>0</v>
      </c>
      <c r="AN843" s="4">
        <f t="shared" si="111"/>
        <v>0</v>
      </c>
      <c r="AO843" s="3"/>
      <c r="AP843">
        <v>0</v>
      </c>
      <c r="AR843" t="s">
        <v>0</v>
      </c>
      <c r="AT843" s="2" t="s">
        <v>16</v>
      </c>
      <c r="AU843" s="1" t="e">
        <f t="shared" si="107"/>
        <v>#VALUE!</v>
      </c>
      <c r="AV843" s="1" t="e">
        <f t="shared" si="108"/>
        <v>#VALUE!</v>
      </c>
      <c r="AW843" s="1" t="e">
        <f t="shared" si="109"/>
        <v>#VALUE!</v>
      </c>
    </row>
    <row r="844" spans="1:49" x14ac:dyDescent="0.2">
      <c r="A844">
        <v>842</v>
      </c>
      <c r="B844" t="s">
        <v>2339</v>
      </c>
      <c r="F844" t="s">
        <v>2338</v>
      </c>
      <c r="G844" t="s">
        <v>12</v>
      </c>
      <c r="H844" t="s">
        <v>11</v>
      </c>
      <c r="I844" t="s">
        <v>2337</v>
      </c>
      <c r="N844">
        <v>2</v>
      </c>
      <c r="O844" t="s">
        <v>2336</v>
      </c>
      <c r="P844" t="s">
        <v>2335</v>
      </c>
      <c r="Q844" t="s">
        <v>720</v>
      </c>
      <c r="R844" s="7">
        <v>33604</v>
      </c>
      <c r="S844" s="8">
        <f t="shared" si="104"/>
        <v>1992</v>
      </c>
      <c r="T844" s="8">
        <v>1992</v>
      </c>
      <c r="U844" s="8">
        <f t="shared" si="105"/>
        <v>30</v>
      </c>
      <c r="V844" s="7">
        <v>1992</v>
      </c>
      <c r="W844" t="s">
        <v>1252</v>
      </c>
      <c r="X844" s="2" t="s">
        <v>16</v>
      </c>
      <c r="Y844" s="6" t="e">
        <f t="shared" si="110"/>
        <v>#VALUE!</v>
      </c>
      <c r="AA844">
        <v>87566648</v>
      </c>
      <c r="AB844">
        <v>74127</v>
      </c>
      <c r="AD844" t="s">
        <v>4</v>
      </c>
      <c r="AE844">
        <v>37</v>
      </c>
      <c r="AF844">
        <v>6</v>
      </c>
      <c r="AH844" t="s">
        <v>2334</v>
      </c>
      <c r="AI844" t="s">
        <v>2333</v>
      </c>
      <c r="AK844" t="s">
        <v>2332</v>
      </c>
      <c r="AL844">
        <v>0</v>
      </c>
      <c r="AM844" s="5">
        <f t="shared" si="106"/>
        <v>0</v>
      </c>
      <c r="AN844" s="4">
        <f t="shared" si="111"/>
        <v>0</v>
      </c>
      <c r="AO844" s="3"/>
      <c r="AP844">
        <v>0</v>
      </c>
      <c r="AR844" t="s">
        <v>0</v>
      </c>
      <c r="AT844" s="2" t="s">
        <v>16</v>
      </c>
      <c r="AU844" s="1" t="e">
        <f t="shared" si="107"/>
        <v>#VALUE!</v>
      </c>
      <c r="AV844" s="1" t="e">
        <f t="shared" si="108"/>
        <v>#VALUE!</v>
      </c>
      <c r="AW844" s="1" t="e">
        <f t="shared" si="109"/>
        <v>#VALUE!</v>
      </c>
    </row>
    <row r="845" spans="1:49" x14ac:dyDescent="0.2">
      <c r="A845">
        <v>843</v>
      </c>
      <c r="B845" t="s">
        <v>2331</v>
      </c>
      <c r="C845" t="s">
        <v>2330</v>
      </c>
      <c r="F845" t="s">
        <v>2329</v>
      </c>
      <c r="G845" t="s">
        <v>12</v>
      </c>
      <c r="H845" t="s">
        <v>11</v>
      </c>
      <c r="I845" t="s">
        <v>2328</v>
      </c>
      <c r="J845" t="s">
        <v>2327</v>
      </c>
      <c r="K845" t="s">
        <v>2326</v>
      </c>
      <c r="L845" t="s">
        <v>2325</v>
      </c>
      <c r="M845" t="s">
        <v>125</v>
      </c>
      <c r="N845">
        <v>2</v>
      </c>
      <c r="O845" t="s">
        <v>2324</v>
      </c>
      <c r="P845" t="s">
        <v>2323</v>
      </c>
      <c r="Q845" t="s">
        <v>2322</v>
      </c>
      <c r="R845" s="7">
        <v>33604</v>
      </c>
      <c r="S845" s="8">
        <f t="shared" si="104"/>
        <v>1992</v>
      </c>
      <c r="T845" s="8">
        <v>1992</v>
      </c>
      <c r="U845" s="8">
        <f t="shared" si="105"/>
        <v>30</v>
      </c>
      <c r="V845" s="7">
        <v>33604</v>
      </c>
      <c r="W845" t="s">
        <v>1557</v>
      </c>
      <c r="X845" s="2">
        <v>1.137</v>
      </c>
      <c r="Y845" s="6">
        <f t="shared" si="110"/>
        <v>3.0351565628253384E-2</v>
      </c>
      <c r="AA845">
        <v>189251</v>
      </c>
      <c r="AB845">
        <v>17336</v>
      </c>
      <c r="AD845" t="s">
        <v>4</v>
      </c>
      <c r="AE845">
        <v>28</v>
      </c>
      <c r="AF845">
        <v>1</v>
      </c>
      <c r="AH845" t="s">
        <v>2321</v>
      </c>
      <c r="AI845" t="s">
        <v>2320</v>
      </c>
      <c r="AK845" t="s">
        <v>2319</v>
      </c>
      <c r="AL845">
        <v>0</v>
      </c>
      <c r="AM845" s="5">
        <f t="shared" si="106"/>
        <v>0</v>
      </c>
      <c r="AN845" s="4">
        <f t="shared" si="111"/>
        <v>0</v>
      </c>
      <c r="AO845" s="3"/>
      <c r="AP845">
        <v>0</v>
      </c>
      <c r="AR845" t="s">
        <v>0</v>
      </c>
      <c r="AT845" s="2" t="s">
        <v>16</v>
      </c>
      <c r="AU845" s="1">
        <f t="shared" si="107"/>
        <v>2.1246095939777367</v>
      </c>
      <c r="AV845" s="1">
        <f t="shared" si="108"/>
        <v>1.5175782814126693</v>
      </c>
      <c r="AW845" s="1">
        <f t="shared" si="109"/>
        <v>0.91054696884760156</v>
      </c>
    </row>
    <row r="846" spans="1:49" x14ac:dyDescent="0.2">
      <c r="A846">
        <v>844</v>
      </c>
      <c r="B846" t="s">
        <v>2318</v>
      </c>
      <c r="C846" t="s">
        <v>2317</v>
      </c>
      <c r="E846">
        <v>1402137</v>
      </c>
      <c r="F846" t="s">
        <v>2316</v>
      </c>
      <c r="G846" t="s">
        <v>12</v>
      </c>
      <c r="H846" t="s">
        <v>11</v>
      </c>
      <c r="I846" t="s">
        <v>2315</v>
      </c>
      <c r="J846" t="s">
        <v>2314</v>
      </c>
      <c r="K846" t="s">
        <v>2313</v>
      </c>
      <c r="L846" t="s">
        <v>2312</v>
      </c>
      <c r="M846" t="s">
        <v>2311</v>
      </c>
      <c r="N846">
        <v>3</v>
      </c>
      <c r="O846" t="s">
        <v>2310</v>
      </c>
      <c r="P846" t="s">
        <v>2309</v>
      </c>
      <c r="Q846" t="s">
        <v>2308</v>
      </c>
      <c r="R846" s="7">
        <v>33604</v>
      </c>
      <c r="S846" s="8">
        <f t="shared" si="104"/>
        <v>1992</v>
      </c>
      <c r="T846" s="8">
        <v>1992</v>
      </c>
      <c r="U846" s="8">
        <f t="shared" si="105"/>
        <v>30</v>
      </c>
      <c r="V846" s="7">
        <v>1992</v>
      </c>
      <c r="W846" t="s">
        <v>900</v>
      </c>
      <c r="X846" s="2">
        <v>0.89600000000000002</v>
      </c>
      <c r="Y846" s="6">
        <f t="shared" si="110"/>
        <v>2.3918208269934065E-2</v>
      </c>
      <c r="AA846">
        <v>2656736</v>
      </c>
      <c r="AB846">
        <v>29901</v>
      </c>
      <c r="AD846" t="s">
        <v>4</v>
      </c>
      <c r="AE846">
        <v>8</v>
      </c>
      <c r="AF846">
        <v>5</v>
      </c>
      <c r="AH846" t="s">
        <v>2307</v>
      </c>
      <c r="AI846" t="s">
        <v>2306</v>
      </c>
      <c r="AK846" t="s">
        <v>2305</v>
      </c>
      <c r="AL846">
        <v>9</v>
      </c>
      <c r="AM846" s="5">
        <f t="shared" si="106"/>
        <v>0.3</v>
      </c>
      <c r="AN846" s="4">
        <f t="shared" si="111"/>
        <v>4.5437334343051872E-4</v>
      </c>
      <c r="AO846" s="3"/>
      <c r="AP846">
        <v>0</v>
      </c>
      <c r="AR846" t="s">
        <v>0</v>
      </c>
      <c r="AT846" s="2">
        <v>3.9140000000000001</v>
      </c>
      <c r="AU846" s="1">
        <f t="shared" si="107"/>
        <v>1.6879057791982999</v>
      </c>
      <c r="AV846" s="1">
        <f t="shared" si="108"/>
        <v>1.2186290806682292</v>
      </c>
      <c r="AW846" s="1">
        <f t="shared" si="109"/>
        <v>0.74935238213815814</v>
      </c>
    </row>
    <row r="847" spans="1:49" x14ac:dyDescent="0.2">
      <c r="A847">
        <v>845</v>
      </c>
      <c r="B847" t="s">
        <v>2304</v>
      </c>
      <c r="C847" t="s">
        <v>2303</v>
      </c>
      <c r="E847">
        <v>1392065</v>
      </c>
      <c r="F847" t="s">
        <v>2302</v>
      </c>
      <c r="G847" t="s">
        <v>12</v>
      </c>
      <c r="H847" t="s">
        <v>11</v>
      </c>
      <c r="I847" t="s">
        <v>2301</v>
      </c>
      <c r="J847">
        <v>60005460</v>
      </c>
      <c r="K847" t="s">
        <v>1639</v>
      </c>
      <c r="L847" t="s">
        <v>1638</v>
      </c>
      <c r="M847" t="s">
        <v>817</v>
      </c>
      <c r="N847">
        <v>1</v>
      </c>
      <c r="O847" t="s">
        <v>2300</v>
      </c>
      <c r="P847">
        <v>26643587600</v>
      </c>
      <c r="Q847">
        <v>60005460</v>
      </c>
      <c r="R847" s="7">
        <v>33604</v>
      </c>
      <c r="S847" s="8">
        <f t="shared" si="104"/>
        <v>1992</v>
      </c>
      <c r="T847" s="8">
        <v>1992</v>
      </c>
      <c r="U847" s="8">
        <f t="shared" si="105"/>
        <v>30</v>
      </c>
      <c r="V847" s="7">
        <v>33848</v>
      </c>
      <c r="W847" t="s">
        <v>1511</v>
      </c>
      <c r="X847" s="2">
        <v>0.53600000000000003</v>
      </c>
      <c r="Y847" s="6">
        <f t="shared" si="110"/>
        <v>1.430821387576413E-2</v>
      </c>
      <c r="AA847" t="s">
        <v>1510</v>
      </c>
      <c r="AB847">
        <v>20920</v>
      </c>
      <c r="AC847">
        <v>10970029</v>
      </c>
      <c r="AD847" t="s">
        <v>4</v>
      </c>
      <c r="AE847">
        <v>22</v>
      </c>
      <c r="AF847">
        <v>4</v>
      </c>
      <c r="AH847" t="s">
        <v>2299</v>
      </c>
      <c r="AI847" t="s">
        <v>2298</v>
      </c>
      <c r="AJ847" t="s">
        <v>2297</v>
      </c>
      <c r="AK847" t="s">
        <v>2296</v>
      </c>
      <c r="AL847">
        <v>27</v>
      </c>
      <c r="AM847" s="5">
        <f t="shared" si="106"/>
        <v>0.9</v>
      </c>
      <c r="AN847" s="4">
        <f t="shared" si="111"/>
        <v>1.3631200302915562E-3</v>
      </c>
      <c r="AO847" s="3"/>
      <c r="AP847">
        <v>0</v>
      </c>
      <c r="AR847" t="s">
        <v>0</v>
      </c>
      <c r="AT847" s="2">
        <v>2.7690000000000001</v>
      </c>
      <c r="AU847" s="1">
        <f t="shared" si="107"/>
        <v>1.0424685722122358</v>
      </c>
      <c r="AV847" s="1">
        <f t="shared" si="108"/>
        <v>0.78356669530278422</v>
      </c>
      <c r="AW847" s="1">
        <f t="shared" si="109"/>
        <v>0.52466481839333279</v>
      </c>
    </row>
    <row r="848" spans="1:49" x14ac:dyDescent="0.2">
      <c r="A848">
        <v>846</v>
      </c>
      <c r="B848" t="s">
        <v>2295</v>
      </c>
      <c r="C848" t="s">
        <v>2294</v>
      </c>
      <c r="D848" t="s">
        <v>2293</v>
      </c>
      <c r="F848" t="s">
        <v>2292</v>
      </c>
      <c r="G848" t="s">
        <v>12</v>
      </c>
      <c r="H848" t="s">
        <v>11</v>
      </c>
      <c r="I848" t="s">
        <v>2291</v>
      </c>
      <c r="J848">
        <v>60068852</v>
      </c>
      <c r="K848" t="s">
        <v>491</v>
      </c>
      <c r="L848" t="s">
        <v>490</v>
      </c>
      <c r="M848" t="s">
        <v>489</v>
      </c>
      <c r="N848">
        <v>2</v>
      </c>
      <c r="O848" t="s">
        <v>2290</v>
      </c>
      <c r="P848" t="s">
        <v>2289</v>
      </c>
      <c r="Q848" t="s">
        <v>2288</v>
      </c>
      <c r="R848" s="7">
        <v>33604</v>
      </c>
      <c r="S848" s="8">
        <f t="shared" si="104"/>
        <v>1992</v>
      </c>
      <c r="T848" s="8">
        <v>1992</v>
      </c>
      <c r="U848" s="8">
        <f t="shared" si="105"/>
        <v>30</v>
      </c>
      <c r="V848" s="7">
        <v>1992</v>
      </c>
      <c r="W848" t="s">
        <v>1087</v>
      </c>
      <c r="X848" s="2">
        <v>1.7130000000000001</v>
      </c>
      <c r="Y848" s="6">
        <f t="shared" si="110"/>
        <v>4.5727556658925285E-2</v>
      </c>
      <c r="AA848">
        <v>63495</v>
      </c>
      <c r="AB848">
        <v>14859</v>
      </c>
      <c r="AD848" t="s">
        <v>4</v>
      </c>
      <c r="AE848">
        <v>63</v>
      </c>
      <c r="AF848">
        <v>4</v>
      </c>
      <c r="AH848" t="s">
        <v>2287</v>
      </c>
      <c r="AI848" t="s">
        <v>2286</v>
      </c>
      <c r="AK848" t="s">
        <v>2285</v>
      </c>
      <c r="AL848">
        <v>45</v>
      </c>
      <c r="AM848" s="5">
        <f t="shared" si="106"/>
        <v>1.5</v>
      </c>
      <c r="AN848" s="4">
        <f t="shared" si="111"/>
        <v>2.2718667171525938E-3</v>
      </c>
      <c r="AO848" s="3"/>
      <c r="AP848">
        <v>1</v>
      </c>
      <c r="AR848" t="s">
        <v>0</v>
      </c>
      <c r="AT848" s="2">
        <v>4.0330000000000004</v>
      </c>
      <c r="AU848" s="1">
        <f t="shared" si="107"/>
        <v>3.2690849676393476</v>
      </c>
      <c r="AV848" s="1">
        <f t="shared" si="108"/>
        <v>2.3999711688038938</v>
      </c>
      <c r="AW848" s="1">
        <f t="shared" si="109"/>
        <v>1.53085736996844</v>
      </c>
    </row>
    <row r="849" spans="1:49" x14ac:dyDescent="0.2">
      <c r="A849">
        <v>847</v>
      </c>
      <c r="B849" t="s">
        <v>2284</v>
      </c>
      <c r="F849" t="s">
        <v>2283</v>
      </c>
      <c r="G849" t="s">
        <v>12</v>
      </c>
      <c r="H849" t="s">
        <v>11</v>
      </c>
      <c r="I849" t="s">
        <v>2282</v>
      </c>
      <c r="N849">
        <v>2</v>
      </c>
      <c r="O849" t="s">
        <v>2281</v>
      </c>
      <c r="P849" t="s">
        <v>2280</v>
      </c>
      <c r="Q849" t="s">
        <v>720</v>
      </c>
      <c r="R849" s="7">
        <v>33604</v>
      </c>
      <c r="S849" s="8">
        <f t="shared" si="104"/>
        <v>1992</v>
      </c>
      <c r="T849" s="8">
        <v>1992</v>
      </c>
      <c r="U849" s="8">
        <f t="shared" si="105"/>
        <v>30</v>
      </c>
      <c r="V849" s="7">
        <v>1992</v>
      </c>
      <c r="W849" t="s">
        <v>1252</v>
      </c>
      <c r="X849" s="2" t="s">
        <v>16</v>
      </c>
      <c r="Y849" s="6" t="e">
        <f t="shared" si="110"/>
        <v>#VALUE!</v>
      </c>
      <c r="AA849">
        <v>87566648</v>
      </c>
      <c r="AB849">
        <v>74127</v>
      </c>
      <c r="AD849" t="s">
        <v>4</v>
      </c>
      <c r="AE849">
        <v>37</v>
      </c>
      <c r="AF849">
        <v>5</v>
      </c>
      <c r="AH849" t="s">
        <v>2279</v>
      </c>
      <c r="AI849" t="s">
        <v>2278</v>
      </c>
      <c r="AK849" t="s">
        <v>2277</v>
      </c>
      <c r="AL849">
        <v>0</v>
      </c>
      <c r="AM849" s="5">
        <f t="shared" si="106"/>
        <v>0</v>
      </c>
      <c r="AN849" s="4">
        <f t="shared" si="111"/>
        <v>0</v>
      </c>
      <c r="AO849" s="3"/>
      <c r="AP849">
        <v>0</v>
      </c>
      <c r="AR849" t="s">
        <v>0</v>
      </c>
      <c r="AT849" s="2" t="s">
        <v>16</v>
      </c>
      <c r="AU849" s="1" t="e">
        <f t="shared" si="107"/>
        <v>#VALUE!</v>
      </c>
      <c r="AV849" s="1" t="e">
        <f t="shared" si="108"/>
        <v>#VALUE!</v>
      </c>
      <c r="AW849" s="1" t="e">
        <f t="shared" si="109"/>
        <v>#VALUE!</v>
      </c>
    </row>
    <row r="850" spans="1:49" x14ac:dyDescent="0.2">
      <c r="A850">
        <v>848</v>
      </c>
      <c r="B850" t="s">
        <v>2276</v>
      </c>
      <c r="C850" t="s">
        <v>2275</v>
      </c>
      <c r="D850" t="s">
        <v>2274</v>
      </c>
      <c r="E850">
        <v>1319981</v>
      </c>
      <c r="F850" t="s">
        <v>2273</v>
      </c>
      <c r="G850" t="s">
        <v>12</v>
      </c>
      <c r="H850" t="s">
        <v>11</v>
      </c>
      <c r="I850" t="s">
        <v>2272</v>
      </c>
      <c r="J850" t="s">
        <v>2271</v>
      </c>
      <c r="K850" t="s">
        <v>2270</v>
      </c>
      <c r="L850" t="s">
        <v>2269</v>
      </c>
      <c r="M850" t="s">
        <v>125</v>
      </c>
      <c r="N850">
        <v>13</v>
      </c>
      <c r="O850" t="s">
        <v>2268</v>
      </c>
      <c r="P850" t="s">
        <v>2267</v>
      </c>
      <c r="Q850" t="s">
        <v>2266</v>
      </c>
      <c r="R850" s="7">
        <v>33604</v>
      </c>
      <c r="S850" s="8">
        <f t="shared" ref="S850:S913" si="112">YEAR(R850)</f>
        <v>1992</v>
      </c>
      <c r="T850" s="8">
        <v>1992</v>
      </c>
      <c r="U850" s="8">
        <f t="shared" ref="U850:U913" si="113">2022-T850</f>
        <v>30</v>
      </c>
      <c r="V850" s="7">
        <v>1992</v>
      </c>
      <c r="W850" t="s">
        <v>881</v>
      </c>
      <c r="X850" s="2" t="s">
        <v>16</v>
      </c>
      <c r="Y850" s="6" t="e">
        <f t="shared" si="110"/>
        <v>#VALUE!</v>
      </c>
      <c r="AA850">
        <v>3603016</v>
      </c>
      <c r="AB850">
        <v>17191</v>
      </c>
      <c r="AD850" t="s">
        <v>4</v>
      </c>
      <c r="AE850">
        <v>23</v>
      </c>
      <c r="AF850">
        <v>4</v>
      </c>
      <c r="AH850" t="s">
        <v>2265</v>
      </c>
      <c r="AI850" t="s">
        <v>2264</v>
      </c>
      <c r="AJ850" t="s">
        <v>2263</v>
      </c>
      <c r="AK850" t="s">
        <v>2262</v>
      </c>
      <c r="AL850">
        <v>73</v>
      </c>
      <c r="AM850" s="5">
        <f t="shared" ref="AM850:AM913" si="114">AL850/U850</f>
        <v>2.4333333333333331</v>
      </c>
      <c r="AN850" s="4">
        <f t="shared" si="111"/>
        <v>3.6854726744919852E-3</v>
      </c>
      <c r="AO850" s="3"/>
      <c r="AP850">
        <v>0</v>
      </c>
      <c r="AQ850" t="s">
        <v>876</v>
      </c>
      <c r="AR850" t="s">
        <v>2261</v>
      </c>
      <c r="AS850" t="s">
        <v>874</v>
      </c>
      <c r="AT850" s="2" t="s">
        <v>16</v>
      </c>
      <c r="AU850" s="1" t="e">
        <f t="shared" ref="AU850:AU913" si="115">(Y850*0.7+AN850*0.3)*100</f>
        <v>#VALUE!</v>
      </c>
      <c r="AV850" s="1" t="e">
        <f t="shared" ref="AV850:AV913" si="116">(Y850*0.5+AN850*0.5)*100</f>
        <v>#VALUE!</v>
      </c>
      <c r="AW850" s="1" t="e">
        <f t="shared" ref="AW850:AW913" si="117">(Y850*0.3+AN850*0.7)*100</f>
        <v>#VALUE!</v>
      </c>
    </row>
    <row r="851" spans="1:49" x14ac:dyDescent="0.2">
      <c r="A851">
        <v>849</v>
      </c>
      <c r="B851" t="s">
        <v>2260</v>
      </c>
      <c r="C851" t="s">
        <v>2259</v>
      </c>
      <c r="F851" t="s">
        <v>2258</v>
      </c>
      <c r="G851" t="s">
        <v>12</v>
      </c>
      <c r="H851" t="s">
        <v>11</v>
      </c>
      <c r="I851" t="s">
        <v>1524</v>
      </c>
      <c r="N851">
        <v>1</v>
      </c>
      <c r="O851" t="s">
        <v>1523</v>
      </c>
      <c r="P851">
        <v>24512080300</v>
      </c>
      <c r="R851" s="7">
        <v>33604</v>
      </c>
      <c r="S851" s="8">
        <f t="shared" si="112"/>
        <v>1992</v>
      </c>
      <c r="T851" s="8">
        <v>1992</v>
      </c>
      <c r="U851" s="8">
        <f t="shared" si="113"/>
        <v>30</v>
      </c>
      <c r="V851" s="7">
        <v>33604</v>
      </c>
      <c r="W851" t="s">
        <v>194</v>
      </c>
      <c r="X851" s="2">
        <v>2.383</v>
      </c>
      <c r="Y851" s="6">
        <f t="shared" si="110"/>
        <v>6.3612824003630442E-2</v>
      </c>
      <c r="AA851">
        <v>189219</v>
      </c>
      <c r="AB851">
        <v>17915</v>
      </c>
      <c r="AC851">
        <v>15582256</v>
      </c>
      <c r="AD851" t="s">
        <v>4</v>
      </c>
      <c r="AE851">
        <v>80</v>
      </c>
      <c r="AF851">
        <v>1</v>
      </c>
      <c r="AH851" t="s">
        <v>2257</v>
      </c>
      <c r="AI851" t="s">
        <v>2256</v>
      </c>
      <c r="AK851" t="s">
        <v>2255</v>
      </c>
      <c r="AL851">
        <v>61</v>
      </c>
      <c r="AM851" s="5">
        <f t="shared" si="114"/>
        <v>2.0333333333333332</v>
      </c>
      <c r="AN851" s="4">
        <f t="shared" si="111"/>
        <v>3.0796415499179603E-3</v>
      </c>
      <c r="AO851" s="3"/>
      <c r="AP851">
        <v>0</v>
      </c>
      <c r="AR851" t="s">
        <v>0</v>
      </c>
      <c r="AT851" s="2">
        <v>10.961</v>
      </c>
      <c r="AU851" s="1">
        <f t="shared" si="115"/>
        <v>4.54528692675167</v>
      </c>
      <c r="AV851" s="1">
        <f t="shared" si="116"/>
        <v>3.3346232776774203</v>
      </c>
      <c r="AW851" s="1">
        <f t="shared" si="117"/>
        <v>2.1239596286031706</v>
      </c>
    </row>
    <row r="852" spans="1:49" x14ac:dyDescent="0.2">
      <c r="A852">
        <v>850</v>
      </c>
      <c r="B852" t="s">
        <v>2254</v>
      </c>
      <c r="F852" t="s">
        <v>2253</v>
      </c>
      <c r="G852" t="s">
        <v>12</v>
      </c>
      <c r="H852" t="s">
        <v>11</v>
      </c>
      <c r="I852" t="s">
        <v>2252</v>
      </c>
      <c r="J852">
        <v>60010742</v>
      </c>
      <c r="K852" t="s">
        <v>2251</v>
      </c>
      <c r="L852" t="s">
        <v>2250</v>
      </c>
      <c r="M852" t="s">
        <v>151</v>
      </c>
      <c r="N852">
        <v>4</v>
      </c>
      <c r="O852" t="s">
        <v>2249</v>
      </c>
      <c r="P852" t="s">
        <v>2248</v>
      </c>
      <c r="Q852" t="s">
        <v>2247</v>
      </c>
      <c r="R852" s="7">
        <v>33604</v>
      </c>
      <c r="S852" s="8">
        <f t="shared" si="112"/>
        <v>1992</v>
      </c>
      <c r="T852" s="8">
        <v>1992</v>
      </c>
      <c r="U852" s="8">
        <f t="shared" si="113"/>
        <v>30</v>
      </c>
      <c r="V852" s="7">
        <v>1992</v>
      </c>
      <c r="W852" t="s">
        <v>2246</v>
      </c>
      <c r="X852" s="2">
        <v>0.13600000000000001</v>
      </c>
      <c r="Y852" s="6">
        <f t="shared" si="110"/>
        <v>3.6304423266864208E-3</v>
      </c>
      <c r="AA852">
        <v>4247760</v>
      </c>
      <c r="AB852">
        <v>16066</v>
      </c>
      <c r="AD852" t="s">
        <v>4</v>
      </c>
      <c r="AE852">
        <v>112</v>
      </c>
      <c r="AF852">
        <v>3</v>
      </c>
      <c r="AH852" t="s">
        <v>2245</v>
      </c>
      <c r="AI852" t="s">
        <v>2244</v>
      </c>
      <c r="AK852" t="s">
        <v>2243</v>
      </c>
      <c r="AL852">
        <v>0</v>
      </c>
      <c r="AM852" s="5">
        <f t="shared" si="114"/>
        <v>0</v>
      </c>
      <c r="AN852" s="4">
        <f t="shared" si="111"/>
        <v>0</v>
      </c>
      <c r="AO852" s="3"/>
      <c r="AP852">
        <v>0</v>
      </c>
      <c r="AR852" t="s">
        <v>0</v>
      </c>
      <c r="AT852" s="2" t="s">
        <v>16</v>
      </c>
      <c r="AU852" s="1">
        <f t="shared" si="115"/>
        <v>0.25413096286804943</v>
      </c>
      <c r="AV852" s="1">
        <f t="shared" si="116"/>
        <v>0.18152211633432103</v>
      </c>
      <c r="AW852" s="1">
        <f t="shared" si="117"/>
        <v>0.10891326980059261</v>
      </c>
    </row>
    <row r="853" spans="1:49" x14ac:dyDescent="0.2">
      <c r="A853">
        <v>851</v>
      </c>
      <c r="B853" t="s">
        <v>2242</v>
      </c>
      <c r="C853" t="s">
        <v>2241</v>
      </c>
      <c r="F853" t="s">
        <v>2240</v>
      </c>
      <c r="G853" t="s">
        <v>12</v>
      </c>
      <c r="H853" t="s">
        <v>11</v>
      </c>
      <c r="I853" t="s">
        <v>2239</v>
      </c>
      <c r="J853">
        <v>60003500</v>
      </c>
      <c r="K853" t="s">
        <v>1690</v>
      </c>
      <c r="L853" t="s">
        <v>1689</v>
      </c>
      <c r="M853" t="s">
        <v>7</v>
      </c>
      <c r="N853">
        <v>1</v>
      </c>
      <c r="O853" t="s">
        <v>2238</v>
      </c>
      <c r="P853">
        <v>35579308700</v>
      </c>
      <c r="Q853">
        <v>60003500</v>
      </c>
      <c r="R853" s="7">
        <v>33604</v>
      </c>
      <c r="S853" s="8">
        <f t="shared" si="112"/>
        <v>1992</v>
      </c>
      <c r="T853" s="8">
        <v>1992</v>
      </c>
      <c r="U853" s="8">
        <f t="shared" si="113"/>
        <v>30</v>
      </c>
      <c r="V853" s="7">
        <v>33604</v>
      </c>
      <c r="W853" t="s">
        <v>194</v>
      </c>
      <c r="X853" s="2">
        <v>2.383</v>
      </c>
      <c r="Y853" s="6">
        <f t="shared" si="110"/>
        <v>6.3612824003630442E-2</v>
      </c>
      <c r="AA853">
        <v>189219</v>
      </c>
      <c r="AB853">
        <v>17915</v>
      </c>
      <c r="AC853">
        <v>15582256</v>
      </c>
      <c r="AD853" t="s">
        <v>4</v>
      </c>
      <c r="AE853">
        <v>80</v>
      </c>
      <c r="AF853">
        <v>1</v>
      </c>
      <c r="AH853" t="s">
        <v>2237</v>
      </c>
      <c r="AI853" t="s">
        <v>2236</v>
      </c>
      <c r="AK853" t="s">
        <v>2235</v>
      </c>
      <c r="AL853">
        <v>92</v>
      </c>
      <c r="AM853" s="5">
        <f t="shared" si="114"/>
        <v>3.0666666666666669</v>
      </c>
      <c r="AN853" s="4">
        <f t="shared" si="111"/>
        <v>4.6447052884008586E-3</v>
      </c>
      <c r="AO853" s="3"/>
      <c r="AP853">
        <v>0</v>
      </c>
      <c r="AQ853" t="s">
        <v>2234</v>
      </c>
      <c r="AR853" t="s">
        <v>0</v>
      </c>
      <c r="AS853" t="s">
        <v>2233</v>
      </c>
      <c r="AT853" s="2">
        <v>10.961</v>
      </c>
      <c r="AU853" s="1">
        <f t="shared" si="115"/>
        <v>4.592238838906157</v>
      </c>
      <c r="AV853" s="1">
        <f t="shared" si="116"/>
        <v>3.412876464601565</v>
      </c>
      <c r="AW853" s="1">
        <f t="shared" si="117"/>
        <v>2.2335140902969735</v>
      </c>
    </row>
    <row r="854" spans="1:49" x14ac:dyDescent="0.2">
      <c r="A854">
        <v>852</v>
      </c>
      <c r="B854" t="s">
        <v>2232</v>
      </c>
      <c r="C854" t="s">
        <v>2231</v>
      </c>
      <c r="F854" t="s">
        <v>2230</v>
      </c>
      <c r="G854" t="s">
        <v>12</v>
      </c>
      <c r="H854" t="s">
        <v>11</v>
      </c>
      <c r="I854" t="s">
        <v>2229</v>
      </c>
      <c r="J854">
        <v>100327344</v>
      </c>
      <c r="K854" t="s">
        <v>2228</v>
      </c>
      <c r="L854" t="s">
        <v>2227</v>
      </c>
      <c r="M854" t="s">
        <v>817</v>
      </c>
      <c r="N854">
        <v>2</v>
      </c>
      <c r="O854" t="s">
        <v>2226</v>
      </c>
      <c r="P854" t="s">
        <v>2225</v>
      </c>
      <c r="Q854" t="s">
        <v>2224</v>
      </c>
      <c r="R854" s="7">
        <v>33604</v>
      </c>
      <c r="S854" s="8">
        <f t="shared" si="112"/>
        <v>1992</v>
      </c>
      <c r="T854" s="8">
        <v>1992</v>
      </c>
      <c r="U854" s="8">
        <f t="shared" si="113"/>
        <v>30</v>
      </c>
      <c r="V854" s="7">
        <v>33604</v>
      </c>
      <c r="W854" t="s">
        <v>1775</v>
      </c>
      <c r="X854" s="2">
        <v>0.61499999999999999</v>
      </c>
      <c r="Y854" s="6">
        <f t="shared" si="110"/>
        <v>1.6417073756706976E-2</v>
      </c>
      <c r="AA854">
        <v>1959271</v>
      </c>
      <c r="AB854">
        <v>12141</v>
      </c>
      <c r="AC854">
        <v>15729559</v>
      </c>
      <c r="AD854" t="s">
        <v>4</v>
      </c>
      <c r="AE854">
        <v>13</v>
      </c>
      <c r="AF854">
        <v>1</v>
      </c>
      <c r="AH854" t="s">
        <v>2223</v>
      </c>
      <c r="AI854" t="s">
        <v>2222</v>
      </c>
      <c r="AK854" t="s">
        <v>2221</v>
      </c>
      <c r="AL854">
        <v>0</v>
      </c>
      <c r="AM854" s="5">
        <f t="shared" si="114"/>
        <v>0</v>
      </c>
      <c r="AN854" s="4">
        <f t="shared" si="111"/>
        <v>0</v>
      </c>
      <c r="AO854" s="3"/>
      <c r="AP854">
        <v>0</v>
      </c>
      <c r="AR854" t="s">
        <v>0</v>
      </c>
      <c r="AT854" s="2" t="s">
        <v>16</v>
      </c>
      <c r="AU854" s="1">
        <f t="shared" si="115"/>
        <v>1.1491951629694881</v>
      </c>
      <c r="AV854" s="1">
        <f t="shared" si="116"/>
        <v>0.82085368783534873</v>
      </c>
      <c r="AW854" s="1">
        <f t="shared" si="117"/>
        <v>0.49251221270120926</v>
      </c>
    </row>
    <row r="855" spans="1:49" x14ac:dyDescent="0.2">
      <c r="A855">
        <v>853</v>
      </c>
      <c r="B855" t="s">
        <v>2220</v>
      </c>
      <c r="C855" t="s">
        <v>2219</v>
      </c>
      <c r="E855">
        <v>1581302</v>
      </c>
      <c r="F855" t="s">
        <v>2218</v>
      </c>
      <c r="G855" t="s">
        <v>12</v>
      </c>
      <c r="H855" t="s">
        <v>11</v>
      </c>
      <c r="I855" t="s">
        <v>2217</v>
      </c>
      <c r="J855" t="s">
        <v>1049</v>
      </c>
      <c r="K855" t="s">
        <v>1048</v>
      </c>
      <c r="L855" t="s">
        <v>1047</v>
      </c>
      <c r="M855" t="s">
        <v>1046</v>
      </c>
      <c r="N855">
        <v>4</v>
      </c>
      <c r="O855" t="s">
        <v>2216</v>
      </c>
      <c r="P855" t="s">
        <v>2215</v>
      </c>
      <c r="Q855" t="s">
        <v>2214</v>
      </c>
      <c r="R855" s="7">
        <v>33604</v>
      </c>
      <c r="S855" s="8">
        <f t="shared" si="112"/>
        <v>1992</v>
      </c>
      <c r="T855" s="8">
        <v>1992</v>
      </c>
      <c r="U855" s="8">
        <f t="shared" si="113"/>
        <v>30</v>
      </c>
      <c r="V855" s="7">
        <v>1992</v>
      </c>
      <c r="W855" t="s">
        <v>1808</v>
      </c>
      <c r="X855" s="2">
        <v>1.43</v>
      </c>
      <c r="Y855" s="6">
        <f t="shared" si="110"/>
        <v>3.8173033287952803E-2</v>
      </c>
      <c r="AA855">
        <v>62960</v>
      </c>
      <c r="AB855">
        <v>16867</v>
      </c>
      <c r="AC855">
        <v>15204995</v>
      </c>
      <c r="AD855" t="s">
        <v>4</v>
      </c>
      <c r="AE855">
        <v>31</v>
      </c>
      <c r="AF855">
        <v>18</v>
      </c>
      <c r="AH855" t="s">
        <v>2213</v>
      </c>
      <c r="AI855" t="s">
        <v>2212</v>
      </c>
      <c r="AK855" t="s">
        <v>2211</v>
      </c>
      <c r="AL855">
        <v>90</v>
      </c>
      <c r="AM855" s="5">
        <f t="shared" si="114"/>
        <v>3</v>
      </c>
      <c r="AN855" s="4">
        <f t="shared" si="111"/>
        <v>4.5437334343051876E-3</v>
      </c>
      <c r="AO855" s="3"/>
      <c r="AP855">
        <v>0</v>
      </c>
      <c r="AR855" t="s">
        <v>0</v>
      </c>
      <c r="AT855" s="2">
        <v>3.1619999999999999</v>
      </c>
      <c r="AU855" s="1">
        <f t="shared" si="115"/>
        <v>2.8084243331858518</v>
      </c>
      <c r="AV855" s="1">
        <f t="shared" si="116"/>
        <v>2.1358383361128999</v>
      </c>
      <c r="AW855" s="1">
        <f t="shared" si="117"/>
        <v>1.463252339039947</v>
      </c>
    </row>
    <row r="856" spans="1:49" x14ac:dyDescent="0.2">
      <c r="A856">
        <v>854</v>
      </c>
      <c r="B856" t="s">
        <v>2210</v>
      </c>
      <c r="C856" t="s">
        <v>2209</v>
      </c>
      <c r="D856" t="s">
        <v>2208</v>
      </c>
      <c r="E856">
        <v>1616876</v>
      </c>
      <c r="F856" t="s">
        <v>2207</v>
      </c>
      <c r="G856" t="s">
        <v>12</v>
      </c>
      <c r="H856" t="s">
        <v>11</v>
      </c>
      <c r="I856" t="s">
        <v>2206</v>
      </c>
      <c r="J856" t="s">
        <v>2205</v>
      </c>
      <c r="K856" t="s">
        <v>2204</v>
      </c>
      <c r="L856" t="s">
        <v>2203</v>
      </c>
      <c r="M856" t="s">
        <v>125</v>
      </c>
      <c r="N856">
        <v>3</v>
      </c>
      <c r="O856" t="s">
        <v>2202</v>
      </c>
      <c r="P856" t="s">
        <v>2201</v>
      </c>
      <c r="Q856" t="s">
        <v>2200</v>
      </c>
      <c r="R856" s="7">
        <v>33604</v>
      </c>
      <c r="S856" s="8">
        <f t="shared" si="112"/>
        <v>1992</v>
      </c>
      <c r="T856" s="8">
        <v>1992</v>
      </c>
      <c r="U856" s="8">
        <f t="shared" si="113"/>
        <v>30</v>
      </c>
      <c r="V856" s="7">
        <v>33756</v>
      </c>
      <c r="W856" t="s">
        <v>2199</v>
      </c>
      <c r="X856" s="2">
        <v>1.153</v>
      </c>
      <c r="Y856" s="6">
        <f t="shared" si="110"/>
        <v>3.0778676490216494E-2</v>
      </c>
      <c r="AA856">
        <v>9600760</v>
      </c>
      <c r="AB856">
        <v>14102</v>
      </c>
      <c r="AD856" t="s">
        <v>4</v>
      </c>
      <c r="AE856">
        <v>42</v>
      </c>
      <c r="AF856">
        <v>5</v>
      </c>
      <c r="AH856" t="s">
        <v>2198</v>
      </c>
      <c r="AI856" t="s">
        <v>2197</v>
      </c>
      <c r="AK856" t="s">
        <v>2196</v>
      </c>
      <c r="AL856">
        <v>7</v>
      </c>
      <c r="AM856" s="5">
        <f t="shared" si="114"/>
        <v>0.23333333333333334</v>
      </c>
      <c r="AN856" s="4">
        <f t="shared" si="111"/>
        <v>3.5340148933484791E-4</v>
      </c>
      <c r="AO856" s="3"/>
      <c r="AP856">
        <v>0</v>
      </c>
      <c r="AQ856" t="s">
        <v>876</v>
      </c>
      <c r="AR856" t="s">
        <v>2195</v>
      </c>
      <c r="AS856" t="s">
        <v>874</v>
      </c>
      <c r="AT856" s="2" t="s">
        <v>16</v>
      </c>
      <c r="AU856" s="1">
        <f t="shared" si="115"/>
        <v>2.1651093989952002</v>
      </c>
      <c r="AV856" s="1">
        <f t="shared" si="116"/>
        <v>1.556603898977567</v>
      </c>
      <c r="AW856" s="1">
        <f t="shared" si="117"/>
        <v>0.9480983989599342</v>
      </c>
    </row>
    <row r="857" spans="1:49" x14ac:dyDescent="0.2">
      <c r="A857">
        <v>855</v>
      </c>
      <c r="B857" t="s">
        <v>2194</v>
      </c>
      <c r="F857" t="s">
        <v>2193</v>
      </c>
      <c r="G857" t="s">
        <v>12</v>
      </c>
      <c r="H857" t="s">
        <v>11</v>
      </c>
      <c r="I857" t="s">
        <v>2192</v>
      </c>
      <c r="N857">
        <v>1</v>
      </c>
      <c r="O857" t="s">
        <v>2191</v>
      </c>
      <c r="P857">
        <v>7401566638</v>
      </c>
      <c r="R857" s="7">
        <v>33604</v>
      </c>
      <c r="S857" s="8">
        <f t="shared" si="112"/>
        <v>1992</v>
      </c>
      <c r="T857" s="8">
        <v>1992</v>
      </c>
      <c r="U857" s="8">
        <f t="shared" si="113"/>
        <v>30</v>
      </c>
      <c r="V857" s="7">
        <v>1992</v>
      </c>
      <c r="W857" t="s">
        <v>1252</v>
      </c>
      <c r="X857" s="2" t="s">
        <v>16</v>
      </c>
      <c r="Y857" s="6" t="e">
        <f t="shared" si="110"/>
        <v>#VALUE!</v>
      </c>
      <c r="AA857">
        <v>87566648</v>
      </c>
      <c r="AB857">
        <v>74127</v>
      </c>
      <c r="AD857" t="s">
        <v>4</v>
      </c>
      <c r="AE857">
        <v>37</v>
      </c>
      <c r="AF857">
        <v>6</v>
      </c>
      <c r="AH857" t="s">
        <v>2190</v>
      </c>
      <c r="AI857" t="s">
        <v>2189</v>
      </c>
      <c r="AK857" t="s">
        <v>2188</v>
      </c>
      <c r="AL857">
        <v>3</v>
      </c>
      <c r="AM857" s="5">
        <f t="shared" si="114"/>
        <v>0.1</v>
      </c>
      <c r="AN857" s="4">
        <f t="shared" si="111"/>
        <v>1.5145778114350627E-4</v>
      </c>
      <c r="AO857" s="3"/>
      <c r="AP857">
        <v>0</v>
      </c>
      <c r="AR857" t="s">
        <v>0</v>
      </c>
      <c r="AT857" s="2" t="s">
        <v>16</v>
      </c>
      <c r="AU857" s="1" t="e">
        <f t="shared" si="115"/>
        <v>#VALUE!</v>
      </c>
      <c r="AV857" s="1" t="e">
        <f t="shared" si="116"/>
        <v>#VALUE!</v>
      </c>
      <c r="AW857" s="1" t="e">
        <f t="shared" si="117"/>
        <v>#VALUE!</v>
      </c>
    </row>
    <row r="858" spans="1:49" x14ac:dyDescent="0.2">
      <c r="A858">
        <v>856</v>
      </c>
      <c r="B858" t="s">
        <v>2187</v>
      </c>
      <c r="C858" t="s">
        <v>2186</v>
      </c>
      <c r="F858" t="s">
        <v>2185</v>
      </c>
      <c r="G858" t="s">
        <v>12</v>
      </c>
      <c r="H858" t="s">
        <v>11</v>
      </c>
      <c r="I858" t="s">
        <v>2184</v>
      </c>
      <c r="J858">
        <v>60012729</v>
      </c>
      <c r="K858" t="s">
        <v>2183</v>
      </c>
      <c r="L858" t="s">
        <v>2182</v>
      </c>
      <c r="M858" t="s">
        <v>2181</v>
      </c>
      <c r="N858">
        <v>4</v>
      </c>
      <c r="O858" t="s">
        <v>2180</v>
      </c>
      <c r="P858" t="s">
        <v>2179</v>
      </c>
      <c r="Q858" t="s">
        <v>2178</v>
      </c>
      <c r="R858" s="7">
        <v>33604</v>
      </c>
      <c r="S858" s="8">
        <f t="shared" si="112"/>
        <v>1992</v>
      </c>
      <c r="T858" s="8">
        <v>1992</v>
      </c>
      <c r="U858" s="8">
        <f t="shared" si="113"/>
        <v>30</v>
      </c>
      <c r="V858" s="7">
        <v>33604</v>
      </c>
      <c r="W858" t="s">
        <v>1775</v>
      </c>
      <c r="X858" s="2">
        <v>0.61499999999999999</v>
      </c>
      <c r="Y858" s="6">
        <f t="shared" si="110"/>
        <v>1.6417073756706976E-2</v>
      </c>
      <c r="AA858">
        <v>1959271</v>
      </c>
      <c r="AB858">
        <v>12141</v>
      </c>
      <c r="AC858">
        <v>15729559</v>
      </c>
      <c r="AD858" t="s">
        <v>4</v>
      </c>
      <c r="AE858">
        <v>13</v>
      </c>
      <c r="AF858">
        <v>1</v>
      </c>
      <c r="AH858" t="s">
        <v>2177</v>
      </c>
      <c r="AI858" t="s">
        <v>2176</v>
      </c>
      <c r="AK858" t="s">
        <v>2175</v>
      </c>
      <c r="AL858">
        <v>8</v>
      </c>
      <c r="AM858" s="5">
        <f t="shared" si="114"/>
        <v>0.26666666666666666</v>
      </c>
      <c r="AN858" s="4">
        <f t="shared" si="111"/>
        <v>4.0388741638268334E-4</v>
      </c>
      <c r="AO858" s="3"/>
      <c r="AP858">
        <v>0</v>
      </c>
      <c r="AR858" t="s">
        <v>0</v>
      </c>
      <c r="AT858" s="2" t="s">
        <v>16</v>
      </c>
      <c r="AU858" s="1">
        <f t="shared" si="115"/>
        <v>1.1613117854609687</v>
      </c>
      <c r="AV858" s="1">
        <f t="shared" si="116"/>
        <v>0.84104805865448296</v>
      </c>
      <c r="AW858" s="1">
        <f t="shared" si="117"/>
        <v>0.52078433184799711</v>
      </c>
    </row>
    <row r="859" spans="1:49" x14ac:dyDescent="0.2">
      <c r="A859">
        <v>857</v>
      </c>
      <c r="B859" t="s">
        <v>2174</v>
      </c>
      <c r="C859" t="s">
        <v>2173</v>
      </c>
      <c r="F859" t="s">
        <v>2172</v>
      </c>
      <c r="G859" t="s">
        <v>12</v>
      </c>
      <c r="H859" t="s">
        <v>11</v>
      </c>
      <c r="I859" t="s">
        <v>2171</v>
      </c>
      <c r="J859">
        <v>60018714</v>
      </c>
      <c r="K859" t="s">
        <v>2170</v>
      </c>
      <c r="L859" t="s">
        <v>2169</v>
      </c>
      <c r="M859" t="s">
        <v>393</v>
      </c>
      <c r="N859">
        <v>2</v>
      </c>
      <c r="O859" t="s">
        <v>2168</v>
      </c>
      <c r="P859" t="s">
        <v>2167</v>
      </c>
      <c r="Q859" t="s">
        <v>2166</v>
      </c>
      <c r="R859" s="7">
        <v>33604</v>
      </c>
      <c r="S859" s="8">
        <f t="shared" si="112"/>
        <v>1992</v>
      </c>
      <c r="T859" s="8">
        <v>1992</v>
      </c>
      <c r="U859" s="8">
        <f t="shared" si="113"/>
        <v>30</v>
      </c>
      <c r="V859" s="7" t="s">
        <v>2165</v>
      </c>
      <c r="W859" t="s">
        <v>2164</v>
      </c>
      <c r="X859" s="2">
        <v>0.46400000000000002</v>
      </c>
      <c r="Y859" s="6">
        <f t="shared" si="110"/>
        <v>1.2386214996930142E-2</v>
      </c>
      <c r="AA859">
        <v>8408688</v>
      </c>
      <c r="AB859">
        <v>26200</v>
      </c>
      <c r="AD859" t="s">
        <v>4</v>
      </c>
      <c r="AE859">
        <v>17</v>
      </c>
      <c r="AF859">
        <v>1</v>
      </c>
      <c r="AH859" s="10">
        <v>45231</v>
      </c>
      <c r="AI859" t="s">
        <v>2163</v>
      </c>
      <c r="AK859" t="s">
        <v>2162</v>
      </c>
      <c r="AL859">
        <v>17</v>
      </c>
      <c r="AM859" s="5">
        <f t="shared" si="114"/>
        <v>0.56666666666666665</v>
      </c>
      <c r="AN859" s="4">
        <f t="shared" si="111"/>
        <v>8.5826075981320206E-4</v>
      </c>
      <c r="AO859" s="3"/>
      <c r="AP859">
        <v>0</v>
      </c>
      <c r="AR859" t="s">
        <v>0</v>
      </c>
      <c r="AT859" s="2" t="s">
        <v>16</v>
      </c>
      <c r="AU859" s="1">
        <f t="shared" si="115"/>
        <v>0.89278287257950595</v>
      </c>
      <c r="AV859" s="1">
        <f t="shared" si="116"/>
        <v>0.66222378783716718</v>
      </c>
      <c r="AW859" s="1">
        <f t="shared" si="117"/>
        <v>0.43166470309482835</v>
      </c>
    </row>
    <row r="860" spans="1:49" x14ac:dyDescent="0.2">
      <c r="A860">
        <v>858</v>
      </c>
      <c r="B860" t="s">
        <v>2161</v>
      </c>
      <c r="C860" t="s">
        <v>2160</v>
      </c>
      <c r="F860" t="s">
        <v>2159</v>
      </c>
      <c r="G860" t="s">
        <v>12</v>
      </c>
      <c r="H860" t="s">
        <v>11</v>
      </c>
      <c r="I860" t="s">
        <v>2158</v>
      </c>
      <c r="J860">
        <v>60007592</v>
      </c>
      <c r="K860" t="s">
        <v>2157</v>
      </c>
      <c r="L860" t="s">
        <v>2156</v>
      </c>
      <c r="M860" t="s">
        <v>2155</v>
      </c>
      <c r="N860">
        <v>3</v>
      </c>
      <c r="O860" t="s">
        <v>2154</v>
      </c>
      <c r="P860" t="s">
        <v>2153</v>
      </c>
      <c r="Q860" t="s">
        <v>2152</v>
      </c>
      <c r="R860" s="7">
        <v>33604</v>
      </c>
      <c r="S860" s="8">
        <f t="shared" si="112"/>
        <v>1992</v>
      </c>
      <c r="T860" s="8">
        <v>1992</v>
      </c>
      <c r="U860" s="8">
        <f t="shared" si="113"/>
        <v>30</v>
      </c>
      <c r="V860" s="7">
        <v>33604</v>
      </c>
      <c r="W860" t="s">
        <v>97</v>
      </c>
      <c r="X860" s="2">
        <v>1.6519999999999999</v>
      </c>
      <c r="Y860" s="6">
        <f t="shared" si="110"/>
        <v>4.409919649769093E-2</v>
      </c>
      <c r="AA860" t="s">
        <v>96</v>
      </c>
      <c r="AB860">
        <v>17337</v>
      </c>
      <c r="AC860">
        <v>15582221</v>
      </c>
      <c r="AD860" t="s">
        <v>4</v>
      </c>
      <c r="AE860">
        <v>40</v>
      </c>
      <c r="AF860">
        <v>1</v>
      </c>
      <c r="AH860" t="s">
        <v>2151</v>
      </c>
      <c r="AI860" t="s">
        <v>2150</v>
      </c>
      <c r="AK860" t="s">
        <v>2149</v>
      </c>
      <c r="AL860">
        <v>8</v>
      </c>
      <c r="AM860" s="5">
        <f t="shared" si="114"/>
        <v>0.26666666666666666</v>
      </c>
      <c r="AN860" s="4">
        <f t="shared" si="111"/>
        <v>4.0388741638268334E-4</v>
      </c>
      <c r="AO860" s="3"/>
      <c r="AP860">
        <v>0</v>
      </c>
      <c r="AR860" t="s">
        <v>0</v>
      </c>
      <c r="AT860" s="2" t="s">
        <v>16</v>
      </c>
      <c r="AU860" s="1">
        <f t="shared" si="115"/>
        <v>3.0990603773298453</v>
      </c>
      <c r="AV860" s="1">
        <f t="shared" si="116"/>
        <v>2.2251541957036807</v>
      </c>
      <c r="AW860" s="1">
        <f t="shared" si="117"/>
        <v>1.3512480140775156</v>
      </c>
    </row>
    <row r="861" spans="1:49" x14ac:dyDescent="0.2">
      <c r="A861">
        <v>859</v>
      </c>
      <c r="B861" t="s">
        <v>2148</v>
      </c>
      <c r="C861" t="s">
        <v>2147</v>
      </c>
      <c r="F861" t="s">
        <v>2146</v>
      </c>
      <c r="G861" t="s">
        <v>12</v>
      </c>
      <c r="H861" t="s">
        <v>11</v>
      </c>
      <c r="I861" t="s">
        <v>2145</v>
      </c>
      <c r="J861">
        <v>60029311</v>
      </c>
      <c r="K861" t="s">
        <v>2144</v>
      </c>
      <c r="L861" t="s">
        <v>2073</v>
      </c>
      <c r="M861" t="s">
        <v>7</v>
      </c>
      <c r="N861">
        <v>1</v>
      </c>
      <c r="O861" t="s">
        <v>2143</v>
      </c>
      <c r="P861">
        <v>7005574913</v>
      </c>
      <c r="Q861">
        <v>60029311</v>
      </c>
      <c r="R861" s="7">
        <v>33604</v>
      </c>
      <c r="S861" s="8">
        <f t="shared" si="112"/>
        <v>1992</v>
      </c>
      <c r="T861" s="8">
        <v>1992</v>
      </c>
      <c r="U861" s="8">
        <f t="shared" si="113"/>
        <v>30</v>
      </c>
      <c r="V861" s="7">
        <v>33604</v>
      </c>
      <c r="W861" t="s">
        <v>194</v>
      </c>
      <c r="X861" s="2">
        <v>2.383</v>
      </c>
      <c r="Y861" s="6">
        <f t="shared" si="110"/>
        <v>6.3612824003630442E-2</v>
      </c>
      <c r="AA861">
        <v>189219</v>
      </c>
      <c r="AB861">
        <v>17915</v>
      </c>
      <c r="AC861">
        <v>15582256</v>
      </c>
      <c r="AD861" t="s">
        <v>4</v>
      </c>
      <c r="AE861">
        <v>80</v>
      </c>
      <c r="AF861">
        <v>1</v>
      </c>
      <c r="AH861" t="s">
        <v>2142</v>
      </c>
      <c r="AI861" t="s">
        <v>2141</v>
      </c>
      <c r="AK861" t="s">
        <v>2140</v>
      </c>
      <c r="AL861">
        <v>19</v>
      </c>
      <c r="AM861" s="5">
        <f t="shared" si="114"/>
        <v>0.6333333333333333</v>
      </c>
      <c r="AN861" s="4">
        <f t="shared" si="111"/>
        <v>9.5923261390887281E-4</v>
      </c>
      <c r="AO861" s="3"/>
      <c r="AP861">
        <v>0</v>
      </c>
      <c r="AQ861" t="s">
        <v>2118</v>
      </c>
      <c r="AR861" t="s">
        <v>0</v>
      </c>
      <c r="AS861" t="s">
        <v>2117</v>
      </c>
      <c r="AT861" s="2">
        <v>10.961</v>
      </c>
      <c r="AU861" s="1">
        <f t="shared" si="115"/>
        <v>4.4816746586713974</v>
      </c>
      <c r="AV861" s="1">
        <f t="shared" si="116"/>
        <v>3.2286028308769659</v>
      </c>
      <c r="AW861" s="1">
        <f t="shared" si="117"/>
        <v>1.9755310030825344</v>
      </c>
    </row>
    <row r="862" spans="1:49" x14ac:dyDescent="0.2">
      <c r="A862">
        <v>860</v>
      </c>
      <c r="B862" t="s">
        <v>2139</v>
      </c>
      <c r="C862" t="s">
        <v>2138</v>
      </c>
      <c r="F862" t="s">
        <v>2137</v>
      </c>
      <c r="G862" t="s">
        <v>12</v>
      </c>
      <c r="H862" t="s">
        <v>11</v>
      </c>
      <c r="I862" t="s">
        <v>2136</v>
      </c>
      <c r="J862">
        <v>60008609</v>
      </c>
      <c r="K862" t="s">
        <v>2135</v>
      </c>
      <c r="L862" t="s">
        <v>2134</v>
      </c>
      <c r="M862" t="s">
        <v>7</v>
      </c>
      <c r="N862">
        <v>1</v>
      </c>
      <c r="O862" t="s">
        <v>2133</v>
      </c>
      <c r="P862">
        <v>7102201391</v>
      </c>
      <c r="Q862">
        <v>60008609</v>
      </c>
      <c r="R862" s="7">
        <v>33604</v>
      </c>
      <c r="S862" s="8">
        <f t="shared" si="112"/>
        <v>1992</v>
      </c>
      <c r="T862" s="8">
        <v>1992</v>
      </c>
      <c r="U862" s="8">
        <f t="shared" si="113"/>
        <v>30</v>
      </c>
      <c r="V862" s="7">
        <v>33604</v>
      </c>
      <c r="W862" t="s">
        <v>194</v>
      </c>
      <c r="X862" s="2">
        <v>2.383</v>
      </c>
      <c r="Y862" s="6">
        <f t="shared" si="110"/>
        <v>6.3612824003630442E-2</v>
      </c>
      <c r="AA862">
        <v>189219</v>
      </c>
      <c r="AB862">
        <v>17915</v>
      </c>
      <c r="AC862">
        <v>15582256</v>
      </c>
      <c r="AD862" t="s">
        <v>4</v>
      </c>
      <c r="AE862">
        <v>80</v>
      </c>
      <c r="AF862">
        <v>1</v>
      </c>
      <c r="AH862" t="s">
        <v>2132</v>
      </c>
      <c r="AI862" t="s">
        <v>2131</v>
      </c>
      <c r="AK862" t="s">
        <v>2130</v>
      </c>
      <c r="AL862">
        <v>65</v>
      </c>
      <c r="AM862" s="5">
        <f t="shared" si="114"/>
        <v>2.1666666666666665</v>
      </c>
      <c r="AN862" s="4">
        <f t="shared" si="111"/>
        <v>3.2815852581093018E-3</v>
      </c>
      <c r="AO862" s="3"/>
      <c r="AP862">
        <v>0</v>
      </c>
      <c r="AR862" t="s">
        <v>0</v>
      </c>
      <c r="AT862" s="2">
        <v>10.961</v>
      </c>
      <c r="AU862" s="1">
        <f t="shared" si="115"/>
        <v>4.5513452379974098</v>
      </c>
      <c r="AV862" s="1">
        <f t="shared" si="116"/>
        <v>3.3447204630869871</v>
      </c>
      <c r="AW862" s="1">
        <f t="shared" si="117"/>
        <v>2.1380956881765645</v>
      </c>
    </row>
    <row r="863" spans="1:49" x14ac:dyDescent="0.2">
      <c r="A863">
        <v>861</v>
      </c>
      <c r="B863" t="s">
        <v>2129</v>
      </c>
      <c r="C863" t="s">
        <v>2128</v>
      </c>
      <c r="D863" t="s">
        <v>2127</v>
      </c>
      <c r="E863">
        <v>1420871</v>
      </c>
      <c r="F863" t="s">
        <v>2126</v>
      </c>
      <c r="G863" t="s">
        <v>12</v>
      </c>
      <c r="H863" t="s">
        <v>11</v>
      </c>
      <c r="I863" t="s">
        <v>2125</v>
      </c>
      <c r="J863">
        <v>60029278</v>
      </c>
      <c r="K863" t="s">
        <v>1182</v>
      </c>
      <c r="L863" t="s">
        <v>1181</v>
      </c>
      <c r="M863" t="s">
        <v>7</v>
      </c>
      <c r="N863">
        <v>5</v>
      </c>
      <c r="O863" t="s">
        <v>2124</v>
      </c>
      <c r="P863" t="s">
        <v>2123</v>
      </c>
      <c r="Q863" t="s">
        <v>2122</v>
      </c>
      <c r="R863" s="7">
        <v>33604</v>
      </c>
      <c r="S863" s="8">
        <f t="shared" si="112"/>
        <v>1992</v>
      </c>
      <c r="T863" s="8">
        <v>1992</v>
      </c>
      <c r="U863" s="8">
        <f t="shared" si="113"/>
        <v>30</v>
      </c>
      <c r="V863" s="7">
        <v>1992</v>
      </c>
      <c r="W863" t="s">
        <v>1087</v>
      </c>
      <c r="X863" s="2">
        <v>1.7130000000000001</v>
      </c>
      <c r="Y863" s="6">
        <f t="shared" si="110"/>
        <v>4.5727556658925285E-2</v>
      </c>
      <c r="AA863">
        <v>63495</v>
      </c>
      <c r="AB863">
        <v>14859</v>
      </c>
      <c r="AD863" t="s">
        <v>4</v>
      </c>
      <c r="AE863">
        <v>63</v>
      </c>
      <c r="AF863">
        <v>1</v>
      </c>
      <c r="AH863" t="s">
        <v>2121</v>
      </c>
      <c r="AI863" t="s">
        <v>2120</v>
      </c>
      <c r="AK863" t="s">
        <v>2119</v>
      </c>
      <c r="AL863">
        <v>58</v>
      </c>
      <c r="AM863" s="5">
        <f t="shared" si="114"/>
        <v>1.9333333333333333</v>
      </c>
      <c r="AN863" s="4">
        <f t="shared" si="111"/>
        <v>2.9281837687744543E-3</v>
      </c>
      <c r="AO863" s="3"/>
      <c r="AP863">
        <v>1</v>
      </c>
      <c r="AQ863" t="s">
        <v>2118</v>
      </c>
      <c r="AR863" t="s">
        <v>1174</v>
      </c>
      <c r="AS863" t="s">
        <v>2117</v>
      </c>
      <c r="AT863" s="2">
        <v>4.0330000000000004</v>
      </c>
      <c r="AU863" s="1">
        <f t="shared" si="115"/>
        <v>3.2887744791880036</v>
      </c>
      <c r="AV863" s="1">
        <f t="shared" si="116"/>
        <v>2.4327870213849869</v>
      </c>
      <c r="AW863" s="1">
        <f t="shared" si="117"/>
        <v>1.5767995635819703</v>
      </c>
    </row>
    <row r="864" spans="1:49" x14ac:dyDescent="0.2">
      <c r="A864">
        <v>862</v>
      </c>
      <c r="B864" t="s">
        <v>2116</v>
      </c>
      <c r="C864" t="s">
        <v>2115</v>
      </c>
      <c r="F864" t="s">
        <v>2114</v>
      </c>
      <c r="G864" t="s">
        <v>12</v>
      </c>
      <c r="H864" t="s">
        <v>11</v>
      </c>
      <c r="I864" t="s">
        <v>2113</v>
      </c>
      <c r="N864">
        <v>4</v>
      </c>
      <c r="O864" t="s">
        <v>2112</v>
      </c>
      <c r="P864" t="s">
        <v>2111</v>
      </c>
      <c r="Q864" t="s">
        <v>1572</v>
      </c>
      <c r="R864" s="7">
        <v>33604</v>
      </c>
      <c r="S864" s="8">
        <f t="shared" si="112"/>
        <v>1992</v>
      </c>
      <c r="T864" s="8">
        <v>1992</v>
      </c>
      <c r="U864" s="8">
        <f t="shared" si="113"/>
        <v>30</v>
      </c>
      <c r="V864" s="7" t="s">
        <v>1331</v>
      </c>
      <c r="W864" t="s">
        <v>1367</v>
      </c>
      <c r="X864" s="2">
        <v>0.371</v>
      </c>
      <c r="Y864" s="6">
        <f t="shared" si="110"/>
        <v>9.9036331117695747E-3</v>
      </c>
      <c r="AA864">
        <v>486604</v>
      </c>
      <c r="AB864">
        <v>28580</v>
      </c>
      <c r="AC864" t="s">
        <v>1366</v>
      </c>
      <c r="AD864" t="s">
        <v>4</v>
      </c>
      <c r="AE864">
        <v>27</v>
      </c>
      <c r="AF864">
        <v>1</v>
      </c>
      <c r="AH864" t="s">
        <v>2110</v>
      </c>
      <c r="AI864" t="s">
        <v>2109</v>
      </c>
      <c r="AK864" t="s">
        <v>2108</v>
      </c>
      <c r="AL864">
        <v>2</v>
      </c>
      <c r="AM864" s="5">
        <f t="shared" si="114"/>
        <v>6.6666666666666666E-2</v>
      </c>
      <c r="AN864" s="4">
        <f t="shared" si="111"/>
        <v>1.0097185409567084E-4</v>
      </c>
      <c r="AO864" s="3"/>
      <c r="AP864">
        <v>0</v>
      </c>
      <c r="AR864" t="s">
        <v>0</v>
      </c>
      <c r="AT864" s="2">
        <v>1.431</v>
      </c>
      <c r="AU864" s="1">
        <f t="shared" si="115"/>
        <v>0.69628347344674024</v>
      </c>
      <c r="AV864" s="1">
        <f t="shared" si="116"/>
        <v>0.50023024829326224</v>
      </c>
      <c r="AW864" s="1">
        <f t="shared" si="117"/>
        <v>0.30417702313978418</v>
      </c>
    </row>
    <row r="865" spans="1:49" x14ac:dyDescent="0.2">
      <c r="A865">
        <v>863</v>
      </c>
      <c r="B865" t="s">
        <v>2107</v>
      </c>
      <c r="C865" t="s">
        <v>2106</v>
      </c>
      <c r="F865" t="s">
        <v>2105</v>
      </c>
      <c r="G865" t="s">
        <v>12</v>
      </c>
      <c r="H865" t="s">
        <v>11</v>
      </c>
      <c r="I865" t="s">
        <v>2104</v>
      </c>
      <c r="J865" t="s">
        <v>2103</v>
      </c>
      <c r="K865" t="s">
        <v>2102</v>
      </c>
      <c r="L865" t="s">
        <v>2101</v>
      </c>
      <c r="M865" t="s">
        <v>125</v>
      </c>
      <c r="N865">
        <v>2</v>
      </c>
      <c r="O865" t="s">
        <v>2100</v>
      </c>
      <c r="P865" t="s">
        <v>2099</v>
      </c>
      <c r="Q865" t="s">
        <v>2098</v>
      </c>
      <c r="R865" s="7">
        <v>33604</v>
      </c>
      <c r="S865" s="8">
        <f t="shared" si="112"/>
        <v>1992</v>
      </c>
      <c r="T865" s="8">
        <v>1992</v>
      </c>
      <c r="U865" s="8">
        <f t="shared" si="113"/>
        <v>30</v>
      </c>
      <c r="V865" s="7">
        <v>33604</v>
      </c>
      <c r="W865" t="s">
        <v>194</v>
      </c>
      <c r="X865" s="2">
        <v>2.383</v>
      </c>
      <c r="Y865" s="6">
        <f t="shared" si="110"/>
        <v>6.3612824003630442E-2</v>
      </c>
      <c r="AA865">
        <v>189219</v>
      </c>
      <c r="AB865">
        <v>17915</v>
      </c>
      <c r="AC865">
        <v>15582256</v>
      </c>
      <c r="AD865" t="s">
        <v>4</v>
      </c>
      <c r="AE865">
        <v>80</v>
      </c>
      <c r="AF865">
        <v>1</v>
      </c>
      <c r="AH865" t="s">
        <v>2097</v>
      </c>
      <c r="AI865" t="s">
        <v>2096</v>
      </c>
      <c r="AK865" t="s">
        <v>2095</v>
      </c>
      <c r="AL865">
        <v>12</v>
      </c>
      <c r="AM865" s="5">
        <f t="shared" si="114"/>
        <v>0.4</v>
      </c>
      <c r="AN865" s="4">
        <f t="shared" si="111"/>
        <v>6.0583112457402507E-4</v>
      </c>
      <c r="AO865" s="3"/>
      <c r="AP865">
        <v>0</v>
      </c>
      <c r="AR865" t="s">
        <v>0</v>
      </c>
      <c r="AT865" s="2">
        <v>10.961</v>
      </c>
      <c r="AU865" s="1">
        <f t="shared" si="115"/>
        <v>4.4710726139913515</v>
      </c>
      <c r="AV865" s="1">
        <f t="shared" si="116"/>
        <v>3.210932756410223</v>
      </c>
      <c r="AW865" s="1">
        <f t="shared" si="117"/>
        <v>1.950792898829095</v>
      </c>
    </row>
    <row r="866" spans="1:49" x14ac:dyDescent="0.2">
      <c r="A866">
        <v>864</v>
      </c>
      <c r="B866" t="s">
        <v>2094</v>
      </c>
      <c r="C866" t="s">
        <v>2093</v>
      </c>
      <c r="E866">
        <v>1377232</v>
      </c>
      <c r="F866" t="s">
        <v>2092</v>
      </c>
      <c r="G866" t="s">
        <v>12</v>
      </c>
      <c r="H866" t="s">
        <v>11</v>
      </c>
      <c r="I866" t="s">
        <v>2091</v>
      </c>
      <c r="J866">
        <v>60010065</v>
      </c>
      <c r="K866" t="s">
        <v>2090</v>
      </c>
      <c r="L866" t="s">
        <v>1656</v>
      </c>
      <c r="M866" t="s">
        <v>7</v>
      </c>
      <c r="N866">
        <v>4</v>
      </c>
      <c r="O866" t="s">
        <v>2089</v>
      </c>
      <c r="P866" t="s">
        <v>2088</v>
      </c>
      <c r="Q866" t="s">
        <v>2087</v>
      </c>
      <c r="R866" s="7">
        <v>33604</v>
      </c>
      <c r="S866" s="8">
        <f t="shared" si="112"/>
        <v>1992</v>
      </c>
      <c r="T866" s="8">
        <v>1992</v>
      </c>
      <c r="U866" s="8">
        <f t="shared" si="113"/>
        <v>30</v>
      </c>
      <c r="V866" s="7">
        <v>1992</v>
      </c>
      <c r="W866" t="s">
        <v>2086</v>
      </c>
      <c r="X866" s="2">
        <v>3.4830000000000001</v>
      </c>
      <c r="Y866" s="6">
        <f t="shared" si="110"/>
        <v>9.2976695763594144E-2</v>
      </c>
      <c r="AA866">
        <v>2706474</v>
      </c>
      <c r="AB866">
        <v>16764</v>
      </c>
      <c r="AD866" t="s">
        <v>4</v>
      </c>
      <c r="AE866">
        <v>12</v>
      </c>
      <c r="AF866">
        <v>7</v>
      </c>
      <c r="AH866" t="s">
        <v>2085</v>
      </c>
      <c r="AI866" t="s">
        <v>2084</v>
      </c>
      <c r="AK866" t="s">
        <v>2083</v>
      </c>
      <c r="AL866">
        <v>46</v>
      </c>
      <c r="AM866" s="5">
        <f t="shared" si="114"/>
        <v>1.5333333333333334</v>
      </c>
      <c r="AN866" s="4">
        <f t="shared" si="111"/>
        <v>2.3223526442004293E-3</v>
      </c>
      <c r="AO866" s="3"/>
      <c r="AP866">
        <v>1</v>
      </c>
      <c r="AQ866" t="s">
        <v>2082</v>
      </c>
      <c r="AR866" t="s">
        <v>2081</v>
      </c>
      <c r="AS866" t="s">
        <v>2080</v>
      </c>
      <c r="AT866" s="2">
        <v>6.1669999999999998</v>
      </c>
      <c r="AU866" s="1">
        <f t="shared" si="115"/>
        <v>6.5780392827776017</v>
      </c>
      <c r="AV866" s="1">
        <f t="shared" si="116"/>
        <v>4.7649524203897284</v>
      </c>
      <c r="AW866" s="1">
        <f t="shared" si="117"/>
        <v>2.9518655580018542</v>
      </c>
    </row>
    <row r="867" spans="1:49" x14ac:dyDescent="0.2">
      <c r="A867">
        <v>865</v>
      </c>
      <c r="B867" t="s">
        <v>2079</v>
      </c>
      <c r="C867" t="s">
        <v>2078</v>
      </c>
      <c r="D867" t="s">
        <v>2077</v>
      </c>
      <c r="E867">
        <v>1375660</v>
      </c>
      <c r="F867" t="s">
        <v>2076</v>
      </c>
      <c r="G867" t="s">
        <v>12</v>
      </c>
      <c r="H867" t="s">
        <v>11</v>
      </c>
      <c r="I867" t="s">
        <v>2075</v>
      </c>
      <c r="J867">
        <v>60015183</v>
      </c>
      <c r="K867" t="s">
        <v>2074</v>
      </c>
      <c r="L867" t="s">
        <v>2073</v>
      </c>
      <c r="M867" t="s">
        <v>7</v>
      </c>
      <c r="N867">
        <v>6</v>
      </c>
      <c r="O867" t="s">
        <v>2072</v>
      </c>
      <c r="P867" t="s">
        <v>2071</v>
      </c>
      <c r="Q867" t="s">
        <v>2070</v>
      </c>
      <c r="R867" s="7">
        <v>33604</v>
      </c>
      <c r="S867" s="8">
        <f t="shared" si="112"/>
        <v>1992</v>
      </c>
      <c r="T867" s="8">
        <v>1992</v>
      </c>
      <c r="U867" s="8">
        <f t="shared" si="113"/>
        <v>30</v>
      </c>
      <c r="V867" s="7">
        <v>1992</v>
      </c>
      <c r="W867" t="s">
        <v>2069</v>
      </c>
      <c r="X867" s="2">
        <v>2.4020000000000001</v>
      </c>
      <c r="Y867" s="6">
        <f t="shared" si="110"/>
        <v>6.4120018152211633E-2</v>
      </c>
      <c r="AA867">
        <v>225347</v>
      </c>
      <c r="AB867">
        <v>19975</v>
      </c>
      <c r="AD867" t="s">
        <v>4</v>
      </c>
      <c r="AE867">
        <v>147</v>
      </c>
      <c r="AF867">
        <v>6</v>
      </c>
      <c r="AH867" t="s">
        <v>2068</v>
      </c>
      <c r="AI867" t="s">
        <v>2067</v>
      </c>
      <c r="AJ867" t="s">
        <v>2066</v>
      </c>
      <c r="AK867" t="s">
        <v>2065</v>
      </c>
      <c r="AL867">
        <v>30</v>
      </c>
      <c r="AM867" s="5">
        <f t="shared" si="114"/>
        <v>1</v>
      </c>
      <c r="AN867" s="4">
        <f t="shared" si="111"/>
        <v>1.5145778114350624E-3</v>
      </c>
      <c r="AO867" s="3"/>
      <c r="AP867">
        <v>0</v>
      </c>
      <c r="AR867" t="s">
        <v>0</v>
      </c>
      <c r="AT867" s="2">
        <v>7.45</v>
      </c>
      <c r="AU867" s="1">
        <f t="shared" si="115"/>
        <v>4.5338386049978663</v>
      </c>
      <c r="AV867" s="1">
        <f t="shared" si="116"/>
        <v>3.2817297981823348</v>
      </c>
      <c r="AW867" s="1">
        <f t="shared" si="117"/>
        <v>2.0296209913668033</v>
      </c>
    </row>
    <row r="868" spans="1:49" x14ac:dyDescent="0.2">
      <c r="A868">
        <v>866</v>
      </c>
      <c r="B868" t="s">
        <v>2064</v>
      </c>
      <c r="F868" t="s">
        <v>2063</v>
      </c>
      <c r="G868" t="s">
        <v>12</v>
      </c>
      <c r="H868" t="s">
        <v>11</v>
      </c>
      <c r="I868" t="s">
        <v>2062</v>
      </c>
      <c r="N868">
        <v>2</v>
      </c>
      <c r="O868" t="s">
        <v>2061</v>
      </c>
      <c r="P868" t="s">
        <v>2060</v>
      </c>
      <c r="Q868" t="s">
        <v>720</v>
      </c>
      <c r="R868" s="7">
        <v>33604</v>
      </c>
      <c r="S868" s="8">
        <f t="shared" si="112"/>
        <v>1992</v>
      </c>
      <c r="T868" s="8">
        <v>1992</v>
      </c>
      <c r="U868" s="8">
        <f t="shared" si="113"/>
        <v>30</v>
      </c>
      <c r="V868" s="7">
        <v>1992</v>
      </c>
      <c r="W868" t="s">
        <v>1252</v>
      </c>
      <c r="X868" s="2" t="s">
        <v>16</v>
      </c>
      <c r="Y868" s="6" t="e">
        <f t="shared" si="110"/>
        <v>#VALUE!</v>
      </c>
      <c r="AA868">
        <v>87566648</v>
      </c>
      <c r="AB868">
        <v>74127</v>
      </c>
      <c r="AD868" t="s">
        <v>4</v>
      </c>
      <c r="AE868">
        <v>37</v>
      </c>
      <c r="AF868">
        <v>5</v>
      </c>
      <c r="AH868" t="s">
        <v>2059</v>
      </c>
      <c r="AI868" t="s">
        <v>2058</v>
      </c>
      <c r="AK868" t="s">
        <v>2057</v>
      </c>
      <c r="AL868">
        <v>0</v>
      </c>
      <c r="AM868" s="5">
        <f t="shared" si="114"/>
        <v>0</v>
      </c>
      <c r="AN868" s="4">
        <f t="shared" si="111"/>
        <v>0</v>
      </c>
      <c r="AO868" s="3"/>
      <c r="AP868">
        <v>0</v>
      </c>
      <c r="AR868" t="s">
        <v>0</v>
      </c>
      <c r="AT868" s="2" t="s">
        <v>16</v>
      </c>
      <c r="AU868" s="1" t="e">
        <f t="shared" si="115"/>
        <v>#VALUE!</v>
      </c>
      <c r="AV868" s="1" t="e">
        <f t="shared" si="116"/>
        <v>#VALUE!</v>
      </c>
      <c r="AW868" s="1" t="e">
        <f t="shared" si="117"/>
        <v>#VALUE!</v>
      </c>
    </row>
    <row r="869" spans="1:49" x14ac:dyDescent="0.2">
      <c r="A869">
        <v>867</v>
      </c>
      <c r="B869" t="s">
        <v>2056</v>
      </c>
      <c r="C869" t="s">
        <v>2055</v>
      </c>
      <c r="E869">
        <v>1564202</v>
      </c>
      <c r="F869" t="s">
        <v>2054</v>
      </c>
      <c r="G869" t="s">
        <v>12</v>
      </c>
      <c r="H869" t="s">
        <v>11</v>
      </c>
      <c r="I869" t="s">
        <v>2053</v>
      </c>
      <c r="J869">
        <v>60022195</v>
      </c>
      <c r="K869" t="s">
        <v>2052</v>
      </c>
      <c r="L869" t="s">
        <v>2051</v>
      </c>
      <c r="M869" t="s">
        <v>7</v>
      </c>
      <c r="N869">
        <v>2</v>
      </c>
      <c r="O869" t="s">
        <v>2050</v>
      </c>
      <c r="P869" t="s">
        <v>2049</v>
      </c>
      <c r="Q869" t="s">
        <v>2048</v>
      </c>
      <c r="R869" s="7">
        <v>33604</v>
      </c>
      <c r="S869" s="8">
        <f t="shared" si="112"/>
        <v>1992</v>
      </c>
      <c r="T869" s="8">
        <v>1992</v>
      </c>
      <c r="U869" s="8">
        <f t="shared" si="113"/>
        <v>30</v>
      </c>
      <c r="V869" s="7">
        <v>33664</v>
      </c>
      <c r="W869" t="s">
        <v>1427</v>
      </c>
      <c r="X869" s="2">
        <v>0.61899999999999999</v>
      </c>
      <c r="Y869" s="6">
        <f t="shared" si="110"/>
        <v>1.6523851472197752E-2</v>
      </c>
      <c r="AA869">
        <v>14966</v>
      </c>
      <c r="AB869">
        <v>12936</v>
      </c>
      <c r="AC869" t="s">
        <v>1426</v>
      </c>
      <c r="AD869" t="s">
        <v>4</v>
      </c>
      <c r="AE869">
        <v>91</v>
      </c>
      <c r="AF869">
        <v>3</v>
      </c>
      <c r="AH869" t="s">
        <v>2047</v>
      </c>
      <c r="AI869" t="s">
        <v>2046</v>
      </c>
      <c r="AK869" t="s">
        <v>2045</v>
      </c>
      <c r="AL869">
        <v>169</v>
      </c>
      <c r="AM869" s="5">
        <f t="shared" si="114"/>
        <v>5.6333333333333337</v>
      </c>
      <c r="AN869" s="4">
        <f t="shared" si="111"/>
        <v>8.5321216710841866E-3</v>
      </c>
      <c r="AO869" s="3"/>
      <c r="AP869">
        <v>0</v>
      </c>
      <c r="AR869" t="s">
        <v>0</v>
      </c>
      <c r="AT869" s="2" t="s">
        <v>16</v>
      </c>
      <c r="AU869" s="1">
        <f t="shared" si="115"/>
        <v>1.4126332531863681</v>
      </c>
      <c r="AV869" s="1">
        <f t="shared" si="116"/>
        <v>1.2527986571640968</v>
      </c>
      <c r="AW869" s="1">
        <f t="shared" si="117"/>
        <v>1.0929640611418256</v>
      </c>
    </row>
    <row r="870" spans="1:49" x14ac:dyDescent="0.2">
      <c r="A870">
        <v>868</v>
      </c>
      <c r="B870" t="s">
        <v>2044</v>
      </c>
      <c r="F870" t="s">
        <v>2043</v>
      </c>
      <c r="G870" t="s">
        <v>12</v>
      </c>
      <c r="H870" t="s">
        <v>11</v>
      </c>
      <c r="I870" t="s">
        <v>2042</v>
      </c>
      <c r="N870">
        <v>1</v>
      </c>
      <c r="O870" t="s">
        <v>2041</v>
      </c>
      <c r="P870">
        <v>6506946019</v>
      </c>
      <c r="R870" s="7">
        <v>33604</v>
      </c>
      <c r="S870" s="8">
        <f t="shared" si="112"/>
        <v>1992</v>
      </c>
      <c r="T870" s="8">
        <v>1992</v>
      </c>
      <c r="U870" s="8">
        <f t="shared" si="113"/>
        <v>30</v>
      </c>
      <c r="V870" s="7">
        <v>1992</v>
      </c>
      <c r="W870" t="s">
        <v>1252</v>
      </c>
      <c r="X870" s="2" t="s">
        <v>16</v>
      </c>
      <c r="Y870" s="6" t="e">
        <f t="shared" si="110"/>
        <v>#VALUE!</v>
      </c>
      <c r="AA870">
        <v>87566648</v>
      </c>
      <c r="AB870">
        <v>74127</v>
      </c>
      <c r="AD870" t="s">
        <v>4</v>
      </c>
      <c r="AE870">
        <v>37</v>
      </c>
      <c r="AF870">
        <v>6</v>
      </c>
      <c r="AH870" t="s">
        <v>2040</v>
      </c>
      <c r="AI870" t="s">
        <v>2039</v>
      </c>
      <c r="AK870" t="s">
        <v>2038</v>
      </c>
      <c r="AL870">
        <v>0</v>
      </c>
      <c r="AM870" s="5">
        <f t="shared" si="114"/>
        <v>0</v>
      </c>
      <c r="AN870" s="4">
        <f t="shared" si="111"/>
        <v>0</v>
      </c>
      <c r="AO870" s="3"/>
      <c r="AP870">
        <v>0</v>
      </c>
      <c r="AR870" t="s">
        <v>0</v>
      </c>
      <c r="AT870" s="2" t="s">
        <v>16</v>
      </c>
      <c r="AU870" s="1" t="e">
        <f t="shared" si="115"/>
        <v>#VALUE!</v>
      </c>
      <c r="AV870" s="1" t="e">
        <f t="shared" si="116"/>
        <v>#VALUE!</v>
      </c>
      <c r="AW870" s="1" t="e">
        <f t="shared" si="117"/>
        <v>#VALUE!</v>
      </c>
    </row>
    <row r="871" spans="1:49" x14ac:dyDescent="0.2">
      <c r="A871">
        <v>869</v>
      </c>
      <c r="B871" t="s">
        <v>2037</v>
      </c>
      <c r="F871" t="s">
        <v>2036</v>
      </c>
      <c r="G871" t="s">
        <v>12</v>
      </c>
      <c r="H871" t="s">
        <v>11</v>
      </c>
      <c r="I871" t="s">
        <v>2035</v>
      </c>
      <c r="N871">
        <v>2</v>
      </c>
      <c r="O871" t="s">
        <v>2034</v>
      </c>
      <c r="P871" t="s">
        <v>2033</v>
      </c>
      <c r="Q871" t="s">
        <v>720</v>
      </c>
      <c r="R871" s="7">
        <v>33604</v>
      </c>
      <c r="S871" s="8">
        <f t="shared" si="112"/>
        <v>1992</v>
      </c>
      <c r="T871" s="8">
        <v>1992</v>
      </c>
      <c r="U871" s="8">
        <f t="shared" si="113"/>
        <v>30</v>
      </c>
      <c r="V871" s="7">
        <v>1992</v>
      </c>
      <c r="W871" t="s">
        <v>1252</v>
      </c>
      <c r="X871" s="2" t="s">
        <v>16</v>
      </c>
      <c r="Y871" s="6" t="e">
        <f t="shared" si="110"/>
        <v>#VALUE!</v>
      </c>
      <c r="AA871">
        <v>87566648</v>
      </c>
      <c r="AB871">
        <v>74127</v>
      </c>
      <c r="AD871" t="s">
        <v>4</v>
      </c>
      <c r="AE871">
        <v>37</v>
      </c>
      <c r="AF871">
        <v>3</v>
      </c>
      <c r="AH871" t="s">
        <v>2032</v>
      </c>
      <c r="AI871" t="s">
        <v>2031</v>
      </c>
      <c r="AK871" t="s">
        <v>2030</v>
      </c>
      <c r="AL871">
        <v>1</v>
      </c>
      <c r="AM871" s="5">
        <f t="shared" si="114"/>
        <v>3.3333333333333333E-2</v>
      </c>
      <c r="AN871" s="4">
        <f t="shared" si="111"/>
        <v>5.0485927047835418E-5</v>
      </c>
      <c r="AO871" s="3"/>
      <c r="AP871">
        <v>0</v>
      </c>
      <c r="AR871" t="s">
        <v>0</v>
      </c>
      <c r="AT871" s="2" t="s">
        <v>16</v>
      </c>
      <c r="AU871" s="1" t="e">
        <f t="shared" si="115"/>
        <v>#VALUE!</v>
      </c>
      <c r="AV871" s="1" t="e">
        <f t="shared" si="116"/>
        <v>#VALUE!</v>
      </c>
      <c r="AW871" s="1" t="e">
        <f t="shared" si="117"/>
        <v>#VALUE!</v>
      </c>
    </row>
    <row r="872" spans="1:49" x14ac:dyDescent="0.2">
      <c r="A872">
        <v>870</v>
      </c>
      <c r="B872" t="s">
        <v>2029</v>
      </c>
      <c r="C872" t="s">
        <v>2028</v>
      </c>
      <c r="F872" t="s">
        <v>2027</v>
      </c>
      <c r="G872" t="s">
        <v>12</v>
      </c>
      <c r="H872" t="s">
        <v>11</v>
      </c>
      <c r="I872" t="s">
        <v>2026</v>
      </c>
      <c r="J872" t="s">
        <v>2025</v>
      </c>
      <c r="K872" t="s">
        <v>2024</v>
      </c>
      <c r="L872" t="s">
        <v>2023</v>
      </c>
      <c r="M872" t="s">
        <v>125</v>
      </c>
      <c r="N872">
        <v>2</v>
      </c>
      <c r="O872" t="s">
        <v>2022</v>
      </c>
      <c r="P872" t="s">
        <v>2021</v>
      </c>
      <c r="Q872" t="s">
        <v>2020</v>
      </c>
      <c r="R872" s="7">
        <v>33604</v>
      </c>
      <c r="S872" s="8">
        <f t="shared" si="112"/>
        <v>1992</v>
      </c>
      <c r="T872" s="8">
        <v>1992</v>
      </c>
      <c r="U872" s="8">
        <f t="shared" si="113"/>
        <v>30</v>
      </c>
      <c r="V872" s="7">
        <v>33604</v>
      </c>
      <c r="W872" t="s">
        <v>2019</v>
      </c>
      <c r="X872" s="2">
        <v>0.33800000000000002</v>
      </c>
      <c r="Y872" s="6">
        <f t="shared" si="110"/>
        <v>9.0227169589706634E-3</v>
      </c>
      <c r="AA872">
        <v>34347</v>
      </c>
      <c r="AB872">
        <v>17722</v>
      </c>
      <c r="AC872">
        <v>19589395</v>
      </c>
      <c r="AD872" t="s">
        <v>4</v>
      </c>
      <c r="AE872">
        <v>47</v>
      </c>
      <c r="AF872" s="9">
        <v>44228</v>
      </c>
      <c r="AH872" t="s">
        <v>2018</v>
      </c>
      <c r="AI872" t="s">
        <v>2017</v>
      </c>
      <c r="AJ872" t="s">
        <v>2016</v>
      </c>
      <c r="AK872" t="s">
        <v>2015</v>
      </c>
      <c r="AL872">
        <v>3</v>
      </c>
      <c r="AM872" s="5">
        <f t="shared" si="114"/>
        <v>0.1</v>
      </c>
      <c r="AN872" s="4">
        <f t="shared" si="111"/>
        <v>1.5145778114350627E-4</v>
      </c>
      <c r="AO872" s="3"/>
      <c r="AP872">
        <v>0</v>
      </c>
      <c r="AR872" t="s">
        <v>0</v>
      </c>
      <c r="AT872" s="2" t="s">
        <v>16</v>
      </c>
      <c r="AU872" s="1">
        <f t="shared" si="115"/>
        <v>0.6361339205622516</v>
      </c>
      <c r="AV872" s="1">
        <f t="shared" si="116"/>
        <v>0.45870873700570847</v>
      </c>
      <c r="AW872" s="1">
        <f t="shared" si="117"/>
        <v>0.28128355344916534</v>
      </c>
    </row>
    <row r="873" spans="1:49" x14ac:dyDescent="0.2">
      <c r="A873">
        <v>871</v>
      </c>
      <c r="B873" t="s">
        <v>2014</v>
      </c>
      <c r="C873" t="s">
        <v>2013</v>
      </c>
      <c r="F873" t="s">
        <v>2012</v>
      </c>
      <c r="G873" t="s">
        <v>12</v>
      </c>
      <c r="H873" t="s">
        <v>11</v>
      </c>
      <c r="I873" t="s">
        <v>2011</v>
      </c>
      <c r="J873">
        <v>60014313</v>
      </c>
      <c r="K873" t="s">
        <v>100</v>
      </c>
      <c r="L873" t="s">
        <v>99</v>
      </c>
      <c r="M873" t="s">
        <v>7</v>
      </c>
      <c r="N873">
        <v>3</v>
      </c>
      <c r="O873" t="s">
        <v>2010</v>
      </c>
      <c r="P873" t="s">
        <v>2009</v>
      </c>
      <c r="Q873" t="s">
        <v>2008</v>
      </c>
      <c r="R873" s="7">
        <v>33604</v>
      </c>
      <c r="S873" s="8">
        <f t="shared" si="112"/>
        <v>1992</v>
      </c>
      <c r="T873" s="8">
        <v>1992</v>
      </c>
      <c r="U873" s="8">
        <f t="shared" si="113"/>
        <v>30</v>
      </c>
      <c r="V873" s="7">
        <v>33604</v>
      </c>
      <c r="W873" t="s">
        <v>97</v>
      </c>
      <c r="X873" s="2">
        <v>1.6519999999999999</v>
      </c>
      <c r="Y873" s="6">
        <f t="shared" si="110"/>
        <v>4.409919649769093E-2</v>
      </c>
      <c r="AA873" t="s">
        <v>96</v>
      </c>
      <c r="AB873">
        <v>17337</v>
      </c>
      <c r="AC873">
        <v>15582221</v>
      </c>
      <c r="AD873" t="s">
        <v>4</v>
      </c>
      <c r="AE873">
        <v>40</v>
      </c>
      <c r="AF873">
        <v>1</v>
      </c>
      <c r="AH873" t="s">
        <v>2007</v>
      </c>
      <c r="AI873" t="s">
        <v>2006</v>
      </c>
      <c r="AK873" t="s">
        <v>2005</v>
      </c>
      <c r="AL873">
        <v>5</v>
      </c>
      <c r="AM873" s="5">
        <f t="shared" si="114"/>
        <v>0.16666666666666666</v>
      </c>
      <c r="AN873" s="4">
        <f t="shared" si="111"/>
        <v>2.5242963523917705E-4</v>
      </c>
      <c r="AO873" s="3"/>
      <c r="AP873">
        <v>0</v>
      </c>
      <c r="AR873" t="s">
        <v>0</v>
      </c>
      <c r="AT873" s="2" t="s">
        <v>16</v>
      </c>
      <c r="AU873" s="1">
        <f t="shared" si="115"/>
        <v>3.0945166438955405</v>
      </c>
      <c r="AV873" s="1">
        <f t="shared" si="116"/>
        <v>2.2175813066465055</v>
      </c>
      <c r="AW873" s="1">
        <f t="shared" si="117"/>
        <v>1.3406459693974702</v>
      </c>
    </row>
    <row r="874" spans="1:49" x14ac:dyDescent="0.2">
      <c r="A874">
        <v>872</v>
      </c>
      <c r="B874" t="s">
        <v>2004</v>
      </c>
      <c r="F874" t="s">
        <v>2003</v>
      </c>
      <c r="G874" t="s">
        <v>12</v>
      </c>
      <c r="H874" t="s">
        <v>11</v>
      </c>
      <c r="I874" t="s">
        <v>2002</v>
      </c>
      <c r="N874">
        <v>1</v>
      </c>
      <c r="O874" t="s">
        <v>2001</v>
      </c>
      <c r="P874">
        <v>6602618753</v>
      </c>
      <c r="R874" s="7">
        <v>33604</v>
      </c>
      <c r="S874" s="8">
        <f t="shared" si="112"/>
        <v>1992</v>
      </c>
      <c r="T874" s="8">
        <v>1992</v>
      </c>
      <c r="U874" s="8">
        <f t="shared" si="113"/>
        <v>30</v>
      </c>
      <c r="V874" s="7">
        <v>1992</v>
      </c>
      <c r="W874" t="s">
        <v>1252</v>
      </c>
      <c r="X874" s="2" t="s">
        <v>16</v>
      </c>
      <c r="Y874" s="6" t="e">
        <f t="shared" si="110"/>
        <v>#VALUE!</v>
      </c>
      <c r="AA874">
        <v>87566648</v>
      </c>
      <c r="AB874">
        <v>74127</v>
      </c>
      <c r="AD874" t="s">
        <v>4</v>
      </c>
      <c r="AE874">
        <v>37</v>
      </c>
      <c r="AF874">
        <v>1</v>
      </c>
      <c r="AH874" t="s">
        <v>2000</v>
      </c>
      <c r="AI874" t="s">
        <v>1999</v>
      </c>
      <c r="AK874" t="s">
        <v>1998</v>
      </c>
      <c r="AL874">
        <v>0</v>
      </c>
      <c r="AM874" s="5">
        <f t="shared" si="114"/>
        <v>0</v>
      </c>
      <c r="AN874" s="4">
        <f t="shared" si="111"/>
        <v>0</v>
      </c>
      <c r="AO874" s="3"/>
      <c r="AP874">
        <v>0</v>
      </c>
      <c r="AR874" t="s">
        <v>0</v>
      </c>
      <c r="AT874" s="2" t="s">
        <v>16</v>
      </c>
      <c r="AU874" s="1" t="e">
        <f t="shared" si="115"/>
        <v>#VALUE!</v>
      </c>
      <c r="AV874" s="1" t="e">
        <f t="shared" si="116"/>
        <v>#VALUE!</v>
      </c>
      <c r="AW874" s="1" t="e">
        <f t="shared" si="117"/>
        <v>#VALUE!</v>
      </c>
    </row>
    <row r="875" spans="1:49" x14ac:dyDescent="0.2">
      <c r="A875">
        <v>873</v>
      </c>
      <c r="B875" t="s">
        <v>1997</v>
      </c>
      <c r="C875" t="s">
        <v>1996</v>
      </c>
      <c r="F875" t="s">
        <v>1995</v>
      </c>
      <c r="G875" t="s">
        <v>12</v>
      </c>
      <c r="H875" t="s">
        <v>11</v>
      </c>
      <c r="I875" t="s">
        <v>1994</v>
      </c>
      <c r="J875">
        <v>60031624</v>
      </c>
      <c r="K875" t="s">
        <v>1993</v>
      </c>
      <c r="L875" t="s">
        <v>1992</v>
      </c>
      <c r="M875" t="s">
        <v>338</v>
      </c>
      <c r="N875">
        <v>3</v>
      </c>
      <c r="O875" t="s">
        <v>1991</v>
      </c>
      <c r="P875" t="s">
        <v>1990</v>
      </c>
      <c r="Q875" t="s">
        <v>1989</v>
      </c>
      <c r="R875" s="7">
        <v>33604</v>
      </c>
      <c r="S875" s="8">
        <f t="shared" si="112"/>
        <v>1992</v>
      </c>
      <c r="T875" s="8">
        <v>1992</v>
      </c>
      <c r="U875" s="8">
        <f t="shared" si="113"/>
        <v>30</v>
      </c>
      <c r="V875" s="7">
        <v>33604</v>
      </c>
      <c r="W875" t="s">
        <v>136</v>
      </c>
      <c r="X875" s="2">
        <v>1.3720000000000001</v>
      </c>
      <c r="Y875" s="6">
        <f t="shared" si="110"/>
        <v>3.662475641333654E-2</v>
      </c>
      <c r="AA875">
        <v>189480</v>
      </c>
      <c r="AB875">
        <v>17366</v>
      </c>
      <c r="AC875">
        <v>15579670</v>
      </c>
      <c r="AD875" t="s">
        <v>4</v>
      </c>
      <c r="AE875">
        <v>40</v>
      </c>
      <c r="AF875">
        <v>1</v>
      </c>
      <c r="AH875" t="s">
        <v>1988</v>
      </c>
      <c r="AI875" t="s">
        <v>1987</v>
      </c>
      <c r="AK875" t="s">
        <v>1986</v>
      </c>
      <c r="AL875">
        <v>12</v>
      </c>
      <c r="AM875" s="5">
        <f t="shared" si="114"/>
        <v>0.4</v>
      </c>
      <c r="AN875" s="4">
        <f t="shared" si="111"/>
        <v>6.0583112457402507E-4</v>
      </c>
      <c r="AO875" s="3"/>
      <c r="AP875">
        <v>0</v>
      </c>
      <c r="AR875" t="s">
        <v>0</v>
      </c>
      <c r="AT875" s="2" t="s">
        <v>16</v>
      </c>
      <c r="AU875" s="1">
        <f t="shared" si="115"/>
        <v>2.5819078826707784</v>
      </c>
      <c r="AV875" s="1">
        <f t="shared" si="116"/>
        <v>1.8615293768955283</v>
      </c>
      <c r="AW875" s="1">
        <f t="shared" si="117"/>
        <v>1.141150871120278</v>
      </c>
    </row>
    <row r="876" spans="1:49" x14ac:dyDescent="0.2">
      <c r="A876">
        <v>874</v>
      </c>
      <c r="B876" t="s">
        <v>1985</v>
      </c>
      <c r="C876" t="s">
        <v>1984</v>
      </c>
      <c r="F876" t="s">
        <v>1983</v>
      </c>
      <c r="G876" t="s">
        <v>12</v>
      </c>
      <c r="H876" t="s">
        <v>11</v>
      </c>
      <c r="I876" t="s">
        <v>1982</v>
      </c>
      <c r="J876" t="s">
        <v>1981</v>
      </c>
      <c r="K876" t="s">
        <v>1980</v>
      </c>
      <c r="L876" t="s">
        <v>1979</v>
      </c>
      <c r="M876" t="s">
        <v>125</v>
      </c>
      <c r="N876">
        <v>6</v>
      </c>
      <c r="O876" t="s">
        <v>1978</v>
      </c>
      <c r="P876" t="s">
        <v>1977</v>
      </c>
      <c r="Q876" t="s">
        <v>1976</v>
      </c>
      <c r="R876" s="7">
        <v>33604</v>
      </c>
      <c r="S876" s="8">
        <f t="shared" si="112"/>
        <v>1992</v>
      </c>
      <c r="T876" s="8">
        <v>1992</v>
      </c>
      <c r="U876" s="8">
        <f t="shared" si="113"/>
        <v>30</v>
      </c>
      <c r="V876" s="7">
        <v>33604</v>
      </c>
      <c r="W876" t="s">
        <v>1975</v>
      </c>
      <c r="X876" s="2">
        <v>0.81</v>
      </c>
      <c r="Y876" s="6">
        <f t="shared" si="110"/>
        <v>2.1622487386882359E-2</v>
      </c>
      <c r="AA876">
        <v>10411135</v>
      </c>
      <c r="AB876">
        <v>12116</v>
      </c>
      <c r="AC876">
        <v>19410174</v>
      </c>
      <c r="AD876" t="s">
        <v>4</v>
      </c>
      <c r="AE876">
        <v>4</v>
      </c>
      <c r="AF876">
        <v>1</v>
      </c>
      <c r="AH876" t="s">
        <v>1974</v>
      </c>
      <c r="AI876" t="s">
        <v>1973</v>
      </c>
      <c r="AK876" t="s">
        <v>1972</v>
      </c>
      <c r="AL876">
        <v>9</v>
      </c>
      <c r="AM876" s="5">
        <f t="shared" si="114"/>
        <v>0.3</v>
      </c>
      <c r="AN876" s="4">
        <f t="shared" si="111"/>
        <v>4.5437334343051872E-4</v>
      </c>
      <c r="AO876" s="3"/>
      <c r="AP876">
        <v>0</v>
      </c>
      <c r="AQ876" t="s">
        <v>1971</v>
      </c>
      <c r="AR876" t="s">
        <v>0</v>
      </c>
      <c r="AS876" t="s">
        <v>1970</v>
      </c>
      <c r="AT876" s="2">
        <v>2.468</v>
      </c>
      <c r="AU876" s="1">
        <f t="shared" si="115"/>
        <v>1.5272053173846807</v>
      </c>
      <c r="AV876" s="1">
        <f t="shared" si="116"/>
        <v>1.1038430365156437</v>
      </c>
      <c r="AW876" s="1">
        <f t="shared" si="117"/>
        <v>0.68048075564660704</v>
      </c>
    </row>
    <row r="877" spans="1:49" x14ac:dyDescent="0.2">
      <c r="A877">
        <v>875</v>
      </c>
      <c r="B877" t="s">
        <v>1969</v>
      </c>
      <c r="C877" t="s">
        <v>1968</v>
      </c>
      <c r="F877" t="s">
        <v>1967</v>
      </c>
      <c r="G877" t="s">
        <v>12</v>
      </c>
      <c r="H877" t="s">
        <v>11</v>
      </c>
      <c r="I877" t="s">
        <v>1966</v>
      </c>
      <c r="N877">
        <v>1</v>
      </c>
      <c r="O877" t="s">
        <v>1965</v>
      </c>
      <c r="P877">
        <v>35586046100</v>
      </c>
      <c r="R877" s="7">
        <v>33604</v>
      </c>
      <c r="S877" s="8">
        <f t="shared" si="112"/>
        <v>1992</v>
      </c>
      <c r="T877" s="8">
        <v>1992</v>
      </c>
      <c r="U877" s="8">
        <f t="shared" si="113"/>
        <v>30</v>
      </c>
      <c r="V877" s="7" t="s">
        <v>1331</v>
      </c>
      <c r="W877" t="s">
        <v>1367</v>
      </c>
      <c r="X877" s="2">
        <v>0.371</v>
      </c>
      <c r="Y877" s="6">
        <f t="shared" si="110"/>
        <v>9.9036331117695747E-3</v>
      </c>
      <c r="AA877">
        <v>486604</v>
      </c>
      <c r="AB877">
        <v>28580</v>
      </c>
      <c r="AC877" t="s">
        <v>1366</v>
      </c>
      <c r="AD877" t="s">
        <v>4</v>
      </c>
      <c r="AE877">
        <v>27</v>
      </c>
      <c r="AF877">
        <v>1</v>
      </c>
      <c r="AH877" t="s">
        <v>1964</v>
      </c>
      <c r="AI877" t="s">
        <v>1963</v>
      </c>
      <c r="AK877" t="s">
        <v>1962</v>
      </c>
      <c r="AL877">
        <v>13</v>
      </c>
      <c r="AM877" s="5">
        <f t="shared" si="114"/>
        <v>0.43333333333333335</v>
      </c>
      <c r="AN877" s="4">
        <f t="shared" si="111"/>
        <v>6.5631705162186044E-4</v>
      </c>
      <c r="AO877" s="3"/>
      <c r="AP877">
        <v>0</v>
      </c>
      <c r="AR877" t="s">
        <v>0</v>
      </c>
      <c r="AT877" s="2">
        <v>1.431</v>
      </c>
      <c r="AU877" s="1">
        <f t="shared" si="115"/>
        <v>0.71294382937252598</v>
      </c>
      <c r="AV877" s="1">
        <f t="shared" si="116"/>
        <v>0.52799750816957169</v>
      </c>
      <c r="AW877" s="1">
        <f t="shared" si="117"/>
        <v>0.34305118696661746</v>
      </c>
    </row>
    <row r="878" spans="1:49" x14ac:dyDescent="0.2">
      <c r="A878">
        <v>876</v>
      </c>
      <c r="B878" t="s">
        <v>1961</v>
      </c>
      <c r="C878" t="s">
        <v>1960</v>
      </c>
      <c r="F878" t="s">
        <v>1959</v>
      </c>
      <c r="G878" t="s">
        <v>12</v>
      </c>
      <c r="H878" t="s">
        <v>11</v>
      </c>
      <c r="I878" t="s">
        <v>1958</v>
      </c>
      <c r="J878">
        <v>60000990</v>
      </c>
      <c r="K878" t="s">
        <v>1957</v>
      </c>
      <c r="L878" t="s">
        <v>1956</v>
      </c>
      <c r="M878" t="s">
        <v>1091</v>
      </c>
      <c r="N878">
        <v>2</v>
      </c>
      <c r="O878" t="s">
        <v>1955</v>
      </c>
      <c r="P878" t="s">
        <v>1954</v>
      </c>
      <c r="Q878" t="s">
        <v>1953</v>
      </c>
      <c r="R878" s="7">
        <v>33604</v>
      </c>
      <c r="S878" s="8">
        <f t="shared" si="112"/>
        <v>1992</v>
      </c>
      <c r="T878" s="8">
        <v>1992</v>
      </c>
      <c r="U878" s="8">
        <f t="shared" si="113"/>
        <v>30</v>
      </c>
      <c r="V878" s="7">
        <v>33604</v>
      </c>
      <c r="W878" t="s">
        <v>97</v>
      </c>
      <c r="X878" s="2">
        <v>1.6519999999999999</v>
      </c>
      <c r="Y878" s="6">
        <f t="shared" si="110"/>
        <v>4.409919649769093E-2</v>
      </c>
      <c r="AA878" t="s">
        <v>96</v>
      </c>
      <c r="AB878">
        <v>17337</v>
      </c>
      <c r="AC878">
        <v>15582221</v>
      </c>
      <c r="AD878" t="s">
        <v>4</v>
      </c>
      <c r="AE878">
        <v>40</v>
      </c>
      <c r="AF878">
        <v>1</v>
      </c>
      <c r="AH878" t="s">
        <v>1952</v>
      </c>
      <c r="AI878" t="s">
        <v>1951</v>
      </c>
      <c r="AK878" t="s">
        <v>1950</v>
      </c>
      <c r="AL878">
        <v>9</v>
      </c>
      <c r="AM878" s="5">
        <f t="shared" si="114"/>
        <v>0.3</v>
      </c>
      <c r="AN878" s="4">
        <f t="shared" si="111"/>
        <v>4.5437334343051872E-4</v>
      </c>
      <c r="AO878" s="3"/>
      <c r="AP878">
        <v>0</v>
      </c>
      <c r="AR878" t="s">
        <v>0</v>
      </c>
      <c r="AT878" s="2" t="s">
        <v>16</v>
      </c>
      <c r="AU878" s="1">
        <f t="shared" si="115"/>
        <v>3.1005749551412807</v>
      </c>
      <c r="AV878" s="1">
        <f t="shared" si="116"/>
        <v>2.2276784920560724</v>
      </c>
      <c r="AW878" s="1">
        <f t="shared" si="117"/>
        <v>1.3547820289708641</v>
      </c>
    </row>
    <row r="879" spans="1:49" x14ac:dyDescent="0.2">
      <c r="A879">
        <v>877</v>
      </c>
      <c r="B879" t="s">
        <v>1949</v>
      </c>
      <c r="C879" t="s">
        <v>1948</v>
      </c>
      <c r="F879" t="s">
        <v>1947</v>
      </c>
      <c r="G879" t="s">
        <v>12</v>
      </c>
      <c r="H879" t="s">
        <v>11</v>
      </c>
      <c r="I879" t="s">
        <v>1946</v>
      </c>
      <c r="J879">
        <v>60011199</v>
      </c>
      <c r="K879" t="s">
        <v>1945</v>
      </c>
      <c r="L879" t="s">
        <v>1944</v>
      </c>
      <c r="M879" t="s">
        <v>7</v>
      </c>
      <c r="N879">
        <v>1</v>
      </c>
      <c r="O879" t="s">
        <v>1943</v>
      </c>
      <c r="P879">
        <v>7003541666</v>
      </c>
      <c r="Q879">
        <v>60011199</v>
      </c>
      <c r="R879" s="7">
        <v>33604</v>
      </c>
      <c r="S879" s="8">
        <f t="shared" si="112"/>
        <v>1992</v>
      </c>
      <c r="T879" s="8">
        <v>1992</v>
      </c>
      <c r="U879" s="8">
        <f t="shared" si="113"/>
        <v>30</v>
      </c>
      <c r="V879" s="7">
        <v>33604</v>
      </c>
      <c r="W879" t="s">
        <v>194</v>
      </c>
      <c r="X879" s="2">
        <v>2.383</v>
      </c>
      <c r="Y879" s="6">
        <f t="shared" si="110"/>
        <v>6.3612824003630442E-2</v>
      </c>
      <c r="AA879">
        <v>189219</v>
      </c>
      <c r="AB879">
        <v>17915</v>
      </c>
      <c r="AC879">
        <v>15582256</v>
      </c>
      <c r="AD879" t="s">
        <v>4</v>
      </c>
      <c r="AE879">
        <v>80</v>
      </c>
      <c r="AF879">
        <v>1</v>
      </c>
      <c r="AH879" t="s">
        <v>1942</v>
      </c>
      <c r="AI879" t="s">
        <v>1941</v>
      </c>
      <c r="AK879" t="s">
        <v>1940</v>
      </c>
      <c r="AL879">
        <v>34</v>
      </c>
      <c r="AM879" s="5">
        <f t="shared" si="114"/>
        <v>1.1333333333333333</v>
      </c>
      <c r="AN879" s="4">
        <f t="shared" si="111"/>
        <v>1.7165215196264041E-3</v>
      </c>
      <c r="AO879" s="3"/>
      <c r="AP879">
        <v>0</v>
      </c>
      <c r="AR879" t="s">
        <v>0</v>
      </c>
      <c r="AT879" s="2">
        <v>10.961</v>
      </c>
      <c r="AU879" s="1">
        <f t="shared" si="115"/>
        <v>4.5043933258429227</v>
      </c>
      <c r="AV879" s="1">
        <f t="shared" si="116"/>
        <v>3.2664672761628424</v>
      </c>
      <c r="AW879" s="1">
        <f t="shared" si="117"/>
        <v>2.0285412264827616</v>
      </c>
    </row>
    <row r="880" spans="1:49" x14ac:dyDescent="0.2">
      <c r="A880">
        <v>878</v>
      </c>
      <c r="B880" t="s">
        <v>1939</v>
      </c>
      <c r="C880" t="s">
        <v>1938</v>
      </c>
      <c r="E880">
        <v>1372431</v>
      </c>
      <c r="F880" t="s">
        <v>1937</v>
      </c>
      <c r="G880" t="s">
        <v>12</v>
      </c>
      <c r="H880" t="s">
        <v>11</v>
      </c>
      <c r="I880" t="s">
        <v>1936</v>
      </c>
      <c r="J880">
        <v>60026695</v>
      </c>
      <c r="K880" t="s">
        <v>1935</v>
      </c>
      <c r="L880" t="s">
        <v>1934</v>
      </c>
      <c r="M880" t="s">
        <v>7</v>
      </c>
      <c r="N880">
        <v>3</v>
      </c>
      <c r="O880" t="s">
        <v>1933</v>
      </c>
      <c r="P880" t="s">
        <v>1932</v>
      </c>
      <c r="Q880" t="s">
        <v>1931</v>
      </c>
      <c r="R880" s="7">
        <v>33604</v>
      </c>
      <c r="S880" s="8">
        <f t="shared" si="112"/>
        <v>1992</v>
      </c>
      <c r="T880" s="8">
        <v>1992</v>
      </c>
      <c r="U880" s="8">
        <f t="shared" si="113"/>
        <v>30</v>
      </c>
      <c r="V880" s="7">
        <v>1992</v>
      </c>
      <c r="W880" t="s">
        <v>1930</v>
      </c>
      <c r="X880" s="2">
        <v>0.54900000000000004</v>
      </c>
      <c r="Y880" s="6">
        <f t="shared" si="110"/>
        <v>1.4655241451109155E-2</v>
      </c>
      <c r="AA880">
        <v>2704137</v>
      </c>
      <c r="AB880">
        <v>20474</v>
      </c>
      <c r="AC880">
        <v>10970045</v>
      </c>
      <c r="AD880" t="s">
        <v>4</v>
      </c>
      <c r="AE880">
        <v>20</v>
      </c>
      <c r="AF880">
        <v>2</v>
      </c>
      <c r="AH880" t="s">
        <v>1929</v>
      </c>
      <c r="AI880" t="s">
        <v>1928</v>
      </c>
      <c r="AJ880" t="s">
        <v>1927</v>
      </c>
      <c r="AK880" t="s">
        <v>1926</v>
      </c>
      <c r="AL880">
        <v>7</v>
      </c>
      <c r="AM880" s="5">
        <f t="shared" si="114"/>
        <v>0.23333333333333334</v>
      </c>
      <c r="AN880" s="4">
        <f t="shared" si="111"/>
        <v>3.5340148933484791E-4</v>
      </c>
      <c r="AO880" s="3"/>
      <c r="AP880">
        <v>0</v>
      </c>
      <c r="AR880" t="s">
        <v>0</v>
      </c>
      <c r="AT880" s="2" t="s">
        <v>16</v>
      </c>
      <c r="AU880" s="1">
        <f t="shared" si="115"/>
        <v>1.0364689462576862</v>
      </c>
      <c r="AV880" s="1">
        <f t="shared" si="116"/>
        <v>0.75043214702220018</v>
      </c>
      <c r="AW880" s="1">
        <f t="shared" si="117"/>
        <v>0.46439534778671393</v>
      </c>
    </row>
    <row r="881" spans="1:49" x14ac:dyDescent="0.2">
      <c r="A881">
        <v>879</v>
      </c>
      <c r="B881" t="s">
        <v>1925</v>
      </c>
      <c r="C881" t="s">
        <v>1924</v>
      </c>
      <c r="D881">
        <v>360301692905605</v>
      </c>
      <c r="E881">
        <v>1572816</v>
      </c>
      <c r="F881" t="s">
        <v>1923</v>
      </c>
      <c r="G881" t="s">
        <v>12</v>
      </c>
      <c r="H881" t="s">
        <v>11</v>
      </c>
      <c r="I881" t="s">
        <v>1922</v>
      </c>
      <c r="J881">
        <v>60030443</v>
      </c>
      <c r="K881" t="s">
        <v>1921</v>
      </c>
      <c r="L881" t="s">
        <v>1920</v>
      </c>
      <c r="M881" t="s">
        <v>7</v>
      </c>
      <c r="N881">
        <v>3</v>
      </c>
      <c r="O881" t="s">
        <v>1919</v>
      </c>
      <c r="P881" t="s">
        <v>1918</v>
      </c>
      <c r="Q881" t="s">
        <v>1917</v>
      </c>
      <c r="R881" s="7">
        <v>33604</v>
      </c>
      <c r="S881" s="8">
        <f t="shared" si="112"/>
        <v>1992</v>
      </c>
      <c r="T881" s="8">
        <v>1992</v>
      </c>
      <c r="U881" s="8">
        <f t="shared" si="113"/>
        <v>30</v>
      </c>
      <c r="V881" s="7">
        <v>1992</v>
      </c>
      <c r="W881" t="s">
        <v>881</v>
      </c>
      <c r="X881" s="2" t="s">
        <v>16</v>
      </c>
      <c r="Y881" s="6" t="e">
        <f t="shared" si="110"/>
        <v>#VALUE!</v>
      </c>
      <c r="AA881">
        <v>3603016</v>
      </c>
      <c r="AB881">
        <v>17191</v>
      </c>
      <c r="AD881" t="s">
        <v>4</v>
      </c>
      <c r="AE881">
        <v>23</v>
      </c>
      <c r="AF881">
        <v>1</v>
      </c>
      <c r="AH881" t="s">
        <v>1916</v>
      </c>
      <c r="AI881" t="s">
        <v>1915</v>
      </c>
      <c r="AJ881" t="s">
        <v>1914</v>
      </c>
      <c r="AK881" t="s">
        <v>1913</v>
      </c>
      <c r="AL881">
        <v>5</v>
      </c>
      <c r="AM881" s="5">
        <f t="shared" si="114"/>
        <v>0.16666666666666666</v>
      </c>
      <c r="AN881" s="4">
        <f t="shared" si="111"/>
        <v>2.5242963523917705E-4</v>
      </c>
      <c r="AO881" s="3"/>
      <c r="AP881">
        <v>0</v>
      </c>
      <c r="AQ881" t="s">
        <v>876</v>
      </c>
      <c r="AR881" t="s">
        <v>894</v>
      </c>
      <c r="AS881" t="s">
        <v>874</v>
      </c>
      <c r="AT881" s="2" t="s">
        <v>16</v>
      </c>
      <c r="AU881" s="1" t="e">
        <f t="shared" si="115"/>
        <v>#VALUE!</v>
      </c>
      <c r="AV881" s="1" t="e">
        <f t="shared" si="116"/>
        <v>#VALUE!</v>
      </c>
      <c r="AW881" s="1" t="e">
        <f t="shared" si="117"/>
        <v>#VALUE!</v>
      </c>
    </row>
    <row r="882" spans="1:49" x14ac:dyDescent="0.2">
      <c r="A882">
        <v>880</v>
      </c>
      <c r="B882" t="s">
        <v>1912</v>
      </c>
      <c r="C882" t="s">
        <v>1911</v>
      </c>
      <c r="F882" t="s">
        <v>1910</v>
      </c>
      <c r="G882" t="s">
        <v>12</v>
      </c>
      <c r="H882" t="s">
        <v>11</v>
      </c>
      <c r="I882" t="s">
        <v>1909</v>
      </c>
      <c r="J882" t="s">
        <v>1908</v>
      </c>
      <c r="K882" t="s">
        <v>1907</v>
      </c>
      <c r="L882" t="s">
        <v>1906</v>
      </c>
      <c r="M882" t="s">
        <v>1905</v>
      </c>
      <c r="N882">
        <v>3</v>
      </c>
      <c r="O882" t="s">
        <v>1904</v>
      </c>
      <c r="P882" t="s">
        <v>1903</v>
      </c>
      <c r="Q882" t="s">
        <v>1902</v>
      </c>
      <c r="R882" s="7">
        <v>33604</v>
      </c>
      <c r="S882" s="8">
        <f t="shared" si="112"/>
        <v>1992</v>
      </c>
      <c r="T882" s="8">
        <v>1992</v>
      </c>
      <c r="U882" s="8">
        <f t="shared" si="113"/>
        <v>30</v>
      </c>
      <c r="V882" s="7">
        <v>33909</v>
      </c>
      <c r="W882" t="s">
        <v>1901</v>
      </c>
      <c r="X882" s="2" t="s">
        <v>16</v>
      </c>
      <c r="Y882" s="6" t="e">
        <f t="shared" si="110"/>
        <v>#VALUE!</v>
      </c>
      <c r="AA882" t="s">
        <v>1900</v>
      </c>
      <c r="AB882">
        <v>18446</v>
      </c>
      <c r="AC882">
        <v>14320878</v>
      </c>
      <c r="AD882" t="s">
        <v>4</v>
      </c>
      <c r="AE882">
        <v>270</v>
      </c>
      <c r="AF882">
        <v>2</v>
      </c>
      <c r="AH882" t="s">
        <v>1899</v>
      </c>
      <c r="AI882" t="s">
        <v>1898</v>
      </c>
      <c r="AJ882" t="s">
        <v>1897</v>
      </c>
      <c r="AK882" t="s">
        <v>1896</v>
      </c>
      <c r="AL882">
        <v>154</v>
      </c>
      <c r="AM882" s="5">
        <f t="shared" si="114"/>
        <v>5.1333333333333337</v>
      </c>
      <c r="AN882" s="4">
        <f t="shared" si="111"/>
        <v>7.7748327653666544E-3</v>
      </c>
      <c r="AO882" s="3"/>
      <c r="AP882">
        <v>0</v>
      </c>
      <c r="AR882" t="s">
        <v>0</v>
      </c>
      <c r="AT882" s="2" t="s">
        <v>16</v>
      </c>
      <c r="AU882" s="1" t="e">
        <f t="shared" si="115"/>
        <v>#VALUE!</v>
      </c>
      <c r="AV882" s="1" t="e">
        <f t="shared" si="116"/>
        <v>#VALUE!</v>
      </c>
      <c r="AW882" s="1" t="e">
        <f t="shared" si="117"/>
        <v>#VALUE!</v>
      </c>
    </row>
    <row r="883" spans="1:49" x14ac:dyDescent="0.2">
      <c r="A883">
        <v>881</v>
      </c>
      <c r="B883" t="s">
        <v>1895</v>
      </c>
      <c r="E883">
        <v>1322910</v>
      </c>
      <c r="F883" t="s">
        <v>1894</v>
      </c>
      <c r="G883" t="s">
        <v>12</v>
      </c>
      <c r="H883" t="s">
        <v>11</v>
      </c>
      <c r="I883" t="s">
        <v>1893</v>
      </c>
      <c r="J883">
        <v>60025272</v>
      </c>
      <c r="K883" t="s">
        <v>1892</v>
      </c>
      <c r="L883" t="s">
        <v>667</v>
      </c>
      <c r="M883" t="s">
        <v>151</v>
      </c>
      <c r="N883">
        <v>7</v>
      </c>
      <c r="O883" t="s">
        <v>1891</v>
      </c>
      <c r="P883" t="s">
        <v>1890</v>
      </c>
      <c r="Q883" t="s">
        <v>1889</v>
      </c>
      <c r="R883" s="7">
        <v>33604</v>
      </c>
      <c r="S883" s="8">
        <f t="shared" si="112"/>
        <v>1992</v>
      </c>
      <c r="T883" s="8">
        <v>1992</v>
      </c>
      <c r="U883" s="8">
        <f t="shared" si="113"/>
        <v>30</v>
      </c>
      <c r="V883" s="7">
        <v>1992</v>
      </c>
      <c r="W883" t="s">
        <v>1057</v>
      </c>
      <c r="X883" s="2">
        <v>2.3610000000000002</v>
      </c>
      <c r="Y883" s="6">
        <f t="shared" si="110"/>
        <v>6.3025546568431179E-2</v>
      </c>
      <c r="AA883">
        <v>219258</v>
      </c>
      <c r="AB883">
        <v>17592</v>
      </c>
      <c r="AD883" t="s">
        <v>4</v>
      </c>
      <c r="AE883">
        <v>267</v>
      </c>
      <c r="AF883">
        <v>23</v>
      </c>
      <c r="AH883" t="s">
        <v>1888</v>
      </c>
      <c r="AI883" t="s">
        <v>1887</v>
      </c>
      <c r="AK883" t="s">
        <v>1886</v>
      </c>
      <c r="AL883">
        <v>130</v>
      </c>
      <c r="AM883" s="5">
        <f t="shared" si="114"/>
        <v>4.333333333333333</v>
      </c>
      <c r="AN883" s="4">
        <f t="shared" si="111"/>
        <v>6.5631705162186036E-3</v>
      </c>
      <c r="AO883" s="3"/>
      <c r="AP883">
        <v>0</v>
      </c>
      <c r="AR883" t="s">
        <v>0</v>
      </c>
      <c r="AT883" s="2">
        <v>5.157</v>
      </c>
      <c r="AU883" s="1">
        <f t="shared" si="115"/>
        <v>4.6086833752767404</v>
      </c>
      <c r="AV883" s="1">
        <f t="shared" si="116"/>
        <v>3.4794358542324892</v>
      </c>
      <c r="AW883" s="1">
        <f t="shared" si="117"/>
        <v>2.3501883331882376</v>
      </c>
    </row>
    <row r="884" spans="1:49" x14ac:dyDescent="0.2">
      <c r="A884">
        <v>882</v>
      </c>
      <c r="B884" t="s">
        <v>1885</v>
      </c>
      <c r="C884" t="s">
        <v>1884</v>
      </c>
      <c r="F884" t="s">
        <v>1883</v>
      </c>
      <c r="G884" t="s">
        <v>12</v>
      </c>
      <c r="H884" t="s">
        <v>11</v>
      </c>
      <c r="I884" t="s">
        <v>1882</v>
      </c>
      <c r="J884">
        <v>60102562</v>
      </c>
      <c r="K884" t="s">
        <v>1358</v>
      </c>
      <c r="L884" t="s">
        <v>1357</v>
      </c>
      <c r="M884" t="s">
        <v>7</v>
      </c>
      <c r="N884">
        <v>2</v>
      </c>
      <c r="O884" t="s">
        <v>1881</v>
      </c>
      <c r="P884" t="s">
        <v>1880</v>
      </c>
      <c r="Q884" t="s">
        <v>1354</v>
      </c>
      <c r="R884" s="7">
        <v>33604</v>
      </c>
      <c r="S884" s="8">
        <f t="shared" si="112"/>
        <v>1992</v>
      </c>
      <c r="T884" s="8">
        <v>1992</v>
      </c>
      <c r="U884" s="8">
        <f t="shared" si="113"/>
        <v>30</v>
      </c>
      <c r="V884" s="7">
        <v>33604</v>
      </c>
      <c r="W884" t="s">
        <v>1458</v>
      </c>
      <c r="X884" s="2">
        <v>0.30399999999999999</v>
      </c>
      <c r="Y884" s="6">
        <f t="shared" si="110"/>
        <v>8.115106377299057E-3</v>
      </c>
      <c r="AA884">
        <v>8952477</v>
      </c>
      <c r="AB884">
        <v>12250</v>
      </c>
      <c r="AC884">
        <v>10982760</v>
      </c>
      <c r="AD884" t="s">
        <v>4</v>
      </c>
      <c r="AE884">
        <v>5</v>
      </c>
      <c r="AF884">
        <v>1</v>
      </c>
      <c r="AH884" t="s">
        <v>1879</v>
      </c>
      <c r="AI884" t="s">
        <v>1878</v>
      </c>
      <c r="AJ884" t="s">
        <v>1877</v>
      </c>
      <c r="AK884" t="s">
        <v>1876</v>
      </c>
      <c r="AL884">
        <v>21</v>
      </c>
      <c r="AM884" s="5">
        <f t="shared" si="114"/>
        <v>0.7</v>
      </c>
      <c r="AN884" s="4">
        <f t="shared" si="111"/>
        <v>1.0602044680045437E-3</v>
      </c>
      <c r="AO884" s="3"/>
      <c r="AP884">
        <v>0</v>
      </c>
      <c r="AR884" t="s">
        <v>0</v>
      </c>
      <c r="AT884" s="2" t="s">
        <v>16</v>
      </c>
      <c r="AU884" s="1">
        <f t="shared" si="115"/>
        <v>0.59986358045107024</v>
      </c>
      <c r="AV884" s="1">
        <f t="shared" si="116"/>
        <v>0.45876554226518002</v>
      </c>
      <c r="AW884" s="1">
        <f t="shared" si="117"/>
        <v>0.31766750407928979</v>
      </c>
    </row>
    <row r="885" spans="1:49" x14ac:dyDescent="0.2">
      <c r="A885">
        <v>883</v>
      </c>
      <c r="B885" t="s">
        <v>1875</v>
      </c>
      <c r="C885" t="s">
        <v>1874</v>
      </c>
      <c r="E885">
        <v>1622949</v>
      </c>
      <c r="F885" t="s">
        <v>1873</v>
      </c>
      <c r="G885" t="s">
        <v>12</v>
      </c>
      <c r="H885" t="s">
        <v>11</v>
      </c>
      <c r="I885" t="s">
        <v>1872</v>
      </c>
      <c r="J885" t="s">
        <v>1871</v>
      </c>
      <c r="K885" t="s">
        <v>1870</v>
      </c>
      <c r="L885" t="s">
        <v>1869</v>
      </c>
      <c r="M885" t="s">
        <v>904</v>
      </c>
      <c r="N885">
        <v>1</v>
      </c>
      <c r="O885" t="s">
        <v>1868</v>
      </c>
      <c r="P885">
        <v>7006374632</v>
      </c>
      <c r="Q885" t="s">
        <v>1867</v>
      </c>
      <c r="R885" s="7">
        <v>33604</v>
      </c>
      <c r="S885" s="8">
        <f t="shared" si="112"/>
        <v>1992</v>
      </c>
      <c r="T885" s="8">
        <v>1992</v>
      </c>
      <c r="U885" s="8">
        <f t="shared" si="113"/>
        <v>30</v>
      </c>
      <c r="V885" s="7">
        <v>1992</v>
      </c>
      <c r="W885" t="s">
        <v>1866</v>
      </c>
      <c r="X885" s="2">
        <v>2.016</v>
      </c>
      <c r="Y885" s="6">
        <f t="shared" si="110"/>
        <v>5.3815968607351647E-2</v>
      </c>
      <c r="AA885">
        <v>71161</v>
      </c>
      <c r="AB885">
        <v>13736</v>
      </c>
      <c r="AD885" t="s">
        <v>4</v>
      </c>
      <c r="AE885">
        <v>76</v>
      </c>
      <c r="AF885">
        <v>6</v>
      </c>
      <c r="AH885" t="s">
        <v>1865</v>
      </c>
      <c r="AI885" t="s">
        <v>1864</v>
      </c>
      <c r="AK885" t="s">
        <v>1863</v>
      </c>
      <c r="AL885">
        <v>41</v>
      </c>
      <c r="AM885" s="5">
        <f t="shared" si="114"/>
        <v>1.3666666666666667</v>
      </c>
      <c r="AN885" s="4">
        <f t="shared" si="111"/>
        <v>2.0699230089612523E-3</v>
      </c>
      <c r="AO885" s="3"/>
      <c r="AP885">
        <v>1</v>
      </c>
      <c r="AR885" t="s">
        <v>0</v>
      </c>
      <c r="AT885" s="2">
        <v>4.6379999999999999</v>
      </c>
      <c r="AU885" s="1">
        <f t="shared" si="115"/>
        <v>3.8292154927834527</v>
      </c>
      <c r="AV885" s="1">
        <f t="shared" si="116"/>
        <v>2.7942945808156447</v>
      </c>
      <c r="AW885" s="1">
        <f t="shared" si="117"/>
        <v>1.759373668847837</v>
      </c>
    </row>
    <row r="886" spans="1:49" x14ac:dyDescent="0.2">
      <c r="A886">
        <v>884</v>
      </c>
      <c r="B886" t="s">
        <v>1862</v>
      </c>
      <c r="C886" t="s">
        <v>1861</v>
      </c>
      <c r="F886" t="s">
        <v>1860</v>
      </c>
      <c r="G886" t="s">
        <v>12</v>
      </c>
      <c r="H886" t="s">
        <v>11</v>
      </c>
      <c r="I886" t="s">
        <v>1859</v>
      </c>
      <c r="J886">
        <v>60003892</v>
      </c>
      <c r="K886" t="s">
        <v>1858</v>
      </c>
      <c r="L886" t="s">
        <v>1857</v>
      </c>
      <c r="M886" t="s">
        <v>7</v>
      </c>
      <c r="N886">
        <v>1</v>
      </c>
      <c r="O886" t="s">
        <v>1856</v>
      </c>
      <c r="P886">
        <v>35583458100</v>
      </c>
      <c r="Q886">
        <v>60003892</v>
      </c>
      <c r="R886" s="7">
        <v>33604</v>
      </c>
      <c r="S886" s="8">
        <f t="shared" si="112"/>
        <v>1992</v>
      </c>
      <c r="T886" s="8">
        <v>1992</v>
      </c>
      <c r="U886" s="8">
        <f t="shared" si="113"/>
        <v>30</v>
      </c>
      <c r="V886" s="7">
        <v>33604</v>
      </c>
      <c r="W886" t="s">
        <v>194</v>
      </c>
      <c r="X886" s="2">
        <v>2.383</v>
      </c>
      <c r="Y886" s="6">
        <f t="shared" si="110"/>
        <v>6.3612824003630442E-2</v>
      </c>
      <c r="AA886">
        <v>189219</v>
      </c>
      <c r="AB886">
        <v>17915</v>
      </c>
      <c r="AC886">
        <v>15582256</v>
      </c>
      <c r="AD886" t="s">
        <v>4</v>
      </c>
      <c r="AE886">
        <v>80</v>
      </c>
      <c r="AF886">
        <v>1</v>
      </c>
      <c r="AH886" s="10">
        <v>45108</v>
      </c>
      <c r="AI886" t="s">
        <v>1855</v>
      </c>
      <c r="AK886" t="s">
        <v>1854</v>
      </c>
      <c r="AL886">
        <v>144</v>
      </c>
      <c r="AM886" s="5">
        <f t="shared" si="114"/>
        <v>4.8</v>
      </c>
      <c r="AN886" s="4">
        <f t="shared" si="111"/>
        <v>7.2699734948882995E-3</v>
      </c>
      <c r="AO886" s="3"/>
      <c r="AP886">
        <v>0</v>
      </c>
      <c r="AR886" t="s">
        <v>0</v>
      </c>
      <c r="AT886" s="2">
        <v>10.961</v>
      </c>
      <c r="AU886" s="1">
        <f t="shared" si="115"/>
        <v>4.6709968851007799</v>
      </c>
      <c r="AV886" s="1">
        <f t="shared" si="116"/>
        <v>3.544139874925937</v>
      </c>
      <c r="AW886" s="1">
        <f t="shared" si="117"/>
        <v>2.417282864751094</v>
      </c>
    </row>
    <row r="887" spans="1:49" x14ac:dyDescent="0.2">
      <c r="A887">
        <v>885</v>
      </c>
      <c r="B887" t="s">
        <v>1853</v>
      </c>
      <c r="F887" t="s">
        <v>1852</v>
      </c>
      <c r="G887" t="s">
        <v>12</v>
      </c>
      <c r="H887" t="s">
        <v>11</v>
      </c>
      <c r="I887" t="s">
        <v>1851</v>
      </c>
      <c r="N887">
        <v>1</v>
      </c>
      <c r="O887" t="s">
        <v>1850</v>
      </c>
      <c r="P887">
        <v>7401713517</v>
      </c>
      <c r="R887" s="7">
        <v>33604</v>
      </c>
      <c r="S887" s="8">
        <f t="shared" si="112"/>
        <v>1992</v>
      </c>
      <c r="T887" s="8">
        <v>1992</v>
      </c>
      <c r="U887" s="8">
        <f t="shared" si="113"/>
        <v>30</v>
      </c>
      <c r="V887" s="7">
        <v>33604</v>
      </c>
      <c r="W887" t="s">
        <v>1849</v>
      </c>
      <c r="X887" s="2">
        <v>0.22</v>
      </c>
      <c r="Y887" s="6">
        <f t="shared" si="110"/>
        <v>5.8727743519927395E-3</v>
      </c>
      <c r="AA887">
        <v>2705214</v>
      </c>
      <c r="AB887">
        <v>28119</v>
      </c>
      <c r="AD887" t="s">
        <v>4</v>
      </c>
      <c r="AE887">
        <v>13</v>
      </c>
      <c r="AF887">
        <v>1</v>
      </c>
      <c r="AH887" t="s">
        <v>1848</v>
      </c>
      <c r="AI887" t="s">
        <v>1847</v>
      </c>
      <c r="AK887" t="s">
        <v>1846</v>
      </c>
      <c r="AL887">
        <v>6</v>
      </c>
      <c r="AM887" s="5">
        <f t="shared" si="114"/>
        <v>0.2</v>
      </c>
      <c r="AN887" s="4">
        <f t="shared" si="111"/>
        <v>3.0291556228701253E-4</v>
      </c>
      <c r="AO887" s="3"/>
      <c r="AP887">
        <v>0</v>
      </c>
      <c r="AR887" t="s">
        <v>0</v>
      </c>
      <c r="AT887" s="2" t="s">
        <v>16</v>
      </c>
      <c r="AU887" s="1">
        <f t="shared" si="115"/>
        <v>0.42018167150810209</v>
      </c>
      <c r="AV887" s="1">
        <f t="shared" si="116"/>
        <v>0.30878449571398764</v>
      </c>
      <c r="AW887" s="1">
        <f t="shared" si="117"/>
        <v>0.19738731991987304</v>
      </c>
    </row>
    <row r="888" spans="1:49" x14ac:dyDescent="0.2">
      <c r="A888">
        <v>886</v>
      </c>
      <c r="B888" t="s">
        <v>1845</v>
      </c>
      <c r="C888" t="s">
        <v>1844</v>
      </c>
      <c r="E888">
        <v>1639055</v>
      </c>
      <c r="F888" t="s">
        <v>1843</v>
      </c>
      <c r="G888" t="s">
        <v>12</v>
      </c>
      <c r="H888" t="s">
        <v>11</v>
      </c>
      <c r="I888" t="s">
        <v>1842</v>
      </c>
      <c r="J888">
        <v>60006070</v>
      </c>
      <c r="K888" t="s">
        <v>1841</v>
      </c>
      <c r="L888" t="s">
        <v>1840</v>
      </c>
      <c r="M888" t="s">
        <v>817</v>
      </c>
      <c r="N888">
        <v>4</v>
      </c>
      <c r="O888" t="s">
        <v>1839</v>
      </c>
      <c r="P888" t="s">
        <v>1838</v>
      </c>
      <c r="Q888" t="s">
        <v>1837</v>
      </c>
      <c r="R888" s="7">
        <v>33604</v>
      </c>
      <c r="S888" s="8">
        <f t="shared" si="112"/>
        <v>1992</v>
      </c>
      <c r="T888" s="8">
        <v>1992</v>
      </c>
      <c r="U888" s="8">
        <f t="shared" si="113"/>
        <v>30</v>
      </c>
      <c r="V888" s="7">
        <v>1992</v>
      </c>
      <c r="W888" t="s">
        <v>1118</v>
      </c>
      <c r="X888" s="2">
        <v>7.484</v>
      </c>
      <c r="Y888" s="6">
        <f t="shared" si="110"/>
        <v>0.19978110568324392</v>
      </c>
      <c r="AA888">
        <v>2614189</v>
      </c>
      <c r="AB888">
        <v>17435</v>
      </c>
      <c r="AD888" t="s">
        <v>4</v>
      </c>
      <c r="AE888">
        <v>11</v>
      </c>
      <c r="AF888">
        <v>8</v>
      </c>
      <c r="AH888" t="s">
        <v>1836</v>
      </c>
      <c r="AI888" t="s">
        <v>1835</v>
      </c>
      <c r="AJ888" t="s">
        <v>1834</v>
      </c>
      <c r="AK888" t="s">
        <v>1833</v>
      </c>
      <c r="AL888">
        <v>69</v>
      </c>
      <c r="AM888" s="5">
        <f t="shared" si="114"/>
        <v>2.2999999999999998</v>
      </c>
      <c r="AN888" s="4">
        <f t="shared" si="111"/>
        <v>3.4835289663006433E-3</v>
      </c>
      <c r="AO888" s="3"/>
      <c r="AP888">
        <v>0</v>
      </c>
      <c r="AR888" t="s">
        <v>0</v>
      </c>
      <c r="AT888" s="2">
        <v>11.598000000000001</v>
      </c>
      <c r="AU888" s="1">
        <f t="shared" si="115"/>
        <v>14.089183266816091</v>
      </c>
      <c r="AV888" s="1">
        <f t="shared" si="116"/>
        <v>10.163231732477227</v>
      </c>
      <c r="AW888" s="1">
        <f t="shared" si="117"/>
        <v>6.2372801981383619</v>
      </c>
    </row>
    <row r="889" spans="1:49" x14ac:dyDescent="0.2">
      <c r="A889">
        <v>887</v>
      </c>
      <c r="B889" t="s">
        <v>1832</v>
      </c>
      <c r="C889" t="s">
        <v>1831</v>
      </c>
      <c r="D889" t="s">
        <v>1830</v>
      </c>
      <c r="E889">
        <v>1420862</v>
      </c>
      <c r="F889" t="s">
        <v>1829</v>
      </c>
      <c r="G889" t="s">
        <v>12</v>
      </c>
      <c r="H889" t="s">
        <v>11</v>
      </c>
      <c r="I889" t="s">
        <v>1828</v>
      </c>
      <c r="J889">
        <v>60006164</v>
      </c>
      <c r="K889" t="s">
        <v>1827</v>
      </c>
      <c r="L889" t="s">
        <v>1826</v>
      </c>
      <c r="M889" t="s">
        <v>7</v>
      </c>
      <c r="N889">
        <v>2</v>
      </c>
      <c r="O889" t="s">
        <v>1825</v>
      </c>
      <c r="P889" t="s">
        <v>1824</v>
      </c>
      <c r="Q889" t="s">
        <v>1823</v>
      </c>
      <c r="R889" s="7">
        <v>33604</v>
      </c>
      <c r="S889" s="8">
        <f t="shared" si="112"/>
        <v>1992</v>
      </c>
      <c r="T889" s="8">
        <v>1992</v>
      </c>
      <c r="U889" s="8">
        <f t="shared" si="113"/>
        <v>30</v>
      </c>
      <c r="V889" s="7">
        <v>1992</v>
      </c>
      <c r="W889" t="s">
        <v>1087</v>
      </c>
      <c r="X889" s="2">
        <v>1.7130000000000001</v>
      </c>
      <c r="Y889" s="6">
        <f t="shared" si="110"/>
        <v>4.5727556658925285E-2</v>
      </c>
      <c r="AA889">
        <v>63495</v>
      </c>
      <c r="AB889">
        <v>14859</v>
      </c>
      <c r="AD889" t="s">
        <v>4</v>
      </c>
      <c r="AE889">
        <v>63</v>
      </c>
      <c r="AF889">
        <v>1</v>
      </c>
      <c r="AH889" t="s">
        <v>1822</v>
      </c>
      <c r="AI889" t="s">
        <v>1821</v>
      </c>
      <c r="AK889" t="s">
        <v>1820</v>
      </c>
      <c r="AL889">
        <v>123</v>
      </c>
      <c r="AM889" s="5">
        <f t="shared" si="114"/>
        <v>4.0999999999999996</v>
      </c>
      <c r="AN889" s="4">
        <f t="shared" si="111"/>
        <v>6.209769026883756E-3</v>
      </c>
      <c r="AO889" s="3"/>
      <c r="AP889">
        <v>1</v>
      </c>
      <c r="AR889" t="s">
        <v>0</v>
      </c>
      <c r="AT889" s="2">
        <v>4.0330000000000004</v>
      </c>
      <c r="AU889" s="1">
        <f t="shared" si="115"/>
        <v>3.3872220369312824</v>
      </c>
      <c r="AV889" s="1">
        <f t="shared" si="116"/>
        <v>2.596866284290452</v>
      </c>
      <c r="AW889" s="1">
        <f t="shared" si="117"/>
        <v>1.8065105316496213</v>
      </c>
    </row>
    <row r="890" spans="1:49" x14ac:dyDescent="0.2">
      <c r="A890">
        <v>888</v>
      </c>
      <c r="B890" t="s">
        <v>1819</v>
      </c>
      <c r="C890" t="s">
        <v>1818</v>
      </c>
      <c r="E890">
        <v>1314661</v>
      </c>
      <c r="F890" t="s">
        <v>1817</v>
      </c>
      <c r="G890" t="s">
        <v>12</v>
      </c>
      <c r="H890" t="s">
        <v>11</v>
      </c>
      <c r="I890" t="s">
        <v>1816</v>
      </c>
      <c r="J890" t="s">
        <v>1815</v>
      </c>
      <c r="K890" t="s">
        <v>1814</v>
      </c>
      <c r="L890" t="s">
        <v>1813</v>
      </c>
      <c r="M890" t="s">
        <v>1812</v>
      </c>
      <c r="N890">
        <v>5</v>
      </c>
      <c r="O890" t="s">
        <v>1811</v>
      </c>
      <c r="P890" t="s">
        <v>1810</v>
      </c>
      <c r="Q890" t="s">
        <v>1809</v>
      </c>
      <c r="R890" s="7">
        <v>33604</v>
      </c>
      <c r="S890" s="8">
        <f t="shared" si="112"/>
        <v>1992</v>
      </c>
      <c r="T890" s="8">
        <v>1992</v>
      </c>
      <c r="U890" s="8">
        <f t="shared" si="113"/>
        <v>30</v>
      </c>
      <c r="V890" s="7">
        <v>1992</v>
      </c>
      <c r="W890" t="s">
        <v>1808</v>
      </c>
      <c r="X890" s="2">
        <v>1.43</v>
      </c>
      <c r="Y890" s="6">
        <f t="shared" si="110"/>
        <v>3.8173033287952803E-2</v>
      </c>
      <c r="AA890">
        <v>62960</v>
      </c>
      <c r="AB890">
        <v>16867</v>
      </c>
      <c r="AC890">
        <v>15204995</v>
      </c>
      <c r="AD890" t="s">
        <v>4</v>
      </c>
      <c r="AE890">
        <v>31</v>
      </c>
      <c r="AF890">
        <v>17</v>
      </c>
      <c r="AH890" t="s">
        <v>1807</v>
      </c>
      <c r="AI890" t="s">
        <v>1806</v>
      </c>
      <c r="AK890" t="s">
        <v>1805</v>
      </c>
      <c r="AL890">
        <v>36</v>
      </c>
      <c r="AM890" s="5">
        <f t="shared" si="114"/>
        <v>1.2</v>
      </c>
      <c r="AN890" s="4">
        <f t="shared" si="111"/>
        <v>1.8174933737220749E-3</v>
      </c>
      <c r="AO890" s="3"/>
      <c r="AP890">
        <v>0</v>
      </c>
      <c r="AR890" t="s">
        <v>0</v>
      </c>
      <c r="AT890" s="2">
        <v>3.1619999999999999</v>
      </c>
      <c r="AU890" s="1">
        <f t="shared" si="115"/>
        <v>2.7266371313683582</v>
      </c>
      <c r="AV890" s="1">
        <f t="shared" si="116"/>
        <v>1.9995263330837441</v>
      </c>
      <c r="AW890" s="1">
        <f t="shared" si="117"/>
        <v>1.2724155347991293</v>
      </c>
    </row>
    <row r="891" spans="1:49" x14ac:dyDescent="0.2">
      <c r="A891">
        <v>889</v>
      </c>
      <c r="B891" t="s">
        <v>1804</v>
      </c>
      <c r="F891" t="s">
        <v>1803</v>
      </c>
      <c r="G891" t="s">
        <v>12</v>
      </c>
      <c r="H891" t="s">
        <v>11</v>
      </c>
      <c r="I891" t="s">
        <v>1802</v>
      </c>
      <c r="N891">
        <v>2</v>
      </c>
      <c r="O891" t="s">
        <v>1801</v>
      </c>
      <c r="P891" t="s">
        <v>1800</v>
      </c>
      <c r="Q891" t="s">
        <v>720</v>
      </c>
      <c r="R891" s="7">
        <v>33604</v>
      </c>
      <c r="S891" s="8">
        <f t="shared" si="112"/>
        <v>1992</v>
      </c>
      <c r="T891" s="8">
        <v>1992</v>
      </c>
      <c r="U891" s="8">
        <f t="shared" si="113"/>
        <v>30</v>
      </c>
      <c r="V891" s="7">
        <v>1992</v>
      </c>
      <c r="W891" t="s">
        <v>1252</v>
      </c>
      <c r="X891" s="2" t="s">
        <v>16</v>
      </c>
      <c r="Y891" s="6" t="e">
        <f t="shared" si="110"/>
        <v>#VALUE!</v>
      </c>
      <c r="AA891">
        <v>87566648</v>
      </c>
      <c r="AB891">
        <v>74127</v>
      </c>
      <c r="AD891" t="s">
        <v>4</v>
      </c>
      <c r="AE891">
        <v>37</v>
      </c>
      <c r="AF891">
        <v>3</v>
      </c>
      <c r="AH891" t="s">
        <v>1799</v>
      </c>
      <c r="AI891" t="s">
        <v>1798</v>
      </c>
      <c r="AK891" t="s">
        <v>1797</v>
      </c>
      <c r="AL891">
        <v>0</v>
      </c>
      <c r="AM891" s="5">
        <f t="shared" si="114"/>
        <v>0</v>
      </c>
      <c r="AN891" s="4">
        <f t="shared" si="111"/>
        <v>0</v>
      </c>
      <c r="AO891" s="3"/>
      <c r="AP891">
        <v>0</v>
      </c>
      <c r="AR891" t="s">
        <v>0</v>
      </c>
      <c r="AT891" s="2" t="s">
        <v>16</v>
      </c>
      <c r="AU891" s="1" t="e">
        <f t="shared" si="115"/>
        <v>#VALUE!</v>
      </c>
      <c r="AV891" s="1" t="e">
        <f t="shared" si="116"/>
        <v>#VALUE!</v>
      </c>
      <c r="AW891" s="1" t="e">
        <f t="shared" si="117"/>
        <v>#VALUE!</v>
      </c>
    </row>
    <row r="892" spans="1:49" x14ac:dyDescent="0.2">
      <c r="A892">
        <v>890</v>
      </c>
      <c r="B892" t="s">
        <v>1796</v>
      </c>
      <c r="C892" t="s">
        <v>1795</v>
      </c>
      <c r="F892" t="s">
        <v>1794</v>
      </c>
      <c r="G892" t="s">
        <v>12</v>
      </c>
      <c r="H892" t="s">
        <v>11</v>
      </c>
      <c r="I892" t="s">
        <v>1793</v>
      </c>
      <c r="N892">
        <v>2</v>
      </c>
      <c r="O892" t="s">
        <v>1792</v>
      </c>
      <c r="P892" t="s">
        <v>1791</v>
      </c>
      <c r="Q892" t="s">
        <v>720</v>
      </c>
      <c r="R892" s="7">
        <v>33604</v>
      </c>
      <c r="S892" s="8">
        <f t="shared" si="112"/>
        <v>1992</v>
      </c>
      <c r="T892" s="8">
        <v>1992</v>
      </c>
      <c r="U892" s="8">
        <f t="shared" si="113"/>
        <v>30</v>
      </c>
      <c r="V892" s="7" t="s">
        <v>1790</v>
      </c>
      <c r="W892" t="s">
        <v>1789</v>
      </c>
      <c r="X892" s="2">
        <v>0.33800000000000002</v>
      </c>
      <c r="Y892" s="6">
        <f t="shared" si="110"/>
        <v>9.0227169589706634E-3</v>
      </c>
      <c r="AA892">
        <v>7372884</v>
      </c>
      <c r="AB892">
        <v>70506</v>
      </c>
      <c r="AC892">
        <v>10991247</v>
      </c>
      <c r="AD892" t="s">
        <v>4</v>
      </c>
      <c r="AE892">
        <v>10</v>
      </c>
      <c r="AF892">
        <v>1</v>
      </c>
      <c r="AH892" t="s">
        <v>1788</v>
      </c>
      <c r="AI892" t="s">
        <v>1787</v>
      </c>
      <c r="AJ892" t="s">
        <v>1786</v>
      </c>
      <c r="AK892" t="s">
        <v>1785</v>
      </c>
      <c r="AL892">
        <v>0</v>
      </c>
      <c r="AM892" s="5">
        <f t="shared" si="114"/>
        <v>0</v>
      </c>
      <c r="AN892" s="4">
        <f t="shared" si="111"/>
        <v>0</v>
      </c>
      <c r="AO892" s="3"/>
      <c r="AP892">
        <v>0</v>
      </c>
      <c r="AR892" t="s">
        <v>0</v>
      </c>
      <c r="AT892" s="2" t="s">
        <v>16</v>
      </c>
      <c r="AU892" s="1">
        <f t="shared" si="115"/>
        <v>0.63159018712794635</v>
      </c>
      <c r="AV892" s="1">
        <f t="shared" si="116"/>
        <v>0.45113584794853318</v>
      </c>
      <c r="AW892" s="1">
        <f t="shared" si="117"/>
        <v>0.27068150876911989</v>
      </c>
    </row>
    <row r="893" spans="1:49" x14ac:dyDescent="0.2">
      <c r="A893">
        <v>891</v>
      </c>
      <c r="B893" t="s">
        <v>1784</v>
      </c>
      <c r="C893" t="s">
        <v>1783</v>
      </c>
      <c r="F893" t="s">
        <v>1782</v>
      </c>
      <c r="G893" t="s">
        <v>12</v>
      </c>
      <c r="H893" t="s">
        <v>11</v>
      </c>
      <c r="I893" t="s">
        <v>1781</v>
      </c>
      <c r="J893">
        <v>60024025</v>
      </c>
      <c r="K893" t="s">
        <v>1780</v>
      </c>
      <c r="L893" t="s">
        <v>1779</v>
      </c>
      <c r="M893" t="s">
        <v>817</v>
      </c>
      <c r="N893">
        <v>3</v>
      </c>
      <c r="O893" t="s">
        <v>1778</v>
      </c>
      <c r="P893" t="s">
        <v>1777</v>
      </c>
      <c r="Q893" t="s">
        <v>1776</v>
      </c>
      <c r="R893" s="7">
        <v>33604</v>
      </c>
      <c r="S893" s="8">
        <f t="shared" si="112"/>
        <v>1992</v>
      </c>
      <c r="T893" s="8">
        <v>1992</v>
      </c>
      <c r="U893" s="8">
        <f t="shared" si="113"/>
        <v>30</v>
      </c>
      <c r="V893" s="7">
        <v>33604</v>
      </c>
      <c r="W893" t="s">
        <v>1775</v>
      </c>
      <c r="X893" s="2">
        <v>0.61499999999999999</v>
      </c>
      <c r="Y893" s="6">
        <f t="shared" si="110"/>
        <v>1.6417073756706976E-2</v>
      </c>
      <c r="AA893">
        <v>1959271</v>
      </c>
      <c r="AB893">
        <v>12141</v>
      </c>
      <c r="AC893">
        <v>15729559</v>
      </c>
      <c r="AD893" t="s">
        <v>4</v>
      </c>
      <c r="AE893">
        <v>13</v>
      </c>
      <c r="AF893">
        <v>1</v>
      </c>
      <c r="AH893" t="s">
        <v>1774</v>
      </c>
      <c r="AI893" t="s">
        <v>1773</v>
      </c>
      <c r="AK893" t="s">
        <v>1772</v>
      </c>
      <c r="AL893">
        <v>11</v>
      </c>
      <c r="AM893" s="5">
        <f t="shared" si="114"/>
        <v>0.36666666666666664</v>
      </c>
      <c r="AN893" s="4">
        <f t="shared" si="111"/>
        <v>5.5534519752618958E-4</v>
      </c>
      <c r="AO893" s="3"/>
      <c r="AP893">
        <v>0</v>
      </c>
      <c r="AR893" t="s">
        <v>0</v>
      </c>
      <c r="AT893" s="2" t="s">
        <v>16</v>
      </c>
      <c r="AU893" s="1">
        <f t="shared" si="115"/>
        <v>1.1658555188952737</v>
      </c>
      <c r="AV893" s="1">
        <f t="shared" si="116"/>
        <v>0.84862094771165819</v>
      </c>
      <c r="AW893" s="1">
        <f t="shared" si="117"/>
        <v>0.53138637652804255</v>
      </c>
    </row>
    <row r="894" spans="1:49" x14ac:dyDescent="0.2">
      <c r="A894">
        <v>892</v>
      </c>
      <c r="B894" t="s">
        <v>1771</v>
      </c>
      <c r="C894" t="s">
        <v>1770</v>
      </c>
      <c r="F894" t="s">
        <v>1769</v>
      </c>
      <c r="G894" t="s">
        <v>12</v>
      </c>
      <c r="H894" t="s">
        <v>11</v>
      </c>
      <c r="I894" t="s">
        <v>1768</v>
      </c>
      <c r="J894" t="s">
        <v>1767</v>
      </c>
      <c r="K894" t="s">
        <v>1766</v>
      </c>
      <c r="L894" t="s">
        <v>1765</v>
      </c>
      <c r="M894" t="s">
        <v>904</v>
      </c>
      <c r="N894">
        <v>4</v>
      </c>
      <c r="O894" t="s">
        <v>1764</v>
      </c>
      <c r="P894" t="s">
        <v>1763</v>
      </c>
      <c r="Q894" t="s">
        <v>1762</v>
      </c>
      <c r="R894" s="7">
        <v>33604</v>
      </c>
      <c r="S894" s="8">
        <f t="shared" si="112"/>
        <v>1992</v>
      </c>
      <c r="T894" s="8">
        <v>1992</v>
      </c>
      <c r="U894" s="8">
        <f t="shared" si="113"/>
        <v>30</v>
      </c>
      <c r="V894" s="7">
        <v>33604</v>
      </c>
      <c r="W894" t="s">
        <v>1557</v>
      </c>
      <c r="X894" s="2">
        <v>1.137</v>
      </c>
      <c r="Y894" s="6">
        <f t="shared" si="110"/>
        <v>3.0351565628253384E-2</v>
      </c>
      <c r="AA894">
        <v>189251</v>
      </c>
      <c r="AB894">
        <v>17336</v>
      </c>
      <c r="AD894" t="s">
        <v>4</v>
      </c>
      <c r="AE894">
        <v>28</v>
      </c>
      <c r="AF894">
        <v>1</v>
      </c>
      <c r="AH894" t="s">
        <v>1761</v>
      </c>
      <c r="AI894" t="s">
        <v>1760</v>
      </c>
      <c r="AK894" t="s">
        <v>1759</v>
      </c>
      <c r="AL894">
        <v>1086</v>
      </c>
      <c r="AM894" s="5">
        <f t="shared" si="114"/>
        <v>36.200000000000003</v>
      </c>
      <c r="AN894" s="4">
        <f t="shared" si="111"/>
        <v>5.4827716773949264E-2</v>
      </c>
      <c r="AO894" s="3"/>
      <c r="AP894">
        <v>0</v>
      </c>
      <c r="AR894" t="s">
        <v>0</v>
      </c>
      <c r="AT894" s="2" t="s">
        <v>16</v>
      </c>
      <c r="AU894" s="1">
        <f t="shared" si="115"/>
        <v>3.7694410971962147</v>
      </c>
      <c r="AV894" s="1">
        <f t="shared" si="116"/>
        <v>4.2589641201101331</v>
      </c>
      <c r="AW894" s="1">
        <f t="shared" si="117"/>
        <v>4.7484871430240503</v>
      </c>
    </row>
    <row r="895" spans="1:49" x14ac:dyDescent="0.2">
      <c r="A895">
        <v>893</v>
      </c>
      <c r="B895" t="s">
        <v>1758</v>
      </c>
      <c r="F895" t="s">
        <v>1757</v>
      </c>
      <c r="G895" t="s">
        <v>12</v>
      </c>
      <c r="H895" t="s">
        <v>11</v>
      </c>
      <c r="I895" t="s">
        <v>1756</v>
      </c>
      <c r="N895">
        <v>2</v>
      </c>
      <c r="O895" t="s">
        <v>1755</v>
      </c>
      <c r="P895" t="s">
        <v>1754</v>
      </c>
      <c r="Q895" t="s">
        <v>720</v>
      </c>
      <c r="R895" s="7">
        <v>33604</v>
      </c>
      <c r="S895" s="8">
        <f t="shared" si="112"/>
        <v>1992</v>
      </c>
      <c r="T895" s="8">
        <v>1992</v>
      </c>
      <c r="U895" s="8">
        <f t="shared" si="113"/>
        <v>30</v>
      </c>
      <c r="V895" s="7">
        <v>1992</v>
      </c>
      <c r="W895" t="s">
        <v>1252</v>
      </c>
      <c r="X895" s="2" t="s">
        <v>16</v>
      </c>
      <c r="Y895" s="6" t="e">
        <f t="shared" si="110"/>
        <v>#VALUE!</v>
      </c>
      <c r="AA895">
        <v>87566648</v>
      </c>
      <c r="AB895">
        <v>74127</v>
      </c>
      <c r="AD895" t="s">
        <v>4</v>
      </c>
      <c r="AE895">
        <v>37</v>
      </c>
      <c r="AF895">
        <v>6</v>
      </c>
      <c r="AH895" t="s">
        <v>1753</v>
      </c>
      <c r="AI895" t="s">
        <v>1752</v>
      </c>
      <c r="AK895" t="s">
        <v>1751</v>
      </c>
      <c r="AL895">
        <v>0</v>
      </c>
      <c r="AM895" s="5">
        <f t="shared" si="114"/>
        <v>0</v>
      </c>
      <c r="AN895" s="4">
        <f t="shared" si="111"/>
        <v>0</v>
      </c>
      <c r="AO895" s="3"/>
      <c r="AP895">
        <v>0</v>
      </c>
      <c r="AR895" t="s">
        <v>0</v>
      </c>
      <c r="AT895" s="2" t="s">
        <v>16</v>
      </c>
      <c r="AU895" s="1" t="e">
        <f t="shared" si="115"/>
        <v>#VALUE!</v>
      </c>
      <c r="AV895" s="1" t="e">
        <f t="shared" si="116"/>
        <v>#VALUE!</v>
      </c>
      <c r="AW895" s="1" t="e">
        <f t="shared" si="117"/>
        <v>#VALUE!</v>
      </c>
    </row>
    <row r="896" spans="1:49" x14ac:dyDescent="0.2">
      <c r="A896">
        <v>894</v>
      </c>
      <c r="B896" t="s">
        <v>1750</v>
      </c>
      <c r="C896" t="s">
        <v>1749</v>
      </c>
      <c r="F896" t="s">
        <v>1748</v>
      </c>
      <c r="G896" t="s">
        <v>12</v>
      </c>
      <c r="H896" t="s">
        <v>11</v>
      </c>
      <c r="I896" t="s">
        <v>1747</v>
      </c>
      <c r="J896">
        <v>60000809</v>
      </c>
      <c r="K896" t="s">
        <v>1746</v>
      </c>
      <c r="L896" t="s">
        <v>1745</v>
      </c>
      <c r="M896" t="s">
        <v>151</v>
      </c>
      <c r="N896">
        <v>1</v>
      </c>
      <c r="O896" t="s">
        <v>1744</v>
      </c>
      <c r="P896">
        <v>7403691800</v>
      </c>
      <c r="Q896">
        <v>60000809</v>
      </c>
      <c r="R896" s="7">
        <v>33604</v>
      </c>
      <c r="S896" s="8">
        <f t="shared" si="112"/>
        <v>1992</v>
      </c>
      <c r="T896" s="8">
        <v>1992</v>
      </c>
      <c r="U896" s="8">
        <f t="shared" si="113"/>
        <v>30</v>
      </c>
      <c r="V896" s="7">
        <v>33604</v>
      </c>
      <c r="W896" t="s">
        <v>1743</v>
      </c>
      <c r="X896" s="2">
        <v>0.64600000000000002</v>
      </c>
      <c r="Y896" s="6">
        <f t="shared" si="110"/>
        <v>1.72446010517605E-2</v>
      </c>
      <c r="AA896" t="s">
        <v>1742</v>
      </c>
      <c r="AB896">
        <v>21157</v>
      </c>
      <c r="AC896">
        <v>15308138</v>
      </c>
      <c r="AD896" t="s">
        <v>4</v>
      </c>
      <c r="AE896">
        <v>3</v>
      </c>
      <c r="AF896">
        <v>1</v>
      </c>
      <c r="AH896" t="s">
        <v>1741</v>
      </c>
      <c r="AI896" t="s">
        <v>1740</v>
      </c>
      <c r="AJ896" t="s">
        <v>1739</v>
      </c>
      <c r="AK896" t="s">
        <v>1738</v>
      </c>
      <c r="AL896">
        <v>17</v>
      </c>
      <c r="AM896" s="5">
        <f t="shared" si="114"/>
        <v>0.56666666666666665</v>
      </c>
      <c r="AN896" s="4">
        <f t="shared" si="111"/>
        <v>8.5826075981320206E-4</v>
      </c>
      <c r="AO896" s="3"/>
      <c r="AP896">
        <v>0</v>
      </c>
      <c r="AR896" t="s">
        <v>0</v>
      </c>
      <c r="AT896" s="2" t="s">
        <v>16</v>
      </c>
      <c r="AU896" s="1">
        <f t="shared" si="115"/>
        <v>1.232869896417631</v>
      </c>
      <c r="AV896" s="1">
        <f t="shared" si="116"/>
        <v>0.90514309057868514</v>
      </c>
      <c r="AW896" s="1">
        <f t="shared" si="117"/>
        <v>0.57741628473973916</v>
      </c>
    </row>
    <row r="897" spans="1:49" x14ac:dyDescent="0.2">
      <c r="A897">
        <v>895</v>
      </c>
      <c r="B897" t="s">
        <v>1737</v>
      </c>
      <c r="C897" t="s">
        <v>1736</v>
      </c>
      <c r="E897">
        <v>1569029</v>
      </c>
      <c r="F897" t="s">
        <v>1735</v>
      </c>
      <c r="G897" t="s">
        <v>12</v>
      </c>
      <c r="H897" t="s">
        <v>11</v>
      </c>
      <c r="I897" t="s">
        <v>1734</v>
      </c>
      <c r="J897">
        <v>60025641</v>
      </c>
      <c r="K897" t="s">
        <v>1733</v>
      </c>
      <c r="L897" t="s">
        <v>1732</v>
      </c>
      <c r="M897" t="s">
        <v>817</v>
      </c>
      <c r="N897">
        <v>3</v>
      </c>
      <c r="O897" t="s">
        <v>1731</v>
      </c>
      <c r="P897" t="s">
        <v>1730</v>
      </c>
      <c r="Q897" t="s">
        <v>1729</v>
      </c>
      <c r="R897" s="7">
        <v>33604</v>
      </c>
      <c r="S897" s="8">
        <f t="shared" si="112"/>
        <v>1992</v>
      </c>
      <c r="T897" s="8">
        <v>1992</v>
      </c>
      <c r="U897" s="8">
        <f t="shared" si="113"/>
        <v>30</v>
      </c>
      <c r="V897" s="7">
        <v>1992</v>
      </c>
      <c r="W897" t="s">
        <v>1728</v>
      </c>
      <c r="X897" s="2">
        <v>1.6519999999999999</v>
      </c>
      <c r="Y897" s="6">
        <f t="shared" si="110"/>
        <v>4.409919649769093E-2</v>
      </c>
      <c r="AA897">
        <v>219193</v>
      </c>
      <c r="AB897">
        <v>20220</v>
      </c>
      <c r="AD897" t="s">
        <v>4</v>
      </c>
      <c r="AE897">
        <v>174</v>
      </c>
      <c r="AF897">
        <v>9</v>
      </c>
      <c r="AH897" t="s">
        <v>1727</v>
      </c>
      <c r="AI897" t="s">
        <v>1726</v>
      </c>
      <c r="AK897" t="s">
        <v>1725</v>
      </c>
      <c r="AL897">
        <v>11</v>
      </c>
      <c r="AM897" s="5">
        <f t="shared" si="114"/>
        <v>0.36666666666666664</v>
      </c>
      <c r="AN897" s="4">
        <f t="shared" si="111"/>
        <v>5.5534519752618958E-4</v>
      </c>
      <c r="AO897" s="3"/>
      <c r="AP897">
        <v>1</v>
      </c>
      <c r="AR897" t="s">
        <v>0</v>
      </c>
      <c r="AT897" s="2">
        <v>3.49</v>
      </c>
      <c r="AU897" s="1">
        <f t="shared" si="115"/>
        <v>3.1036041107641505</v>
      </c>
      <c r="AV897" s="1">
        <f t="shared" si="116"/>
        <v>2.2327270847608558</v>
      </c>
      <c r="AW897" s="1">
        <f t="shared" si="117"/>
        <v>1.361850058757561</v>
      </c>
    </row>
    <row r="898" spans="1:49" x14ac:dyDescent="0.2">
      <c r="A898">
        <v>896</v>
      </c>
      <c r="B898" t="s">
        <v>1724</v>
      </c>
      <c r="C898" t="s">
        <v>1723</v>
      </c>
      <c r="F898" t="s">
        <v>1722</v>
      </c>
      <c r="G898" t="s">
        <v>12</v>
      </c>
      <c r="H898" t="s">
        <v>11</v>
      </c>
      <c r="I898" t="s">
        <v>1721</v>
      </c>
      <c r="J898">
        <v>60022144</v>
      </c>
      <c r="K898" t="s">
        <v>1720</v>
      </c>
      <c r="L898" t="s">
        <v>1719</v>
      </c>
      <c r="M898" t="s">
        <v>7</v>
      </c>
      <c r="N898">
        <v>3</v>
      </c>
      <c r="O898" t="s">
        <v>1718</v>
      </c>
      <c r="P898" t="s">
        <v>1717</v>
      </c>
      <c r="Q898" t="s">
        <v>1716</v>
      </c>
      <c r="R898" s="7">
        <v>33604</v>
      </c>
      <c r="S898" s="8">
        <f t="shared" si="112"/>
        <v>1992</v>
      </c>
      <c r="T898" s="8">
        <v>1992</v>
      </c>
      <c r="U898" s="8">
        <f t="shared" si="113"/>
        <v>30</v>
      </c>
      <c r="V898" s="7">
        <v>33604</v>
      </c>
      <c r="W898" t="s">
        <v>1458</v>
      </c>
      <c r="X898" s="2">
        <v>0.30399999999999999</v>
      </c>
      <c r="Y898" s="6">
        <f t="shared" ref="Y898:Y961" si="118">(X898-$Z$4)/($Z$3-$Z$4)</f>
        <v>8.115106377299057E-3</v>
      </c>
      <c r="AA898">
        <v>8952477</v>
      </c>
      <c r="AB898">
        <v>12250</v>
      </c>
      <c r="AC898">
        <v>10982760</v>
      </c>
      <c r="AD898" t="s">
        <v>4</v>
      </c>
      <c r="AE898">
        <v>5</v>
      </c>
      <c r="AF898">
        <v>1</v>
      </c>
      <c r="AH898" s="9">
        <v>44476</v>
      </c>
      <c r="AI898" t="s">
        <v>1715</v>
      </c>
      <c r="AJ898" t="s">
        <v>1714</v>
      </c>
      <c r="AK898" t="s">
        <v>1713</v>
      </c>
      <c r="AL898">
        <v>0</v>
      </c>
      <c r="AM898" s="5">
        <f t="shared" si="114"/>
        <v>0</v>
      </c>
      <c r="AN898" s="4">
        <f t="shared" ref="AN898:AN961" si="119">(AM898-$AO$4)/($AO$3-$AO$4)</f>
        <v>0</v>
      </c>
      <c r="AO898" s="3"/>
      <c r="AP898">
        <v>0</v>
      </c>
      <c r="AR898" t="s">
        <v>0</v>
      </c>
      <c r="AT898" s="2" t="s">
        <v>16</v>
      </c>
      <c r="AU898" s="1">
        <f t="shared" si="115"/>
        <v>0.56805744641093392</v>
      </c>
      <c r="AV898" s="1">
        <f t="shared" si="116"/>
        <v>0.40575531886495286</v>
      </c>
      <c r="AW898" s="1">
        <f t="shared" si="117"/>
        <v>0.24345319131897172</v>
      </c>
    </row>
    <row r="899" spans="1:49" x14ac:dyDescent="0.2">
      <c r="A899">
        <v>897</v>
      </c>
      <c r="B899" t="s">
        <v>1712</v>
      </c>
      <c r="C899" t="s">
        <v>1711</v>
      </c>
      <c r="F899" t="s">
        <v>1710</v>
      </c>
      <c r="G899" t="s">
        <v>12</v>
      </c>
      <c r="H899" t="s">
        <v>11</v>
      </c>
      <c r="I899" t="s">
        <v>1703</v>
      </c>
      <c r="J899">
        <v>60015573</v>
      </c>
      <c r="K899" t="s">
        <v>1702</v>
      </c>
      <c r="L899" t="s">
        <v>1701</v>
      </c>
      <c r="M899" t="s">
        <v>7</v>
      </c>
      <c r="N899">
        <v>2</v>
      </c>
      <c r="O899" t="s">
        <v>1700</v>
      </c>
      <c r="P899" t="s">
        <v>1699</v>
      </c>
      <c r="Q899" t="s">
        <v>1698</v>
      </c>
      <c r="R899" s="7">
        <v>33604</v>
      </c>
      <c r="S899" s="8">
        <f t="shared" si="112"/>
        <v>1992</v>
      </c>
      <c r="T899" s="8">
        <v>1992</v>
      </c>
      <c r="U899" s="8">
        <f t="shared" si="113"/>
        <v>30</v>
      </c>
      <c r="V899" s="7">
        <v>33604</v>
      </c>
      <c r="W899" t="s">
        <v>136</v>
      </c>
      <c r="X899" s="2">
        <v>1.3720000000000001</v>
      </c>
      <c r="Y899" s="6">
        <f t="shared" si="118"/>
        <v>3.662475641333654E-2</v>
      </c>
      <c r="AA899">
        <v>189480</v>
      </c>
      <c r="AB899">
        <v>17366</v>
      </c>
      <c r="AC899">
        <v>15579670</v>
      </c>
      <c r="AD899" t="s">
        <v>4</v>
      </c>
      <c r="AE899">
        <v>40</v>
      </c>
      <c r="AF899">
        <v>1</v>
      </c>
      <c r="AH899" t="s">
        <v>1709</v>
      </c>
      <c r="AI899" t="s">
        <v>1708</v>
      </c>
      <c r="AK899" t="s">
        <v>1707</v>
      </c>
      <c r="AL899">
        <v>17</v>
      </c>
      <c r="AM899" s="5">
        <f t="shared" si="114"/>
        <v>0.56666666666666665</v>
      </c>
      <c r="AN899" s="4">
        <f t="shared" si="119"/>
        <v>8.5826075981320206E-4</v>
      </c>
      <c r="AO899" s="3"/>
      <c r="AP899">
        <v>0</v>
      </c>
      <c r="AR899" t="s">
        <v>0</v>
      </c>
      <c r="AT899" s="2" t="s">
        <v>16</v>
      </c>
      <c r="AU899" s="1">
        <f t="shared" si="115"/>
        <v>2.5894807717279535</v>
      </c>
      <c r="AV899" s="1">
        <f t="shared" si="116"/>
        <v>1.8741508586574873</v>
      </c>
      <c r="AW899" s="1">
        <f t="shared" si="117"/>
        <v>1.1588209455870202</v>
      </c>
    </row>
    <row r="900" spans="1:49" x14ac:dyDescent="0.2">
      <c r="A900">
        <v>898</v>
      </c>
      <c r="B900" t="s">
        <v>1706</v>
      </c>
      <c r="C900" t="s">
        <v>1705</v>
      </c>
      <c r="F900" t="s">
        <v>1704</v>
      </c>
      <c r="G900" t="s">
        <v>12</v>
      </c>
      <c r="H900" t="s">
        <v>11</v>
      </c>
      <c r="I900" t="s">
        <v>1703</v>
      </c>
      <c r="J900">
        <v>60015573</v>
      </c>
      <c r="K900" t="s">
        <v>1702</v>
      </c>
      <c r="L900" t="s">
        <v>1701</v>
      </c>
      <c r="M900" t="s">
        <v>7</v>
      </c>
      <c r="N900">
        <v>2</v>
      </c>
      <c r="O900" t="s">
        <v>1700</v>
      </c>
      <c r="P900" t="s">
        <v>1699</v>
      </c>
      <c r="Q900" t="s">
        <v>1698</v>
      </c>
      <c r="R900" s="7">
        <v>33604</v>
      </c>
      <c r="S900" s="8">
        <f t="shared" si="112"/>
        <v>1992</v>
      </c>
      <c r="T900" s="8">
        <v>1992</v>
      </c>
      <c r="U900" s="8">
        <f t="shared" si="113"/>
        <v>30</v>
      </c>
      <c r="V900" s="7">
        <v>33604</v>
      </c>
      <c r="W900" t="s">
        <v>136</v>
      </c>
      <c r="X900" s="2">
        <v>1.3720000000000001</v>
      </c>
      <c r="Y900" s="6">
        <f t="shared" si="118"/>
        <v>3.662475641333654E-2</v>
      </c>
      <c r="AA900">
        <v>189480</v>
      </c>
      <c r="AB900">
        <v>17366</v>
      </c>
      <c r="AC900">
        <v>15579670</v>
      </c>
      <c r="AD900" t="s">
        <v>4</v>
      </c>
      <c r="AE900">
        <v>40</v>
      </c>
      <c r="AF900">
        <v>1</v>
      </c>
      <c r="AH900" t="s">
        <v>1697</v>
      </c>
      <c r="AI900" t="s">
        <v>1696</v>
      </c>
      <c r="AK900" t="s">
        <v>1695</v>
      </c>
      <c r="AL900">
        <v>11</v>
      </c>
      <c r="AM900" s="5">
        <f t="shared" si="114"/>
        <v>0.36666666666666664</v>
      </c>
      <c r="AN900" s="4">
        <f t="shared" si="119"/>
        <v>5.5534519752618958E-4</v>
      </c>
      <c r="AO900" s="3"/>
      <c r="AP900">
        <v>0</v>
      </c>
      <c r="AR900" t="s">
        <v>0</v>
      </c>
      <c r="AT900" s="2" t="s">
        <v>16</v>
      </c>
      <c r="AU900" s="1">
        <f t="shared" si="115"/>
        <v>2.580393304859343</v>
      </c>
      <c r="AV900" s="1">
        <f t="shared" si="116"/>
        <v>1.8590050805431364</v>
      </c>
      <c r="AW900" s="1">
        <f t="shared" si="117"/>
        <v>1.1376168562269295</v>
      </c>
    </row>
    <row r="901" spans="1:49" x14ac:dyDescent="0.2">
      <c r="A901">
        <v>899</v>
      </c>
      <c r="B901" t="s">
        <v>1694</v>
      </c>
      <c r="C901" t="s">
        <v>1693</v>
      </c>
      <c r="F901" t="s">
        <v>1692</v>
      </c>
      <c r="G901" t="s">
        <v>12</v>
      </c>
      <c r="H901" t="s">
        <v>11</v>
      </c>
      <c r="I901" t="s">
        <v>1691</v>
      </c>
      <c r="J901">
        <v>60003500</v>
      </c>
      <c r="K901" t="s">
        <v>1690</v>
      </c>
      <c r="L901" t="s">
        <v>1689</v>
      </c>
      <c r="M901" t="s">
        <v>7</v>
      </c>
      <c r="N901">
        <v>2</v>
      </c>
      <c r="O901" t="s">
        <v>1688</v>
      </c>
      <c r="P901" t="s">
        <v>1687</v>
      </c>
      <c r="Q901" t="s">
        <v>1686</v>
      </c>
      <c r="R901" s="7">
        <v>33604</v>
      </c>
      <c r="S901" s="8">
        <f t="shared" si="112"/>
        <v>1992</v>
      </c>
      <c r="T901" s="8">
        <v>1992</v>
      </c>
      <c r="U901" s="8">
        <f t="shared" si="113"/>
        <v>30</v>
      </c>
      <c r="V901" s="7">
        <v>33604</v>
      </c>
      <c r="W901" t="s">
        <v>194</v>
      </c>
      <c r="X901" s="2">
        <v>2.383</v>
      </c>
      <c r="Y901" s="6">
        <f t="shared" si="118"/>
        <v>6.3612824003630442E-2</v>
      </c>
      <c r="AA901">
        <v>189219</v>
      </c>
      <c r="AB901">
        <v>17915</v>
      </c>
      <c r="AC901">
        <v>15582256</v>
      </c>
      <c r="AD901" t="s">
        <v>4</v>
      </c>
      <c r="AE901">
        <v>80</v>
      </c>
      <c r="AF901">
        <v>1</v>
      </c>
      <c r="AH901" t="s">
        <v>1685</v>
      </c>
      <c r="AI901" t="s">
        <v>1684</v>
      </c>
      <c r="AK901" t="s">
        <v>1683</v>
      </c>
      <c r="AL901">
        <v>34</v>
      </c>
      <c r="AM901" s="5">
        <f t="shared" si="114"/>
        <v>1.1333333333333333</v>
      </c>
      <c r="AN901" s="4">
        <f t="shared" si="119"/>
        <v>1.7165215196264041E-3</v>
      </c>
      <c r="AO901" s="3"/>
      <c r="AP901">
        <v>0</v>
      </c>
      <c r="AR901" t="s">
        <v>0</v>
      </c>
      <c r="AT901" s="2">
        <v>10.961</v>
      </c>
      <c r="AU901" s="1">
        <f t="shared" si="115"/>
        <v>4.5043933258429227</v>
      </c>
      <c r="AV901" s="1">
        <f t="shared" si="116"/>
        <v>3.2664672761628424</v>
      </c>
      <c r="AW901" s="1">
        <f t="shared" si="117"/>
        <v>2.0285412264827616</v>
      </c>
    </row>
    <row r="902" spans="1:49" x14ac:dyDescent="0.2">
      <c r="A902">
        <v>900</v>
      </c>
      <c r="B902" t="s">
        <v>1682</v>
      </c>
      <c r="C902" t="s">
        <v>1681</v>
      </c>
      <c r="F902" t="s">
        <v>1680</v>
      </c>
      <c r="G902" t="s">
        <v>12</v>
      </c>
      <c r="H902" t="s">
        <v>11</v>
      </c>
      <c r="I902" t="s">
        <v>1679</v>
      </c>
      <c r="J902">
        <v>60025488</v>
      </c>
      <c r="K902" t="s">
        <v>1678</v>
      </c>
      <c r="L902" t="s">
        <v>1677</v>
      </c>
      <c r="M902" t="s">
        <v>7</v>
      </c>
      <c r="N902">
        <v>1</v>
      </c>
      <c r="O902" t="s">
        <v>1676</v>
      </c>
      <c r="P902">
        <v>7006062328</v>
      </c>
      <c r="Q902">
        <v>60025488</v>
      </c>
      <c r="R902" s="7">
        <v>33604</v>
      </c>
      <c r="S902" s="8">
        <f t="shared" si="112"/>
        <v>1992</v>
      </c>
      <c r="T902" s="8">
        <v>1992</v>
      </c>
      <c r="U902" s="8">
        <f t="shared" si="113"/>
        <v>30</v>
      </c>
      <c r="V902" s="7">
        <v>33604</v>
      </c>
      <c r="W902" t="s">
        <v>194</v>
      </c>
      <c r="X902" s="2">
        <v>2.383</v>
      </c>
      <c r="Y902" s="6">
        <f t="shared" si="118"/>
        <v>6.3612824003630442E-2</v>
      </c>
      <c r="AA902">
        <v>189219</v>
      </c>
      <c r="AB902">
        <v>17915</v>
      </c>
      <c r="AC902">
        <v>15582256</v>
      </c>
      <c r="AD902" t="s">
        <v>4</v>
      </c>
      <c r="AE902">
        <v>80</v>
      </c>
      <c r="AF902">
        <v>1</v>
      </c>
      <c r="AH902" t="s">
        <v>1675</v>
      </c>
      <c r="AI902" t="s">
        <v>1674</v>
      </c>
      <c r="AK902" t="s">
        <v>1673</v>
      </c>
      <c r="AL902">
        <v>5</v>
      </c>
      <c r="AM902" s="5">
        <f t="shared" si="114"/>
        <v>0.16666666666666666</v>
      </c>
      <c r="AN902" s="4">
        <f t="shared" si="119"/>
        <v>2.5242963523917705E-4</v>
      </c>
      <c r="AO902" s="3"/>
      <c r="AP902">
        <v>0</v>
      </c>
      <c r="AR902" t="s">
        <v>0</v>
      </c>
      <c r="AT902" s="2">
        <v>10.961</v>
      </c>
      <c r="AU902" s="1">
        <f t="shared" si="115"/>
        <v>4.4604705693113065</v>
      </c>
      <c r="AV902" s="1">
        <f t="shared" si="116"/>
        <v>3.1932626819434811</v>
      </c>
      <c r="AW902" s="1">
        <f t="shared" si="117"/>
        <v>1.9260547945756556</v>
      </c>
    </row>
    <row r="903" spans="1:49" x14ac:dyDescent="0.2">
      <c r="A903">
        <v>901</v>
      </c>
      <c r="B903" t="s">
        <v>1672</v>
      </c>
      <c r="C903" t="s">
        <v>1671</v>
      </c>
      <c r="F903" t="s">
        <v>1670</v>
      </c>
      <c r="G903" t="s">
        <v>12</v>
      </c>
      <c r="H903" t="s">
        <v>11</v>
      </c>
      <c r="I903" t="s">
        <v>1669</v>
      </c>
      <c r="J903">
        <v>60022774</v>
      </c>
      <c r="K903" t="s">
        <v>1668</v>
      </c>
      <c r="L903" t="s">
        <v>1667</v>
      </c>
      <c r="M903" t="s">
        <v>7</v>
      </c>
      <c r="N903">
        <v>1</v>
      </c>
      <c r="O903" t="s">
        <v>1666</v>
      </c>
      <c r="P903">
        <v>57212417406</v>
      </c>
      <c r="Q903">
        <v>60022774</v>
      </c>
      <c r="R903" s="7">
        <v>33604</v>
      </c>
      <c r="S903" s="8">
        <f t="shared" si="112"/>
        <v>1992</v>
      </c>
      <c r="T903" s="8">
        <v>1992</v>
      </c>
      <c r="U903" s="8">
        <f t="shared" si="113"/>
        <v>30</v>
      </c>
      <c r="V903" s="7" t="s">
        <v>1331</v>
      </c>
      <c r="W903" t="s">
        <v>1665</v>
      </c>
      <c r="X903" s="2">
        <v>1.573</v>
      </c>
      <c r="Y903" s="6">
        <f t="shared" si="118"/>
        <v>4.1990336616748086E-2</v>
      </c>
      <c r="AA903">
        <v>7315090</v>
      </c>
      <c r="AB903">
        <v>29586</v>
      </c>
      <c r="AD903" t="s">
        <v>4</v>
      </c>
      <c r="AE903">
        <v>15</v>
      </c>
      <c r="AF903">
        <v>1</v>
      </c>
      <c r="AH903" t="s">
        <v>1664</v>
      </c>
      <c r="AI903" t="s">
        <v>1663</v>
      </c>
      <c r="AK903" t="s">
        <v>1662</v>
      </c>
      <c r="AL903">
        <v>36</v>
      </c>
      <c r="AM903" s="5">
        <f t="shared" si="114"/>
        <v>1.2</v>
      </c>
      <c r="AN903" s="4">
        <f t="shared" si="119"/>
        <v>1.8174933737220749E-3</v>
      </c>
      <c r="AO903" s="3"/>
      <c r="AP903">
        <v>0</v>
      </c>
      <c r="AR903" t="s">
        <v>0</v>
      </c>
      <c r="AT903" s="2" t="s">
        <v>16</v>
      </c>
      <c r="AU903" s="1">
        <f t="shared" si="115"/>
        <v>2.9938483643840281</v>
      </c>
      <c r="AV903" s="1">
        <f t="shared" si="116"/>
        <v>2.1903914995235083</v>
      </c>
      <c r="AW903" s="1">
        <f t="shared" si="117"/>
        <v>1.3869346346629876</v>
      </c>
    </row>
    <row r="904" spans="1:49" x14ac:dyDescent="0.2">
      <c r="A904">
        <v>902</v>
      </c>
      <c r="B904" t="s">
        <v>1661</v>
      </c>
      <c r="C904" t="s">
        <v>1660</v>
      </c>
      <c r="F904" t="s">
        <v>1659</v>
      </c>
      <c r="G904" t="s">
        <v>12</v>
      </c>
      <c r="H904" t="s">
        <v>11</v>
      </c>
      <c r="I904" t="s">
        <v>1658</v>
      </c>
      <c r="J904">
        <v>115838295</v>
      </c>
      <c r="K904" t="s">
        <v>1657</v>
      </c>
      <c r="L904" t="s">
        <v>1656</v>
      </c>
      <c r="M904" t="s">
        <v>7</v>
      </c>
      <c r="N904">
        <v>1</v>
      </c>
      <c r="O904" t="s">
        <v>1655</v>
      </c>
      <c r="P904">
        <v>7103195054</v>
      </c>
      <c r="Q904">
        <v>115838295</v>
      </c>
      <c r="R904" s="7">
        <v>33604</v>
      </c>
      <c r="S904" s="8">
        <f t="shared" si="112"/>
        <v>1992</v>
      </c>
      <c r="T904" s="8">
        <v>1992</v>
      </c>
      <c r="U904" s="8">
        <f t="shared" si="113"/>
        <v>30</v>
      </c>
      <c r="V904" s="7">
        <v>33604</v>
      </c>
      <c r="W904" t="s">
        <v>194</v>
      </c>
      <c r="X904" s="2">
        <v>2.383</v>
      </c>
      <c r="Y904" s="6">
        <f t="shared" si="118"/>
        <v>6.3612824003630442E-2</v>
      </c>
      <c r="AA904">
        <v>189219</v>
      </c>
      <c r="AB904">
        <v>17915</v>
      </c>
      <c r="AC904">
        <v>15582256</v>
      </c>
      <c r="AD904" t="s">
        <v>4</v>
      </c>
      <c r="AE904">
        <v>80</v>
      </c>
      <c r="AF904">
        <v>1</v>
      </c>
      <c r="AH904" t="s">
        <v>1654</v>
      </c>
      <c r="AI904" t="s">
        <v>1653</v>
      </c>
      <c r="AK904" t="s">
        <v>1652</v>
      </c>
      <c r="AL904">
        <v>7</v>
      </c>
      <c r="AM904" s="5">
        <f t="shared" si="114"/>
        <v>0.23333333333333334</v>
      </c>
      <c r="AN904" s="4">
        <f t="shared" si="119"/>
        <v>3.5340148933484791E-4</v>
      </c>
      <c r="AO904" s="3"/>
      <c r="AP904">
        <v>0</v>
      </c>
      <c r="AR904" t="s">
        <v>0</v>
      </c>
      <c r="AT904" s="2">
        <v>10.961</v>
      </c>
      <c r="AU904" s="1">
        <f t="shared" si="115"/>
        <v>4.4634997249341763</v>
      </c>
      <c r="AV904" s="1">
        <f t="shared" si="116"/>
        <v>3.1983112746482649</v>
      </c>
      <c r="AW904" s="1">
        <f t="shared" si="117"/>
        <v>1.9331228243623526</v>
      </c>
    </row>
    <row r="905" spans="1:49" x14ac:dyDescent="0.2">
      <c r="A905">
        <v>903</v>
      </c>
      <c r="B905" t="s">
        <v>1651</v>
      </c>
      <c r="F905" t="s">
        <v>1650</v>
      </c>
      <c r="G905" t="s">
        <v>12</v>
      </c>
      <c r="H905" t="s">
        <v>11</v>
      </c>
      <c r="I905" t="s">
        <v>1649</v>
      </c>
      <c r="N905">
        <v>2</v>
      </c>
      <c r="O905" t="s">
        <v>1648</v>
      </c>
      <c r="P905" t="s">
        <v>1647</v>
      </c>
      <c r="Q905" t="s">
        <v>720</v>
      </c>
      <c r="R905" s="7">
        <v>33604</v>
      </c>
      <c r="S905" s="8">
        <f t="shared" si="112"/>
        <v>1992</v>
      </c>
      <c r="T905" s="8">
        <v>1992</v>
      </c>
      <c r="U905" s="8">
        <f t="shared" si="113"/>
        <v>30</v>
      </c>
      <c r="V905" s="7">
        <v>1992</v>
      </c>
      <c r="W905" t="s">
        <v>1252</v>
      </c>
      <c r="X905" s="2" t="s">
        <v>16</v>
      </c>
      <c r="Y905" s="6" t="e">
        <f t="shared" si="118"/>
        <v>#VALUE!</v>
      </c>
      <c r="AA905">
        <v>87566648</v>
      </c>
      <c r="AB905">
        <v>74127</v>
      </c>
      <c r="AD905" t="s">
        <v>4</v>
      </c>
      <c r="AE905">
        <v>37</v>
      </c>
      <c r="AF905">
        <v>2</v>
      </c>
      <c r="AH905" t="s">
        <v>1646</v>
      </c>
      <c r="AI905" t="s">
        <v>1645</v>
      </c>
      <c r="AK905" t="s">
        <v>1644</v>
      </c>
      <c r="AL905">
        <v>0</v>
      </c>
      <c r="AM905" s="5">
        <f t="shared" si="114"/>
        <v>0</v>
      </c>
      <c r="AN905" s="4">
        <f t="shared" si="119"/>
        <v>0</v>
      </c>
      <c r="AO905" s="3"/>
      <c r="AP905">
        <v>0</v>
      </c>
      <c r="AR905" t="s">
        <v>0</v>
      </c>
      <c r="AT905" s="2" t="s">
        <v>16</v>
      </c>
      <c r="AU905" s="1" t="e">
        <f t="shared" si="115"/>
        <v>#VALUE!</v>
      </c>
      <c r="AV905" s="1" t="e">
        <f t="shared" si="116"/>
        <v>#VALUE!</v>
      </c>
      <c r="AW905" s="1" t="e">
        <f t="shared" si="117"/>
        <v>#VALUE!</v>
      </c>
    </row>
    <row r="906" spans="1:49" x14ac:dyDescent="0.2">
      <c r="A906">
        <v>904</v>
      </c>
      <c r="B906" t="s">
        <v>1643</v>
      </c>
      <c r="C906" t="s">
        <v>1642</v>
      </c>
      <c r="E906">
        <v>1392064</v>
      </c>
      <c r="F906" t="s">
        <v>1641</v>
      </c>
      <c r="G906" t="s">
        <v>12</v>
      </c>
      <c r="H906" t="s">
        <v>11</v>
      </c>
      <c r="I906" t="s">
        <v>1640</v>
      </c>
      <c r="J906">
        <v>60005460</v>
      </c>
      <c r="K906" t="s">
        <v>1639</v>
      </c>
      <c r="L906" t="s">
        <v>1638</v>
      </c>
      <c r="M906" t="s">
        <v>817</v>
      </c>
      <c r="N906">
        <v>1</v>
      </c>
      <c r="O906" t="s">
        <v>1637</v>
      </c>
      <c r="P906">
        <v>7003953871</v>
      </c>
      <c r="Q906">
        <v>60005460</v>
      </c>
      <c r="R906" s="7">
        <v>33604</v>
      </c>
      <c r="S906" s="8">
        <f t="shared" si="112"/>
        <v>1992</v>
      </c>
      <c r="T906" s="8">
        <v>1992</v>
      </c>
      <c r="U906" s="8">
        <f t="shared" si="113"/>
        <v>30</v>
      </c>
      <c r="V906" s="7">
        <v>33848</v>
      </c>
      <c r="W906" t="s">
        <v>1511</v>
      </c>
      <c r="X906" s="2">
        <v>0.53600000000000003</v>
      </c>
      <c r="Y906" s="6">
        <f t="shared" si="118"/>
        <v>1.430821387576413E-2</v>
      </c>
      <c r="AA906" t="s">
        <v>1510</v>
      </c>
      <c r="AB906">
        <v>20920</v>
      </c>
      <c r="AC906">
        <v>10970029</v>
      </c>
      <c r="AD906" t="s">
        <v>4</v>
      </c>
      <c r="AE906">
        <v>22</v>
      </c>
      <c r="AF906">
        <v>4</v>
      </c>
      <c r="AH906" t="s">
        <v>1636</v>
      </c>
      <c r="AI906" t="s">
        <v>1635</v>
      </c>
      <c r="AJ906" t="s">
        <v>1634</v>
      </c>
      <c r="AK906" t="s">
        <v>1633</v>
      </c>
      <c r="AL906">
        <v>28</v>
      </c>
      <c r="AM906" s="5">
        <f t="shared" si="114"/>
        <v>0.93333333333333335</v>
      </c>
      <c r="AN906" s="4">
        <f t="shared" si="119"/>
        <v>1.4136059573393916E-3</v>
      </c>
      <c r="AO906" s="3"/>
      <c r="AP906">
        <v>0</v>
      </c>
      <c r="AR906" t="s">
        <v>0</v>
      </c>
      <c r="AT906" s="2">
        <v>2.7690000000000001</v>
      </c>
      <c r="AU906" s="1">
        <f t="shared" si="115"/>
        <v>1.0439831500236707</v>
      </c>
      <c r="AV906" s="1">
        <f t="shared" si="116"/>
        <v>0.78609099165517604</v>
      </c>
      <c r="AW906" s="1">
        <f t="shared" si="117"/>
        <v>0.52819883328668138</v>
      </c>
    </row>
    <row r="907" spans="1:49" x14ac:dyDescent="0.2">
      <c r="A907">
        <v>905</v>
      </c>
      <c r="B907" t="s">
        <v>1632</v>
      </c>
      <c r="C907" t="s">
        <v>1631</v>
      </c>
      <c r="E907">
        <v>1392066</v>
      </c>
      <c r="F907" t="s">
        <v>1630</v>
      </c>
      <c r="G907" t="s">
        <v>12</v>
      </c>
      <c r="H907" t="s">
        <v>11</v>
      </c>
      <c r="I907" t="s">
        <v>1629</v>
      </c>
      <c r="J907">
        <v>60069038</v>
      </c>
      <c r="K907" t="s">
        <v>1628</v>
      </c>
      <c r="L907" t="s">
        <v>1627</v>
      </c>
      <c r="M907" t="s">
        <v>1626</v>
      </c>
      <c r="N907">
        <v>2</v>
      </c>
      <c r="O907" t="s">
        <v>1625</v>
      </c>
      <c r="P907" t="s">
        <v>1624</v>
      </c>
      <c r="Q907" t="s">
        <v>1623</v>
      </c>
      <c r="R907" s="7">
        <v>33604</v>
      </c>
      <c r="S907" s="8">
        <f t="shared" si="112"/>
        <v>1992</v>
      </c>
      <c r="T907" s="8">
        <v>1992</v>
      </c>
      <c r="U907" s="8">
        <f t="shared" si="113"/>
        <v>30</v>
      </c>
      <c r="V907" s="7">
        <v>33848</v>
      </c>
      <c r="W907" t="s">
        <v>1511</v>
      </c>
      <c r="X907" s="2">
        <v>0.53600000000000003</v>
      </c>
      <c r="Y907" s="6">
        <f t="shared" si="118"/>
        <v>1.430821387576413E-2</v>
      </c>
      <c r="AA907" t="s">
        <v>1510</v>
      </c>
      <c r="AB907">
        <v>20920</v>
      </c>
      <c r="AC907">
        <v>10970029</v>
      </c>
      <c r="AD907" t="s">
        <v>4</v>
      </c>
      <c r="AE907">
        <v>22</v>
      </c>
      <c r="AF907">
        <v>4</v>
      </c>
      <c r="AH907" t="s">
        <v>1622</v>
      </c>
      <c r="AI907" t="s">
        <v>1621</v>
      </c>
      <c r="AJ907" t="s">
        <v>1620</v>
      </c>
      <c r="AK907" t="s">
        <v>1619</v>
      </c>
      <c r="AL907">
        <v>27</v>
      </c>
      <c r="AM907" s="5">
        <f t="shared" si="114"/>
        <v>0.9</v>
      </c>
      <c r="AN907" s="4">
        <f t="shared" si="119"/>
        <v>1.3631200302915562E-3</v>
      </c>
      <c r="AO907" s="3"/>
      <c r="AP907">
        <v>0</v>
      </c>
      <c r="AR907" t="s">
        <v>0</v>
      </c>
      <c r="AT907" s="2">
        <v>2.7690000000000001</v>
      </c>
      <c r="AU907" s="1">
        <f t="shared" si="115"/>
        <v>1.0424685722122358</v>
      </c>
      <c r="AV907" s="1">
        <f t="shared" si="116"/>
        <v>0.78356669530278422</v>
      </c>
      <c r="AW907" s="1">
        <f t="shared" si="117"/>
        <v>0.52466481839333279</v>
      </c>
    </row>
    <row r="908" spans="1:49" x14ac:dyDescent="0.2">
      <c r="A908">
        <v>906</v>
      </c>
      <c r="B908" t="s">
        <v>1618</v>
      </c>
      <c r="C908" t="s">
        <v>1617</v>
      </c>
      <c r="D908" t="s">
        <v>1616</v>
      </c>
      <c r="F908" t="s">
        <v>1615</v>
      </c>
      <c r="G908" t="s">
        <v>12</v>
      </c>
      <c r="H908" t="s">
        <v>11</v>
      </c>
      <c r="I908" t="s">
        <v>1614</v>
      </c>
      <c r="J908" t="s">
        <v>1613</v>
      </c>
      <c r="K908" t="s">
        <v>1612</v>
      </c>
      <c r="L908" t="s">
        <v>1611</v>
      </c>
      <c r="M908" t="s">
        <v>1610</v>
      </c>
      <c r="N908">
        <v>2</v>
      </c>
      <c r="O908" t="s">
        <v>1609</v>
      </c>
      <c r="P908" t="s">
        <v>1608</v>
      </c>
      <c r="Q908" t="s">
        <v>1607</v>
      </c>
      <c r="R908" s="7">
        <v>33604</v>
      </c>
      <c r="S908" s="8">
        <f t="shared" si="112"/>
        <v>1992</v>
      </c>
      <c r="T908" s="8">
        <v>1992</v>
      </c>
      <c r="U908" s="8">
        <f t="shared" si="113"/>
        <v>30</v>
      </c>
      <c r="V908" s="7">
        <v>1992</v>
      </c>
      <c r="W908" t="s">
        <v>1087</v>
      </c>
      <c r="X908" s="2">
        <v>1.7130000000000001</v>
      </c>
      <c r="Y908" s="6">
        <f t="shared" si="118"/>
        <v>4.5727556658925285E-2</v>
      </c>
      <c r="AA908">
        <v>63495</v>
      </c>
      <c r="AB908">
        <v>14859</v>
      </c>
      <c r="AD908" t="s">
        <v>4</v>
      </c>
      <c r="AE908">
        <v>63</v>
      </c>
      <c r="AF908">
        <v>4</v>
      </c>
      <c r="AH908" t="s">
        <v>612</v>
      </c>
      <c r="AI908" t="s">
        <v>1606</v>
      </c>
      <c r="AK908" t="s">
        <v>1605</v>
      </c>
      <c r="AL908">
        <v>17</v>
      </c>
      <c r="AM908" s="5">
        <f t="shared" si="114"/>
        <v>0.56666666666666665</v>
      </c>
      <c r="AN908" s="4">
        <f t="shared" si="119"/>
        <v>8.5826075981320206E-4</v>
      </c>
      <c r="AO908" s="3"/>
      <c r="AP908">
        <v>1</v>
      </c>
      <c r="AR908" t="s">
        <v>0</v>
      </c>
      <c r="AS908" t="s">
        <v>1604</v>
      </c>
      <c r="AT908" s="2">
        <v>4.0330000000000004</v>
      </c>
      <c r="AU908" s="1">
        <f t="shared" si="115"/>
        <v>3.2266767889191659</v>
      </c>
      <c r="AV908" s="1">
        <f t="shared" si="116"/>
        <v>2.3292908709369247</v>
      </c>
      <c r="AW908" s="1">
        <f t="shared" si="117"/>
        <v>1.4319049529546826</v>
      </c>
    </row>
    <row r="909" spans="1:49" x14ac:dyDescent="0.2">
      <c r="A909">
        <v>907</v>
      </c>
      <c r="B909" t="s">
        <v>1603</v>
      </c>
      <c r="C909" t="s">
        <v>1602</v>
      </c>
      <c r="E909">
        <v>1525990</v>
      </c>
      <c r="F909" t="s">
        <v>1601</v>
      </c>
      <c r="G909" t="s">
        <v>12</v>
      </c>
      <c r="H909" t="s">
        <v>11</v>
      </c>
      <c r="I909" t="s">
        <v>1600</v>
      </c>
      <c r="J909">
        <v>60032328</v>
      </c>
      <c r="K909" t="s">
        <v>1599</v>
      </c>
      <c r="L909" t="s">
        <v>182</v>
      </c>
      <c r="M909" t="s">
        <v>7</v>
      </c>
      <c r="N909">
        <v>7</v>
      </c>
      <c r="O909" t="s">
        <v>1598</v>
      </c>
      <c r="P909" t="s">
        <v>1597</v>
      </c>
      <c r="Q909" t="s">
        <v>1596</v>
      </c>
      <c r="R909" s="7">
        <v>33604</v>
      </c>
      <c r="S909" s="8">
        <f t="shared" si="112"/>
        <v>1992</v>
      </c>
      <c r="T909" s="8">
        <v>1992</v>
      </c>
      <c r="U909" s="8">
        <f t="shared" si="113"/>
        <v>30</v>
      </c>
      <c r="V909" s="7">
        <v>1992</v>
      </c>
      <c r="W909" t="s">
        <v>1595</v>
      </c>
      <c r="X909" s="2">
        <v>1.7050000000000001</v>
      </c>
      <c r="Y909" s="6">
        <f t="shared" si="118"/>
        <v>4.5514001227943732E-2</v>
      </c>
      <c r="AA909">
        <v>99147</v>
      </c>
      <c r="AB909">
        <v>26786</v>
      </c>
      <c r="AD909" t="s">
        <v>4</v>
      </c>
      <c r="AE909">
        <v>38</v>
      </c>
      <c r="AF909">
        <v>9</v>
      </c>
      <c r="AH909" t="s">
        <v>1594</v>
      </c>
      <c r="AI909" t="s">
        <v>1593</v>
      </c>
      <c r="AJ909" t="s">
        <v>1592</v>
      </c>
      <c r="AK909" t="s">
        <v>1591</v>
      </c>
      <c r="AL909">
        <v>294</v>
      </c>
      <c r="AM909" s="5">
        <f t="shared" si="114"/>
        <v>9.8000000000000007</v>
      </c>
      <c r="AN909" s="4">
        <f t="shared" si="119"/>
        <v>1.4842862552063614E-2</v>
      </c>
      <c r="AO909" s="3"/>
      <c r="AP909">
        <v>0</v>
      </c>
      <c r="AR909" t="s">
        <v>0</v>
      </c>
      <c r="AT909" s="2">
        <v>8.327</v>
      </c>
      <c r="AU909" s="1">
        <f t="shared" si="115"/>
        <v>3.6312659625179697</v>
      </c>
      <c r="AV909" s="1">
        <f t="shared" si="116"/>
        <v>3.0178431890003674</v>
      </c>
      <c r="AW909" s="1">
        <f t="shared" si="117"/>
        <v>2.4044204154827651</v>
      </c>
    </row>
    <row r="910" spans="1:49" x14ac:dyDescent="0.2">
      <c r="A910">
        <v>908</v>
      </c>
      <c r="B910" t="s">
        <v>1590</v>
      </c>
      <c r="C910" t="s">
        <v>1589</v>
      </c>
      <c r="E910">
        <v>1417208</v>
      </c>
      <c r="F910" t="s">
        <v>1588</v>
      </c>
      <c r="G910" t="s">
        <v>12</v>
      </c>
      <c r="H910" t="s">
        <v>11</v>
      </c>
      <c r="I910" t="s">
        <v>1587</v>
      </c>
      <c r="J910">
        <v>60008250</v>
      </c>
      <c r="K910" t="s">
        <v>1586</v>
      </c>
      <c r="L910" t="s">
        <v>1585</v>
      </c>
      <c r="M910" t="s">
        <v>856</v>
      </c>
      <c r="N910">
        <v>3</v>
      </c>
      <c r="O910" t="s">
        <v>1584</v>
      </c>
      <c r="P910" t="s">
        <v>1583</v>
      </c>
      <c r="Q910" t="s">
        <v>1582</v>
      </c>
      <c r="R910" s="7">
        <v>33604</v>
      </c>
      <c r="S910" s="8">
        <f t="shared" si="112"/>
        <v>1992</v>
      </c>
      <c r="T910" s="8">
        <v>1992</v>
      </c>
      <c r="U910" s="8">
        <f t="shared" si="113"/>
        <v>30</v>
      </c>
      <c r="V910" s="7">
        <v>1992</v>
      </c>
      <c r="W910" t="s">
        <v>1581</v>
      </c>
      <c r="X910" s="2" t="s">
        <v>16</v>
      </c>
      <c r="Y910" s="6" t="e">
        <f t="shared" si="118"/>
        <v>#VALUE!</v>
      </c>
      <c r="AA910">
        <v>34983</v>
      </c>
      <c r="AB910">
        <v>21788</v>
      </c>
      <c r="AD910" t="s">
        <v>4</v>
      </c>
      <c r="AE910">
        <v>86</v>
      </c>
      <c r="AF910">
        <v>2</v>
      </c>
      <c r="AH910" t="s">
        <v>1580</v>
      </c>
      <c r="AI910" t="s">
        <v>1579</v>
      </c>
      <c r="AK910" t="s">
        <v>1578</v>
      </c>
      <c r="AL910">
        <v>6</v>
      </c>
      <c r="AM910" s="5">
        <f t="shared" si="114"/>
        <v>0.2</v>
      </c>
      <c r="AN910" s="4">
        <f t="shared" si="119"/>
        <v>3.0291556228701253E-4</v>
      </c>
      <c r="AO910" s="3"/>
      <c r="AP910">
        <v>0</v>
      </c>
      <c r="AR910" t="s">
        <v>0</v>
      </c>
      <c r="AT910" s="2" t="s">
        <v>16</v>
      </c>
      <c r="AU910" s="1" t="e">
        <f t="shared" si="115"/>
        <v>#VALUE!</v>
      </c>
      <c r="AV910" s="1" t="e">
        <f t="shared" si="116"/>
        <v>#VALUE!</v>
      </c>
      <c r="AW910" s="1" t="e">
        <f t="shared" si="117"/>
        <v>#VALUE!</v>
      </c>
    </row>
    <row r="911" spans="1:49" x14ac:dyDescent="0.2">
      <c r="A911">
        <v>909</v>
      </c>
      <c r="B911" t="s">
        <v>1577</v>
      </c>
      <c r="F911" t="s">
        <v>1576</v>
      </c>
      <c r="G911" t="s">
        <v>12</v>
      </c>
      <c r="H911" t="s">
        <v>11</v>
      </c>
      <c r="I911" t="s">
        <v>1575</v>
      </c>
      <c r="N911">
        <v>4</v>
      </c>
      <c r="O911" t="s">
        <v>1574</v>
      </c>
      <c r="P911" t="s">
        <v>1573</v>
      </c>
      <c r="Q911" t="s">
        <v>1572</v>
      </c>
      <c r="R911" s="7">
        <v>33604</v>
      </c>
      <c r="S911" s="8">
        <f t="shared" si="112"/>
        <v>1992</v>
      </c>
      <c r="T911" s="8">
        <v>1992</v>
      </c>
      <c r="U911" s="8">
        <f t="shared" si="113"/>
        <v>30</v>
      </c>
      <c r="V911" s="7">
        <v>1992</v>
      </c>
      <c r="W911" t="s">
        <v>1252</v>
      </c>
      <c r="X911" s="2" t="s">
        <v>16</v>
      </c>
      <c r="Y911" s="6" t="e">
        <f t="shared" si="118"/>
        <v>#VALUE!</v>
      </c>
      <c r="AA911">
        <v>87566648</v>
      </c>
      <c r="AB911">
        <v>74127</v>
      </c>
      <c r="AD911" t="s">
        <v>4</v>
      </c>
      <c r="AE911">
        <v>37</v>
      </c>
      <c r="AF911">
        <v>5</v>
      </c>
      <c r="AH911" t="s">
        <v>1571</v>
      </c>
      <c r="AI911" t="s">
        <v>1570</v>
      </c>
      <c r="AK911" t="s">
        <v>1569</v>
      </c>
      <c r="AL911">
        <v>0</v>
      </c>
      <c r="AM911" s="5">
        <f t="shared" si="114"/>
        <v>0</v>
      </c>
      <c r="AN911" s="4">
        <f t="shared" si="119"/>
        <v>0</v>
      </c>
      <c r="AO911" s="3"/>
      <c r="AP911">
        <v>0</v>
      </c>
      <c r="AR911" t="s">
        <v>0</v>
      </c>
      <c r="AT911" s="2" t="s">
        <v>16</v>
      </c>
      <c r="AU911" s="1" t="e">
        <f t="shared" si="115"/>
        <v>#VALUE!</v>
      </c>
      <c r="AV911" s="1" t="e">
        <f t="shared" si="116"/>
        <v>#VALUE!</v>
      </c>
      <c r="AW911" s="1" t="e">
        <f t="shared" si="117"/>
        <v>#VALUE!</v>
      </c>
    </row>
    <row r="912" spans="1:49" x14ac:dyDescent="0.2">
      <c r="A912">
        <v>910</v>
      </c>
      <c r="B912" t="s">
        <v>1568</v>
      </c>
      <c r="C912" t="s">
        <v>1567</v>
      </c>
      <c r="F912" t="s">
        <v>1566</v>
      </c>
      <c r="G912" t="s">
        <v>12</v>
      </c>
      <c r="H912" t="s">
        <v>11</v>
      </c>
      <c r="I912" t="s">
        <v>1565</v>
      </c>
      <c r="J912" t="s">
        <v>1564</v>
      </c>
      <c r="K912" t="s">
        <v>1563</v>
      </c>
      <c r="L912" t="s">
        <v>1562</v>
      </c>
      <c r="M912" t="s">
        <v>1561</v>
      </c>
      <c r="N912">
        <v>4</v>
      </c>
      <c r="O912" t="s">
        <v>1560</v>
      </c>
      <c r="P912" t="s">
        <v>1559</v>
      </c>
      <c r="Q912" t="s">
        <v>1558</v>
      </c>
      <c r="R912" s="7">
        <v>33604</v>
      </c>
      <c r="S912" s="8">
        <f t="shared" si="112"/>
        <v>1992</v>
      </c>
      <c r="T912" s="8">
        <v>1992</v>
      </c>
      <c r="U912" s="8">
        <f t="shared" si="113"/>
        <v>30</v>
      </c>
      <c r="V912" s="7">
        <v>33604</v>
      </c>
      <c r="W912" t="s">
        <v>1557</v>
      </c>
      <c r="X912" s="2">
        <v>1.137</v>
      </c>
      <c r="Y912" s="6">
        <f t="shared" si="118"/>
        <v>3.0351565628253384E-2</v>
      </c>
      <c r="AA912">
        <v>189251</v>
      </c>
      <c r="AB912">
        <v>17336</v>
      </c>
      <c r="AD912" t="s">
        <v>4</v>
      </c>
      <c r="AE912">
        <v>28</v>
      </c>
      <c r="AF912">
        <v>1</v>
      </c>
      <c r="AH912" t="s">
        <v>1556</v>
      </c>
      <c r="AI912" t="s">
        <v>1555</v>
      </c>
      <c r="AK912" t="s">
        <v>1554</v>
      </c>
      <c r="AL912">
        <v>12</v>
      </c>
      <c r="AM912" s="5">
        <f t="shared" si="114"/>
        <v>0.4</v>
      </c>
      <c r="AN912" s="4">
        <f t="shared" si="119"/>
        <v>6.0583112457402507E-4</v>
      </c>
      <c r="AO912" s="3"/>
      <c r="AP912">
        <v>0</v>
      </c>
      <c r="AR912" t="s">
        <v>0</v>
      </c>
      <c r="AT912" s="2" t="s">
        <v>16</v>
      </c>
      <c r="AU912" s="1">
        <f t="shared" si="115"/>
        <v>2.1427845277149573</v>
      </c>
      <c r="AV912" s="1">
        <f t="shared" si="116"/>
        <v>1.5478698376413704</v>
      </c>
      <c r="AW912" s="1">
        <f t="shared" si="117"/>
        <v>0.95295514756778332</v>
      </c>
    </row>
    <row r="913" spans="1:49" x14ac:dyDescent="0.2">
      <c r="A913">
        <v>911</v>
      </c>
      <c r="B913" t="s">
        <v>1553</v>
      </c>
      <c r="E913">
        <v>1382063</v>
      </c>
      <c r="F913" t="s">
        <v>1552</v>
      </c>
      <c r="G913" t="s">
        <v>12</v>
      </c>
      <c r="H913" t="s">
        <v>11</v>
      </c>
      <c r="I913" t="s">
        <v>1551</v>
      </c>
      <c r="J913">
        <v>60017563</v>
      </c>
      <c r="K913" t="s">
        <v>1550</v>
      </c>
      <c r="L913" t="s">
        <v>1549</v>
      </c>
      <c r="M913" t="s">
        <v>1548</v>
      </c>
      <c r="N913">
        <v>3</v>
      </c>
      <c r="O913" t="s">
        <v>1547</v>
      </c>
      <c r="P913" t="s">
        <v>1546</v>
      </c>
      <c r="Q913" t="s">
        <v>1545</v>
      </c>
      <c r="R913" s="7">
        <v>33604</v>
      </c>
      <c r="S913" s="8">
        <f t="shared" si="112"/>
        <v>1992</v>
      </c>
      <c r="T913" s="8">
        <v>1992</v>
      </c>
      <c r="U913" s="8">
        <f t="shared" si="113"/>
        <v>30</v>
      </c>
      <c r="V913" s="7">
        <v>1992</v>
      </c>
      <c r="W913" t="s">
        <v>1057</v>
      </c>
      <c r="X913" s="2">
        <v>2.3610000000000002</v>
      </c>
      <c r="Y913" s="6">
        <f t="shared" si="118"/>
        <v>6.3025546568431179E-2</v>
      </c>
      <c r="AA913">
        <v>219258</v>
      </c>
      <c r="AB913">
        <v>17592</v>
      </c>
      <c r="AD913" t="s">
        <v>4</v>
      </c>
      <c r="AE913">
        <v>267</v>
      </c>
      <c r="AF913">
        <v>26</v>
      </c>
      <c r="AH913" t="s">
        <v>1544</v>
      </c>
      <c r="AI913" t="s">
        <v>1543</v>
      </c>
      <c r="AK913" t="s">
        <v>1542</v>
      </c>
      <c r="AL913">
        <v>28</v>
      </c>
      <c r="AM913" s="5">
        <f t="shared" si="114"/>
        <v>0.93333333333333335</v>
      </c>
      <c r="AN913" s="4">
        <f t="shared" si="119"/>
        <v>1.4136059573393916E-3</v>
      </c>
      <c r="AO913" s="3"/>
      <c r="AP913">
        <v>0</v>
      </c>
      <c r="AR913" t="s">
        <v>0</v>
      </c>
      <c r="AT913" s="2">
        <v>5.157</v>
      </c>
      <c r="AU913" s="1">
        <f t="shared" si="115"/>
        <v>4.4541964385103636</v>
      </c>
      <c r="AV913" s="1">
        <f t="shared" si="116"/>
        <v>3.2219576262885283</v>
      </c>
      <c r="AW913" s="1">
        <f t="shared" si="117"/>
        <v>1.9897188140666926</v>
      </c>
    </row>
    <row r="914" spans="1:49" x14ac:dyDescent="0.2">
      <c r="A914">
        <v>912</v>
      </c>
      <c r="B914" t="s">
        <v>1541</v>
      </c>
      <c r="C914" t="s">
        <v>1540</v>
      </c>
      <c r="F914" t="s">
        <v>1539</v>
      </c>
      <c r="G914" t="s">
        <v>12</v>
      </c>
      <c r="H914" t="s">
        <v>11</v>
      </c>
      <c r="I914" t="s">
        <v>1538</v>
      </c>
      <c r="J914" t="s">
        <v>1537</v>
      </c>
      <c r="K914" t="s">
        <v>1536</v>
      </c>
      <c r="L914" t="s">
        <v>1535</v>
      </c>
      <c r="M914" t="s">
        <v>1534</v>
      </c>
      <c r="N914">
        <v>3</v>
      </c>
      <c r="O914" t="s">
        <v>1533</v>
      </c>
      <c r="P914" t="s">
        <v>1532</v>
      </c>
      <c r="Q914" t="s">
        <v>1531</v>
      </c>
      <c r="R914" s="7">
        <v>33604</v>
      </c>
      <c r="S914" s="8">
        <f t="shared" ref="S914:S977" si="120">YEAR(R914)</f>
        <v>1992</v>
      </c>
      <c r="T914" s="8">
        <v>1992</v>
      </c>
      <c r="U914" s="8">
        <f t="shared" ref="U914:U977" si="121">2022-T914</f>
        <v>30</v>
      </c>
      <c r="V914" s="7" t="s">
        <v>1404</v>
      </c>
      <c r="W914" t="s">
        <v>1403</v>
      </c>
      <c r="X914" s="2">
        <v>0.22500000000000001</v>
      </c>
      <c r="Y914" s="6">
        <f t="shared" si="118"/>
        <v>6.0062464963562111E-3</v>
      </c>
      <c r="AA914">
        <v>2726343</v>
      </c>
      <c r="AB914">
        <v>16128</v>
      </c>
      <c r="AC914" t="s">
        <v>1402</v>
      </c>
      <c r="AD914" t="s">
        <v>4</v>
      </c>
      <c r="AE914">
        <v>12</v>
      </c>
      <c r="AF914">
        <v>1</v>
      </c>
      <c r="AH914" t="s">
        <v>1530</v>
      </c>
      <c r="AI914" t="s">
        <v>1529</v>
      </c>
      <c r="AK914" t="s">
        <v>1528</v>
      </c>
      <c r="AL914">
        <v>4</v>
      </c>
      <c r="AM914" s="5">
        <f t="shared" ref="AM914:AM977" si="122">AL914/U914</f>
        <v>0.13333333333333333</v>
      </c>
      <c r="AN914" s="4">
        <f t="shared" si="119"/>
        <v>2.0194370819134167E-4</v>
      </c>
      <c r="AO914" s="3"/>
      <c r="AP914">
        <v>0</v>
      </c>
      <c r="AR914" t="s">
        <v>0</v>
      </c>
      <c r="AT914" s="2">
        <v>1.099</v>
      </c>
      <c r="AU914" s="1">
        <f t="shared" ref="AU914:AU977" si="123">(Y914*0.7+AN914*0.3)*100</f>
        <v>0.42649556599067501</v>
      </c>
      <c r="AV914" s="1">
        <f t="shared" ref="AV914:AV977" si="124">(Y914*0.5+AN914*0.5)*100</f>
        <v>0.31040951022737767</v>
      </c>
      <c r="AW914" s="1">
        <f t="shared" ref="AW914:AW977" si="125">(Y914*0.3+AN914*0.7)*100</f>
        <v>0.19432345446408023</v>
      </c>
    </row>
    <row r="915" spans="1:49" x14ac:dyDescent="0.2">
      <c r="A915">
        <v>913</v>
      </c>
      <c r="B915" t="s">
        <v>1527</v>
      </c>
      <c r="C915" t="s">
        <v>1526</v>
      </c>
      <c r="F915" t="s">
        <v>1525</v>
      </c>
      <c r="G915" t="s">
        <v>12</v>
      </c>
      <c r="H915" t="s">
        <v>11</v>
      </c>
      <c r="I915" t="s">
        <v>1524</v>
      </c>
      <c r="N915">
        <v>1</v>
      </c>
      <c r="O915" t="s">
        <v>1523</v>
      </c>
      <c r="P915">
        <v>24512080300</v>
      </c>
      <c r="R915" s="7">
        <v>33604</v>
      </c>
      <c r="S915" s="8">
        <f t="shared" si="120"/>
        <v>1992</v>
      </c>
      <c r="T915" s="8">
        <v>1992</v>
      </c>
      <c r="U915" s="8">
        <f t="shared" si="121"/>
        <v>30</v>
      </c>
      <c r="V915" s="7">
        <v>33604</v>
      </c>
      <c r="W915" t="s">
        <v>1458</v>
      </c>
      <c r="X915" s="2">
        <v>0.30399999999999999</v>
      </c>
      <c r="Y915" s="6">
        <f t="shared" si="118"/>
        <v>8.115106377299057E-3</v>
      </c>
      <c r="AA915">
        <v>8952477</v>
      </c>
      <c r="AB915">
        <v>12250</v>
      </c>
      <c r="AC915">
        <v>10982760</v>
      </c>
      <c r="AD915" t="s">
        <v>4</v>
      </c>
      <c r="AE915">
        <v>5</v>
      </c>
      <c r="AF915">
        <v>1</v>
      </c>
      <c r="AH915" t="s">
        <v>1522</v>
      </c>
      <c r="AI915" t="s">
        <v>1521</v>
      </c>
      <c r="AJ915" t="s">
        <v>1520</v>
      </c>
      <c r="AK915" t="s">
        <v>1519</v>
      </c>
      <c r="AL915">
        <v>4</v>
      </c>
      <c r="AM915" s="5">
        <f t="shared" si="122"/>
        <v>0.13333333333333333</v>
      </c>
      <c r="AN915" s="4">
        <f t="shared" si="119"/>
        <v>2.0194370819134167E-4</v>
      </c>
      <c r="AO915" s="3"/>
      <c r="AP915">
        <v>0</v>
      </c>
      <c r="AR915" t="s">
        <v>0</v>
      </c>
      <c r="AT915" s="2" t="s">
        <v>16</v>
      </c>
      <c r="AU915" s="1">
        <f t="shared" si="123"/>
        <v>0.57411575765667411</v>
      </c>
      <c r="AV915" s="1">
        <f t="shared" si="124"/>
        <v>0.41585250427451992</v>
      </c>
      <c r="AW915" s="1">
        <f t="shared" si="125"/>
        <v>0.25758925089236562</v>
      </c>
    </row>
    <row r="916" spans="1:49" x14ac:dyDescent="0.2">
      <c r="A916">
        <v>914</v>
      </c>
      <c r="B916" t="s">
        <v>1518</v>
      </c>
      <c r="C916" t="s">
        <v>1517</v>
      </c>
      <c r="E916">
        <v>1504353</v>
      </c>
      <c r="F916" t="s">
        <v>1516</v>
      </c>
      <c r="G916" t="s">
        <v>12</v>
      </c>
      <c r="H916" t="s">
        <v>11</v>
      </c>
      <c r="I916" t="s">
        <v>1515</v>
      </c>
      <c r="J916">
        <v>60007363</v>
      </c>
      <c r="K916" t="s">
        <v>1514</v>
      </c>
      <c r="L916" t="s">
        <v>1513</v>
      </c>
      <c r="M916" t="s">
        <v>7</v>
      </c>
      <c r="N916">
        <v>1</v>
      </c>
      <c r="O916" t="s">
        <v>1512</v>
      </c>
      <c r="P916">
        <v>7003443407</v>
      </c>
      <c r="Q916">
        <v>60007363</v>
      </c>
      <c r="R916" s="7">
        <v>33604</v>
      </c>
      <c r="S916" s="8">
        <f t="shared" si="120"/>
        <v>1992</v>
      </c>
      <c r="T916" s="8">
        <v>1992</v>
      </c>
      <c r="U916" s="8">
        <f t="shared" si="121"/>
        <v>30</v>
      </c>
      <c r="V916" s="7">
        <v>33817</v>
      </c>
      <c r="W916" t="s">
        <v>1511</v>
      </c>
      <c r="X916" s="2">
        <v>0.53600000000000003</v>
      </c>
      <c r="Y916" s="6">
        <f t="shared" si="118"/>
        <v>1.430821387576413E-2</v>
      </c>
      <c r="AA916" t="s">
        <v>1510</v>
      </c>
      <c r="AB916">
        <v>20920</v>
      </c>
      <c r="AC916">
        <v>10970029</v>
      </c>
      <c r="AD916" t="s">
        <v>4</v>
      </c>
      <c r="AE916">
        <v>22</v>
      </c>
      <c r="AF916">
        <v>3</v>
      </c>
      <c r="AH916" t="s">
        <v>1509</v>
      </c>
      <c r="AI916" t="s">
        <v>1508</v>
      </c>
      <c r="AJ916" t="s">
        <v>1507</v>
      </c>
      <c r="AK916" t="s">
        <v>1506</v>
      </c>
      <c r="AL916">
        <v>28</v>
      </c>
      <c r="AM916" s="5">
        <f t="shared" si="122"/>
        <v>0.93333333333333335</v>
      </c>
      <c r="AN916" s="4">
        <f t="shared" si="119"/>
        <v>1.4136059573393916E-3</v>
      </c>
      <c r="AO916" s="3"/>
      <c r="AP916">
        <v>0</v>
      </c>
      <c r="AR916" t="s">
        <v>0</v>
      </c>
      <c r="AT916" s="2">
        <v>2.7690000000000001</v>
      </c>
      <c r="AU916" s="1">
        <f t="shared" si="123"/>
        <v>1.0439831500236707</v>
      </c>
      <c r="AV916" s="1">
        <f t="shared" si="124"/>
        <v>0.78609099165517604</v>
      </c>
      <c r="AW916" s="1">
        <f t="shared" si="125"/>
        <v>0.52819883328668138</v>
      </c>
    </row>
    <row r="917" spans="1:49" x14ac:dyDescent="0.2">
      <c r="A917">
        <v>915</v>
      </c>
      <c r="B917" t="s">
        <v>1505</v>
      </c>
      <c r="C917" t="s">
        <v>1504</v>
      </c>
      <c r="F917" t="s">
        <v>1503</v>
      </c>
      <c r="G917" t="s">
        <v>12</v>
      </c>
      <c r="H917" t="s">
        <v>11</v>
      </c>
      <c r="I917" t="s">
        <v>1502</v>
      </c>
      <c r="J917">
        <v>60011688</v>
      </c>
      <c r="K917" t="s">
        <v>1501</v>
      </c>
      <c r="L917" t="s">
        <v>1500</v>
      </c>
      <c r="M917" t="s">
        <v>7</v>
      </c>
      <c r="N917">
        <v>1</v>
      </c>
      <c r="O917" t="s">
        <v>1499</v>
      </c>
      <c r="P917">
        <v>7402311213</v>
      </c>
      <c r="Q917">
        <v>60011688</v>
      </c>
      <c r="R917" s="7">
        <v>33604</v>
      </c>
      <c r="S917" s="8">
        <f t="shared" si="120"/>
        <v>1992</v>
      </c>
      <c r="T917" s="8">
        <v>1992</v>
      </c>
      <c r="U917" s="8">
        <f t="shared" si="121"/>
        <v>30</v>
      </c>
      <c r="V917" s="7">
        <v>33604</v>
      </c>
      <c r="W917" t="s">
        <v>194</v>
      </c>
      <c r="X917" s="2">
        <v>2.383</v>
      </c>
      <c r="Y917" s="6">
        <f t="shared" si="118"/>
        <v>6.3612824003630442E-2</v>
      </c>
      <c r="AA917">
        <v>189219</v>
      </c>
      <c r="AB917">
        <v>17915</v>
      </c>
      <c r="AC917">
        <v>15582256</v>
      </c>
      <c r="AD917" t="s">
        <v>4</v>
      </c>
      <c r="AE917">
        <v>80</v>
      </c>
      <c r="AF917">
        <v>1</v>
      </c>
      <c r="AH917" t="s">
        <v>1498</v>
      </c>
      <c r="AI917" t="s">
        <v>1497</v>
      </c>
      <c r="AK917" t="s">
        <v>1496</v>
      </c>
      <c r="AL917">
        <v>30</v>
      </c>
      <c r="AM917" s="5">
        <f t="shared" si="122"/>
        <v>1</v>
      </c>
      <c r="AN917" s="4">
        <f t="shared" si="119"/>
        <v>1.5145778114350624E-3</v>
      </c>
      <c r="AO917" s="3"/>
      <c r="AP917">
        <v>0</v>
      </c>
      <c r="AR917" t="s">
        <v>0</v>
      </c>
      <c r="AT917" s="2">
        <v>10.961</v>
      </c>
      <c r="AU917" s="1">
        <f t="shared" si="123"/>
        <v>4.498335014597183</v>
      </c>
      <c r="AV917" s="1">
        <f t="shared" si="124"/>
        <v>3.2563700907532751</v>
      </c>
      <c r="AW917" s="1">
        <f t="shared" si="125"/>
        <v>2.0144051669093677</v>
      </c>
    </row>
    <row r="918" spans="1:49" x14ac:dyDescent="0.2">
      <c r="A918">
        <v>916</v>
      </c>
      <c r="B918" t="s">
        <v>1495</v>
      </c>
      <c r="C918" t="s">
        <v>1494</v>
      </c>
      <c r="E918">
        <v>1402132</v>
      </c>
      <c r="F918" t="s">
        <v>1493</v>
      </c>
      <c r="G918" t="s">
        <v>12</v>
      </c>
      <c r="H918" t="s">
        <v>11</v>
      </c>
      <c r="I918" t="s">
        <v>888</v>
      </c>
      <c r="J918" t="s">
        <v>1492</v>
      </c>
      <c r="K918" t="s">
        <v>1491</v>
      </c>
      <c r="L918" t="s">
        <v>1490</v>
      </c>
      <c r="M918" t="s">
        <v>125</v>
      </c>
      <c r="N918">
        <v>2</v>
      </c>
      <c r="O918" t="s">
        <v>1489</v>
      </c>
      <c r="P918" t="s">
        <v>1488</v>
      </c>
      <c r="Q918" t="s">
        <v>1487</v>
      </c>
      <c r="R918" s="7">
        <v>33604</v>
      </c>
      <c r="S918" s="8">
        <f t="shared" si="120"/>
        <v>1992</v>
      </c>
      <c r="T918" s="8">
        <v>1992</v>
      </c>
      <c r="U918" s="8">
        <f t="shared" si="121"/>
        <v>30</v>
      </c>
      <c r="V918" s="7">
        <v>1992</v>
      </c>
      <c r="W918" t="s">
        <v>900</v>
      </c>
      <c r="X918" s="2">
        <v>0.89600000000000002</v>
      </c>
      <c r="Y918" s="6">
        <f t="shared" si="118"/>
        <v>2.3918208269934065E-2</v>
      </c>
      <c r="AA918">
        <v>2656736</v>
      </c>
      <c r="AB918">
        <v>29901</v>
      </c>
      <c r="AD918" t="s">
        <v>4</v>
      </c>
      <c r="AE918">
        <v>8</v>
      </c>
      <c r="AF918">
        <v>4</v>
      </c>
      <c r="AH918" t="s">
        <v>1486</v>
      </c>
      <c r="AI918" t="s">
        <v>1485</v>
      </c>
      <c r="AJ918" t="s">
        <v>1484</v>
      </c>
      <c r="AK918" t="s">
        <v>1483</v>
      </c>
      <c r="AL918">
        <v>7</v>
      </c>
      <c r="AM918" s="5">
        <f t="shared" si="122"/>
        <v>0.23333333333333334</v>
      </c>
      <c r="AN918" s="4">
        <f t="shared" si="119"/>
        <v>3.5340148933484791E-4</v>
      </c>
      <c r="AO918" s="3"/>
      <c r="AP918">
        <v>0</v>
      </c>
      <c r="AQ918" t="s">
        <v>895</v>
      </c>
      <c r="AR918" t="s">
        <v>1482</v>
      </c>
      <c r="AS918" t="s">
        <v>893</v>
      </c>
      <c r="AT918" s="2">
        <v>3.9140000000000001</v>
      </c>
      <c r="AU918" s="1">
        <f t="shared" si="123"/>
        <v>1.68487662357543</v>
      </c>
      <c r="AV918" s="1">
        <f t="shared" si="124"/>
        <v>1.2135804879634455</v>
      </c>
      <c r="AW918" s="1">
        <f t="shared" si="125"/>
        <v>0.74228435235146117</v>
      </c>
    </row>
    <row r="919" spans="1:49" x14ac:dyDescent="0.2">
      <c r="A919">
        <v>917</v>
      </c>
      <c r="B919" t="s">
        <v>1481</v>
      </c>
      <c r="C919" t="s">
        <v>1480</v>
      </c>
      <c r="F919" t="s">
        <v>1479</v>
      </c>
      <c r="G919" t="s">
        <v>12</v>
      </c>
      <c r="H919" t="s">
        <v>11</v>
      </c>
      <c r="I919" t="s">
        <v>1478</v>
      </c>
      <c r="J919">
        <v>60020588</v>
      </c>
      <c r="K919" t="s">
        <v>1477</v>
      </c>
      <c r="L919" t="s">
        <v>1476</v>
      </c>
      <c r="M919" t="s">
        <v>7</v>
      </c>
      <c r="N919">
        <v>1</v>
      </c>
      <c r="O919" t="s">
        <v>1475</v>
      </c>
      <c r="P919">
        <v>7005575773</v>
      </c>
      <c r="Q919">
        <v>60020588</v>
      </c>
      <c r="R919" s="7">
        <v>33604</v>
      </c>
      <c r="S919" s="8">
        <f t="shared" si="120"/>
        <v>1992</v>
      </c>
      <c r="T919" s="8">
        <v>1992</v>
      </c>
      <c r="U919" s="8">
        <f t="shared" si="121"/>
        <v>30</v>
      </c>
      <c r="V919" s="7">
        <v>33604</v>
      </c>
      <c r="W919" t="s">
        <v>194</v>
      </c>
      <c r="X919" s="2">
        <v>2.383</v>
      </c>
      <c r="Y919" s="6">
        <f t="shared" si="118"/>
        <v>6.3612824003630442E-2</v>
      </c>
      <c r="AA919">
        <v>189219</v>
      </c>
      <c r="AB919">
        <v>17915</v>
      </c>
      <c r="AC919">
        <v>15582256</v>
      </c>
      <c r="AD919" t="s">
        <v>4</v>
      </c>
      <c r="AE919">
        <v>80</v>
      </c>
      <c r="AF919">
        <v>1</v>
      </c>
      <c r="AH919" t="s">
        <v>1474</v>
      </c>
      <c r="AI919" t="s">
        <v>1473</v>
      </c>
      <c r="AK919" t="s">
        <v>1472</v>
      </c>
      <c r="AL919">
        <v>32</v>
      </c>
      <c r="AM919" s="5">
        <f t="shared" si="122"/>
        <v>1.0666666666666667</v>
      </c>
      <c r="AN919" s="4">
        <f t="shared" si="119"/>
        <v>1.6155496655307334E-3</v>
      </c>
      <c r="AO919" s="3"/>
      <c r="AP919">
        <v>0</v>
      </c>
      <c r="AQ919" t="s">
        <v>1471</v>
      </c>
      <c r="AR919">
        <v>20375</v>
      </c>
      <c r="AS919" t="s">
        <v>1470</v>
      </c>
      <c r="AT919" s="2">
        <v>10.961</v>
      </c>
      <c r="AU919" s="1">
        <f t="shared" si="123"/>
        <v>4.5013641702200529</v>
      </c>
      <c r="AV919" s="1">
        <f t="shared" si="124"/>
        <v>3.261418683458059</v>
      </c>
      <c r="AW919" s="1">
        <f t="shared" si="125"/>
        <v>2.0214731966960646</v>
      </c>
    </row>
    <row r="920" spans="1:49" x14ac:dyDescent="0.2">
      <c r="A920">
        <v>918</v>
      </c>
      <c r="B920" t="s">
        <v>1469</v>
      </c>
      <c r="C920" t="s">
        <v>1468</v>
      </c>
      <c r="F920" t="s">
        <v>1467</v>
      </c>
      <c r="G920" t="s">
        <v>12</v>
      </c>
      <c r="H920" t="s">
        <v>11</v>
      </c>
      <c r="I920" t="s">
        <v>1466</v>
      </c>
      <c r="J920" t="s">
        <v>1465</v>
      </c>
      <c r="K920" t="s">
        <v>1464</v>
      </c>
      <c r="L920" t="s">
        <v>1463</v>
      </c>
      <c r="M920" t="s">
        <v>1462</v>
      </c>
      <c r="N920">
        <v>4</v>
      </c>
      <c r="O920" t="s">
        <v>1461</v>
      </c>
      <c r="P920" t="s">
        <v>1460</v>
      </c>
      <c r="Q920" t="s">
        <v>1459</v>
      </c>
      <c r="R920" s="7">
        <v>33604</v>
      </c>
      <c r="S920" s="8">
        <f t="shared" si="120"/>
        <v>1992</v>
      </c>
      <c r="T920" s="8">
        <v>1992</v>
      </c>
      <c r="U920" s="8">
        <f t="shared" si="121"/>
        <v>30</v>
      </c>
      <c r="V920" s="7">
        <v>33604</v>
      </c>
      <c r="W920" t="s">
        <v>1458</v>
      </c>
      <c r="X920" s="2">
        <v>0.30399999999999999</v>
      </c>
      <c r="Y920" s="6">
        <f t="shared" si="118"/>
        <v>8.115106377299057E-3</v>
      </c>
      <c r="AA920">
        <v>8952477</v>
      </c>
      <c r="AB920">
        <v>12250</v>
      </c>
      <c r="AC920">
        <v>10982760</v>
      </c>
      <c r="AD920" t="s">
        <v>4</v>
      </c>
      <c r="AE920">
        <v>5</v>
      </c>
      <c r="AF920">
        <v>1</v>
      </c>
      <c r="AH920" t="s">
        <v>1457</v>
      </c>
      <c r="AI920" t="s">
        <v>1456</v>
      </c>
      <c r="AJ920" t="s">
        <v>1455</v>
      </c>
      <c r="AK920" t="s">
        <v>1454</v>
      </c>
      <c r="AL920">
        <v>1</v>
      </c>
      <c r="AM920" s="5">
        <f t="shared" si="122"/>
        <v>3.3333333333333333E-2</v>
      </c>
      <c r="AN920" s="4">
        <f t="shared" si="119"/>
        <v>5.0485927047835418E-5</v>
      </c>
      <c r="AO920" s="3"/>
      <c r="AP920">
        <v>0</v>
      </c>
      <c r="AR920" t="s">
        <v>0</v>
      </c>
      <c r="AT920" s="2" t="s">
        <v>16</v>
      </c>
      <c r="AU920" s="1">
        <f t="shared" si="123"/>
        <v>0.56957202422236908</v>
      </c>
      <c r="AV920" s="1">
        <f t="shared" si="124"/>
        <v>0.40827961521734463</v>
      </c>
      <c r="AW920" s="1">
        <f t="shared" si="125"/>
        <v>0.2469872062123202</v>
      </c>
    </row>
    <row r="921" spans="1:49" x14ac:dyDescent="0.2">
      <c r="A921">
        <v>919</v>
      </c>
      <c r="B921" t="s">
        <v>1453</v>
      </c>
      <c r="C921" t="s">
        <v>1452</v>
      </c>
      <c r="F921" t="s">
        <v>1451</v>
      </c>
      <c r="G921" t="s">
        <v>12</v>
      </c>
      <c r="H921" t="s">
        <v>11</v>
      </c>
      <c r="I921" t="s">
        <v>1450</v>
      </c>
      <c r="J921">
        <v>60005304</v>
      </c>
      <c r="K921" t="s">
        <v>1244</v>
      </c>
      <c r="L921" t="s">
        <v>1243</v>
      </c>
      <c r="M921" t="s">
        <v>7</v>
      </c>
      <c r="N921">
        <v>2</v>
      </c>
      <c r="O921" t="s">
        <v>1449</v>
      </c>
      <c r="P921" t="s">
        <v>1448</v>
      </c>
      <c r="Q921" t="s">
        <v>1447</v>
      </c>
      <c r="R921" s="7">
        <v>33604</v>
      </c>
      <c r="S921" s="8">
        <f t="shared" si="120"/>
        <v>1992</v>
      </c>
      <c r="T921" s="8">
        <v>1992</v>
      </c>
      <c r="U921" s="8">
        <f t="shared" si="121"/>
        <v>30</v>
      </c>
      <c r="V921" s="7">
        <v>33604</v>
      </c>
      <c r="W921" t="s">
        <v>194</v>
      </c>
      <c r="X921" s="2">
        <v>2.383</v>
      </c>
      <c r="Y921" s="6">
        <f t="shared" si="118"/>
        <v>6.3612824003630442E-2</v>
      </c>
      <c r="AA921">
        <v>189219</v>
      </c>
      <c r="AB921">
        <v>17915</v>
      </c>
      <c r="AC921">
        <v>15582256</v>
      </c>
      <c r="AD921" t="s">
        <v>4</v>
      </c>
      <c r="AE921">
        <v>80</v>
      </c>
      <c r="AF921">
        <v>1</v>
      </c>
      <c r="AH921" t="s">
        <v>1446</v>
      </c>
      <c r="AI921" t="s">
        <v>1445</v>
      </c>
      <c r="AK921" t="s">
        <v>1444</v>
      </c>
      <c r="AL921">
        <v>22</v>
      </c>
      <c r="AM921" s="5">
        <f t="shared" si="122"/>
        <v>0.73333333333333328</v>
      </c>
      <c r="AN921" s="4">
        <f t="shared" si="119"/>
        <v>1.1106903950523792E-3</v>
      </c>
      <c r="AO921" s="3"/>
      <c r="AP921">
        <v>0</v>
      </c>
      <c r="AR921" t="s">
        <v>0</v>
      </c>
      <c r="AT921" s="2">
        <v>10.961</v>
      </c>
      <c r="AU921" s="1">
        <f t="shared" si="123"/>
        <v>4.4862183921057026</v>
      </c>
      <c r="AV921" s="1">
        <f t="shared" si="124"/>
        <v>3.236175719934141</v>
      </c>
      <c r="AW921" s="1">
        <f t="shared" si="125"/>
        <v>1.9861330477625796</v>
      </c>
    </row>
    <row r="922" spans="1:49" x14ac:dyDescent="0.2">
      <c r="A922">
        <v>920</v>
      </c>
      <c r="B922" t="s">
        <v>1443</v>
      </c>
      <c r="C922" t="s">
        <v>1442</v>
      </c>
      <c r="F922" t="s">
        <v>1441</v>
      </c>
      <c r="G922" t="s">
        <v>12</v>
      </c>
      <c r="H922" t="s">
        <v>11</v>
      </c>
      <c r="I922" t="s">
        <v>1440</v>
      </c>
      <c r="J922">
        <v>60014313</v>
      </c>
      <c r="K922" t="s">
        <v>100</v>
      </c>
      <c r="L922" t="s">
        <v>99</v>
      </c>
      <c r="M922" t="s">
        <v>7</v>
      </c>
      <c r="N922">
        <v>1</v>
      </c>
      <c r="O922" t="s">
        <v>98</v>
      </c>
      <c r="P922">
        <v>7006061921</v>
      </c>
      <c r="Q922">
        <v>60014313</v>
      </c>
      <c r="R922" s="7">
        <v>33604</v>
      </c>
      <c r="S922" s="8">
        <f t="shared" si="120"/>
        <v>1992</v>
      </c>
      <c r="T922" s="8">
        <v>1992</v>
      </c>
      <c r="U922" s="8">
        <f t="shared" si="121"/>
        <v>30</v>
      </c>
      <c r="V922" s="7">
        <v>33604</v>
      </c>
      <c r="W922" t="s">
        <v>194</v>
      </c>
      <c r="X922" s="2">
        <v>2.383</v>
      </c>
      <c r="Y922" s="6">
        <f t="shared" si="118"/>
        <v>6.3612824003630442E-2</v>
      </c>
      <c r="AA922">
        <v>189219</v>
      </c>
      <c r="AB922">
        <v>17915</v>
      </c>
      <c r="AC922">
        <v>15582256</v>
      </c>
      <c r="AD922" t="s">
        <v>4</v>
      </c>
      <c r="AE922">
        <v>80</v>
      </c>
      <c r="AF922">
        <v>1</v>
      </c>
      <c r="AH922" t="s">
        <v>1439</v>
      </c>
      <c r="AI922" t="s">
        <v>1438</v>
      </c>
      <c r="AK922" t="s">
        <v>1437</v>
      </c>
      <c r="AL922">
        <v>718</v>
      </c>
      <c r="AM922" s="5">
        <f t="shared" si="122"/>
        <v>23.933333333333334</v>
      </c>
      <c r="AN922" s="4">
        <f t="shared" si="119"/>
        <v>3.6248895620345827E-2</v>
      </c>
      <c r="AO922" s="3"/>
      <c r="AP922">
        <v>0</v>
      </c>
      <c r="AR922" t="s">
        <v>0</v>
      </c>
      <c r="AT922" s="2">
        <v>10.961</v>
      </c>
      <c r="AU922" s="1">
        <f t="shared" si="123"/>
        <v>5.5403645488645052</v>
      </c>
      <c r="AV922" s="1">
        <f t="shared" si="124"/>
        <v>4.9930859811988135</v>
      </c>
      <c r="AW922" s="1">
        <f t="shared" si="125"/>
        <v>4.4458074135331209</v>
      </c>
    </row>
    <row r="923" spans="1:49" x14ac:dyDescent="0.2">
      <c r="A923">
        <v>921</v>
      </c>
      <c r="B923" t="s">
        <v>1436</v>
      </c>
      <c r="C923" t="s">
        <v>1435</v>
      </c>
      <c r="F923" t="s">
        <v>1434</v>
      </c>
      <c r="G923" t="s">
        <v>12</v>
      </c>
      <c r="H923" t="s">
        <v>11</v>
      </c>
      <c r="I923" t="s">
        <v>1433</v>
      </c>
      <c r="J923">
        <v>60004176</v>
      </c>
      <c r="K923" t="s">
        <v>1432</v>
      </c>
      <c r="L923" t="s">
        <v>1431</v>
      </c>
      <c r="M923" t="s">
        <v>151</v>
      </c>
      <c r="N923">
        <v>2</v>
      </c>
      <c r="O923" t="s">
        <v>1430</v>
      </c>
      <c r="P923" t="s">
        <v>1429</v>
      </c>
      <c r="Q923" t="s">
        <v>1428</v>
      </c>
      <c r="R923" s="7">
        <v>33604</v>
      </c>
      <c r="S923" s="8">
        <f t="shared" si="120"/>
        <v>1992</v>
      </c>
      <c r="T923" s="8">
        <v>1992</v>
      </c>
      <c r="U923" s="8">
        <f t="shared" si="121"/>
        <v>30</v>
      </c>
      <c r="V923" s="7">
        <v>33725</v>
      </c>
      <c r="W923" t="s">
        <v>1427</v>
      </c>
      <c r="X923" s="2">
        <v>0.61899999999999999</v>
      </c>
      <c r="Y923" s="6">
        <f t="shared" si="118"/>
        <v>1.6523851472197752E-2</v>
      </c>
      <c r="AA923">
        <v>14966</v>
      </c>
      <c r="AB923">
        <v>12936</v>
      </c>
      <c r="AC923" t="s">
        <v>1426</v>
      </c>
      <c r="AD923" t="s">
        <v>4</v>
      </c>
      <c r="AE923">
        <v>91</v>
      </c>
      <c r="AF923">
        <v>5</v>
      </c>
      <c r="AH923" t="s">
        <v>1425</v>
      </c>
      <c r="AI923" t="s">
        <v>1424</v>
      </c>
      <c r="AK923" t="s">
        <v>1423</v>
      </c>
      <c r="AL923">
        <v>0</v>
      </c>
      <c r="AM923" s="5">
        <f t="shared" si="122"/>
        <v>0</v>
      </c>
      <c r="AN923" s="4">
        <f t="shared" si="119"/>
        <v>0</v>
      </c>
      <c r="AO923" s="3"/>
      <c r="AP923">
        <v>0</v>
      </c>
      <c r="AR923" t="s">
        <v>0</v>
      </c>
      <c r="AT923" s="2" t="s">
        <v>16</v>
      </c>
      <c r="AU923" s="1">
        <f t="shared" si="123"/>
        <v>1.1566696030538426</v>
      </c>
      <c r="AV923" s="1">
        <f t="shared" si="124"/>
        <v>0.82619257360988763</v>
      </c>
      <c r="AW923" s="1">
        <f t="shared" si="125"/>
        <v>0.49571554416593261</v>
      </c>
    </row>
    <row r="924" spans="1:49" x14ac:dyDescent="0.2">
      <c r="A924">
        <v>922</v>
      </c>
      <c r="B924" t="s">
        <v>1422</v>
      </c>
      <c r="F924" t="s">
        <v>1421</v>
      </c>
      <c r="G924" t="s">
        <v>12</v>
      </c>
      <c r="H924" t="s">
        <v>11</v>
      </c>
      <c r="I924" t="s">
        <v>1420</v>
      </c>
      <c r="N924">
        <v>2</v>
      </c>
      <c r="O924" t="s">
        <v>1419</v>
      </c>
      <c r="P924" t="s">
        <v>1418</v>
      </c>
      <c r="Q924" t="s">
        <v>720</v>
      </c>
      <c r="R924" s="7">
        <v>33604</v>
      </c>
      <c r="S924" s="8">
        <f t="shared" si="120"/>
        <v>1992</v>
      </c>
      <c r="T924" s="8">
        <v>1992</v>
      </c>
      <c r="U924" s="8">
        <f t="shared" si="121"/>
        <v>30</v>
      </c>
      <c r="V924" s="7">
        <v>1992</v>
      </c>
      <c r="W924" t="s">
        <v>1252</v>
      </c>
      <c r="X924" s="2" t="s">
        <v>16</v>
      </c>
      <c r="Y924" s="6" t="e">
        <f t="shared" si="118"/>
        <v>#VALUE!</v>
      </c>
      <c r="AA924">
        <v>87566648</v>
      </c>
      <c r="AB924">
        <v>74127</v>
      </c>
      <c r="AD924" t="s">
        <v>4</v>
      </c>
      <c r="AE924">
        <v>37</v>
      </c>
      <c r="AF924">
        <v>5</v>
      </c>
      <c r="AH924" t="s">
        <v>1417</v>
      </c>
      <c r="AI924" t="s">
        <v>1416</v>
      </c>
      <c r="AK924" t="s">
        <v>1415</v>
      </c>
      <c r="AL924">
        <v>0</v>
      </c>
      <c r="AM924" s="5">
        <f t="shared" si="122"/>
        <v>0</v>
      </c>
      <c r="AN924" s="4">
        <f t="shared" si="119"/>
        <v>0</v>
      </c>
      <c r="AO924" s="3"/>
      <c r="AP924">
        <v>0</v>
      </c>
      <c r="AR924" t="s">
        <v>0</v>
      </c>
      <c r="AT924" s="2" t="s">
        <v>16</v>
      </c>
      <c r="AU924" s="1" t="e">
        <f t="shared" si="123"/>
        <v>#VALUE!</v>
      </c>
      <c r="AV924" s="1" t="e">
        <f t="shared" si="124"/>
        <v>#VALUE!</v>
      </c>
      <c r="AW924" s="1" t="e">
        <f t="shared" si="125"/>
        <v>#VALUE!</v>
      </c>
    </row>
    <row r="925" spans="1:49" x14ac:dyDescent="0.2">
      <c r="A925">
        <v>923</v>
      </c>
      <c r="B925" t="s">
        <v>1414</v>
      </c>
      <c r="C925" t="s">
        <v>1413</v>
      </c>
      <c r="F925" t="s">
        <v>1412</v>
      </c>
      <c r="G925" t="s">
        <v>12</v>
      </c>
      <c r="H925" t="s">
        <v>11</v>
      </c>
      <c r="I925" t="s">
        <v>1411</v>
      </c>
      <c r="J925" t="s">
        <v>1410</v>
      </c>
      <c r="K925" t="s">
        <v>1409</v>
      </c>
      <c r="L925" t="s">
        <v>1408</v>
      </c>
      <c r="M925" t="s">
        <v>125</v>
      </c>
      <c r="N925">
        <v>3</v>
      </c>
      <c r="O925" t="s">
        <v>1407</v>
      </c>
      <c r="P925" t="s">
        <v>1406</v>
      </c>
      <c r="Q925" t="s">
        <v>1405</v>
      </c>
      <c r="R925" s="7">
        <v>33604</v>
      </c>
      <c r="S925" s="8">
        <f t="shared" si="120"/>
        <v>1992</v>
      </c>
      <c r="T925" s="8">
        <v>1992</v>
      </c>
      <c r="U925" s="8">
        <f t="shared" si="121"/>
        <v>30</v>
      </c>
      <c r="V925" s="7" t="s">
        <v>1404</v>
      </c>
      <c r="W925" t="s">
        <v>1403</v>
      </c>
      <c r="X925" s="2">
        <v>0.22500000000000001</v>
      </c>
      <c r="Y925" s="6">
        <f t="shared" si="118"/>
        <v>6.0062464963562111E-3</v>
      </c>
      <c r="AA925">
        <v>2726343</v>
      </c>
      <c r="AB925">
        <v>16128</v>
      </c>
      <c r="AC925" t="s">
        <v>1402</v>
      </c>
      <c r="AD925" t="s">
        <v>4</v>
      </c>
      <c r="AE925">
        <v>12</v>
      </c>
      <c r="AF925">
        <v>1</v>
      </c>
      <c r="AH925" t="s">
        <v>1401</v>
      </c>
      <c r="AI925" t="s">
        <v>1400</v>
      </c>
      <c r="AK925" t="s">
        <v>1399</v>
      </c>
      <c r="AL925">
        <v>14</v>
      </c>
      <c r="AM925" s="5">
        <f t="shared" si="122"/>
        <v>0.46666666666666667</v>
      </c>
      <c r="AN925" s="4">
        <f t="shared" si="119"/>
        <v>7.0680297866969582E-4</v>
      </c>
      <c r="AO925" s="3"/>
      <c r="AP925">
        <v>0</v>
      </c>
      <c r="AR925" t="s">
        <v>0</v>
      </c>
      <c r="AT925" s="2">
        <v>1.099</v>
      </c>
      <c r="AU925" s="1">
        <f t="shared" si="123"/>
        <v>0.44164134410502565</v>
      </c>
      <c r="AV925" s="1">
        <f t="shared" si="124"/>
        <v>0.33565247375129537</v>
      </c>
      <c r="AW925" s="1">
        <f t="shared" si="125"/>
        <v>0.22966360339756503</v>
      </c>
    </row>
    <row r="926" spans="1:49" x14ac:dyDescent="0.2">
      <c r="A926">
        <v>924</v>
      </c>
      <c r="B926" t="s">
        <v>1398</v>
      </c>
      <c r="F926" t="s">
        <v>1397</v>
      </c>
      <c r="G926" t="s">
        <v>12</v>
      </c>
      <c r="H926" t="s">
        <v>11</v>
      </c>
      <c r="I926" t="s">
        <v>1396</v>
      </c>
      <c r="N926">
        <v>3</v>
      </c>
      <c r="O926" t="s">
        <v>1395</v>
      </c>
      <c r="P926" t="s">
        <v>1394</v>
      </c>
      <c r="Q926" t="s">
        <v>1191</v>
      </c>
      <c r="R926" s="7">
        <v>33604</v>
      </c>
      <c r="S926" s="8">
        <f t="shared" si="120"/>
        <v>1992</v>
      </c>
      <c r="T926" s="8">
        <v>1992</v>
      </c>
      <c r="U926" s="8">
        <f t="shared" si="121"/>
        <v>30</v>
      </c>
      <c r="V926" s="7">
        <v>1992</v>
      </c>
      <c r="W926" t="s">
        <v>1252</v>
      </c>
      <c r="X926" s="2" t="s">
        <v>16</v>
      </c>
      <c r="Y926" s="6" t="e">
        <f t="shared" si="118"/>
        <v>#VALUE!</v>
      </c>
      <c r="AA926">
        <v>87566648</v>
      </c>
      <c r="AB926">
        <v>74127</v>
      </c>
      <c r="AD926" t="s">
        <v>4</v>
      </c>
      <c r="AE926">
        <v>37</v>
      </c>
      <c r="AF926">
        <v>6</v>
      </c>
      <c r="AH926" t="s">
        <v>1393</v>
      </c>
      <c r="AI926" t="s">
        <v>1392</v>
      </c>
      <c r="AK926" t="s">
        <v>1391</v>
      </c>
      <c r="AL926">
        <v>0</v>
      </c>
      <c r="AM926" s="5">
        <f t="shared" si="122"/>
        <v>0</v>
      </c>
      <c r="AN926" s="4">
        <f t="shared" si="119"/>
        <v>0</v>
      </c>
      <c r="AO926" s="3"/>
      <c r="AP926">
        <v>0</v>
      </c>
      <c r="AR926" t="s">
        <v>0</v>
      </c>
      <c r="AT926" s="2" t="s">
        <v>16</v>
      </c>
      <c r="AU926" s="1" t="e">
        <f t="shared" si="123"/>
        <v>#VALUE!</v>
      </c>
      <c r="AV926" s="1" t="e">
        <f t="shared" si="124"/>
        <v>#VALUE!</v>
      </c>
      <c r="AW926" s="1" t="e">
        <f t="shared" si="125"/>
        <v>#VALUE!</v>
      </c>
    </row>
    <row r="927" spans="1:49" x14ac:dyDescent="0.2">
      <c r="A927">
        <v>925</v>
      </c>
      <c r="B927" t="s">
        <v>1390</v>
      </c>
      <c r="C927" t="s">
        <v>1389</v>
      </c>
      <c r="F927" t="s">
        <v>1388</v>
      </c>
      <c r="G927" t="s">
        <v>12</v>
      </c>
      <c r="H927" t="s">
        <v>11</v>
      </c>
      <c r="I927" t="s">
        <v>1387</v>
      </c>
      <c r="J927" t="s">
        <v>1386</v>
      </c>
      <c r="K927" t="s">
        <v>1385</v>
      </c>
      <c r="L927" t="s">
        <v>1384</v>
      </c>
      <c r="M927" t="s">
        <v>1383</v>
      </c>
      <c r="N927">
        <v>3</v>
      </c>
      <c r="O927" t="s">
        <v>1382</v>
      </c>
      <c r="P927" t="s">
        <v>1381</v>
      </c>
      <c r="Q927" t="s">
        <v>1380</v>
      </c>
      <c r="R927" s="7">
        <v>33604</v>
      </c>
      <c r="S927" s="8">
        <f t="shared" si="120"/>
        <v>1992</v>
      </c>
      <c r="T927" s="8">
        <v>1992</v>
      </c>
      <c r="U927" s="8">
        <f t="shared" si="121"/>
        <v>30</v>
      </c>
      <c r="V927" s="7" t="s">
        <v>1331</v>
      </c>
      <c r="W927" t="s">
        <v>1330</v>
      </c>
      <c r="X927" s="2">
        <v>0.75800000000000001</v>
      </c>
      <c r="Y927" s="6">
        <f t="shared" si="118"/>
        <v>2.0234377085502256E-2</v>
      </c>
      <c r="AA927">
        <v>224650</v>
      </c>
      <c r="AB927">
        <v>29589</v>
      </c>
      <c r="AD927" t="s">
        <v>4</v>
      </c>
      <c r="AE927">
        <v>29</v>
      </c>
      <c r="AF927">
        <v>1</v>
      </c>
      <c r="AH927" t="s">
        <v>1379</v>
      </c>
      <c r="AI927" t="s">
        <v>1378</v>
      </c>
      <c r="AK927" t="s">
        <v>1377</v>
      </c>
      <c r="AL927">
        <v>8</v>
      </c>
      <c r="AM927" s="5">
        <f t="shared" si="122"/>
        <v>0.26666666666666666</v>
      </c>
      <c r="AN927" s="4">
        <f t="shared" si="119"/>
        <v>4.0388741638268334E-4</v>
      </c>
      <c r="AO927" s="3"/>
      <c r="AP927">
        <v>0</v>
      </c>
      <c r="AQ927" t="s">
        <v>1376</v>
      </c>
      <c r="AR927" t="s">
        <v>1375</v>
      </c>
      <c r="AS927" t="s">
        <v>1374</v>
      </c>
      <c r="AT927" s="2">
        <v>1.282</v>
      </c>
      <c r="AU927" s="1">
        <f t="shared" si="123"/>
        <v>1.4285230184766382</v>
      </c>
      <c r="AV927" s="1">
        <f t="shared" si="124"/>
        <v>1.0319132250942471</v>
      </c>
      <c r="AW927" s="1">
        <f t="shared" si="125"/>
        <v>0.63530343171185555</v>
      </c>
    </row>
    <row r="928" spans="1:49" x14ac:dyDescent="0.2">
      <c r="A928">
        <v>926</v>
      </c>
      <c r="B928" t="s">
        <v>1373</v>
      </c>
      <c r="C928" t="s">
        <v>1372</v>
      </c>
      <c r="F928" t="s">
        <v>1371</v>
      </c>
      <c r="G928" t="s">
        <v>12</v>
      </c>
      <c r="H928" t="s">
        <v>11</v>
      </c>
      <c r="I928" t="s">
        <v>1370</v>
      </c>
      <c r="N928">
        <v>2</v>
      </c>
      <c r="O928" t="s">
        <v>1369</v>
      </c>
      <c r="P928" t="s">
        <v>1368</v>
      </c>
      <c r="Q928" t="s">
        <v>720</v>
      </c>
      <c r="R928" s="7">
        <v>33604</v>
      </c>
      <c r="S928" s="8">
        <f t="shared" si="120"/>
        <v>1992</v>
      </c>
      <c r="T928" s="8">
        <v>1992</v>
      </c>
      <c r="U928" s="8">
        <f t="shared" si="121"/>
        <v>30</v>
      </c>
      <c r="V928" s="7" t="s">
        <v>1331</v>
      </c>
      <c r="W928" t="s">
        <v>1367</v>
      </c>
      <c r="X928" s="2">
        <v>0.371</v>
      </c>
      <c r="Y928" s="6">
        <f t="shared" si="118"/>
        <v>9.9036331117695747E-3</v>
      </c>
      <c r="AA928">
        <v>486604</v>
      </c>
      <c r="AB928">
        <v>28580</v>
      </c>
      <c r="AC928" t="s">
        <v>1366</v>
      </c>
      <c r="AD928" t="s">
        <v>4</v>
      </c>
      <c r="AE928">
        <v>27</v>
      </c>
      <c r="AF928">
        <v>1</v>
      </c>
      <c r="AH928" t="s">
        <v>1365</v>
      </c>
      <c r="AI928" t="s">
        <v>1364</v>
      </c>
      <c r="AK928" t="s">
        <v>1363</v>
      </c>
      <c r="AL928">
        <v>2</v>
      </c>
      <c r="AM928" s="5">
        <f t="shared" si="122"/>
        <v>6.6666666666666666E-2</v>
      </c>
      <c r="AN928" s="4">
        <f t="shared" si="119"/>
        <v>1.0097185409567084E-4</v>
      </c>
      <c r="AO928" s="3"/>
      <c r="AP928">
        <v>0</v>
      </c>
      <c r="AR928" t="s">
        <v>0</v>
      </c>
      <c r="AT928" s="2">
        <v>1.431</v>
      </c>
      <c r="AU928" s="1">
        <f t="shared" si="123"/>
        <v>0.69628347344674024</v>
      </c>
      <c r="AV928" s="1">
        <f t="shared" si="124"/>
        <v>0.50023024829326224</v>
      </c>
      <c r="AW928" s="1">
        <f t="shared" si="125"/>
        <v>0.30417702313978418</v>
      </c>
    </row>
    <row r="929" spans="1:49" x14ac:dyDescent="0.2">
      <c r="A929">
        <v>927</v>
      </c>
      <c r="B929" t="s">
        <v>1362</v>
      </c>
      <c r="C929" t="s">
        <v>1361</v>
      </c>
      <c r="F929" t="s">
        <v>1360</v>
      </c>
      <c r="G929" t="s">
        <v>12</v>
      </c>
      <c r="H929" t="s">
        <v>11</v>
      </c>
      <c r="I929" t="s">
        <v>1359</v>
      </c>
      <c r="J929">
        <v>60102562</v>
      </c>
      <c r="K929" t="s">
        <v>1358</v>
      </c>
      <c r="L929" t="s">
        <v>1357</v>
      </c>
      <c r="M929" t="s">
        <v>7</v>
      </c>
      <c r="N929">
        <v>2</v>
      </c>
      <c r="O929" t="s">
        <v>1356</v>
      </c>
      <c r="P929" t="s">
        <v>1355</v>
      </c>
      <c r="Q929" t="s">
        <v>1354</v>
      </c>
      <c r="R929" s="7">
        <v>33604</v>
      </c>
      <c r="S929" s="8">
        <f t="shared" si="120"/>
        <v>1992</v>
      </c>
      <c r="T929" s="8">
        <v>1992</v>
      </c>
      <c r="U929" s="8">
        <f t="shared" si="121"/>
        <v>30</v>
      </c>
      <c r="V929" s="7">
        <v>33604</v>
      </c>
      <c r="W929" t="s">
        <v>1353</v>
      </c>
      <c r="X929" s="2">
        <v>1.778</v>
      </c>
      <c r="Y929" s="6">
        <f t="shared" si="118"/>
        <v>4.7462694535650413E-2</v>
      </c>
      <c r="AA929">
        <v>10577149</v>
      </c>
      <c r="AB929">
        <v>25534</v>
      </c>
      <c r="AC929">
        <v>19410042</v>
      </c>
      <c r="AD929" t="s">
        <v>4</v>
      </c>
      <c r="AE929">
        <v>1</v>
      </c>
      <c r="AF929">
        <v>1</v>
      </c>
      <c r="AH929" t="s">
        <v>1352</v>
      </c>
      <c r="AI929" t="s">
        <v>1351</v>
      </c>
      <c r="AK929" t="s">
        <v>1350</v>
      </c>
      <c r="AL929">
        <v>22</v>
      </c>
      <c r="AM929" s="5">
        <f t="shared" si="122"/>
        <v>0.73333333333333328</v>
      </c>
      <c r="AN929" s="4">
        <f t="shared" si="119"/>
        <v>1.1106903950523792E-3</v>
      </c>
      <c r="AO929" s="3"/>
      <c r="AP929">
        <v>0</v>
      </c>
      <c r="AR929" t="s">
        <v>0</v>
      </c>
      <c r="AT929" s="2">
        <v>10.856</v>
      </c>
      <c r="AU929" s="1">
        <f t="shared" si="123"/>
        <v>3.3557093293470999</v>
      </c>
      <c r="AV929" s="1">
        <f t="shared" si="124"/>
        <v>2.4286692465351396</v>
      </c>
      <c r="AW929" s="1">
        <f t="shared" si="125"/>
        <v>1.5016291637231789</v>
      </c>
    </row>
    <row r="930" spans="1:49" x14ac:dyDescent="0.2">
      <c r="A930">
        <v>928</v>
      </c>
      <c r="B930" t="s">
        <v>1349</v>
      </c>
      <c r="F930" t="s">
        <v>1348</v>
      </c>
      <c r="G930" t="s">
        <v>12</v>
      </c>
      <c r="H930" t="s">
        <v>11</v>
      </c>
      <c r="I930" t="s">
        <v>1347</v>
      </c>
      <c r="N930">
        <v>3</v>
      </c>
      <c r="O930" t="s">
        <v>1346</v>
      </c>
      <c r="P930" t="s">
        <v>1345</v>
      </c>
      <c r="Q930" t="s">
        <v>1191</v>
      </c>
      <c r="R930" s="7">
        <v>33604</v>
      </c>
      <c r="S930" s="8">
        <f t="shared" si="120"/>
        <v>1992</v>
      </c>
      <c r="T930" s="8">
        <v>1992</v>
      </c>
      <c r="U930" s="8">
        <f t="shared" si="121"/>
        <v>30</v>
      </c>
      <c r="V930" s="7">
        <v>1992</v>
      </c>
      <c r="W930" t="s">
        <v>1344</v>
      </c>
      <c r="X930" s="2" t="s">
        <v>16</v>
      </c>
      <c r="Y930" s="6" t="e">
        <f t="shared" si="118"/>
        <v>#VALUE!</v>
      </c>
      <c r="AA930">
        <v>2421283</v>
      </c>
      <c r="AB930">
        <v>62329</v>
      </c>
      <c r="AD930" t="s">
        <v>4</v>
      </c>
      <c r="AE930">
        <v>14</v>
      </c>
      <c r="AF930">
        <v>2</v>
      </c>
      <c r="AH930" s="10">
        <v>41760</v>
      </c>
      <c r="AI930" t="s">
        <v>1343</v>
      </c>
      <c r="AK930" t="s">
        <v>1342</v>
      </c>
      <c r="AL930">
        <v>0</v>
      </c>
      <c r="AM930" s="5">
        <f t="shared" si="122"/>
        <v>0</v>
      </c>
      <c r="AN930" s="4">
        <f t="shared" si="119"/>
        <v>0</v>
      </c>
      <c r="AO930" s="3"/>
      <c r="AP930">
        <v>0</v>
      </c>
      <c r="AR930" t="s">
        <v>0</v>
      </c>
      <c r="AT930" s="2" t="s">
        <v>16</v>
      </c>
      <c r="AU930" s="1" t="e">
        <f t="shared" si="123"/>
        <v>#VALUE!</v>
      </c>
      <c r="AV930" s="1" t="e">
        <f t="shared" si="124"/>
        <v>#VALUE!</v>
      </c>
      <c r="AW930" s="1" t="e">
        <f t="shared" si="125"/>
        <v>#VALUE!</v>
      </c>
    </row>
    <row r="931" spans="1:49" x14ac:dyDescent="0.2">
      <c r="A931">
        <v>929</v>
      </c>
      <c r="B931" t="s">
        <v>1341</v>
      </c>
      <c r="C931" t="s">
        <v>1340</v>
      </c>
      <c r="F931" t="s">
        <v>1339</v>
      </c>
      <c r="G931" t="s">
        <v>12</v>
      </c>
      <c r="H931" t="s">
        <v>11</v>
      </c>
      <c r="I931" t="s">
        <v>1338</v>
      </c>
      <c r="J931" t="s">
        <v>1337</v>
      </c>
      <c r="K931" t="s">
        <v>1336</v>
      </c>
      <c r="L931" t="s">
        <v>1335</v>
      </c>
      <c r="M931" t="s">
        <v>904</v>
      </c>
      <c r="N931">
        <v>2</v>
      </c>
      <c r="O931" t="s">
        <v>1334</v>
      </c>
      <c r="P931" t="s">
        <v>1333</v>
      </c>
      <c r="Q931" t="s">
        <v>1332</v>
      </c>
      <c r="R931" s="7">
        <v>33604</v>
      </c>
      <c r="S931" s="8">
        <f t="shared" si="120"/>
        <v>1992</v>
      </c>
      <c r="T931" s="8">
        <v>1992</v>
      </c>
      <c r="U931" s="8">
        <f t="shared" si="121"/>
        <v>30</v>
      </c>
      <c r="V931" s="7" t="s">
        <v>1331</v>
      </c>
      <c r="W931" t="s">
        <v>1330</v>
      </c>
      <c r="X931" s="2">
        <v>0.75800000000000001</v>
      </c>
      <c r="Y931" s="6">
        <f t="shared" si="118"/>
        <v>2.0234377085502256E-2</v>
      </c>
      <c r="AA931">
        <v>224650</v>
      </c>
      <c r="AB931">
        <v>29589</v>
      </c>
      <c r="AD931" t="s">
        <v>4</v>
      </c>
      <c r="AE931">
        <v>29</v>
      </c>
      <c r="AF931">
        <v>1</v>
      </c>
      <c r="AH931" t="s">
        <v>1329</v>
      </c>
      <c r="AI931" t="s">
        <v>1328</v>
      </c>
      <c r="AK931" t="s">
        <v>1327</v>
      </c>
      <c r="AL931">
        <v>13</v>
      </c>
      <c r="AM931" s="5">
        <f t="shared" si="122"/>
        <v>0.43333333333333335</v>
      </c>
      <c r="AN931" s="4">
        <f t="shared" si="119"/>
        <v>6.5631705162186044E-4</v>
      </c>
      <c r="AO931" s="3"/>
      <c r="AP931">
        <v>0</v>
      </c>
      <c r="AR931" t="s">
        <v>0</v>
      </c>
      <c r="AT931" s="2">
        <v>1.282</v>
      </c>
      <c r="AU931" s="1">
        <f t="shared" si="123"/>
        <v>1.4360959075338136</v>
      </c>
      <c r="AV931" s="1">
        <f t="shared" si="124"/>
        <v>1.0445347068562059</v>
      </c>
      <c r="AW931" s="1">
        <f t="shared" si="125"/>
        <v>0.65297350617859784</v>
      </c>
    </row>
    <row r="932" spans="1:49" x14ac:dyDescent="0.2">
      <c r="A932">
        <v>930</v>
      </c>
      <c r="B932" t="s">
        <v>1326</v>
      </c>
      <c r="C932" t="s">
        <v>1325</v>
      </c>
      <c r="F932" t="s">
        <v>1324</v>
      </c>
      <c r="G932" t="s">
        <v>12</v>
      </c>
      <c r="H932" t="s">
        <v>11</v>
      </c>
      <c r="I932" t="s">
        <v>1323</v>
      </c>
      <c r="J932" t="s">
        <v>1318</v>
      </c>
      <c r="K932" t="s">
        <v>1322</v>
      </c>
      <c r="L932" t="s">
        <v>1321</v>
      </c>
      <c r="M932" t="s">
        <v>125</v>
      </c>
      <c r="N932">
        <v>2</v>
      </c>
      <c r="O932" t="s">
        <v>1320</v>
      </c>
      <c r="P932" t="s">
        <v>1319</v>
      </c>
      <c r="Q932" t="s">
        <v>1318</v>
      </c>
      <c r="R932" s="7">
        <v>33604</v>
      </c>
      <c r="S932" s="8">
        <f t="shared" si="120"/>
        <v>1992</v>
      </c>
      <c r="T932" s="8">
        <v>1992</v>
      </c>
      <c r="U932" s="8">
        <f t="shared" si="121"/>
        <v>30</v>
      </c>
      <c r="V932" s="7">
        <v>33604</v>
      </c>
      <c r="W932" t="s">
        <v>97</v>
      </c>
      <c r="X932" s="2">
        <v>1.6519999999999999</v>
      </c>
      <c r="Y932" s="6">
        <f t="shared" si="118"/>
        <v>4.409919649769093E-2</v>
      </c>
      <c r="AA932" t="s">
        <v>96</v>
      </c>
      <c r="AB932">
        <v>17337</v>
      </c>
      <c r="AC932">
        <v>15582221</v>
      </c>
      <c r="AD932" t="s">
        <v>4</v>
      </c>
      <c r="AE932">
        <v>40</v>
      </c>
      <c r="AF932">
        <v>1</v>
      </c>
      <c r="AH932" t="s">
        <v>1317</v>
      </c>
      <c r="AI932" t="s">
        <v>1316</v>
      </c>
      <c r="AK932" t="s">
        <v>1315</v>
      </c>
      <c r="AL932">
        <v>24</v>
      </c>
      <c r="AM932" s="5">
        <f t="shared" si="122"/>
        <v>0.8</v>
      </c>
      <c r="AN932" s="4">
        <f t="shared" si="119"/>
        <v>1.2116622491480501E-3</v>
      </c>
      <c r="AO932" s="3"/>
      <c r="AP932">
        <v>0</v>
      </c>
      <c r="AR932" t="s">
        <v>0</v>
      </c>
      <c r="AT932" s="2" t="s">
        <v>16</v>
      </c>
      <c r="AU932" s="1">
        <f t="shared" si="123"/>
        <v>3.1232936223128065</v>
      </c>
      <c r="AV932" s="1">
        <f t="shared" si="124"/>
        <v>2.2655429373419489</v>
      </c>
      <c r="AW932" s="1">
        <f t="shared" si="125"/>
        <v>1.4077922523710913</v>
      </c>
    </row>
    <row r="933" spans="1:49" x14ac:dyDescent="0.2">
      <c r="A933">
        <v>931</v>
      </c>
      <c r="B933" t="s">
        <v>1314</v>
      </c>
      <c r="C933" t="s">
        <v>1313</v>
      </c>
      <c r="F933" t="s">
        <v>1312</v>
      </c>
      <c r="G933" t="s">
        <v>12</v>
      </c>
      <c r="H933" t="s">
        <v>11</v>
      </c>
      <c r="I933" t="s">
        <v>1311</v>
      </c>
      <c r="J933">
        <v>60030821</v>
      </c>
      <c r="K933" t="s">
        <v>1310</v>
      </c>
      <c r="L933" t="s">
        <v>1181</v>
      </c>
      <c r="M933" t="s">
        <v>7</v>
      </c>
      <c r="N933">
        <v>4</v>
      </c>
      <c r="O933" t="s">
        <v>1309</v>
      </c>
      <c r="P933" t="s">
        <v>1308</v>
      </c>
      <c r="Q933" t="s">
        <v>1307</v>
      </c>
      <c r="R933" s="7">
        <v>33604</v>
      </c>
      <c r="S933" s="8">
        <f t="shared" si="120"/>
        <v>1992</v>
      </c>
      <c r="T933" s="8">
        <v>1992</v>
      </c>
      <c r="U933" s="8">
        <f t="shared" si="121"/>
        <v>30</v>
      </c>
      <c r="V933" s="7">
        <v>33604</v>
      </c>
      <c r="W933" t="s">
        <v>136</v>
      </c>
      <c r="X933" s="2">
        <v>1.3720000000000001</v>
      </c>
      <c r="Y933" s="6">
        <f t="shared" si="118"/>
        <v>3.662475641333654E-2</v>
      </c>
      <c r="AA933">
        <v>189480</v>
      </c>
      <c r="AB933">
        <v>17366</v>
      </c>
      <c r="AC933">
        <v>15579670</v>
      </c>
      <c r="AD933" t="s">
        <v>4</v>
      </c>
      <c r="AE933">
        <v>40</v>
      </c>
      <c r="AF933">
        <v>1</v>
      </c>
      <c r="AH933" t="s">
        <v>1306</v>
      </c>
      <c r="AI933" t="s">
        <v>1305</v>
      </c>
      <c r="AK933" t="s">
        <v>1304</v>
      </c>
      <c r="AL933">
        <v>7</v>
      </c>
      <c r="AM933" s="5">
        <f t="shared" si="122"/>
        <v>0.23333333333333334</v>
      </c>
      <c r="AN933" s="4">
        <f t="shared" si="119"/>
        <v>3.5340148933484791E-4</v>
      </c>
      <c r="AO933" s="3"/>
      <c r="AP933">
        <v>0</v>
      </c>
      <c r="AR933" t="s">
        <v>0</v>
      </c>
      <c r="AT933" s="2" t="s">
        <v>16</v>
      </c>
      <c r="AU933" s="1">
        <f t="shared" si="123"/>
        <v>2.5743349936136033</v>
      </c>
      <c r="AV933" s="1">
        <f t="shared" si="124"/>
        <v>1.8489078951335693</v>
      </c>
      <c r="AW933" s="1">
        <f t="shared" si="125"/>
        <v>1.1234807966535356</v>
      </c>
    </row>
    <row r="934" spans="1:49" x14ac:dyDescent="0.2">
      <c r="A934">
        <v>932</v>
      </c>
      <c r="B934" t="s">
        <v>1303</v>
      </c>
      <c r="C934" t="s">
        <v>1302</v>
      </c>
      <c r="F934" t="s">
        <v>1301</v>
      </c>
      <c r="G934" t="s">
        <v>12</v>
      </c>
      <c r="H934" t="s">
        <v>11</v>
      </c>
      <c r="I934" t="s">
        <v>1300</v>
      </c>
      <c r="J934">
        <v>115838323</v>
      </c>
      <c r="K934" t="s">
        <v>1299</v>
      </c>
      <c r="M934" t="s">
        <v>7</v>
      </c>
      <c r="N934">
        <v>1</v>
      </c>
      <c r="O934" t="s">
        <v>1298</v>
      </c>
      <c r="P934">
        <v>56211857400</v>
      </c>
      <c r="Q934">
        <v>115838323</v>
      </c>
      <c r="R934" s="7">
        <v>33604</v>
      </c>
      <c r="S934" s="8">
        <f t="shared" si="120"/>
        <v>1992</v>
      </c>
      <c r="T934" s="8">
        <v>1992</v>
      </c>
      <c r="U934" s="8">
        <f t="shared" si="121"/>
        <v>30</v>
      </c>
      <c r="V934" s="7">
        <v>33604</v>
      </c>
      <c r="W934" t="s">
        <v>194</v>
      </c>
      <c r="X934" s="2">
        <v>2.383</v>
      </c>
      <c r="Y934" s="6">
        <f t="shared" si="118"/>
        <v>6.3612824003630442E-2</v>
      </c>
      <c r="AA934">
        <v>189219</v>
      </c>
      <c r="AB934">
        <v>17915</v>
      </c>
      <c r="AC934">
        <v>15582256</v>
      </c>
      <c r="AD934" t="s">
        <v>4</v>
      </c>
      <c r="AE934">
        <v>80</v>
      </c>
      <c r="AF934">
        <v>1</v>
      </c>
      <c r="AH934" t="s">
        <v>1297</v>
      </c>
      <c r="AI934" t="s">
        <v>1296</v>
      </c>
      <c r="AK934" t="s">
        <v>1295</v>
      </c>
      <c r="AL934">
        <v>91</v>
      </c>
      <c r="AM934" s="5">
        <f t="shared" si="122"/>
        <v>3.0333333333333332</v>
      </c>
      <c r="AN934" s="4">
        <f t="shared" si="119"/>
        <v>4.5942193613530222E-3</v>
      </c>
      <c r="AO934" s="3"/>
      <c r="AP934">
        <v>0</v>
      </c>
      <c r="AR934" t="s">
        <v>0</v>
      </c>
      <c r="AT934" s="2">
        <v>10.961</v>
      </c>
      <c r="AU934" s="1">
        <f t="shared" si="123"/>
        <v>4.5907242610947216</v>
      </c>
      <c r="AV934" s="1">
        <f t="shared" si="124"/>
        <v>3.4103521682491733</v>
      </c>
      <c r="AW934" s="1">
        <f t="shared" si="125"/>
        <v>2.229980075403625</v>
      </c>
    </row>
    <row r="935" spans="1:49" x14ac:dyDescent="0.2">
      <c r="A935">
        <v>933</v>
      </c>
      <c r="B935" t="s">
        <v>1294</v>
      </c>
      <c r="C935" t="s">
        <v>1293</v>
      </c>
      <c r="F935" t="s">
        <v>1292</v>
      </c>
      <c r="G935" t="s">
        <v>12</v>
      </c>
      <c r="H935" t="s">
        <v>11</v>
      </c>
      <c r="I935" t="s">
        <v>1291</v>
      </c>
      <c r="J935">
        <v>60005837</v>
      </c>
      <c r="K935" t="s">
        <v>1290</v>
      </c>
      <c r="L935" t="s">
        <v>1289</v>
      </c>
      <c r="M935" t="s">
        <v>7</v>
      </c>
      <c r="N935">
        <v>5</v>
      </c>
      <c r="O935" t="s">
        <v>1288</v>
      </c>
      <c r="P935" t="s">
        <v>1287</v>
      </c>
      <c r="Q935" t="s">
        <v>1286</v>
      </c>
      <c r="R935" s="7">
        <v>33604</v>
      </c>
      <c r="S935" s="8">
        <f t="shared" si="120"/>
        <v>1992</v>
      </c>
      <c r="T935" s="8">
        <v>1992</v>
      </c>
      <c r="U935" s="8">
        <f t="shared" si="121"/>
        <v>30</v>
      </c>
      <c r="V935" s="7">
        <v>33604</v>
      </c>
      <c r="W935" t="s">
        <v>97</v>
      </c>
      <c r="X935" s="2">
        <v>1.6519999999999999</v>
      </c>
      <c r="Y935" s="6">
        <f t="shared" si="118"/>
        <v>4.409919649769093E-2</v>
      </c>
      <c r="AA935" t="s">
        <v>96</v>
      </c>
      <c r="AB935">
        <v>17337</v>
      </c>
      <c r="AC935">
        <v>15582221</v>
      </c>
      <c r="AD935" t="s">
        <v>4</v>
      </c>
      <c r="AE935">
        <v>40</v>
      </c>
      <c r="AF935">
        <v>1</v>
      </c>
      <c r="AH935" t="s">
        <v>1285</v>
      </c>
      <c r="AI935" t="s">
        <v>1284</v>
      </c>
      <c r="AK935" t="s">
        <v>1283</v>
      </c>
      <c r="AL935">
        <v>24</v>
      </c>
      <c r="AM935" s="5">
        <f t="shared" si="122"/>
        <v>0.8</v>
      </c>
      <c r="AN935" s="4">
        <f t="shared" si="119"/>
        <v>1.2116622491480501E-3</v>
      </c>
      <c r="AO935" s="3"/>
      <c r="AP935">
        <v>0</v>
      </c>
      <c r="AR935" t="s">
        <v>0</v>
      </c>
      <c r="AT935" s="2" t="s">
        <v>16</v>
      </c>
      <c r="AU935" s="1">
        <f t="shared" si="123"/>
        <v>3.1232936223128065</v>
      </c>
      <c r="AV935" s="1">
        <f t="shared" si="124"/>
        <v>2.2655429373419489</v>
      </c>
      <c r="AW935" s="1">
        <f t="shared" si="125"/>
        <v>1.4077922523710913</v>
      </c>
    </row>
    <row r="936" spans="1:49" x14ac:dyDescent="0.2">
      <c r="A936">
        <v>934</v>
      </c>
      <c r="B936" t="s">
        <v>1282</v>
      </c>
      <c r="C936" t="s">
        <v>1281</v>
      </c>
      <c r="F936" t="s">
        <v>1280</v>
      </c>
      <c r="G936" t="s">
        <v>12</v>
      </c>
      <c r="H936" t="s">
        <v>11</v>
      </c>
      <c r="I936" t="s">
        <v>1279</v>
      </c>
      <c r="J936" t="s">
        <v>1278</v>
      </c>
      <c r="K936" t="s">
        <v>1277</v>
      </c>
      <c r="L936" t="s">
        <v>1276</v>
      </c>
      <c r="M936" t="s">
        <v>904</v>
      </c>
      <c r="N936">
        <v>4</v>
      </c>
      <c r="O936" t="s">
        <v>1275</v>
      </c>
      <c r="P936" t="s">
        <v>1274</v>
      </c>
      <c r="Q936" t="s">
        <v>1273</v>
      </c>
      <c r="R936" s="7">
        <v>33604</v>
      </c>
      <c r="S936" s="8">
        <f t="shared" si="120"/>
        <v>1992</v>
      </c>
      <c r="T936" s="8">
        <v>1992</v>
      </c>
      <c r="U936" s="8">
        <f t="shared" si="121"/>
        <v>30</v>
      </c>
      <c r="V936" s="7">
        <v>33604</v>
      </c>
      <c r="W936" t="s">
        <v>97</v>
      </c>
      <c r="X936" s="2">
        <v>1.6519999999999999</v>
      </c>
      <c r="Y936" s="6">
        <f t="shared" si="118"/>
        <v>4.409919649769093E-2</v>
      </c>
      <c r="AA936" t="s">
        <v>96</v>
      </c>
      <c r="AB936">
        <v>17337</v>
      </c>
      <c r="AC936">
        <v>15582221</v>
      </c>
      <c r="AD936" t="s">
        <v>4</v>
      </c>
      <c r="AE936">
        <v>40</v>
      </c>
      <c r="AF936">
        <v>1</v>
      </c>
      <c r="AH936" t="s">
        <v>1272</v>
      </c>
      <c r="AI936" t="s">
        <v>1271</v>
      </c>
      <c r="AK936" t="s">
        <v>1270</v>
      </c>
      <c r="AL936">
        <v>7</v>
      </c>
      <c r="AM936" s="5">
        <f t="shared" si="122"/>
        <v>0.23333333333333334</v>
      </c>
      <c r="AN936" s="4">
        <f t="shared" si="119"/>
        <v>3.5340148933484791E-4</v>
      </c>
      <c r="AO936" s="3"/>
      <c r="AP936">
        <v>0</v>
      </c>
      <c r="AR936" t="s">
        <v>0</v>
      </c>
      <c r="AT936" s="2" t="s">
        <v>16</v>
      </c>
      <c r="AU936" s="1">
        <f t="shared" si="123"/>
        <v>3.0975457995184108</v>
      </c>
      <c r="AV936" s="1">
        <f t="shared" si="124"/>
        <v>2.222629899351289</v>
      </c>
      <c r="AW936" s="1">
        <f t="shared" si="125"/>
        <v>1.3477139991841671</v>
      </c>
    </row>
    <row r="937" spans="1:49" x14ac:dyDescent="0.2">
      <c r="A937">
        <v>935</v>
      </c>
      <c r="B937" t="s">
        <v>1269</v>
      </c>
      <c r="C937" t="s">
        <v>1268</v>
      </c>
      <c r="F937" t="s">
        <v>1267</v>
      </c>
      <c r="G937" t="s">
        <v>12</v>
      </c>
      <c r="H937" t="s">
        <v>11</v>
      </c>
      <c r="I937" t="s">
        <v>1266</v>
      </c>
      <c r="J937" t="s">
        <v>1265</v>
      </c>
      <c r="K937" t="s">
        <v>1264</v>
      </c>
      <c r="L937" t="s">
        <v>1263</v>
      </c>
      <c r="M937" t="s">
        <v>125</v>
      </c>
      <c r="N937">
        <v>3</v>
      </c>
      <c r="O937" t="s">
        <v>1262</v>
      </c>
      <c r="P937" t="s">
        <v>1261</v>
      </c>
      <c r="Q937" t="s">
        <v>1260</v>
      </c>
      <c r="R937" s="7">
        <v>33604</v>
      </c>
      <c r="S937" s="8">
        <f t="shared" si="120"/>
        <v>1992</v>
      </c>
      <c r="T937" s="8">
        <v>1992</v>
      </c>
      <c r="U937" s="8">
        <f t="shared" si="121"/>
        <v>30</v>
      </c>
      <c r="V937" s="7">
        <v>33604</v>
      </c>
      <c r="W937" t="s">
        <v>97</v>
      </c>
      <c r="X937" s="2">
        <v>1.6519999999999999</v>
      </c>
      <c r="Y937" s="6">
        <f t="shared" si="118"/>
        <v>4.409919649769093E-2</v>
      </c>
      <c r="AA937" t="s">
        <v>96</v>
      </c>
      <c r="AB937">
        <v>17337</v>
      </c>
      <c r="AC937">
        <v>15582221</v>
      </c>
      <c r="AD937" t="s">
        <v>4</v>
      </c>
      <c r="AE937">
        <v>40</v>
      </c>
      <c r="AF937">
        <v>1</v>
      </c>
      <c r="AH937" t="s">
        <v>1259</v>
      </c>
      <c r="AI937" t="s">
        <v>1258</v>
      </c>
      <c r="AK937" t="s">
        <v>1257</v>
      </c>
      <c r="AL937">
        <v>11</v>
      </c>
      <c r="AM937" s="5">
        <f t="shared" si="122"/>
        <v>0.36666666666666664</v>
      </c>
      <c r="AN937" s="4">
        <f t="shared" si="119"/>
        <v>5.5534519752618958E-4</v>
      </c>
      <c r="AO937" s="3"/>
      <c r="AP937">
        <v>0</v>
      </c>
      <c r="AR937" t="s">
        <v>0</v>
      </c>
      <c r="AT937" s="2" t="s">
        <v>16</v>
      </c>
      <c r="AU937" s="1">
        <f t="shared" si="123"/>
        <v>3.1036041107641505</v>
      </c>
      <c r="AV937" s="1">
        <f t="shared" si="124"/>
        <v>2.2327270847608558</v>
      </c>
      <c r="AW937" s="1">
        <f t="shared" si="125"/>
        <v>1.361850058757561</v>
      </c>
    </row>
    <row r="938" spans="1:49" x14ac:dyDescent="0.2">
      <c r="A938">
        <v>936</v>
      </c>
      <c r="B938" t="s">
        <v>1256</v>
      </c>
      <c r="F938" t="s">
        <v>1255</v>
      </c>
      <c r="G938" t="s">
        <v>12</v>
      </c>
      <c r="H938" t="s">
        <v>11</v>
      </c>
      <c r="I938" t="s">
        <v>1254</v>
      </c>
      <c r="N938">
        <v>1</v>
      </c>
      <c r="O938" t="s">
        <v>1253</v>
      </c>
      <c r="P938">
        <v>6602096691</v>
      </c>
      <c r="R938" s="7">
        <v>33604</v>
      </c>
      <c r="S938" s="8">
        <f t="shared" si="120"/>
        <v>1992</v>
      </c>
      <c r="T938" s="8">
        <v>1992</v>
      </c>
      <c r="U938" s="8">
        <f t="shared" si="121"/>
        <v>30</v>
      </c>
      <c r="V938" s="7">
        <v>1992</v>
      </c>
      <c r="W938" t="s">
        <v>1252</v>
      </c>
      <c r="X938" s="2" t="s">
        <v>16</v>
      </c>
      <c r="Y938" s="6" t="e">
        <f t="shared" si="118"/>
        <v>#VALUE!</v>
      </c>
      <c r="AA938">
        <v>87566648</v>
      </c>
      <c r="AB938">
        <v>74127</v>
      </c>
      <c r="AD938" t="s">
        <v>4</v>
      </c>
      <c r="AE938">
        <v>37</v>
      </c>
      <c r="AF938">
        <v>1</v>
      </c>
      <c r="AH938" t="s">
        <v>1251</v>
      </c>
      <c r="AI938" t="s">
        <v>1250</v>
      </c>
      <c r="AK938" t="s">
        <v>1249</v>
      </c>
      <c r="AL938">
        <v>0</v>
      </c>
      <c r="AM938" s="5">
        <f t="shared" si="122"/>
        <v>0</v>
      </c>
      <c r="AN938" s="4">
        <f t="shared" si="119"/>
        <v>0</v>
      </c>
      <c r="AO938" s="3"/>
      <c r="AP938">
        <v>0</v>
      </c>
      <c r="AR938" t="s">
        <v>0</v>
      </c>
      <c r="AT938" s="2" t="s">
        <v>16</v>
      </c>
      <c r="AU938" s="1" t="e">
        <f t="shared" si="123"/>
        <v>#VALUE!</v>
      </c>
      <c r="AV938" s="1" t="e">
        <f t="shared" si="124"/>
        <v>#VALUE!</v>
      </c>
      <c r="AW938" s="1" t="e">
        <f t="shared" si="125"/>
        <v>#VALUE!</v>
      </c>
    </row>
    <row r="939" spans="1:49" x14ac:dyDescent="0.2">
      <c r="A939">
        <v>937</v>
      </c>
      <c r="B939" t="s">
        <v>1248</v>
      </c>
      <c r="C939" t="s">
        <v>1247</v>
      </c>
      <c r="F939" t="s">
        <v>1246</v>
      </c>
      <c r="G939" t="s">
        <v>12</v>
      </c>
      <c r="H939" t="s">
        <v>11</v>
      </c>
      <c r="I939" t="s">
        <v>1245</v>
      </c>
      <c r="J939">
        <v>60005304</v>
      </c>
      <c r="K939" t="s">
        <v>1244</v>
      </c>
      <c r="L939" t="s">
        <v>1243</v>
      </c>
      <c r="M939" t="s">
        <v>7</v>
      </c>
      <c r="N939">
        <v>1</v>
      </c>
      <c r="O939" t="s">
        <v>1242</v>
      </c>
      <c r="P939">
        <v>6602621821</v>
      </c>
      <c r="Q939">
        <v>60005304</v>
      </c>
      <c r="R939" s="7">
        <v>33604</v>
      </c>
      <c r="S939" s="8">
        <f t="shared" si="120"/>
        <v>1992</v>
      </c>
      <c r="T939" s="8">
        <v>1992</v>
      </c>
      <c r="U939" s="8">
        <f t="shared" si="121"/>
        <v>30</v>
      </c>
      <c r="V939" s="7">
        <v>33604</v>
      </c>
      <c r="W939" t="s">
        <v>97</v>
      </c>
      <c r="X939" s="2">
        <v>1.6519999999999999</v>
      </c>
      <c r="Y939" s="6">
        <f t="shared" si="118"/>
        <v>4.409919649769093E-2</v>
      </c>
      <c r="AA939" t="s">
        <v>96</v>
      </c>
      <c r="AB939">
        <v>17337</v>
      </c>
      <c r="AC939">
        <v>15582221</v>
      </c>
      <c r="AD939" t="s">
        <v>4</v>
      </c>
      <c r="AE939">
        <v>40</v>
      </c>
      <c r="AF939">
        <v>1</v>
      </c>
      <c r="AH939" s="9">
        <v>44378</v>
      </c>
      <c r="AI939" t="s">
        <v>1241</v>
      </c>
      <c r="AK939" t="s">
        <v>1240</v>
      </c>
      <c r="AL939">
        <v>6</v>
      </c>
      <c r="AM939" s="5">
        <f t="shared" si="122"/>
        <v>0.2</v>
      </c>
      <c r="AN939" s="4">
        <f t="shared" si="119"/>
        <v>3.0291556228701253E-4</v>
      </c>
      <c r="AO939" s="3"/>
      <c r="AP939">
        <v>0</v>
      </c>
      <c r="AR939" t="s">
        <v>0</v>
      </c>
      <c r="AT939" s="2" t="s">
        <v>16</v>
      </c>
      <c r="AU939" s="1">
        <f t="shared" si="123"/>
        <v>3.0960312217069754</v>
      </c>
      <c r="AV939" s="1">
        <f t="shared" si="124"/>
        <v>2.2201056029988968</v>
      </c>
      <c r="AW939" s="1">
        <f t="shared" si="125"/>
        <v>1.3441799842908186</v>
      </c>
    </row>
    <row r="940" spans="1:49" x14ac:dyDescent="0.2">
      <c r="A940">
        <v>938</v>
      </c>
      <c r="B940" t="s">
        <v>1239</v>
      </c>
      <c r="C940" t="s">
        <v>1238</v>
      </c>
      <c r="F940" t="s">
        <v>1237</v>
      </c>
      <c r="G940" t="s">
        <v>12</v>
      </c>
      <c r="H940" t="s">
        <v>11</v>
      </c>
      <c r="I940" t="s">
        <v>1236</v>
      </c>
      <c r="J940">
        <v>60000745</v>
      </c>
      <c r="K940" t="s">
        <v>1235</v>
      </c>
      <c r="L940" t="s">
        <v>1234</v>
      </c>
      <c r="M940" t="s">
        <v>7</v>
      </c>
      <c r="N940">
        <v>1</v>
      </c>
      <c r="O940" t="s">
        <v>1233</v>
      </c>
      <c r="P940">
        <v>7006767012</v>
      </c>
      <c r="Q940">
        <v>60000745</v>
      </c>
      <c r="R940" s="7">
        <v>33604</v>
      </c>
      <c r="S940" s="8">
        <f t="shared" si="120"/>
        <v>1992</v>
      </c>
      <c r="T940" s="8">
        <v>1992</v>
      </c>
      <c r="U940" s="8">
        <f t="shared" si="121"/>
        <v>30</v>
      </c>
      <c r="V940" s="7">
        <v>33604</v>
      </c>
      <c r="W940" t="s">
        <v>194</v>
      </c>
      <c r="X940" s="2">
        <v>2.383</v>
      </c>
      <c r="Y940" s="6">
        <f t="shared" si="118"/>
        <v>6.3612824003630442E-2</v>
      </c>
      <c r="AA940">
        <v>189219</v>
      </c>
      <c r="AB940">
        <v>17915</v>
      </c>
      <c r="AC940">
        <v>15582256</v>
      </c>
      <c r="AD940" t="s">
        <v>4</v>
      </c>
      <c r="AE940">
        <v>80</v>
      </c>
      <c r="AF940">
        <v>1</v>
      </c>
      <c r="AH940" t="s">
        <v>1232</v>
      </c>
      <c r="AI940" t="s">
        <v>1231</v>
      </c>
      <c r="AK940" t="s">
        <v>1230</v>
      </c>
      <c r="AL940">
        <v>82</v>
      </c>
      <c r="AM940" s="5">
        <f t="shared" si="122"/>
        <v>2.7333333333333334</v>
      </c>
      <c r="AN940" s="4">
        <f t="shared" si="119"/>
        <v>4.1398460179225046E-3</v>
      </c>
      <c r="AO940" s="3"/>
      <c r="AP940">
        <v>0</v>
      </c>
      <c r="AR940" t="s">
        <v>0</v>
      </c>
      <c r="AT940" s="2">
        <v>10.961</v>
      </c>
      <c r="AU940" s="1">
        <f t="shared" si="123"/>
        <v>4.5770930607918059</v>
      </c>
      <c r="AV940" s="1">
        <f t="shared" si="124"/>
        <v>3.387633501077647</v>
      </c>
      <c r="AW940" s="1">
        <f t="shared" si="125"/>
        <v>2.1981739413634886</v>
      </c>
    </row>
    <row r="941" spans="1:49" x14ac:dyDescent="0.2">
      <c r="A941">
        <v>939</v>
      </c>
      <c r="B941" t="s">
        <v>1229</v>
      </c>
      <c r="C941" t="s">
        <v>1228</v>
      </c>
      <c r="D941" t="s">
        <v>1227</v>
      </c>
      <c r="F941" t="s">
        <v>1226</v>
      </c>
      <c r="G941" t="s">
        <v>12</v>
      </c>
      <c r="H941" t="s">
        <v>11</v>
      </c>
      <c r="I941" t="s">
        <v>1225</v>
      </c>
      <c r="J941">
        <v>60027271</v>
      </c>
      <c r="K941" t="s">
        <v>1224</v>
      </c>
      <c r="L941" t="s">
        <v>1223</v>
      </c>
      <c r="M941" t="s">
        <v>7</v>
      </c>
      <c r="N941">
        <v>1</v>
      </c>
      <c r="O941" t="s">
        <v>1222</v>
      </c>
      <c r="P941">
        <v>16538973000</v>
      </c>
      <c r="Q941">
        <v>60027271</v>
      </c>
      <c r="R941" s="7">
        <v>33604</v>
      </c>
      <c r="S941" s="8">
        <f t="shared" si="120"/>
        <v>1992</v>
      </c>
      <c r="T941" s="8">
        <v>1992</v>
      </c>
      <c r="U941" s="8">
        <f t="shared" si="121"/>
        <v>30</v>
      </c>
      <c r="V941" s="7">
        <v>33604</v>
      </c>
      <c r="W941" t="s">
        <v>1221</v>
      </c>
      <c r="X941" s="2">
        <v>1.0049999999999999</v>
      </c>
      <c r="Y941" s="6">
        <f t="shared" si="118"/>
        <v>2.6827901017057738E-2</v>
      </c>
      <c r="AA941">
        <v>160032</v>
      </c>
      <c r="AB941">
        <v>27959</v>
      </c>
      <c r="AD941" t="s">
        <v>4</v>
      </c>
      <c r="AE941">
        <v>329</v>
      </c>
      <c r="AF941">
        <v>1</v>
      </c>
      <c r="AH941" t="s">
        <v>1220</v>
      </c>
      <c r="AI941" t="s">
        <v>1219</v>
      </c>
      <c r="AK941" t="s">
        <v>1218</v>
      </c>
      <c r="AL941">
        <v>0</v>
      </c>
      <c r="AM941" s="5">
        <f t="shared" si="122"/>
        <v>0</v>
      </c>
      <c r="AN941" s="4">
        <f t="shared" si="119"/>
        <v>0</v>
      </c>
      <c r="AO941" s="3"/>
      <c r="AP941">
        <v>0</v>
      </c>
      <c r="AR941" t="s">
        <v>0</v>
      </c>
      <c r="AT941" s="2" t="s">
        <v>16</v>
      </c>
      <c r="AU941" s="1">
        <f t="shared" si="123"/>
        <v>1.8779530711940415</v>
      </c>
      <c r="AV941" s="1">
        <f t="shared" si="124"/>
        <v>1.3413950508528869</v>
      </c>
      <c r="AW941" s="1">
        <f t="shared" si="125"/>
        <v>0.80483703051173217</v>
      </c>
    </row>
    <row r="942" spans="1:49" x14ac:dyDescent="0.2">
      <c r="A942">
        <v>940</v>
      </c>
      <c r="B942" t="s">
        <v>1217</v>
      </c>
      <c r="C942" t="s">
        <v>1216</v>
      </c>
      <c r="F942" t="s">
        <v>1215</v>
      </c>
      <c r="G942" t="s">
        <v>12</v>
      </c>
      <c r="H942" t="s">
        <v>11</v>
      </c>
      <c r="I942" t="s">
        <v>1214</v>
      </c>
      <c r="J942">
        <v>60001247</v>
      </c>
      <c r="K942" t="s">
        <v>1213</v>
      </c>
      <c r="M942" t="s">
        <v>7</v>
      </c>
      <c r="N942">
        <v>1</v>
      </c>
      <c r="O942" t="s">
        <v>1212</v>
      </c>
      <c r="P942">
        <v>55951888900</v>
      </c>
      <c r="Q942">
        <v>60001247</v>
      </c>
      <c r="R942" s="7">
        <v>33604</v>
      </c>
      <c r="S942" s="8">
        <f t="shared" si="120"/>
        <v>1992</v>
      </c>
      <c r="T942" s="8">
        <v>1992</v>
      </c>
      <c r="U942" s="8">
        <f t="shared" si="121"/>
        <v>30</v>
      </c>
      <c r="V942" s="7">
        <v>33604</v>
      </c>
      <c r="W942" t="s">
        <v>194</v>
      </c>
      <c r="X942" s="2">
        <v>2.383</v>
      </c>
      <c r="Y942" s="6">
        <f t="shared" si="118"/>
        <v>6.3612824003630442E-2</v>
      </c>
      <c r="AA942">
        <v>189219</v>
      </c>
      <c r="AB942">
        <v>17915</v>
      </c>
      <c r="AC942">
        <v>15582256</v>
      </c>
      <c r="AD942" t="s">
        <v>4</v>
      </c>
      <c r="AE942">
        <v>80</v>
      </c>
      <c r="AF942">
        <v>1</v>
      </c>
      <c r="AH942" t="s">
        <v>1211</v>
      </c>
      <c r="AI942" t="s">
        <v>1210</v>
      </c>
      <c r="AK942" t="s">
        <v>1209</v>
      </c>
      <c r="AL942">
        <v>43</v>
      </c>
      <c r="AM942" s="5">
        <f t="shared" si="122"/>
        <v>1.4333333333333333</v>
      </c>
      <c r="AN942" s="4">
        <f t="shared" si="119"/>
        <v>2.1708948630569228E-3</v>
      </c>
      <c r="AO942" s="3"/>
      <c r="AP942">
        <v>0</v>
      </c>
      <c r="AR942" t="s">
        <v>0</v>
      </c>
      <c r="AT942" s="2">
        <v>10.961</v>
      </c>
      <c r="AU942" s="1">
        <f t="shared" si="123"/>
        <v>4.5180245261458385</v>
      </c>
      <c r="AV942" s="1">
        <f t="shared" si="124"/>
        <v>3.2891859433343682</v>
      </c>
      <c r="AW942" s="1">
        <f t="shared" si="125"/>
        <v>2.0603473605228979</v>
      </c>
    </row>
    <row r="943" spans="1:49" x14ac:dyDescent="0.2">
      <c r="A943">
        <v>941</v>
      </c>
      <c r="B943" t="s">
        <v>1208</v>
      </c>
      <c r="C943" t="s">
        <v>1207</v>
      </c>
      <c r="E943">
        <v>1551390</v>
      </c>
      <c r="F943" t="s">
        <v>1206</v>
      </c>
      <c r="G943" t="s">
        <v>12</v>
      </c>
      <c r="H943" t="s">
        <v>11</v>
      </c>
      <c r="I943" t="s">
        <v>1205</v>
      </c>
      <c r="J943">
        <v>60012070</v>
      </c>
      <c r="K943" t="s">
        <v>1204</v>
      </c>
      <c r="L943" t="s">
        <v>1203</v>
      </c>
      <c r="M943" t="s">
        <v>856</v>
      </c>
      <c r="N943">
        <v>2</v>
      </c>
      <c r="O943" t="s">
        <v>1202</v>
      </c>
      <c r="P943" t="s">
        <v>1201</v>
      </c>
      <c r="Q943" t="s">
        <v>1200</v>
      </c>
      <c r="R943" s="7">
        <v>33604</v>
      </c>
      <c r="S943" s="8">
        <f t="shared" si="120"/>
        <v>1992</v>
      </c>
      <c r="T943" s="8">
        <v>1992</v>
      </c>
      <c r="U943" s="8">
        <f t="shared" si="121"/>
        <v>30</v>
      </c>
      <c r="V943" s="7">
        <v>33664</v>
      </c>
      <c r="W943" t="s">
        <v>943</v>
      </c>
      <c r="X943" s="2">
        <v>1.9810000000000001</v>
      </c>
      <c r="Y943" s="6">
        <f t="shared" si="118"/>
        <v>5.2881663596807349E-2</v>
      </c>
      <c r="AA943">
        <v>142956</v>
      </c>
      <c r="AB943">
        <v>39034</v>
      </c>
      <c r="AC943">
        <v>14321033</v>
      </c>
      <c r="AD943" t="s">
        <v>4</v>
      </c>
      <c r="AE943">
        <v>204</v>
      </c>
      <c r="AF943">
        <v>3</v>
      </c>
      <c r="AH943" t="s">
        <v>1199</v>
      </c>
      <c r="AI943" t="s">
        <v>1198</v>
      </c>
      <c r="AK943" t="s">
        <v>1197</v>
      </c>
      <c r="AL943">
        <v>13</v>
      </c>
      <c r="AM943" s="5">
        <f t="shared" si="122"/>
        <v>0.43333333333333335</v>
      </c>
      <c r="AN943" s="4">
        <f t="shared" si="119"/>
        <v>6.5631705162186044E-4</v>
      </c>
      <c r="AO943" s="3"/>
      <c r="AP943">
        <v>1</v>
      </c>
      <c r="AR943" t="s">
        <v>0</v>
      </c>
      <c r="AT943" s="2" t="s">
        <v>16</v>
      </c>
      <c r="AU943" s="1">
        <f t="shared" si="123"/>
        <v>3.7214059633251702</v>
      </c>
      <c r="AV943" s="1">
        <f t="shared" si="124"/>
        <v>2.6768990324214608</v>
      </c>
      <c r="AW943" s="1">
        <f t="shared" si="125"/>
        <v>1.6323921015177507</v>
      </c>
    </row>
    <row r="944" spans="1:49" x14ac:dyDescent="0.2">
      <c r="A944">
        <v>942</v>
      </c>
      <c r="B944" t="s">
        <v>1196</v>
      </c>
      <c r="E944">
        <v>1388241</v>
      </c>
      <c r="F944" t="s">
        <v>1195</v>
      </c>
      <c r="G944" t="s">
        <v>12</v>
      </c>
      <c r="H944" t="s">
        <v>11</v>
      </c>
      <c r="I944" t="s">
        <v>1194</v>
      </c>
      <c r="N944">
        <v>3</v>
      </c>
      <c r="O944" t="s">
        <v>1193</v>
      </c>
      <c r="P944" t="s">
        <v>1192</v>
      </c>
      <c r="Q944" t="s">
        <v>1191</v>
      </c>
      <c r="R944" s="7">
        <v>33604</v>
      </c>
      <c r="S944" s="8">
        <f t="shared" si="120"/>
        <v>1992</v>
      </c>
      <c r="T944" s="8">
        <v>1992</v>
      </c>
      <c r="U944" s="8">
        <f t="shared" si="121"/>
        <v>30</v>
      </c>
      <c r="V944" s="7">
        <v>1992</v>
      </c>
      <c r="W944" t="s">
        <v>1190</v>
      </c>
      <c r="X944" s="2" t="s">
        <v>16</v>
      </c>
      <c r="Y944" s="6" t="e">
        <f t="shared" si="118"/>
        <v>#VALUE!</v>
      </c>
      <c r="AA944">
        <v>476552</v>
      </c>
      <c r="AB944">
        <v>35724</v>
      </c>
      <c r="AD944" t="s">
        <v>4</v>
      </c>
      <c r="AE944">
        <v>18</v>
      </c>
      <c r="AF944" s="9">
        <v>44228</v>
      </c>
      <c r="AH944" t="s">
        <v>589</v>
      </c>
      <c r="AI944" t="s">
        <v>1189</v>
      </c>
      <c r="AK944" t="s">
        <v>1188</v>
      </c>
      <c r="AL944">
        <v>3</v>
      </c>
      <c r="AM944" s="5">
        <f t="shared" si="122"/>
        <v>0.1</v>
      </c>
      <c r="AN944" s="4">
        <f t="shared" si="119"/>
        <v>1.5145778114350627E-4</v>
      </c>
      <c r="AO944" s="3"/>
      <c r="AP944">
        <v>0</v>
      </c>
      <c r="AR944" t="s">
        <v>0</v>
      </c>
      <c r="AT944" s="2" t="s">
        <v>16</v>
      </c>
      <c r="AU944" s="1" t="e">
        <f t="shared" si="123"/>
        <v>#VALUE!</v>
      </c>
      <c r="AV944" s="1" t="e">
        <f t="shared" si="124"/>
        <v>#VALUE!</v>
      </c>
      <c r="AW944" s="1" t="e">
        <f t="shared" si="125"/>
        <v>#VALUE!</v>
      </c>
    </row>
    <row r="945" spans="1:49" x14ac:dyDescent="0.2">
      <c r="A945">
        <v>943</v>
      </c>
      <c r="B945" t="s">
        <v>1187</v>
      </c>
      <c r="C945" t="s">
        <v>1186</v>
      </c>
      <c r="D945" t="s">
        <v>1185</v>
      </c>
      <c r="E945">
        <v>1581501</v>
      </c>
      <c r="F945" t="s">
        <v>1184</v>
      </c>
      <c r="G945" t="s">
        <v>12</v>
      </c>
      <c r="H945" t="s">
        <v>11</v>
      </c>
      <c r="I945" t="s">
        <v>1183</v>
      </c>
      <c r="J945">
        <v>60029278</v>
      </c>
      <c r="K945" t="s">
        <v>1182</v>
      </c>
      <c r="L945" t="s">
        <v>1181</v>
      </c>
      <c r="M945" t="s">
        <v>7</v>
      </c>
      <c r="N945">
        <v>4</v>
      </c>
      <c r="O945" t="s">
        <v>1180</v>
      </c>
      <c r="P945" t="s">
        <v>1179</v>
      </c>
      <c r="Q945" t="s">
        <v>1178</v>
      </c>
      <c r="R945" s="7">
        <v>33604</v>
      </c>
      <c r="S945" s="8">
        <f t="shared" si="120"/>
        <v>1992</v>
      </c>
      <c r="T945" s="8">
        <v>1992</v>
      </c>
      <c r="U945" s="8">
        <f t="shared" si="121"/>
        <v>30</v>
      </c>
      <c r="V945" s="7">
        <v>1992</v>
      </c>
      <c r="W945" t="s">
        <v>1087</v>
      </c>
      <c r="X945" s="2">
        <v>1.7130000000000001</v>
      </c>
      <c r="Y945" s="6">
        <f t="shared" si="118"/>
        <v>4.5727556658925285E-2</v>
      </c>
      <c r="AA945">
        <v>63495</v>
      </c>
      <c r="AB945">
        <v>14859</v>
      </c>
      <c r="AD945" t="s">
        <v>4</v>
      </c>
      <c r="AE945">
        <v>61</v>
      </c>
      <c r="AF945">
        <v>4</v>
      </c>
      <c r="AH945" t="s">
        <v>1177</v>
      </c>
      <c r="AI945" t="s">
        <v>1176</v>
      </c>
      <c r="AK945" t="s">
        <v>1175</v>
      </c>
      <c r="AL945">
        <v>58</v>
      </c>
      <c r="AM945" s="5">
        <f t="shared" si="122"/>
        <v>1.9333333333333333</v>
      </c>
      <c r="AN945" s="4">
        <f t="shared" si="119"/>
        <v>2.9281837687744543E-3</v>
      </c>
      <c r="AO945" s="3"/>
      <c r="AP945">
        <v>1</v>
      </c>
      <c r="AR945" t="s">
        <v>1174</v>
      </c>
      <c r="AS945" t="s">
        <v>874</v>
      </c>
      <c r="AT945" s="2">
        <v>4.0330000000000004</v>
      </c>
      <c r="AU945" s="1">
        <f t="shared" si="123"/>
        <v>3.2887744791880036</v>
      </c>
      <c r="AV945" s="1">
        <f t="shared" si="124"/>
        <v>2.4327870213849869</v>
      </c>
      <c r="AW945" s="1">
        <f t="shared" si="125"/>
        <v>1.5767995635819703</v>
      </c>
    </row>
    <row r="946" spans="1:49" x14ac:dyDescent="0.2">
      <c r="A946">
        <v>944</v>
      </c>
      <c r="B946" t="s">
        <v>1173</v>
      </c>
      <c r="C946" t="s">
        <v>1172</v>
      </c>
      <c r="E946">
        <v>1313064</v>
      </c>
      <c r="F946" t="s">
        <v>1171</v>
      </c>
      <c r="G946" t="s">
        <v>12</v>
      </c>
      <c r="H946" t="s">
        <v>11</v>
      </c>
      <c r="I946" t="s">
        <v>1170</v>
      </c>
      <c r="J946">
        <v>60025553</v>
      </c>
      <c r="K946" t="s">
        <v>1169</v>
      </c>
      <c r="L946" t="s">
        <v>1168</v>
      </c>
      <c r="M946" t="s">
        <v>7</v>
      </c>
      <c r="N946">
        <v>5</v>
      </c>
      <c r="O946" t="s">
        <v>1167</v>
      </c>
      <c r="P946" t="s">
        <v>1166</v>
      </c>
      <c r="Q946" t="s">
        <v>1165</v>
      </c>
      <c r="R946" s="7">
        <v>33604</v>
      </c>
      <c r="S946" s="8">
        <f t="shared" si="120"/>
        <v>1992</v>
      </c>
      <c r="T946" s="8">
        <v>1992</v>
      </c>
      <c r="U946" s="8">
        <f t="shared" si="121"/>
        <v>30</v>
      </c>
      <c r="V946" s="7">
        <v>1992</v>
      </c>
      <c r="W946" t="s">
        <v>1164</v>
      </c>
      <c r="X946" s="2">
        <v>0.97099999999999997</v>
      </c>
      <c r="Y946" s="6">
        <f t="shared" si="118"/>
        <v>2.5920290435386135E-2</v>
      </c>
      <c r="AA946">
        <v>221554</v>
      </c>
      <c r="AB946">
        <v>18566</v>
      </c>
      <c r="AD946" t="s">
        <v>4</v>
      </c>
      <c r="AE946">
        <v>40</v>
      </c>
      <c r="AF946">
        <v>4</v>
      </c>
      <c r="AH946" t="s">
        <v>1163</v>
      </c>
      <c r="AI946" t="s">
        <v>1162</v>
      </c>
      <c r="AJ946" t="s">
        <v>1161</v>
      </c>
      <c r="AK946" t="s">
        <v>1160</v>
      </c>
      <c r="AL946">
        <v>7</v>
      </c>
      <c r="AM946" s="5">
        <f t="shared" si="122"/>
        <v>0.23333333333333334</v>
      </c>
      <c r="AN946" s="4">
        <f t="shared" si="119"/>
        <v>3.5340148933484791E-4</v>
      </c>
      <c r="AO946" s="3"/>
      <c r="AP946">
        <v>1</v>
      </c>
      <c r="AQ946" t="s">
        <v>1113</v>
      </c>
      <c r="AR946" t="s">
        <v>1159</v>
      </c>
      <c r="AS946" t="s">
        <v>1111</v>
      </c>
      <c r="AT946" s="2" t="s">
        <v>16</v>
      </c>
      <c r="AU946" s="1">
        <f t="shared" si="123"/>
        <v>1.8250223751570749</v>
      </c>
      <c r="AV946" s="1">
        <f t="shared" si="124"/>
        <v>1.3136845962360491</v>
      </c>
      <c r="AW946" s="1">
        <f t="shared" si="125"/>
        <v>0.80234681731502344</v>
      </c>
    </row>
    <row r="947" spans="1:49" x14ac:dyDescent="0.2">
      <c r="A947">
        <v>945</v>
      </c>
      <c r="B947" t="s">
        <v>1158</v>
      </c>
      <c r="C947" t="s">
        <v>1157</v>
      </c>
      <c r="D947" t="s">
        <v>1156</v>
      </c>
      <c r="F947" t="s">
        <v>1155</v>
      </c>
      <c r="G947" t="s">
        <v>12</v>
      </c>
      <c r="H947" t="s">
        <v>11</v>
      </c>
      <c r="I947" t="s">
        <v>1154</v>
      </c>
      <c r="J947" t="s">
        <v>1153</v>
      </c>
      <c r="K947" t="s">
        <v>1152</v>
      </c>
      <c r="L947" t="s">
        <v>1151</v>
      </c>
      <c r="M947" t="s">
        <v>1150</v>
      </c>
      <c r="N947">
        <v>3</v>
      </c>
      <c r="O947" t="s">
        <v>1149</v>
      </c>
      <c r="P947" t="s">
        <v>1148</v>
      </c>
      <c r="Q947" t="s">
        <v>1147</v>
      </c>
      <c r="R947" s="7">
        <v>33604</v>
      </c>
      <c r="S947" s="8">
        <f t="shared" si="120"/>
        <v>1992</v>
      </c>
      <c r="T947" s="8">
        <v>1992</v>
      </c>
      <c r="U947" s="8">
        <f t="shared" si="121"/>
        <v>30</v>
      </c>
      <c r="V947" s="7">
        <v>1992</v>
      </c>
      <c r="W947" t="s">
        <v>1146</v>
      </c>
      <c r="X947" s="2">
        <v>1.5429999999999999</v>
      </c>
      <c r="Y947" s="6">
        <f t="shared" si="118"/>
        <v>4.1189503750567256E-2</v>
      </c>
      <c r="AA947">
        <v>2484900</v>
      </c>
      <c r="AB947">
        <v>18422</v>
      </c>
      <c r="AD947" t="s">
        <v>4</v>
      </c>
      <c r="AE947">
        <v>74</v>
      </c>
      <c r="AF947" t="s">
        <v>1145</v>
      </c>
      <c r="AH947" t="s">
        <v>1144</v>
      </c>
      <c r="AI947" t="s">
        <v>1143</v>
      </c>
      <c r="AJ947" t="s">
        <v>1142</v>
      </c>
      <c r="AK947" t="s">
        <v>1141</v>
      </c>
      <c r="AL947">
        <v>22</v>
      </c>
      <c r="AM947" s="5">
        <f t="shared" si="122"/>
        <v>0.73333333333333328</v>
      </c>
      <c r="AN947" s="4">
        <f t="shared" si="119"/>
        <v>1.1106903950523792E-3</v>
      </c>
      <c r="AO947" s="3"/>
      <c r="AP947">
        <v>0</v>
      </c>
      <c r="AR947" t="s">
        <v>0</v>
      </c>
      <c r="AT947" s="2">
        <v>4.4580000000000002</v>
      </c>
      <c r="AU947" s="1">
        <f t="shared" si="123"/>
        <v>2.9165859743912792</v>
      </c>
      <c r="AV947" s="1">
        <f t="shared" si="124"/>
        <v>2.1150097072809815</v>
      </c>
      <c r="AW947" s="1">
        <f t="shared" si="125"/>
        <v>1.3134334401706842</v>
      </c>
    </row>
    <row r="948" spans="1:49" x14ac:dyDescent="0.2">
      <c r="A948">
        <v>946</v>
      </c>
      <c r="B948" t="s">
        <v>1140</v>
      </c>
      <c r="C948" t="s">
        <v>1139</v>
      </c>
      <c r="F948" t="s">
        <v>1138</v>
      </c>
      <c r="G948" t="s">
        <v>12</v>
      </c>
      <c r="H948" t="s">
        <v>11</v>
      </c>
      <c r="I948" t="s">
        <v>1137</v>
      </c>
      <c r="J948">
        <v>60019000</v>
      </c>
      <c r="K948" t="s">
        <v>1136</v>
      </c>
      <c r="L948" t="s">
        <v>1135</v>
      </c>
      <c r="M948" t="s">
        <v>393</v>
      </c>
      <c r="N948">
        <v>3</v>
      </c>
      <c r="O948" t="s">
        <v>1134</v>
      </c>
      <c r="P948" t="s">
        <v>1133</v>
      </c>
      <c r="Q948" t="s">
        <v>1132</v>
      </c>
      <c r="R948" s="7">
        <v>33604</v>
      </c>
      <c r="S948" s="8">
        <f t="shared" si="120"/>
        <v>1992</v>
      </c>
      <c r="T948" s="8">
        <v>1992</v>
      </c>
      <c r="U948" s="8">
        <f t="shared" si="121"/>
        <v>30</v>
      </c>
      <c r="V948" s="7">
        <v>1992</v>
      </c>
      <c r="W948" t="s">
        <v>1131</v>
      </c>
      <c r="X948" s="2" t="s">
        <v>16</v>
      </c>
      <c r="Y948" s="6" t="e">
        <f t="shared" si="118"/>
        <v>#VALUE!</v>
      </c>
      <c r="AA948">
        <v>143820</v>
      </c>
      <c r="AB948">
        <v>22104</v>
      </c>
      <c r="AD948" t="s">
        <v>4</v>
      </c>
      <c r="AE948">
        <v>46</v>
      </c>
      <c r="AF948">
        <v>2</v>
      </c>
      <c r="AH948" t="s">
        <v>1130</v>
      </c>
      <c r="AI948" t="s">
        <v>1129</v>
      </c>
      <c r="AK948" t="s">
        <v>1128</v>
      </c>
      <c r="AL948">
        <v>72</v>
      </c>
      <c r="AM948" s="5">
        <f t="shared" si="122"/>
        <v>2.4</v>
      </c>
      <c r="AN948" s="4">
        <f t="shared" si="119"/>
        <v>3.6349867474441497E-3</v>
      </c>
      <c r="AO948" s="3"/>
      <c r="AP948">
        <v>1</v>
      </c>
      <c r="AR948" t="s">
        <v>0</v>
      </c>
      <c r="AT948" s="2">
        <v>3.694</v>
      </c>
      <c r="AU948" s="1" t="e">
        <f t="shared" si="123"/>
        <v>#VALUE!</v>
      </c>
      <c r="AV948" s="1" t="e">
        <f t="shared" si="124"/>
        <v>#VALUE!</v>
      </c>
      <c r="AW948" s="1" t="e">
        <f t="shared" si="125"/>
        <v>#VALUE!</v>
      </c>
    </row>
    <row r="949" spans="1:49" x14ac:dyDescent="0.2">
      <c r="A949">
        <v>947</v>
      </c>
      <c r="B949" t="s">
        <v>1127</v>
      </c>
      <c r="C949" t="s">
        <v>1126</v>
      </c>
      <c r="E949">
        <v>1348688</v>
      </c>
      <c r="F949" t="s">
        <v>1125</v>
      </c>
      <c r="G949" t="s">
        <v>12</v>
      </c>
      <c r="H949" t="s">
        <v>11</v>
      </c>
      <c r="I949" t="s">
        <v>1124</v>
      </c>
      <c r="J949">
        <v>60021121</v>
      </c>
      <c r="K949" t="s">
        <v>1123</v>
      </c>
      <c r="L949" t="s">
        <v>1122</v>
      </c>
      <c r="M949" t="s">
        <v>7</v>
      </c>
      <c r="N949">
        <v>5</v>
      </c>
      <c r="O949" t="s">
        <v>1121</v>
      </c>
      <c r="P949" t="s">
        <v>1120</v>
      </c>
      <c r="Q949" t="s">
        <v>1119</v>
      </c>
      <c r="R949" s="7">
        <v>33604</v>
      </c>
      <c r="S949" s="8">
        <f t="shared" si="120"/>
        <v>1992</v>
      </c>
      <c r="T949" s="8">
        <v>1992</v>
      </c>
      <c r="U949" s="8">
        <f t="shared" si="121"/>
        <v>30</v>
      </c>
      <c r="V949" s="7">
        <v>1992</v>
      </c>
      <c r="W949" t="s">
        <v>1118</v>
      </c>
      <c r="X949" s="2">
        <v>7.484</v>
      </c>
      <c r="Y949" s="6">
        <f t="shared" si="118"/>
        <v>0.19978110568324392</v>
      </c>
      <c r="AA949">
        <v>2614189</v>
      </c>
      <c r="AB949">
        <v>17435</v>
      </c>
      <c r="AD949" t="s">
        <v>4</v>
      </c>
      <c r="AE949">
        <v>11</v>
      </c>
      <c r="AF949">
        <v>4</v>
      </c>
      <c r="AH949" t="s">
        <v>1117</v>
      </c>
      <c r="AI949" t="s">
        <v>1116</v>
      </c>
      <c r="AJ949" t="s">
        <v>1115</v>
      </c>
      <c r="AK949" t="s">
        <v>1114</v>
      </c>
      <c r="AL949">
        <v>58</v>
      </c>
      <c r="AM949" s="5">
        <f t="shared" si="122"/>
        <v>1.9333333333333333</v>
      </c>
      <c r="AN949" s="4">
        <f t="shared" si="119"/>
        <v>2.9281837687744543E-3</v>
      </c>
      <c r="AO949" s="3"/>
      <c r="AP949">
        <v>1</v>
      </c>
      <c r="AQ949" t="s">
        <v>1113</v>
      </c>
      <c r="AR949" t="s">
        <v>1112</v>
      </c>
      <c r="AS949" t="s">
        <v>1111</v>
      </c>
      <c r="AT949" s="2">
        <v>11.598000000000001</v>
      </c>
      <c r="AU949" s="1">
        <f t="shared" si="123"/>
        <v>14.072522910890306</v>
      </c>
      <c r="AV949" s="1">
        <f t="shared" si="124"/>
        <v>10.135464472600919</v>
      </c>
      <c r="AW949" s="1">
        <f t="shared" si="125"/>
        <v>6.198406034311529</v>
      </c>
    </row>
    <row r="950" spans="1:49" x14ac:dyDescent="0.2">
      <c r="A950">
        <v>948</v>
      </c>
      <c r="B950" t="s">
        <v>1110</v>
      </c>
      <c r="C950" t="s">
        <v>1109</v>
      </c>
      <c r="D950" t="s">
        <v>1108</v>
      </c>
      <c r="E950">
        <v>1504241</v>
      </c>
      <c r="F950" t="s">
        <v>1107</v>
      </c>
      <c r="G950" t="s">
        <v>12</v>
      </c>
      <c r="H950" t="s">
        <v>11</v>
      </c>
      <c r="I950" t="s">
        <v>1094</v>
      </c>
      <c r="J950">
        <v>60031040</v>
      </c>
      <c r="K950" t="s">
        <v>1093</v>
      </c>
      <c r="L950" t="s">
        <v>1092</v>
      </c>
      <c r="M950" t="s">
        <v>1091</v>
      </c>
      <c r="N950">
        <v>4</v>
      </c>
      <c r="O950" t="s">
        <v>1106</v>
      </c>
      <c r="P950" t="s">
        <v>1105</v>
      </c>
      <c r="Q950" t="s">
        <v>1104</v>
      </c>
      <c r="R950" s="7">
        <v>33604</v>
      </c>
      <c r="S950" s="8">
        <f t="shared" si="120"/>
        <v>1992</v>
      </c>
      <c r="T950" s="8">
        <v>1992</v>
      </c>
      <c r="U950" s="8">
        <f t="shared" si="121"/>
        <v>30</v>
      </c>
      <c r="V950" s="7">
        <v>1992</v>
      </c>
      <c r="W950" t="s">
        <v>1087</v>
      </c>
      <c r="X950" s="2">
        <v>1.7130000000000001</v>
      </c>
      <c r="Y950" s="6">
        <f t="shared" si="118"/>
        <v>4.5727556658925285E-2</v>
      </c>
      <c r="AA950">
        <v>63495</v>
      </c>
      <c r="AB950">
        <v>14859</v>
      </c>
      <c r="AD950" t="s">
        <v>4</v>
      </c>
      <c r="AE950">
        <v>61</v>
      </c>
      <c r="AF950">
        <v>3</v>
      </c>
      <c r="AH950" t="s">
        <v>1103</v>
      </c>
      <c r="AI950" t="s">
        <v>1102</v>
      </c>
      <c r="AK950" t="s">
        <v>1101</v>
      </c>
      <c r="AL950">
        <v>24</v>
      </c>
      <c r="AM950" s="5">
        <f t="shared" si="122"/>
        <v>0.8</v>
      </c>
      <c r="AN950" s="4">
        <f t="shared" si="119"/>
        <v>1.2116622491480501E-3</v>
      </c>
      <c r="AO950" s="3"/>
      <c r="AP950">
        <v>1</v>
      </c>
      <c r="AQ950" t="s">
        <v>1100</v>
      </c>
      <c r="AR950" t="s">
        <v>0</v>
      </c>
      <c r="AS950" t="s">
        <v>1099</v>
      </c>
      <c r="AT950" s="2">
        <v>4.0330000000000004</v>
      </c>
      <c r="AU950" s="1">
        <f t="shared" si="123"/>
        <v>3.2372788335992118</v>
      </c>
      <c r="AV950" s="1">
        <f t="shared" si="124"/>
        <v>2.3469609454036666</v>
      </c>
      <c r="AW950" s="1">
        <f t="shared" si="125"/>
        <v>1.4566430572081219</v>
      </c>
    </row>
    <row r="951" spans="1:49" x14ac:dyDescent="0.2">
      <c r="A951">
        <v>949</v>
      </c>
      <c r="B951" t="s">
        <v>1098</v>
      </c>
      <c r="C951" t="s">
        <v>1097</v>
      </c>
      <c r="D951" t="s">
        <v>1096</v>
      </c>
      <c r="F951" t="s">
        <v>1095</v>
      </c>
      <c r="G951" t="s">
        <v>12</v>
      </c>
      <c r="H951" t="s">
        <v>11</v>
      </c>
      <c r="I951" t="s">
        <v>1094</v>
      </c>
      <c r="J951">
        <v>60031040</v>
      </c>
      <c r="K951" t="s">
        <v>1093</v>
      </c>
      <c r="L951" t="s">
        <v>1092</v>
      </c>
      <c r="M951" t="s">
        <v>1091</v>
      </c>
      <c r="N951">
        <v>3</v>
      </c>
      <c r="O951" t="s">
        <v>1090</v>
      </c>
      <c r="P951" t="s">
        <v>1089</v>
      </c>
      <c r="Q951" t="s">
        <v>1088</v>
      </c>
      <c r="R951" s="7">
        <v>33604</v>
      </c>
      <c r="S951" s="8">
        <f t="shared" si="120"/>
        <v>1992</v>
      </c>
      <c r="T951" s="8">
        <v>1992</v>
      </c>
      <c r="U951" s="8">
        <f t="shared" si="121"/>
        <v>30</v>
      </c>
      <c r="V951" s="7">
        <v>1992</v>
      </c>
      <c r="W951" t="s">
        <v>1087</v>
      </c>
      <c r="X951" s="2">
        <v>1.7130000000000001</v>
      </c>
      <c r="Y951" s="6">
        <f t="shared" si="118"/>
        <v>4.5727556658925285E-2</v>
      </c>
      <c r="AA951">
        <v>63495</v>
      </c>
      <c r="AB951">
        <v>14859</v>
      </c>
      <c r="AD951" t="s">
        <v>4</v>
      </c>
      <c r="AE951">
        <v>61</v>
      </c>
      <c r="AF951">
        <v>4</v>
      </c>
      <c r="AH951" t="s">
        <v>1086</v>
      </c>
      <c r="AI951" t="s">
        <v>1085</v>
      </c>
      <c r="AK951" t="s">
        <v>1084</v>
      </c>
      <c r="AL951">
        <v>28</v>
      </c>
      <c r="AM951" s="5">
        <f t="shared" si="122"/>
        <v>0.93333333333333335</v>
      </c>
      <c r="AN951" s="4">
        <f t="shared" si="119"/>
        <v>1.4136059573393916E-3</v>
      </c>
      <c r="AO951" s="3"/>
      <c r="AP951">
        <v>1</v>
      </c>
      <c r="AQ951" t="s">
        <v>1083</v>
      </c>
      <c r="AR951" t="s">
        <v>0</v>
      </c>
      <c r="AS951" t="s">
        <v>1082</v>
      </c>
      <c r="AT951" s="2">
        <v>4.0330000000000004</v>
      </c>
      <c r="AU951" s="1">
        <f t="shared" si="123"/>
        <v>3.2433371448449515</v>
      </c>
      <c r="AV951" s="1">
        <f t="shared" si="124"/>
        <v>2.3570581308132339</v>
      </c>
      <c r="AW951" s="1">
        <f t="shared" si="125"/>
        <v>1.4707791167815158</v>
      </c>
    </row>
    <row r="952" spans="1:49" x14ac:dyDescent="0.2">
      <c r="A952">
        <v>950</v>
      </c>
      <c r="B952" t="s">
        <v>1081</v>
      </c>
      <c r="C952" t="s">
        <v>1080</v>
      </c>
      <c r="D952" t="s">
        <v>1079</v>
      </c>
      <c r="E952">
        <v>1576211</v>
      </c>
      <c r="F952" t="s">
        <v>1078</v>
      </c>
      <c r="G952" t="s">
        <v>12</v>
      </c>
      <c r="H952" t="s">
        <v>11</v>
      </c>
      <c r="I952" t="s">
        <v>1077</v>
      </c>
      <c r="J952" t="s">
        <v>1076</v>
      </c>
      <c r="K952" t="s">
        <v>1075</v>
      </c>
      <c r="L952" t="s">
        <v>1074</v>
      </c>
      <c r="M952" t="s">
        <v>246</v>
      </c>
      <c r="N952">
        <v>5</v>
      </c>
      <c r="O952" t="s">
        <v>1073</v>
      </c>
      <c r="P952" t="s">
        <v>1072</v>
      </c>
      <c r="Q952" t="s">
        <v>1071</v>
      </c>
      <c r="R952" s="7">
        <v>33604</v>
      </c>
      <c r="S952" s="8">
        <f t="shared" si="120"/>
        <v>1992</v>
      </c>
      <c r="T952" s="8">
        <v>1992</v>
      </c>
      <c r="U952" s="8">
        <f t="shared" si="121"/>
        <v>30</v>
      </c>
      <c r="V952" s="7">
        <v>33604</v>
      </c>
      <c r="W952" t="s">
        <v>1070</v>
      </c>
      <c r="X952" s="2">
        <v>1.254</v>
      </c>
      <c r="Y952" s="6">
        <f t="shared" si="118"/>
        <v>3.3474813806358611E-2</v>
      </c>
      <c r="AA952">
        <v>3009084</v>
      </c>
      <c r="AB952">
        <v>16874</v>
      </c>
      <c r="AC952">
        <v>61831638</v>
      </c>
      <c r="AD952" t="s">
        <v>4</v>
      </c>
      <c r="AE952">
        <v>74</v>
      </c>
      <c r="AF952">
        <v>1</v>
      </c>
      <c r="AH952" t="s">
        <v>1069</v>
      </c>
      <c r="AI952" t="s">
        <v>1068</v>
      </c>
      <c r="AJ952" t="s">
        <v>1067</v>
      </c>
      <c r="AK952" t="s">
        <v>1066</v>
      </c>
      <c r="AL952">
        <v>21</v>
      </c>
      <c r="AM952" s="5">
        <f t="shared" si="122"/>
        <v>0.7</v>
      </c>
      <c r="AN952" s="4">
        <f t="shared" si="119"/>
        <v>1.0602044680045437E-3</v>
      </c>
      <c r="AO952" s="3"/>
      <c r="AP952">
        <v>0</v>
      </c>
      <c r="AR952" t="s">
        <v>0</v>
      </c>
      <c r="AT952" s="2">
        <v>4.0789999999999997</v>
      </c>
      <c r="AU952" s="1">
        <f t="shared" si="123"/>
        <v>2.375043100485239</v>
      </c>
      <c r="AV952" s="1">
        <f t="shared" si="124"/>
        <v>1.7267509137181578</v>
      </c>
      <c r="AW952" s="1">
        <f t="shared" si="125"/>
        <v>1.0784587269510764</v>
      </c>
    </row>
    <row r="953" spans="1:49" x14ac:dyDescent="0.2">
      <c r="A953">
        <v>951</v>
      </c>
      <c r="B953" t="s">
        <v>1065</v>
      </c>
      <c r="E953">
        <v>1730681</v>
      </c>
      <c r="F953" t="s">
        <v>1064</v>
      </c>
      <c r="G953" t="s">
        <v>12</v>
      </c>
      <c r="H953" t="s">
        <v>11</v>
      </c>
      <c r="I953" t="s">
        <v>1063</v>
      </c>
      <c r="J953">
        <v>60009839</v>
      </c>
      <c r="K953" t="s">
        <v>1062</v>
      </c>
      <c r="L953" t="s">
        <v>1061</v>
      </c>
      <c r="M953" t="s">
        <v>393</v>
      </c>
      <c r="N953">
        <v>5</v>
      </c>
      <c r="O953" t="s">
        <v>1060</v>
      </c>
      <c r="P953" t="s">
        <v>1059</v>
      </c>
      <c r="Q953" t="s">
        <v>1058</v>
      </c>
      <c r="R953" s="7">
        <v>33604</v>
      </c>
      <c r="S953" s="8">
        <f t="shared" si="120"/>
        <v>1992</v>
      </c>
      <c r="T953" s="8">
        <v>1992</v>
      </c>
      <c r="U953" s="8">
        <f t="shared" si="121"/>
        <v>30</v>
      </c>
      <c r="V953" s="7">
        <v>1992</v>
      </c>
      <c r="W953" t="s">
        <v>1057</v>
      </c>
      <c r="X953" s="2">
        <v>2.3610000000000002</v>
      </c>
      <c r="Y953" s="6">
        <f t="shared" si="118"/>
        <v>6.3025546568431179E-2</v>
      </c>
      <c r="AA953">
        <v>219258</v>
      </c>
      <c r="AB953">
        <v>17592</v>
      </c>
      <c r="AD953" t="s">
        <v>4</v>
      </c>
      <c r="AE953">
        <v>267</v>
      </c>
      <c r="AF953">
        <v>2</v>
      </c>
      <c r="AH953" t="s">
        <v>1056</v>
      </c>
      <c r="AI953" t="s">
        <v>1055</v>
      </c>
      <c r="AK953" t="s">
        <v>1054</v>
      </c>
      <c r="AL953">
        <v>79</v>
      </c>
      <c r="AM953" s="5">
        <f t="shared" si="122"/>
        <v>2.6333333333333333</v>
      </c>
      <c r="AN953" s="4">
        <f t="shared" si="119"/>
        <v>3.9883882367789981E-3</v>
      </c>
      <c r="AO953" s="3"/>
      <c r="AP953">
        <v>0</v>
      </c>
      <c r="AR953" t="s">
        <v>0</v>
      </c>
      <c r="AT953" s="2">
        <v>5.157</v>
      </c>
      <c r="AU953" s="1">
        <f t="shared" si="123"/>
        <v>4.531439906893552</v>
      </c>
      <c r="AV953" s="1">
        <f t="shared" si="124"/>
        <v>3.3506967402605086</v>
      </c>
      <c r="AW953" s="1">
        <f t="shared" si="125"/>
        <v>2.1699535736274651</v>
      </c>
    </row>
    <row r="954" spans="1:49" x14ac:dyDescent="0.2">
      <c r="A954">
        <v>952</v>
      </c>
      <c r="B954" t="s">
        <v>1053</v>
      </c>
      <c r="C954" t="s">
        <v>1052</v>
      </c>
      <c r="E954">
        <v>1538765</v>
      </c>
      <c r="F954" t="s">
        <v>1051</v>
      </c>
      <c r="G954" t="s">
        <v>12</v>
      </c>
      <c r="H954" t="s">
        <v>11</v>
      </c>
      <c r="I954" t="s">
        <v>1050</v>
      </c>
      <c r="J954" t="s">
        <v>1049</v>
      </c>
      <c r="K954" t="s">
        <v>1048</v>
      </c>
      <c r="L954" t="s">
        <v>1047</v>
      </c>
      <c r="M954" t="s">
        <v>1046</v>
      </c>
      <c r="N954">
        <v>5</v>
      </c>
      <c r="O954" t="s">
        <v>1045</v>
      </c>
      <c r="P954" t="s">
        <v>1044</v>
      </c>
      <c r="Q954" t="s">
        <v>1043</v>
      </c>
      <c r="R954" s="7">
        <v>33604</v>
      </c>
      <c r="S954" s="8">
        <f t="shared" si="120"/>
        <v>1992</v>
      </c>
      <c r="T954" s="8">
        <v>1992</v>
      </c>
      <c r="U954" s="8">
        <f t="shared" si="121"/>
        <v>30</v>
      </c>
      <c r="V954" s="7">
        <v>1992</v>
      </c>
      <c r="W954" t="s">
        <v>1042</v>
      </c>
      <c r="X954" s="2">
        <v>15.993</v>
      </c>
      <c r="Y954" s="6">
        <f t="shared" si="118"/>
        <v>0.42692400096099947</v>
      </c>
      <c r="AA954">
        <v>280836</v>
      </c>
      <c r="AB954">
        <v>21206</v>
      </c>
      <c r="AD954" t="s">
        <v>4</v>
      </c>
      <c r="AE954">
        <v>355</v>
      </c>
      <c r="AF954">
        <v>6363</v>
      </c>
      <c r="AH954" t="s">
        <v>1041</v>
      </c>
      <c r="AI954" t="s">
        <v>1040</v>
      </c>
      <c r="AK954" t="s">
        <v>1039</v>
      </c>
      <c r="AL954">
        <v>220</v>
      </c>
      <c r="AM954" s="5">
        <f t="shared" si="122"/>
        <v>7.333333333333333</v>
      </c>
      <c r="AN954" s="4">
        <f t="shared" si="119"/>
        <v>1.1106903950523791E-2</v>
      </c>
      <c r="AO954" s="3"/>
      <c r="AP954">
        <v>0</v>
      </c>
      <c r="AR954" t="s">
        <v>0</v>
      </c>
      <c r="AT954" s="2">
        <v>49.962000000000003</v>
      </c>
      <c r="AU954" s="1">
        <f t="shared" si="123"/>
        <v>30.217887185785674</v>
      </c>
      <c r="AV954" s="1">
        <f t="shared" si="124"/>
        <v>21.901545245576163</v>
      </c>
      <c r="AW954" s="1">
        <f t="shared" si="125"/>
        <v>13.585203305366647</v>
      </c>
    </row>
    <row r="955" spans="1:49" x14ac:dyDescent="0.2">
      <c r="A955">
        <v>953</v>
      </c>
      <c r="B955" t="s">
        <v>1038</v>
      </c>
      <c r="C955" t="s">
        <v>1037</v>
      </c>
      <c r="E955">
        <v>1578245</v>
      </c>
      <c r="F955" t="s">
        <v>1036</v>
      </c>
      <c r="G955" t="s">
        <v>12</v>
      </c>
      <c r="H955" t="s">
        <v>11</v>
      </c>
      <c r="I955" t="s">
        <v>1035</v>
      </c>
      <c r="J955">
        <v>60014439</v>
      </c>
      <c r="K955" t="s">
        <v>1034</v>
      </c>
      <c r="L955" t="s">
        <v>1033</v>
      </c>
      <c r="M955" t="s">
        <v>7</v>
      </c>
      <c r="N955">
        <v>2</v>
      </c>
      <c r="O955" t="s">
        <v>1032</v>
      </c>
      <c r="P955" t="s">
        <v>1031</v>
      </c>
      <c r="Q955" t="s">
        <v>1030</v>
      </c>
      <c r="R955" s="7">
        <v>33604</v>
      </c>
      <c r="S955" s="8">
        <f t="shared" si="120"/>
        <v>1992</v>
      </c>
      <c r="T955" s="8">
        <v>1992</v>
      </c>
      <c r="U955" s="8">
        <f t="shared" si="121"/>
        <v>30</v>
      </c>
      <c r="V955" s="7">
        <v>1992</v>
      </c>
      <c r="W955" t="s">
        <v>1029</v>
      </c>
      <c r="X955" s="2">
        <v>1.302</v>
      </c>
      <c r="Y955" s="6">
        <f t="shared" si="118"/>
        <v>3.4756146392247937E-2</v>
      </c>
      <c r="AA955">
        <v>223077</v>
      </c>
      <c r="AB955">
        <v>23475</v>
      </c>
      <c r="AD955" t="s">
        <v>4</v>
      </c>
      <c r="AE955">
        <v>67</v>
      </c>
      <c r="AF955">
        <v>3</v>
      </c>
      <c r="AH955" t="s">
        <v>1028</v>
      </c>
      <c r="AI955" t="s">
        <v>1027</v>
      </c>
      <c r="AK955" t="s">
        <v>1026</v>
      </c>
      <c r="AL955">
        <v>143</v>
      </c>
      <c r="AM955" s="5">
        <f t="shared" si="122"/>
        <v>4.7666666666666666</v>
      </c>
      <c r="AN955" s="4">
        <f t="shared" si="119"/>
        <v>7.219487567840464E-3</v>
      </c>
      <c r="AO955" s="3"/>
      <c r="AP955">
        <v>0</v>
      </c>
      <c r="AR955" t="s">
        <v>0</v>
      </c>
      <c r="AT955" s="2">
        <v>2.714</v>
      </c>
      <c r="AU955" s="1">
        <f t="shared" si="123"/>
        <v>2.6495148744925694</v>
      </c>
      <c r="AV955" s="1">
        <f t="shared" si="124"/>
        <v>2.0987816980044203</v>
      </c>
      <c r="AW955" s="1">
        <f t="shared" si="125"/>
        <v>1.5480485215162705</v>
      </c>
    </row>
    <row r="956" spans="1:49" x14ac:dyDescent="0.2">
      <c r="A956">
        <v>954</v>
      </c>
      <c r="B956" t="s">
        <v>1025</v>
      </c>
      <c r="C956" t="s">
        <v>1024</v>
      </c>
      <c r="E956">
        <v>1583164</v>
      </c>
      <c r="F956" t="s">
        <v>1023</v>
      </c>
      <c r="G956" t="s">
        <v>12</v>
      </c>
      <c r="H956" t="s">
        <v>11</v>
      </c>
      <c r="I956" t="s">
        <v>1012</v>
      </c>
      <c r="J956">
        <v>60013959</v>
      </c>
      <c r="K956" t="s">
        <v>1011</v>
      </c>
      <c r="L956" t="s">
        <v>1010</v>
      </c>
      <c r="M956" t="s">
        <v>7</v>
      </c>
      <c r="N956">
        <v>2</v>
      </c>
      <c r="O956" t="s">
        <v>1022</v>
      </c>
      <c r="P956" t="s">
        <v>1021</v>
      </c>
      <c r="Q956" t="s">
        <v>1020</v>
      </c>
      <c r="R956" s="7">
        <v>33604</v>
      </c>
      <c r="S956" s="8">
        <f t="shared" si="120"/>
        <v>1992</v>
      </c>
      <c r="T956" s="8">
        <v>1992</v>
      </c>
      <c r="U956" s="8">
        <f t="shared" si="121"/>
        <v>30</v>
      </c>
      <c r="V956" s="7">
        <v>33709</v>
      </c>
      <c r="W956" t="s">
        <v>1006</v>
      </c>
      <c r="X956" s="2">
        <v>1.855</v>
      </c>
      <c r="Y956" s="6">
        <f t="shared" si="118"/>
        <v>4.9518165558847867E-2</v>
      </c>
      <c r="AA956">
        <v>219967</v>
      </c>
      <c r="AB956">
        <v>16689</v>
      </c>
      <c r="AC956">
        <v>10969861</v>
      </c>
      <c r="AD956" t="s">
        <v>4</v>
      </c>
      <c r="AE956">
        <v>318</v>
      </c>
      <c r="AF956">
        <v>3</v>
      </c>
      <c r="AH956" t="s">
        <v>1019</v>
      </c>
      <c r="AI956" t="s">
        <v>1018</v>
      </c>
      <c r="AJ956" t="s">
        <v>1017</v>
      </c>
      <c r="AK956" t="s">
        <v>1016</v>
      </c>
      <c r="AL956">
        <v>104</v>
      </c>
      <c r="AM956" s="5">
        <f t="shared" si="122"/>
        <v>3.4666666666666668</v>
      </c>
      <c r="AN956" s="4">
        <f t="shared" si="119"/>
        <v>5.2505364129748835E-3</v>
      </c>
      <c r="AO956" s="3"/>
      <c r="AP956">
        <v>0</v>
      </c>
      <c r="AR956" t="s">
        <v>0</v>
      </c>
      <c r="AT956" s="2">
        <v>3.2149999999999999</v>
      </c>
      <c r="AU956" s="1">
        <f t="shared" si="123"/>
        <v>3.6237876815085972</v>
      </c>
      <c r="AV956" s="1">
        <f t="shared" si="124"/>
        <v>2.7384350985911374</v>
      </c>
      <c r="AW956" s="1">
        <f t="shared" si="125"/>
        <v>1.8530825156736777</v>
      </c>
    </row>
    <row r="957" spans="1:49" x14ac:dyDescent="0.2">
      <c r="A957">
        <v>955</v>
      </c>
      <c r="B957" t="s">
        <v>1015</v>
      </c>
      <c r="C957" t="s">
        <v>1014</v>
      </c>
      <c r="E957">
        <v>1583163</v>
      </c>
      <c r="F957" t="s">
        <v>1013</v>
      </c>
      <c r="G957" t="s">
        <v>12</v>
      </c>
      <c r="H957" t="s">
        <v>11</v>
      </c>
      <c r="I957" t="s">
        <v>1012</v>
      </c>
      <c r="J957">
        <v>60013959</v>
      </c>
      <c r="K957" t="s">
        <v>1011</v>
      </c>
      <c r="L957" t="s">
        <v>1010</v>
      </c>
      <c r="M957" t="s">
        <v>7</v>
      </c>
      <c r="N957">
        <v>3</v>
      </c>
      <c r="O957" t="s">
        <v>1009</v>
      </c>
      <c r="P957" t="s">
        <v>1008</v>
      </c>
      <c r="Q957" t="s">
        <v>1007</v>
      </c>
      <c r="R957" s="7">
        <v>33604</v>
      </c>
      <c r="S957" s="8">
        <f t="shared" si="120"/>
        <v>1992</v>
      </c>
      <c r="T957" s="8">
        <v>1992</v>
      </c>
      <c r="U957" s="8">
        <f t="shared" si="121"/>
        <v>30</v>
      </c>
      <c r="V957" s="7">
        <v>33709</v>
      </c>
      <c r="W957" t="s">
        <v>1006</v>
      </c>
      <c r="X957" s="2">
        <v>1.855</v>
      </c>
      <c r="Y957" s="6">
        <f t="shared" si="118"/>
        <v>4.9518165558847867E-2</v>
      </c>
      <c r="AA957">
        <v>219967</v>
      </c>
      <c r="AB957">
        <v>16689</v>
      </c>
      <c r="AC957">
        <v>10969861</v>
      </c>
      <c r="AD957" t="s">
        <v>4</v>
      </c>
      <c r="AE957">
        <v>318</v>
      </c>
      <c r="AF957">
        <v>3</v>
      </c>
      <c r="AH957" t="s">
        <v>1005</v>
      </c>
      <c r="AI957" t="s">
        <v>1004</v>
      </c>
      <c r="AJ957" t="s">
        <v>1003</v>
      </c>
      <c r="AK957" t="s">
        <v>1002</v>
      </c>
      <c r="AL957">
        <v>73</v>
      </c>
      <c r="AM957" s="5">
        <f t="shared" si="122"/>
        <v>2.4333333333333331</v>
      </c>
      <c r="AN957" s="4">
        <f t="shared" si="119"/>
        <v>3.6854726744919852E-3</v>
      </c>
      <c r="AO957" s="3"/>
      <c r="AP957">
        <v>0</v>
      </c>
      <c r="AR957" t="s">
        <v>0</v>
      </c>
      <c r="AT957" s="2">
        <v>3.2149999999999999</v>
      </c>
      <c r="AU957" s="1">
        <f t="shared" si="123"/>
        <v>3.5768357693541102</v>
      </c>
      <c r="AV957" s="1">
        <f t="shared" si="124"/>
        <v>2.6601819116669927</v>
      </c>
      <c r="AW957" s="1">
        <f t="shared" si="125"/>
        <v>1.7435280539798748</v>
      </c>
    </row>
    <row r="958" spans="1:49" x14ac:dyDescent="0.2">
      <c r="A958">
        <v>956</v>
      </c>
      <c r="B958" t="s">
        <v>1001</v>
      </c>
      <c r="C958" t="s">
        <v>1000</v>
      </c>
      <c r="E958">
        <v>1587270</v>
      </c>
      <c r="F958" t="s">
        <v>999</v>
      </c>
      <c r="G958" t="s">
        <v>12</v>
      </c>
      <c r="H958" t="s">
        <v>11</v>
      </c>
      <c r="I958" t="s">
        <v>998</v>
      </c>
      <c r="J958">
        <v>60019782</v>
      </c>
      <c r="K958" t="s">
        <v>997</v>
      </c>
      <c r="L958" t="s">
        <v>996</v>
      </c>
      <c r="M958" t="s">
        <v>995</v>
      </c>
      <c r="N958">
        <v>3</v>
      </c>
      <c r="O958" t="s">
        <v>994</v>
      </c>
      <c r="P958" t="s">
        <v>993</v>
      </c>
      <c r="Q958" t="s">
        <v>992</v>
      </c>
      <c r="R958" s="7">
        <v>33604</v>
      </c>
      <c r="S958" s="8">
        <f t="shared" si="120"/>
        <v>1992</v>
      </c>
      <c r="T958" s="8">
        <v>1992</v>
      </c>
      <c r="U958" s="8">
        <f t="shared" si="121"/>
        <v>30</v>
      </c>
      <c r="V958" s="7">
        <v>33725</v>
      </c>
      <c r="W958" t="s">
        <v>943</v>
      </c>
      <c r="X958" s="2">
        <v>1.9810000000000001</v>
      </c>
      <c r="Y958" s="6">
        <f t="shared" si="118"/>
        <v>5.2881663596807349E-2</v>
      </c>
      <c r="AA958">
        <v>142956</v>
      </c>
      <c r="AB958">
        <v>39034</v>
      </c>
      <c r="AC958">
        <v>14321033</v>
      </c>
      <c r="AD958" t="s">
        <v>4</v>
      </c>
      <c r="AE958">
        <v>206</v>
      </c>
      <c r="AF958">
        <v>1</v>
      </c>
      <c r="AH958" t="s">
        <v>991</v>
      </c>
      <c r="AI958" t="s">
        <v>990</v>
      </c>
      <c r="AK958" t="s">
        <v>989</v>
      </c>
      <c r="AL958">
        <v>66</v>
      </c>
      <c r="AM958" s="5">
        <f t="shared" si="122"/>
        <v>2.2000000000000002</v>
      </c>
      <c r="AN958" s="4">
        <f t="shared" si="119"/>
        <v>3.3320711851571377E-3</v>
      </c>
      <c r="AO958" s="3"/>
      <c r="AP958">
        <v>0</v>
      </c>
      <c r="AR958" t="s">
        <v>0</v>
      </c>
      <c r="AT958" s="2" t="s">
        <v>16</v>
      </c>
      <c r="AU958" s="1">
        <f t="shared" si="123"/>
        <v>3.801678587331228</v>
      </c>
      <c r="AV958" s="1">
        <f t="shared" si="124"/>
        <v>2.8106867390982244</v>
      </c>
      <c r="AW958" s="1">
        <f t="shared" si="125"/>
        <v>1.81969489086522</v>
      </c>
    </row>
    <row r="959" spans="1:49" x14ac:dyDescent="0.2">
      <c r="A959">
        <v>957</v>
      </c>
      <c r="B959" t="s">
        <v>988</v>
      </c>
      <c r="C959" t="s">
        <v>987</v>
      </c>
      <c r="E959">
        <v>1740145</v>
      </c>
      <c r="F959" t="s">
        <v>986</v>
      </c>
      <c r="G959" t="s">
        <v>12</v>
      </c>
      <c r="H959" t="s">
        <v>11</v>
      </c>
      <c r="I959" t="s">
        <v>985</v>
      </c>
      <c r="J959">
        <v>60000481</v>
      </c>
      <c r="K959" t="s">
        <v>984</v>
      </c>
      <c r="L959" t="s">
        <v>983</v>
      </c>
      <c r="M959" t="s">
        <v>338</v>
      </c>
      <c r="N959">
        <v>2</v>
      </c>
      <c r="O959" t="s">
        <v>982</v>
      </c>
      <c r="P959" t="s">
        <v>981</v>
      </c>
      <c r="Q959" t="s">
        <v>980</v>
      </c>
      <c r="R959" s="7">
        <v>33604</v>
      </c>
      <c r="S959" s="8">
        <f t="shared" si="120"/>
        <v>1992</v>
      </c>
      <c r="T959" s="8">
        <v>1992</v>
      </c>
      <c r="U959" s="8">
        <f t="shared" si="121"/>
        <v>30</v>
      </c>
      <c r="V959" s="7">
        <v>33635</v>
      </c>
      <c r="W959" t="s">
        <v>943</v>
      </c>
      <c r="X959" s="2">
        <v>1.9810000000000001</v>
      </c>
      <c r="Y959" s="6">
        <f t="shared" si="118"/>
        <v>5.2881663596807349E-2</v>
      </c>
      <c r="AA959">
        <v>142956</v>
      </c>
      <c r="AB959">
        <v>39034</v>
      </c>
      <c r="AC959">
        <v>14321033</v>
      </c>
      <c r="AD959" t="s">
        <v>4</v>
      </c>
      <c r="AE959">
        <v>204</v>
      </c>
      <c r="AF959">
        <v>1</v>
      </c>
      <c r="AH959" t="s">
        <v>979</v>
      </c>
      <c r="AI959" t="s">
        <v>978</v>
      </c>
      <c r="AK959" t="s">
        <v>977</v>
      </c>
      <c r="AL959">
        <v>158</v>
      </c>
      <c r="AM959" s="5">
        <f t="shared" si="122"/>
        <v>5.2666666666666666</v>
      </c>
      <c r="AN959" s="4">
        <f t="shared" si="119"/>
        <v>7.9767764735579963E-3</v>
      </c>
      <c r="AO959" s="3"/>
      <c r="AP959">
        <v>1</v>
      </c>
      <c r="AR959" t="s">
        <v>0</v>
      </c>
      <c r="AT959" s="2" t="s">
        <v>16</v>
      </c>
      <c r="AU959" s="1">
        <f t="shared" si="123"/>
        <v>3.9410197459832541</v>
      </c>
      <c r="AV959" s="1">
        <f t="shared" si="124"/>
        <v>3.0429220035182674</v>
      </c>
      <c r="AW959" s="1">
        <f t="shared" si="125"/>
        <v>2.1448242610532802</v>
      </c>
    </row>
    <row r="960" spans="1:49" x14ac:dyDescent="0.2">
      <c r="A960">
        <v>958</v>
      </c>
      <c r="B960" t="s">
        <v>976</v>
      </c>
      <c r="C960" t="s">
        <v>975</v>
      </c>
      <c r="E960">
        <v>1315684</v>
      </c>
      <c r="F960" t="s">
        <v>974</v>
      </c>
      <c r="G960" t="s">
        <v>12</v>
      </c>
      <c r="H960" t="s">
        <v>11</v>
      </c>
      <c r="I960" t="s">
        <v>973</v>
      </c>
      <c r="J960" t="s">
        <v>972</v>
      </c>
      <c r="K960" t="s">
        <v>971</v>
      </c>
      <c r="L960" t="s">
        <v>970</v>
      </c>
      <c r="M960" t="s">
        <v>969</v>
      </c>
      <c r="N960">
        <v>6</v>
      </c>
      <c r="O960" t="s">
        <v>968</v>
      </c>
      <c r="P960" t="s">
        <v>967</v>
      </c>
      <c r="Q960" t="s">
        <v>966</v>
      </c>
      <c r="R960" s="7">
        <v>33604</v>
      </c>
      <c r="S960" s="8">
        <f t="shared" si="120"/>
        <v>1992</v>
      </c>
      <c r="T960" s="8">
        <v>1992</v>
      </c>
      <c r="U960" s="8">
        <f t="shared" si="121"/>
        <v>30</v>
      </c>
      <c r="V960" s="7">
        <v>33725</v>
      </c>
      <c r="W960" t="s">
        <v>943</v>
      </c>
      <c r="X960" s="2">
        <v>1.9810000000000001</v>
      </c>
      <c r="Y960" s="6">
        <f t="shared" si="118"/>
        <v>5.2881663596807349E-2</v>
      </c>
      <c r="AA960">
        <v>142956</v>
      </c>
      <c r="AB960">
        <v>39034</v>
      </c>
      <c r="AC960">
        <v>14321033</v>
      </c>
      <c r="AD960" t="s">
        <v>4</v>
      </c>
      <c r="AE960">
        <v>205</v>
      </c>
      <c r="AF960">
        <v>3</v>
      </c>
      <c r="AH960" t="s">
        <v>965</v>
      </c>
      <c r="AI960" t="s">
        <v>964</v>
      </c>
      <c r="AK960" t="s">
        <v>963</v>
      </c>
      <c r="AL960">
        <v>44</v>
      </c>
      <c r="AM960" s="5">
        <f t="shared" si="122"/>
        <v>1.4666666666666666</v>
      </c>
      <c r="AN960" s="4">
        <f t="shared" si="119"/>
        <v>2.2213807901047583E-3</v>
      </c>
      <c r="AO960" s="3"/>
      <c r="AP960">
        <v>1</v>
      </c>
      <c r="AR960" t="s">
        <v>0</v>
      </c>
      <c r="AT960" s="2" t="s">
        <v>16</v>
      </c>
      <c r="AU960" s="1">
        <f t="shared" si="123"/>
        <v>3.7683578754796567</v>
      </c>
      <c r="AV960" s="1">
        <f t="shared" si="124"/>
        <v>2.7551522193456055</v>
      </c>
      <c r="AW960" s="1">
        <f t="shared" si="125"/>
        <v>1.7419465632115536</v>
      </c>
    </row>
    <row r="961" spans="1:49" x14ac:dyDescent="0.2">
      <c r="A961">
        <v>959</v>
      </c>
      <c r="B961" t="s">
        <v>962</v>
      </c>
      <c r="C961" t="s">
        <v>961</v>
      </c>
      <c r="F961" t="s">
        <v>960</v>
      </c>
      <c r="G961" t="s">
        <v>12</v>
      </c>
      <c r="H961" t="s">
        <v>11</v>
      </c>
      <c r="I961" t="s">
        <v>959</v>
      </c>
      <c r="J961">
        <v>101317406</v>
      </c>
      <c r="K961" t="s">
        <v>958</v>
      </c>
      <c r="M961" t="s">
        <v>393</v>
      </c>
      <c r="N961">
        <v>1</v>
      </c>
      <c r="O961" t="s">
        <v>957</v>
      </c>
      <c r="P961">
        <v>7102675657</v>
      </c>
      <c r="Q961">
        <v>101317406</v>
      </c>
      <c r="R961" s="7">
        <v>33604</v>
      </c>
      <c r="S961" s="8">
        <f t="shared" si="120"/>
        <v>1992</v>
      </c>
      <c r="T961" s="8">
        <v>1992</v>
      </c>
      <c r="U961" s="8">
        <f t="shared" si="121"/>
        <v>30</v>
      </c>
      <c r="V961" s="7">
        <v>1992</v>
      </c>
      <c r="W961" t="s">
        <v>956</v>
      </c>
      <c r="X961" s="2">
        <v>0.46700000000000003</v>
      </c>
      <c r="Y961" s="6">
        <f t="shared" si="118"/>
        <v>1.2466298283548225E-2</v>
      </c>
      <c r="AA961">
        <v>223395</v>
      </c>
      <c r="AB961">
        <v>22444</v>
      </c>
      <c r="AD961" t="s">
        <v>4</v>
      </c>
      <c r="AE961">
        <v>78</v>
      </c>
      <c r="AF961">
        <v>2</v>
      </c>
      <c r="AH961" t="s">
        <v>955</v>
      </c>
      <c r="AI961" t="s">
        <v>954</v>
      </c>
      <c r="AK961" t="s">
        <v>953</v>
      </c>
      <c r="AL961">
        <v>12</v>
      </c>
      <c r="AM961" s="5">
        <f t="shared" si="122"/>
        <v>0.4</v>
      </c>
      <c r="AN961" s="4">
        <f t="shared" si="119"/>
        <v>6.0583112457402507E-4</v>
      </c>
      <c r="AO961" s="3"/>
      <c r="AP961">
        <v>0</v>
      </c>
      <c r="AR961" t="s">
        <v>0</v>
      </c>
      <c r="AT961" s="2">
        <v>1.276</v>
      </c>
      <c r="AU961" s="1">
        <f t="shared" si="123"/>
        <v>0.89081581358559647</v>
      </c>
      <c r="AV961" s="1">
        <f t="shared" si="124"/>
        <v>0.65360647040611253</v>
      </c>
      <c r="AW961" s="1">
        <f t="shared" si="125"/>
        <v>0.41639712722662847</v>
      </c>
    </row>
    <row r="962" spans="1:49" x14ac:dyDescent="0.2">
      <c r="A962">
        <v>960</v>
      </c>
      <c r="B962" t="s">
        <v>952</v>
      </c>
      <c r="C962" t="s">
        <v>951</v>
      </c>
      <c r="E962">
        <v>1577009</v>
      </c>
      <c r="F962" t="s">
        <v>950</v>
      </c>
      <c r="G962" t="s">
        <v>12</v>
      </c>
      <c r="H962" t="s">
        <v>11</v>
      </c>
      <c r="I962" t="s">
        <v>949</v>
      </c>
      <c r="J962">
        <v>60025858</v>
      </c>
      <c r="K962" t="s">
        <v>948</v>
      </c>
      <c r="L962" t="s">
        <v>947</v>
      </c>
      <c r="M962" t="s">
        <v>219</v>
      </c>
      <c r="N962">
        <v>6</v>
      </c>
      <c r="O962" t="s">
        <v>946</v>
      </c>
      <c r="P962" t="s">
        <v>945</v>
      </c>
      <c r="Q962" t="s">
        <v>944</v>
      </c>
      <c r="R962" s="7">
        <v>33604</v>
      </c>
      <c r="S962" s="8">
        <f t="shared" si="120"/>
        <v>1992</v>
      </c>
      <c r="T962" s="8">
        <v>1992</v>
      </c>
      <c r="U962" s="8">
        <f t="shared" si="121"/>
        <v>30</v>
      </c>
      <c r="V962" s="7">
        <v>33725</v>
      </c>
      <c r="W962" t="s">
        <v>943</v>
      </c>
      <c r="X962" s="2">
        <v>1.9810000000000001</v>
      </c>
      <c r="Y962" s="6">
        <f t="shared" ref="Y962:Y1025" si="126">(X962-$Z$4)/($Z$3-$Z$4)</f>
        <v>5.2881663596807349E-2</v>
      </c>
      <c r="AA962">
        <v>142956</v>
      </c>
      <c r="AB962">
        <v>39034</v>
      </c>
      <c r="AC962">
        <v>14321033</v>
      </c>
      <c r="AD962" t="s">
        <v>4</v>
      </c>
      <c r="AE962">
        <v>205</v>
      </c>
      <c r="AF962">
        <v>3</v>
      </c>
      <c r="AH962" t="s">
        <v>942</v>
      </c>
      <c r="AI962" t="s">
        <v>941</v>
      </c>
      <c r="AK962" t="s">
        <v>940</v>
      </c>
      <c r="AL962">
        <v>17</v>
      </c>
      <c r="AM962" s="5">
        <f t="shared" si="122"/>
        <v>0.56666666666666665</v>
      </c>
      <c r="AN962" s="4">
        <f t="shared" ref="AN962:AN1025" si="127">(AM962-$AO$4)/($AO$3-$AO$4)</f>
        <v>8.5826075981320206E-4</v>
      </c>
      <c r="AO962" s="3"/>
      <c r="AP962">
        <v>1</v>
      </c>
      <c r="AR962" t="s">
        <v>0</v>
      </c>
      <c r="AT962" s="2" t="s">
        <v>16</v>
      </c>
      <c r="AU962" s="1">
        <f t="shared" si="123"/>
        <v>3.7274642745709103</v>
      </c>
      <c r="AV962" s="1">
        <f t="shared" si="124"/>
        <v>2.6869962178310276</v>
      </c>
      <c r="AW962" s="1">
        <f t="shared" si="125"/>
        <v>1.6465281610911444</v>
      </c>
    </row>
    <row r="963" spans="1:49" x14ac:dyDescent="0.2">
      <c r="A963">
        <v>961</v>
      </c>
      <c r="B963" t="s">
        <v>939</v>
      </c>
      <c r="C963" t="s">
        <v>938</v>
      </c>
      <c r="D963" t="s">
        <v>937</v>
      </c>
      <c r="F963" t="s">
        <v>936</v>
      </c>
      <c r="G963" t="s">
        <v>12</v>
      </c>
      <c r="H963" t="s">
        <v>11</v>
      </c>
      <c r="I963" t="s">
        <v>935</v>
      </c>
      <c r="J963" t="s">
        <v>934</v>
      </c>
      <c r="K963" t="s">
        <v>933</v>
      </c>
      <c r="L963" t="s">
        <v>932</v>
      </c>
      <c r="M963" t="s">
        <v>931</v>
      </c>
      <c r="N963">
        <v>3</v>
      </c>
      <c r="O963" t="s">
        <v>930</v>
      </c>
      <c r="P963" t="s">
        <v>929</v>
      </c>
      <c r="Q963" t="s">
        <v>928</v>
      </c>
      <c r="R963" s="7">
        <v>33604</v>
      </c>
      <c r="S963" s="8">
        <f t="shared" si="120"/>
        <v>1992</v>
      </c>
      <c r="T963" s="8">
        <v>1992</v>
      </c>
      <c r="U963" s="8">
        <f t="shared" si="121"/>
        <v>30</v>
      </c>
      <c r="V963" s="7">
        <v>1992</v>
      </c>
      <c r="W963" t="s">
        <v>927</v>
      </c>
      <c r="X963" s="2">
        <v>0.64600000000000002</v>
      </c>
      <c r="Y963" s="6">
        <f t="shared" si="126"/>
        <v>1.72446010517605E-2</v>
      </c>
      <c r="AA963">
        <v>3009629</v>
      </c>
      <c r="AB963">
        <v>23398</v>
      </c>
      <c r="AD963" t="s">
        <v>4</v>
      </c>
      <c r="AE963">
        <v>101</v>
      </c>
      <c r="AF963">
        <v>2</v>
      </c>
      <c r="AH963" t="s">
        <v>926</v>
      </c>
      <c r="AI963" t="s">
        <v>925</v>
      </c>
      <c r="AK963" t="s">
        <v>924</v>
      </c>
      <c r="AL963">
        <v>2</v>
      </c>
      <c r="AM963" s="5">
        <f t="shared" si="122"/>
        <v>6.6666666666666666E-2</v>
      </c>
      <c r="AN963" s="4">
        <f t="shared" si="127"/>
        <v>1.0097185409567084E-4</v>
      </c>
      <c r="AO963" s="3"/>
      <c r="AP963">
        <v>0</v>
      </c>
      <c r="AR963" t="s">
        <v>0</v>
      </c>
      <c r="AT963" s="2" t="s">
        <v>16</v>
      </c>
      <c r="AU963" s="1">
        <f t="shared" si="123"/>
        <v>1.2101512292461052</v>
      </c>
      <c r="AV963" s="1">
        <f t="shared" si="124"/>
        <v>0.86727864529280851</v>
      </c>
      <c r="AW963" s="1">
        <f t="shared" si="125"/>
        <v>0.52440606133951195</v>
      </c>
    </row>
    <row r="964" spans="1:49" x14ac:dyDescent="0.2">
      <c r="A964">
        <v>962</v>
      </c>
      <c r="B964" t="s">
        <v>923</v>
      </c>
      <c r="C964" t="s">
        <v>922</v>
      </c>
      <c r="D964" t="s">
        <v>921</v>
      </c>
      <c r="E964">
        <v>1585448</v>
      </c>
      <c r="F964" t="s">
        <v>920</v>
      </c>
      <c r="G964" t="s">
        <v>12</v>
      </c>
      <c r="H964" t="s">
        <v>11</v>
      </c>
      <c r="I964" t="s">
        <v>919</v>
      </c>
      <c r="J964">
        <v>60010348</v>
      </c>
      <c r="K964" t="s">
        <v>918</v>
      </c>
      <c r="L964" t="s">
        <v>917</v>
      </c>
      <c r="M964" t="s">
        <v>916</v>
      </c>
      <c r="N964">
        <v>1</v>
      </c>
      <c r="O964" t="s">
        <v>915</v>
      </c>
      <c r="P964">
        <v>7406421287</v>
      </c>
      <c r="Q964">
        <v>60010348</v>
      </c>
      <c r="R964" s="7">
        <v>33604</v>
      </c>
      <c r="S964" s="8">
        <f t="shared" si="120"/>
        <v>1992</v>
      </c>
      <c r="T964" s="8">
        <v>1992</v>
      </c>
      <c r="U964" s="8">
        <f t="shared" si="121"/>
        <v>30</v>
      </c>
      <c r="V964" s="7">
        <v>33604</v>
      </c>
      <c r="W964" t="s">
        <v>914</v>
      </c>
      <c r="X964" s="2">
        <v>6.29</v>
      </c>
      <c r="Y964" s="6">
        <f t="shared" si="126"/>
        <v>0.16790795760924696</v>
      </c>
      <c r="AA964">
        <v>9680004</v>
      </c>
      <c r="AB964">
        <v>14816</v>
      </c>
      <c r="AD964" t="s">
        <v>4</v>
      </c>
      <c r="AE964">
        <v>17</v>
      </c>
      <c r="AF964">
        <v>1</v>
      </c>
      <c r="AH964" s="10">
        <v>43070</v>
      </c>
      <c r="AI964" t="s">
        <v>913</v>
      </c>
      <c r="AK964" t="s">
        <v>912</v>
      </c>
      <c r="AL964">
        <v>106</v>
      </c>
      <c r="AM964" s="5">
        <f t="shared" si="122"/>
        <v>3.5333333333333332</v>
      </c>
      <c r="AN964" s="4">
        <f t="shared" si="127"/>
        <v>5.3515082670705537E-3</v>
      </c>
      <c r="AO964" s="3"/>
      <c r="AP964">
        <v>0</v>
      </c>
      <c r="AR964" t="s">
        <v>0</v>
      </c>
      <c r="AT964" s="2">
        <v>13.807</v>
      </c>
      <c r="AU964" s="1">
        <f t="shared" si="123"/>
        <v>11.914102280659403</v>
      </c>
      <c r="AV964" s="1">
        <f t="shared" si="124"/>
        <v>8.6629732938158757</v>
      </c>
      <c r="AW964" s="1">
        <f t="shared" si="125"/>
        <v>5.4118443069723474</v>
      </c>
    </row>
    <row r="965" spans="1:49" x14ac:dyDescent="0.2">
      <c r="A965">
        <v>963</v>
      </c>
      <c r="B965" t="s">
        <v>911</v>
      </c>
      <c r="C965" t="s">
        <v>910</v>
      </c>
      <c r="E965">
        <v>1573307</v>
      </c>
      <c r="F965" t="s">
        <v>909</v>
      </c>
      <c r="G965" t="s">
        <v>12</v>
      </c>
      <c r="H965" t="s">
        <v>11</v>
      </c>
      <c r="I965" t="s">
        <v>908</v>
      </c>
      <c r="J965" t="s">
        <v>907</v>
      </c>
      <c r="K965" t="s">
        <v>906</v>
      </c>
      <c r="L965" t="s">
        <v>905</v>
      </c>
      <c r="M965" t="s">
        <v>904</v>
      </c>
      <c r="N965">
        <v>7</v>
      </c>
      <c r="O965" t="s">
        <v>903</v>
      </c>
      <c r="P965" t="s">
        <v>902</v>
      </c>
      <c r="Q965" t="s">
        <v>901</v>
      </c>
      <c r="R965" s="7">
        <v>33604</v>
      </c>
      <c r="S965" s="8">
        <f t="shared" si="120"/>
        <v>1992</v>
      </c>
      <c r="T965" s="8">
        <v>1992</v>
      </c>
      <c r="U965" s="8">
        <f t="shared" si="121"/>
        <v>30</v>
      </c>
      <c r="V965" s="7">
        <v>1992</v>
      </c>
      <c r="W965" t="s">
        <v>900</v>
      </c>
      <c r="X965" s="2">
        <v>0.89600000000000002</v>
      </c>
      <c r="Y965" s="6">
        <f t="shared" si="126"/>
        <v>2.3918208269934065E-2</v>
      </c>
      <c r="AA965">
        <v>2656736</v>
      </c>
      <c r="AB965">
        <v>29901</v>
      </c>
      <c r="AD965" t="s">
        <v>4</v>
      </c>
      <c r="AE965">
        <v>8</v>
      </c>
      <c r="AF965">
        <v>2</v>
      </c>
      <c r="AH965" t="s">
        <v>899</v>
      </c>
      <c r="AI965" t="s">
        <v>898</v>
      </c>
      <c r="AJ965" t="s">
        <v>897</v>
      </c>
      <c r="AK965" t="s">
        <v>896</v>
      </c>
      <c r="AL965">
        <v>9</v>
      </c>
      <c r="AM965" s="5">
        <f t="shared" si="122"/>
        <v>0.3</v>
      </c>
      <c r="AN965" s="4">
        <f t="shared" si="127"/>
        <v>4.5437334343051872E-4</v>
      </c>
      <c r="AO965" s="3"/>
      <c r="AP965">
        <v>0</v>
      </c>
      <c r="AQ965" t="s">
        <v>895</v>
      </c>
      <c r="AR965" t="s">
        <v>894</v>
      </c>
      <c r="AS965" t="s">
        <v>893</v>
      </c>
      <c r="AT965" s="2">
        <v>3.9140000000000001</v>
      </c>
      <c r="AU965" s="1">
        <f t="shared" si="123"/>
        <v>1.6879057791982999</v>
      </c>
      <c r="AV965" s="1">
        <f t="shared" si="124"/>
        <v>1.2186290806682292</v>
      </c>
      <c r="AW965" s="1">
        <f t="shared" si="125"/>
        <v>0.74935238213815814</v>
      </c>
    </row>
    <row r="966" spans="1:49" x14ac:dyDescent="0.2">
      <c r="A966">
        <v>964</v>
      </c>
      <c r="B966" t="s">
        <v>892</v>
      </c>
      <c r="C966" t="s">
        <v>891</v>
      </c>
      <c r="D966" t="s">
        <v>890</v>
      </c>
      <c r="E966">
        <v>1727110</v>
      </c>
      <c r="F966" t="s">
        <v>889</v>
      </c>
      <c r="G966" t="s">
        <v>12</v>
      </c>
      <c r="H966" t="s">
        <v>11</v>
      </c>
      <c r="I966" t="s">
        <v>888</v>
      </c>
      <c r="J966" t="s">
        <v>887</v>
      </c>
      <c r="K966" t="s">
        <v>886</v>
      </c>
      <c r="L966" t="s">
        <v>885</v>
      </c>
      <c r="M966" t="s">
        <v>125</v>
      </c>
      <c r="N966">
        <v>3</v>
      </c>
      <c r="O966" t="s">
        <v>884</v>
      </c>
      <c r="P966" t="s">
        <v>883</v>
      </c>
      <c r="Q966" t="s">
        <v>882</v>
      </c>
      <c r="R966" s="7">
        <v>33604</v>
      </c>
      <c r="S966" s="8">
        <f t="shared" si="120"/>
        <v>1992</v>
      </c>
      <c r="T966" s="8">
        <v>1992</v>
      </c>
      <c r="U966" s="8">
        <f t="shared" si="121"/>
        <v>30</v>
      </c>
      <c r="V966" s="7">
        <v>1992</v>
      </c>
      <c r="W966" t="s">
        <v>881</v>
      </c>
      <c r="X966" s="2" t="s">
        <v>16</v>
      </c>
      <c r="Y966" s="6" t="e">
        <f t="shared" si="126"/>
        <v>#VALUE!</v>
      </c>
      <c r="AA966">
        <v>3603016</v>
      </c>
      <c r="AB966">
        <v>17191</v>
      </c>
      <c r="AD966" t="s">
        <v>4</v>
      </c>
      <c r="AE966">
        <v>22</v>
      </c>
      <c r="AF966">
        <v>1</v>
      </c>
      <c r="AH966" t="s">
        <v>880</v>
      </c>
      <c r="AI966" t="s">
        <v>879</v>
      </c>
      <c r="AJ966" t="s">
        <v>878</v>
      </c>
      <c r="AK966" t="s">
        <v>877</v>
      </c>
      <c r="AL966">
        <v>8</v>
      </c>
      <c r="AM966" s="5">
        <f t="shared" si="122"/>
        <v>0.26666666666666666</v>
      </c>
      <c r="AN966" s="4">
        <f t="shared" si="127"/>
        <v>4.0388741638268334E-4</v>
      </c>
      <c r="AO966" s="3"/>
      <c r="AP966">
        <v>0</v>
      </c>
      <c r="AQ966" t="s">
        <v>876</v>
      </c>
      <c r="AR966" t="s">
        <v>875</v>
      </c>
      <c r="AS966" t="s">
        <v>874</v>
      </c>
      <c r="AT966" s="2" t="s">
        <v>16</v>
      </c>
      <c r="AU966" s="1" t="e">
        <f t="shared" si="123"/>
        <v>#VALUE!</v>
      </c>
      <c r="AV966" s="1" t="e">
        <f t="shared" si="124"/>
        <v>#VALUE!</v>
      </c>
      <c r="AW966" s="1" t="e">
        <f t="shared" si="125"/>
        <v>#VALUE!</v>
      </c>
    </row>
    <row r="967" spans="1:49" x14ac:dyDescent="0.2">
      <c r="A967">
        <v>965</v>
      </c>
      <c r="B967" t="s">
        <v>873</v>
      </c>
      <c r="C967" t="s">
        <v>872</v>
      </c>
      <c r="F967" t="s">
        <v>871</v>
      </c>
      <c r="G967" t="s">
        <v>12</v>
      </c>
      <c r="H967" t="s">
        <v>11</v>
      </c>
      <c r="I967" t="s">
        <v>870</v>
      </c>
      <c r="J967">
        <v>60032318</v>
      </c>
      <c r="K967" t="s">
        <v>869</v>
      </c>
      <c r="L967" t="s">
        <v>868</v>
      </c>
      <c r="M967" t="s">
        <v>7</v>
      </c>
      <c r="N967">
        <v>1</v>
      </c>
      <c r="O967" t="s">
        <v>867</v>
      </c>
      <c r="P967">
        <v>57203231921</v>
      </c>
      <c r="Q967">
        <v>60032318</v>
      </c>
      <c r="R967" s="7">
        <v>33604</v>
      </c>
      <c r="S967" s="8">
        <f t="shared" si="120"/>
        <v>1992</v>
      </c>
      <c r="T967" s="8">
        <v>1992</v>
      </c>
      <c r="U967" s="8">
        <f t="shared" si="121"/>
        <v>30</v>
      </c>
      <c r="V967" s="7">
        <v>33695</v>
      </c>
      <c r="W967" t="s">
        <v>866</v>
      </c>
      <c r="X967" s="2" t="s">
        <v>16</v>
      </c>
      <c r="Y967" s="6" t="e">
        <f t="shared" si="126"/>
        <v>#VALUE!</v>
      </c>
      <c r="AA967" t="s">
        <v>865</v>
      </c>
      <c r="AB967">
        <v>12367</v>
      </c>
      <c r="AC967">
        <v>14779730</v>
      </c>
      <c r="AD967" t="s">
        <v>4</v>
      </c>
      <c r="AE967">
        <v>14</v>
      </c>
      <c r="AF967">
        <v>79</v>
      </c>
      <c r="AH967" t="s">
        <v>864</v>
      </c>
      <c r="AI967" t="s">
        <v>863</v>
      </c>
      <c r="AK967" t="s">
        <v>862</v>
      </c>
      <c r="AL967">
        <v>5</v>
      </c>
      <c r="AM967" s="5">
        <f t="shared" si="122"/>
        <v>0.16666666666666666</v>
      </c>
      <c r="AN967" s="4">
        <f t="shared" si="127"/>
        <v>2.5242963523917705E-4</v>
      </c>
      <c r="AO967" s="3"/>
      <c r="AP967">
        <v>0</v>
      </c>
      <c r="AR967" t="s">
        <v>0</v>
      </c>
      <c r="AT967" s="2" t="s">
        <v>16</v>
      </c>
      <c r="AU967" s="1" t="e">
        <f t="shared" si="123"/>
        <v>#VALUE!</v>
      </c>
      <c r="AV967" s="1" t="e">
        <f t="shared" si="124"/>
        <v>#VALUE!</v>
      </c>
      <c r="AW967" s="1" t="e">
        <f t="shared" si="125"/>
        <v>#VALUE!</v>
      </c>
    </row>
    <row r="968" spans="1:49" x14ac:dyDescent="0.2">
      <c r="A968">
        <v>966</v>
      </c>
      <c r="B968" t="s">
        <v>861</v>
      </c>
      <c r="C968" t="s">
        <v>860</v>
      </c>
      <c r="F968" t="s">
        <v>859</v>
      </c>
      <c r="G968" t="s">
        <v>12</v>
      </c>
      <c r="H968" t="s">
        <v>11</v>
      </c>
      <c r="I968" t="s">
        <v>858</v>
      </c>
      <c r="J968">
        <v>116409127</v>
      </c>
      <c r="K968" t="s">
        <v>857</v>
      </c>
      <c r="M968" t="s">
        <v>856</v>
      </c>
      <c r="N968">
        <v>2</v>
      </c>
      <c r="O968" t="s">
        <v>855</v>
      </c>
      <c r="P968" t="s">
        <v>854</v>
      </c>
      <c r="Q968" t="s">
        <v>853</v>
      </c>
      <c r="R968" s="7">
        <v>33604</v>
      </c>
      <c r="S968" s="8">
        <f t="shared" si="120"/>
        <v>1992</v>
      </c>
      <c r="T968" s="8">
        <v>1992</v>
      </c>
      <c r="U968" s="8">
        <f t="shared" si="121"/>
        <v>30</v>
      </c>
      <c r="V968" s="7">
        <v>33725</v>
      </c>
      <c r="W968" t="s">
        <v>852</v>
      </c>
      <c r="X968" s="2">
        <v>0.56200000000000006</v>
      </c>
      <c r="Y968" s="6">
        <f t="shared" si="126"/>
        <v>1.5002269026454181E-2</v>
      </c>
      <c r="AA968">
        <v>3734633</v>
      </c>
      <c r="AB968">
        <v>25659</v>
      </c>
      <c r="AC968">
        <v>14697785</v>
      </c>
      <c r="AD968" t="s">
        <v>4</v>
      </c>
      <c r="AE968">
        <v>45</v>
      </c>
      <c r="AF968">
        <v>2</v>
      </c>
      <c r="AH968" t="s">
        <v>851</v>
      </c>
      <c r="AI968" t="s">
        <v>850</v>
      </c>
      <c r="AJ968" t="s">
        <v>849</v>
      </c>
      <c r="AK968" t="s">
        <v>848</v>
      </c>
      <c r="AL968">
        <v>9</v>
      </c>
      <c r="AM968" s="5">
        <f t="shared" si="122"/>
        <v>0.3</v>
      </c>
      <c r="AN968" s="4">
        <f t="shared" si="127"/>
        <v>4.5437334343051872E-4</v>
      </c>
      <c r="AO968" s="3"/>
      <c r="AP968">
        <v>0</v>
      </c>
      <c r="AQ968" t="s">
        <v>847</v>
      </c>
      <c r="AR968" t="s">
        <v>0</v>
      </c>
      <c r="AS968" t="s">
        <v>846</v>
      </c>
      <c r="AT968" s="2">
        <v>1.9950000000000001</v>
      </c>
      <c r="AU968" s="1">
        <f t="shared" si="123"/>
        <v>1.0637900321547082</v>
      </c>
      <c r="AV968" s="1">
        <f t="shared" si="124"/>
        <v>0.77283211849423505</v>
      </c>
      <c r="AW968" s="1">
        <f t="shared" si="125"/>
        <v>0.4818742048337617</v>
      </c>
    </row>
    <row r="969" spans="1:49" x14ac:dyDescent="0.2">
      <c r="A969">
        <v>967</v>
      </c>
      <c r="B969" t="s">
        <v>845</v>
      </c>
      <c r="C969" t="s">
        <v>844</v>
      </c>
      <c r="F969" t="s">
        <v>843</v>
      </c>
      <c r="G969" t="s">
        <v>12</v>
      </c>
      <c r="H969" t="s">
        <v>11</v>
      </c>
      <c r="I969" t="s">
        <v>842</v>
      </c>
      <c r="J969">
        <v>60023201</v>
      </c>
      <c r="K969" t="s">
        <v>841</v>
      </c>
      <c r="L969" t="s">
        <v>24</v>
      </c>
      <c r="M969" t="s">
        <v>7</v>
      </c>
      <c r="N969">
        <v>2</v>
      </c>
      <c r="O969" t="s">
        <v>840</v>
      </c>
      <c r="P969" t="s">
        <v>839</v>
      </c>
      <c r="Q969" t="s">
        <v>838</v>
      </c>
      <c r="R969" s="7">
        <v>33604</v>
      </c>
      <c r="S969" s="8">
        <f t="shared" si="120"/>
        <v>1992</v>
      </c>
      <c r="T969" s="8">
        <v>1992</v>
      </c>
      <c r="U969" s="8">
        <f t="shared" si="121"/>
        <v>30</v>
      </c>
      <c r="V969" s="7">
        <v>33664</v>
      </c>
      <c r="W969" t="s">
        <v>613</v>
      </c>
      <c r="X969" s="2">
        <v>0.91800000000000004</v>
      </c>
      <c r="Y969" s="6">
        <f t="shared" si="126"/>
        <v>2.4505485705133341E-2</v>
      </c>
      <c r="AA969">
        <v>1431161</v>
      </c>
      <c r="AB969">
        <v>22674</v>
      </c>
      <c r="AC969">
        <v>13665901</v>
      </c>
      <c r="AD969" t="s">
        <v>4</v>
      </c>
      <c r="AE969">
        <v>13</v>
      </c>
      <c r="AF969">
        <v>5</v>
      </c>
      <c r="AH969" t="s">
        <v>837</v>
      </c>
      <c r="AI969" t="s">
        <v>836</v>
      </c>
      <c r="AK969" t="s">
        <v>835</v>
      </c>
      <c r="AL969">
        <v>3</v>
      </c>
      <c r="AM969" s="5">
        <f t="shared" si="122"/>
        <v>0.1</v>
      </c>
      <c r="AN969" s="4">
        <f t="shared" si="127"/>
        <v>1.5145778114350627E-4</v>
      </c>
      <c r="AO969" s="3"/>
      <c r="AP969">
        <v>0</v>
      </c>
      <c r="AQ969" t="s">
        <v>190</v>
      </c>
      <c r="AR969" t="s">
        <v>834</v>
      </c>
      <c r="AS969" t="s">
        <v>188</v>
      </c>
      <c r="AT969" s="2" t="s">
        <v>16</v>
      </c>
      <c r="AU969" s="1">
        <f t="shared" si="123"/>
        <v>1.7199277327936389</v>
      </c>
      <c r="AV969" s="1">
        <f t="shared" si="124"/>
        <v>1.2328471743138423</v>
      </c>
      <c r="AW969" s="1">
        <f t="shared" si="125"/>
        <v>0.74576661583404558</v>
      </c>
    </row>
    <row r="970" spans="1:49" x14ac:dyDescent="0.2">
      <c r="A970">
        <v>968</v>
      </c>
      <c r="B970" t="s">
        <v>833</v>
      </c>
      <c r="C970" t="s">
        <v>832</v>
      </c>
      <c r="F970" t="s">
        <v>831</v>
      </c>
      <c r="G970" t="s">
        <v>12</v>
      </c>
      <c r="H970" t="s">
        <v>11</v>
      </c>
      <c r="I970" t="s">
        <v>830</v>
      </c>
      <c r="N970">
        <v>1</v>
      </c>
      <c r="O970" t="s">
        <v>829</v>
      </c>
      <c r="P970">
        <v>7004586388</v>
      </c>
      <c r="R970" s="7">
        <v>33604</v>
      </c>
      <c r="S970" s="8">
        <f t="shared" si="120"/>
        <v>1992</v>
      </c>
      <c r="T970" s="8">
        <v>1992</v>
      </c>
      <c r="U970" s="8">
        <f t="shared" si="121"/>
        <v>30</v>
      </c>
      <c r="V970" s="7">
        <v>1992</v>
      </c>
      <c r="W970" t="s">
        <v>828</v>
      </c>
      <c r="X970" s="2">
        <v>1.67</v>
      </c>
      <c r="Y970" s="6">
        <f t="shared" si="126"/>
        <v>4.4579696217399427E-2</v>
      </c>
      <c r="AA970">
        <v>1480227</v>
      </c>
      <c r="AB970">
        <v>28428</v>
      </c>
      <c r="AD970" t="s">
        <v>4</v>
      </c>
      <c r="AE970">
        <v>97</v>
      </c>
      <c r="AF970" t="s">
        <v>827</v>
      </c>
      <c r="AH970" t="s">
        <v>826</v>
      </c>
      <c r="AI970" t="s">
        <v>825</v>
      </c>
      <c r="AK970" t="s">
        <v>824</v>
      </c>
      <c r="AL970">
        <v>9</v>
      </c>
      <c r="AM970" s="5">
        <f t="shared" si="122"/>
        <v>0.3</v>
      </c>
      <c r="AN970" s="4">
        <f t="shared" si="127"/>
        <v>4.5437334343051872E-4</v>
      </c>
      <c r="AO970" s="3"/>
      <c r="AP970">
        <v>0</v>
      </c>
      <c r="AR970" t="s">
        <v>0</v>
      </c>
      <c r="AT970" s="2" t="s">
        <v>16</v>
      </c>
      <c r="AU970" s="1">
        <f t="shared" si="123"/>
        <v>3.1342099355208748</v>
      </c>
      <c r="AV970" s="1">
        <f t="shared" si="124"/>
        <v>2.2517034780414975</v>
      </c>
      <c r="AW970" s="1">
        <f t="shared" si="125"/>
        <v>1.3691970205621191</v>
      </c>
    </row>
    <row r="971" spans="1:49" x14ac:dyDescent="0.2">
      <c r="A971">
        <v>969</v>
      </c>
      <c r="B971" t="s">
        <v>823</v>
      </c>
      <c r="C971" t="s">
        <v>822</v>
      </c>
      <c r="F971" t="s">
        <v>821</v>
      </c>
      <c r="G971" t="s">
        <v>12</v>
      </c>
      <c r="H971" t="s">
        <v>11</v>
      </c>
      <c r="I971" t="s">
        <v>820</v>
      </c>
      <c r="J971">
        <v>60030718</v>
      </c>
      <c r="K971" t="s">
        <v>819</v>
      </c>
      <c r="L971" t="s">
        <v>818</v>
      </c>
      <c r="M971" t="s">
        <v>817</v>
      </c>
      <c r="N971">
        <v>2</v>
      </c>
      <c r="O971" t="s">
        <v>816</v>
      </c>
      <c r="P971" t="s">
        <v>815</v>
      </c>
      <c r="Q971" t="s">
        <v>814</v>
      </c>
      <c r="R971" s="7">
        <v>33604</v>
      </c>
      <c r="S971" s="8">
        <f t="shared" si="120"/>
        <v>1992</v>
      </c>
      <c r="T971" s="8">
        <v>1992</v>
      </c>
      <c r="U971" s="8">
        <f t="shared" si="121"/>
        <v>30</v>
      </c>
      <c r="V971" s="7">
        <v>33664</v>
      </c>
      <c r="W971" t="s">
        <v>813</v>
      </c>
      <c r="X971" s="2">
        <v>1.294</v>
      </c>
      <c r="Y971" s="6">
        <f t="shared" si="126"/>
        <v>3.4542590961266384E-2</v>
      </c>
      <c r="AA971">
        <v>1979337</v>
      </c>
      <c r="AB971">
        <v>25751</v>
      </c>
      <c r="AC971">
        <v>10969837</v>
      </c>
      <c r="AD971" t="s">
        <v>4</v>
      </c>
      <c r="AE971">
        <v>17</v>
      </c>
      <c r="AF971">
        <v>2</v>
      </c>
      <c r="AH971" t="s">
        <v>812</v>
      </c>
      <c r="AI971" t="s">
        <v>811</v>
      </c>
      <c r="AJ971" t="s">
        <v>810</v>
      </c>
      <c r="AK971" t="s">
        <v>809</v>
      </c>
      <c r="AL971">
        <v>107</v>
      </c>
      <c r="AM971" s="5">
        <f t="shared" si="122"/>
        <v>3.5666666666666669</v>
      </c>
      <c r="AN971" s="4">
        <f t="shared" si="127"/>
        <v>5.40199419411839E-3</v>
      </c>
      <c r="AO971" s="3"/>
      <c r="AP971">
        <v>0</v>
      </c>
      <c r="AR971" t="s">
        <v>0</v>
      </c>
      <c r="AT971" s="2">
        <v>4.133</v>
      </c>
      <c r="AU971" s="1">
        <f t="shared" si="123"/>
        <v>2.5800411931121983</v>
      </c>
      <c r="AV971" s="1">
        <f t="shared" si="124"/>
        <v>1.9972292577692385</v>
      </c>
      <c r="AW971" s="1">
        <f t="shared" si="125"/>
        <v>1.4144173224262788</v>
      </c>
    </row>
    <row r="972" spans="1:49" x14ac:dyDescent="0.2">
      <c r="A972">
        <v>970</v>
      </c>
      <c r="B972" t="s">
        <v>808</v>
      </c>
      <c r="C972" t="s">
        <v>807</v>
      </c>
      <c r="F972" t="s">
        <v>806</v>
      </c>
      <c r="G972" t="s">
        <v>12</v>
      </c>
      <c r="H972" t="s">
        <v>11</v>
      </c>
      <c r="I972" t="s">
        <v>805</v>
      </c>
      <c r="J972">
        <v>60011001</v>
      </c>
      <c r="K972" t="s">
        <v>804</v>
      </c>
      <c r="L972" t="s">
        <v>803</v>
      </c>
      <c r="M972" t="s">
        <v>151</v>
      </c>
      <c r="N972">
        <v>1</v>
      </c>
      <c r="O972" t="s">
        <v>802</v>
      </c>
      <c r="P972">
        <v>35598897600</v>
      </c>
      <c r="Q972">
        <v>60011001</v>
      </c>
      <c r="R972" s="7">
        <v>33604</v>
      </c>
      <c r="S972" s="8">
        <f t="shared" si="120"/>
        <v>1992</v>
      </c>
      <c r="T972" s="8">
        <v>1992</v>
      </c>
      <c r="U972" s="8">
        <f t="shared" si="121"/>
        <v>30</v>
      </c>
      <c r="V972" s="7">
        <v>1992</v>
      </c>
      <c r="W972" t="s">
        <v>801</v>
      </c>
      <c r="X972" s="2" t="s">
        <v>16</v>
      </c>
      <c r="Y972" s="6" t="e">
        <f t="shared" si="126"/>
        <v>#VALUE!</v>
      </c>
      <c r="AB972">
        <v>13549</v>
      </c>
      <c r="AD972" t="s">
        <v>4</v>
      </c>
      <c r="AE972">
        <v>9</v>
      </c>
      <c r="AF972">
        <v>1</v>
      </c>
      <c r="AH972" s="10">
        <v>41699</v>
      </c>
      <c r="AI972" t="s">
        <v>800</v>
      </c>
      <c r="AK972" t="s">
        <v>799</v>
      </c>
      <c r="AL972">
        <v>14</v>
      </c>
      <c r="AM972" s="5">
        <f t="shared" si="122"/>
        <v>0.46666666666666667</v>
      </c>
      <c r="AN972" s="4">
        <f t="shared" si="127"/>
        <v>7.0680297866969582E-4</v>
      </c>
      <c r="AO972" s="3"/>
      <c r="AP972">
        <v>0</v>
      </c>
      <c r="AR972" t="s">
        <v>0</v>
      </c>
      <c r="AT972" s="2" t="s">
        <v>16</v>
      </c>
      <c r="AU972" s="1" t="e">
        <f t="shared" si="123"/>
        <v>#VALUE!</v>
      </c>
      <c r="AV972" s="1" t="e">
        <f t="shared" si="124"/>
        <v>#VALUE!</v>
      </c>
      <c r="AW972" s="1" t="e">
        <f t="shared" si="125"/>
        <v>#VALUE!</v>
      </c>
    </row>
    <row r="973" spans="1:49" x14ac:dyDescent="0.2">
      <c r="A973">
        <v>971</v>
      </c>
      <c r="B973" t="s">
        <v>798</v>
      </c>
      <c r="F973" t="s">
        <v>797</v>
      </c>
      <c r="G973" t="s">
        <v>12</v>
      </c>
      <c r="H973" t="s">
        <v>11</v>
      </c>
      <c r="I973" t="s">
        <v>796</v>
      </c>
      <c r="J973">
        <v>101180665</v>
      </c>
      <c r="K973" t="s">
        <v>795</v>
      </c>
      <c r="L973" t="s">
        <v>618</v>
      </c>
      <c r="M973" t="s">
        <v>617</v>
      </c>
      <c r="N973">
        <v>1</v>
      </c>
      <c r="O973" t="s">
        <v>794</v>
      </c>
      <c r="P973">
        <v>6507156773</v>
      </c>
      <c r="Q973">
        <v>101180665</v>
      </c>
      <c r="R973" s="7">
        <v>33604</v>
      </c>
      <c r="S973" s="8">
        <f t="shared" si="120"/>
        <v>1992</v>
      </c>
      <c r="T973" s="8">
        <v>1992</v>
      </c>
      <c r="U973" s="8">
        <f t="shared" si="121"/>
        <v>30</v>
      </c>
      <c r="V973" s="7">
        <v>33604</v>
      </c>
      <c r="W973" t="s">
        <v>793</v>
      </c>
      <c r="X973" s="2" t="s">
        <v>16</v>
      </c>
      <c r="Y973" s="6" t="e">
        <f t="shared" si="126"/>
        <v>#VALUE!</v>
      </c>
      <c r="AA973">
        <v>9248625</v>
      </c>
      <c r="AB973">
        <v>12897</v>
      </c>
      <c r="AD973" t="s">
        <v>4</v>
      </c>
      <c r="AE973">
        <v>10</v>
      </c>
      <c r="AF973">
        <v>1</v>
      </c>
      <c r="AH973" t="s">
        <v>792</v>
      </c>
      <c r="AI973" t="s">
        <v>791</v>
      </c>
      <c r="AK973" t="s">
        <v>790</v>
      </c>
      <c r="AL973">
        <v>0</v>
      </c>
      <c r="AM973" s="5">
        <f t="shared" si="122"/>
        <v>0</v>
      </c>
      <c r="AN973" s="4">
        <f t="shared" si="127"/>
        <v>0</v>
      </c>
      <c r="AO973" s="3"/>
      <c r="AP973">
        <v>0</v>
      </c>
      <c r="AR973" t="s">
        <v>0</v>
      </c>
      <c r="AT973" s="2" t="s">
        <v>16</v>
      </c>
      <c r="AU973" s="1" t="e">
        <f t="shared" si="123"/>
        <v>#VALUE!</v>
      </c>
      <c r="AV973" s="1" t="e">
        <f t="shared" si="124"/>
        <v>#VALUE!</v>
      </c>
      <c r="AW973" s="1" t="e">
        <f t="shared" si="125"/>
        <v>#VALUE!</v>
      </c>
    </row>
    <row r="974" spans="1:49" x14ac:dyDescent="0.2">
      <c r="A974">
        <v>972</v>
      </c>
      <c r="B974" t="s">
        <v>789</v>
      </c>
      <c r="C974" t="s">
        <v>788</v>
      </c>
      <c r="D974">
        <v>273117792901976</v>
      </c>
      <c r="F974" t="s">
        <v>787</v>
      </c>
      <c r="G974" t="s">
        <v>12</v>
      </c>
      <c r="H974" t="s">
        <v>11</v>
      </c>
      <c r="I974" t="s">
        <v>786</v>
      </c>
      <c r="J974" t="s">
        <v>785</v>
      </c>
      <c r="K974" t="s">
        <v>784</v>
      </c>
      <c r="L974" t="s">
        <v>783</v>
      </c>
      <c r="M974" t="s">
        <v>782</v>
      </c>
      <c r="N974">
        <v>4</v>
      </c>
      <c r="O974" t="s">
        <v>781</v>
      </c>
      <c r="P974" t="s">
        <v>780</v>
      </c>
      <c r="Q974" t="s">
        <v>779</v>
      </c>
      <c r="R974" s="7">
        <v>33604</v>
      </c>
      <c r="S974" s="8">
        <f t="shared" si="120"/>
        <v>1992</v>
      </c>
      <c r="T974" s="8">
        <v>1992</v>
      </c>
      <c r="U974" s="8">
        <f t="shared" si="121"/>
        <v>30</v>
      </c>
      <c r="V974" s="7">
        <v>33786</v>
      </c>
      <c r="W974" t="s">
        <v>676</v>
      </c>
      <c r="X974" s="2">
        <v>0.68200000000000005</v>
      </c>
      <c r="Y974" s="6">
        <f t="shared" si="126"/>
        <v>1.8205600491177493E-2</v>
      </c>
      <c r="AA974">
        <v>2731177</v>
      </c>
      <c r="AB974">
        <v>12375</v>
      </c>
      <c r="AD974" t="s">
        <v>4</v>
      </c>
      <c r="AE974">
        <v>12</v>
      </c>
      <c r="AF974">
        <v>7</v>
      </c>
      <c r="AH974" t="s">
        <v>778</v>
      </c>
      <c r="AI974" t="s">
        <v>777</v>
      </c>
      <c r="AK974" t="s">
        <v>776</v>
      </c>
      <c r="AL974">
        <v>0</v>
      </c>
      <c r="AM974" s="5">
        <f t="shared" si="122"/>
        <v>0</v>
      </c>
      <c r="AN974" s="4">
        <f t="shared" si="127"/>
        <v>0</v>
      </c>
      <c r="AO974" s="3"/>
      <c r="AP974">
        <v>0</v>
      </c>
      <c r="AR974" t="s">
        <v>0</v>
      </c>
      <c r="AT974" s="2">
        <v>2.1520000000000001</v>
      </c>
      <c r="AU974" s="1">
        <f t="shared" si="123"/>
        <v>1.2743920343824244</v>
      </c>
      <c r="AV974" s="1">
        <f t="shared" si="124"/>
        <v>0.91028002455887469</v>
      </c>
      <c r="AW974" s="1">
        <f t="shared" si="125"/>
        <v>0.54616801473532472</v>
      </c>
    </row>
    <row r="975" spans="1:49" x14ac:dyDescent="0.2">
      <c r="A975">
        <v>973</v>
      </c>
      <c r="B975" t="s">
        <v>775</v>
      </c>
      <c r="C975" t="s">
        <v>774</v>
      </c>
      <c r="E975">
        <v>1334133</v>
      </c>
      <c r="F975" t="s">
        <v>773</v>
      </c>
      <c r="G975" t="s">
        <v>12</v>
      </c>
      <c r="H975" t="s">
        <v>11</v>
      </c>
      <c r="I975" t="s">
        <v>772</v>
      </c>
      <c r="J975">
        <v>60005455</v>
      </c>
      <c r="K975" t="s">
        <v>647</v>
      </c>
      <c r="L975" t="s">
        <v>646</v>
      </c>
      <c r="M975" t="s">
        <v>7</v>
      </c>
      <c r="N975">
        <v>4</v>
      </c>
      <c r="O975" t="s">
        <v>771</v>
      </c>
      <c r="P975" t="s">
        <v>770</v>
      </c>
      <c r="Q975" t="s">
        <v>769</v>
      </c>
      <c r="R975" s="7">
        <v>33604</v>
      </c>
      <c r="S975" s="8">
        <f t="shared" si="120"/>
        <v>1992</v>
      </c>
      <c r="T975" s="8">
        <v>1992</v>
      </c>
      <c r="U975" s="8">
        <f t="shared" si="121"/>
        <v>30</v>
      </c>
      <c r="V975" s="7">
        <v>33878</v>
      </c>
      <c r="W975" t="s">
        <v>642</v>
      </c>
      <c r="X975" s="2" t="s">
        <v>16</v>
      </c>
      <c r="Y975" s="6" t="e">
        <f t="shared" si="126"/>
        <v>#VALUE!</v>
      </c>
      <c r="AA975">
        <v>223034</v>
      </c>
      <c r="AB975">
        <v>23463</v>
      </c>
      <c r="AC975">
        <v>10974695</v>
      </c>
      <c r="AD975" t="s">
        <v>4</v>
      </c>
      <c r="AE975">
        <v>23</v>
      </c>
      <c r="AF975">
        <v>8</v>
      </c>
      <c r="AH975" t="s">
        <v>768</v>
      </c>
      <c r="AI975" t="s">
        <v>767</v>
      </c>
      <c r="AJ975" t="s">
        <v>766</v>
      </c>
      <c r="AK975" t="s">
        <v>765</v>
      </c>
      <c r="AL975">
        <v>51</v>
      </c>
      <c r="AM975" s="5">
        <f t="shared" si="122"/>
        <v>1.7</v>
      </c>
      <c r="AN975" s="4">
        <f t="shared" si="127"/>
        <v>2.5747822794396063E-3</v>
      </c>
      <c r="AO975" s="3"/>
      <c r="AP975">
        <v>0</v>
      </c>
      <c r="AR975" t="s">
        <v>0</v>
      </c>
      <c r="AT975" s="2" t="s">
        <v>16</v>
      </c>
      <c r="AU975" s="1" t="e">
        <f t="shared" si="123"/>
        <v>#VALUE!</v>
      </c>
      <c r="AV975" s="1" t="e">
        <f t="shared" si="124"/>
        <v>#VALUE!</v>
      </c>
      <c r="AW975" s="1" t="e">
        <f t="shared" si="125"/>
        <v>#VALUE!</v>
      </c>
    </row>
    <row r="976" spans="1:49" x14ac:dyDescent="0.2">
      <c r="A976">
        <v>974</v>
      </c>
      <c r="B976" t="s">
        <v>764</v>
      </c>
      <c r="C976" t="s">
        <v>763</v>
      </c>
      <c r="E976">
        <v>1555110</v>
      </c>
      <c r="F976" t="s">
        <v>762</v>
      </c>
      <c r="G976" t="s">
        <v>12</v>
      </c>
      <c r="H976" t="s">
        <v>11</v>
      </c>
      <c r="I976" t="s">
        <v>761</v>
      </c>
      <c r="J976">
        <v>60004960</v>
      </c>
      <c r="K976" t="s">
        <v>760</v>
      </c>
      <c r="L976" t="s">
        <v>759</v>
      </c>
      <c r="M976" t="s">
        <v>7</v>
      </c>
      <c r="N976">
        <v>3</v>
      </c>
      <c r="O976" t="s">
        <v>758</v>
      </c>
      <c r="P976" t="s">
        <v>757</v>
      </c>
      <c r="Q976" t="s">
        <v>756</v>
      </c>
      <c r="R976" s="7">
        <v>33604</v>
      </c>
      <c r="S976" s="8">
        <f t="shared" si="120"/>
        <v>1992</v>
      </c>
      <c r="T976" s="8">
        <v>1992</v>
      </c>
      <c r="U976" s="8">
        <f t="shared" si="121"/>
        <v>30</v>
      </c>
      <c r="V976" s="7">
        <v>1992</v>
      </c>
      <c r="W976" t="s">
        <v>755</v>
      </c>
      <c r="X976" s="2" t="s">
        <v>16</v>
      </c>
      <c r="Y976" s="6" t="e">
        <f t="shared" si="126"/>
        <v>#VALUE!</v>
      </c>
      <c r="AA976">
        <v>68977</v>
      </c>
      <c r="AB976">
        <v>14323</v>
      </c>
      <c r="AD976" t="s">
        <v>4</v>
      </c>
      <c r="AE976">
        <v>39</v>
      </c>
      <c r="AF976">
        <v>2</v>
      </c>
      <c r="AH976" t="s">
        <v>754</v>
      </c>
      <c r="AI976" t="s">
        <v>753</v>
      </c>
      <c r="AK976" t="s">
        <v>752</v>
      </c>
      <c r="AL976">
        <v>19</v>
      </c>
      <c r="AM976" s="5">
        <f t="shared" si="122"/>
        <v>0.6333333333333333</v>
      </c>
      <c r="AN976" s="4">
        <f t="shared" si="127"/>
        <v>9.5923261390887281E-4</v>
      </c>
      <c r="AO976" s="3"/>
      <c r="AP976">
        <v>0</v>
      </c>
      <c r="AR976" t="s">
        <v>0</v>
      </c>
      <c r="AT976" s="2" t="s">
        <v>16</v>
      </c>
      <c r="AU976" s="1" t="e">
        <f t="shared" si="123"/>
        <v>#VALUE!</v>
      </c>
      <c r="AV976" s="1" t="e">
        <f t="shared" si="124"/>
        <v>#VALUE!</v>
      </c>
      <c r="AW976" s="1" t="e">
        <f t="shared" si="125"/>
        <v>#VALUE!</v>
      </c>
    </row>
    <row r="977" spans="1:49" x14ac:dyDescent="0.2">
      <c r="A977">
        <v>975</v>
      </c>
      <c r="B977" t="s">
        <v>751</v>
      </c>
      <c r="C977" t="s">
        <v>750</v>
      </c>
      <c r="D977" t="s">
        <v>749</v>
      </c>
      <c r="E977">
        <v>1426619</v>
      </c>
      <c r="F977" t="s">
        <v>748</v>
      </c>
      <c r="G977" t="s">
        <v>12</v>
      </c>
      <c r="H977" t="s">
        <v>11</v>
      </c>
      <c r="I977" t="s">
        <v>747</v>
      </c>
      <c r="J977">
        <v>60010674</v>
      </c>
      <c r="K977" t="s">
        <v>746</v>
      </c>
      <c r="L977" t="s">
        <v>745</v>
      </c>
      <c r="M977" t="s">
        <v>151</v>
      </c>
      <c r="N977">
        <v>1</v>
      </c>
      <c r="O977" t="s">
        <v>744</v>
      </c>
      <c r="P977">
        <v>6602951401</v>
      </c>
      <c r="Q977">
        <v>60010674</v>
      </c>
      <c r="R977" s="7">
        <v>33604</v>
      </c>
      <c r="S977" s="8">
        <f t="shared" si="120"/>
        <v>1992</v>
      </c>
      <c r="T977" s="8">
        <v>1992</v>
      </c>
      <c r="U977" s="8">
        <f t="shared" si="121"/>
        <v>30</v>
      </c>
      <c r="V977" s="7">
        <v>33909</v>
      </c>
      <c r="W977" t="s">
        <v>743</v>
      </c>
      <c r="X977" s="2">
        <v>1.77</v>
      </c>
      <c r="Y977" s="6">
        <f t="shared" si="126"/>
        <v>4.7249139104668859E-2</v>
      </c>
      <c r="AA977">
        <v>121606</v>
      </c>
      <c r="AB977">
        <v>14536</v>
      </c>
      <c r="AD977" t="s">
        <v>4</v>
      </c>
      <c r="AE977">
        <v>154</v>
      </c>
      <c r="AF977">
        <v>1</v>
      </c>
      <c r="AH977" t="s">
        <v>742</v>
      </c>
      <c r="AI977" t="s">
        <v>741</v>
      </c>
      <c r="AK977" t="s">
        <v>740</v>
      </c>
      <c r="AL977">
        <v>99</v>
      </c>
      <c r="AM977" s="5">
        <f t="shared" si="122"/>
        <v>3.3</v>
      </c>
      <c r="AN977" s="4">
        <f t="shared" si="127"/>
        <v>4.9981067777357061E-3</v>
      </c>
      <c r="AO977" s="3"/>
      <c r="AP977">
        <v>0</v>
      </c>
      <c r="AR977" t="s">
        <v>0</v>
      </c>
      <c r="AT977" s="2">
        <v>3.5819999999999999</v>
      </c>
      <c r="AU977" s="1">
        <f t="shared" si="123"/>
        <v>3.4573829406588907</v>
      </c>
      <c r="AV977" s="1">
        <f t="shared" si="124"/>
        <v>2.6123622941202282</v>
      </c>
      <c r="AW977" s="1">
        <f t="shared" si="125"/>
        <v>1.7673416475815651</v>
      </c>
    </row>
    <row r="978" spans="1:49" x14ac:dyDescent="0.2">
      <c r="A978">
        <v>976</v>
      </c>
      <c r="B978" t="s">
        <v>739</v>
      </c>
      <c r="C978" t="s">
        <v>738</v>
      </c>
      <c r="F978" t="s">
        <v>737</v>
      </c>
      <c r="G978" t="s">
        <v>12</v>
      </c>
      <c r="H978" t="s">
        <v>11</v>
      </c>
      <c r="I978" t="s">
        <v>736</v>
      </c>
      <c r="J978" t="s">
        <v>735</v>
      </c>
      <c r="K978" t="s">
        <v>734</v>
      </c>
      <c r="L978" t="s">
        <v>733</v>
      </c>
      <c r="M978" t="s">
        <v>125</v>
      </c>
      <c r="N978">
        <v>3</v>
      </c>
      <c r="O978" t="s">
        <v>732</v>
      </c>
      <c r="P978" t="s">
        <v>731</v>
      </c>
      <c r="Q978" t="s">
        <v>730</v>
      </c>
      <c r="R978" s="7">
        <v>33604</v>
      </c>
      <c r="S978" s="8">
        <f t="shared" ref="S978:S1033" si="128">YEAR(R978)</f>
        <v>1992</v>
      </c>
      <c r="T978" s="8">
        <v>1992</v>
      </c>
      <c r="U978" s="8">
        <f t="shared" ref="U978:U1033" si="129">2022-T978</f>
        <v>30</v>
      </c>
      <c r="V978" s="7">
        <v>33708</v>
      </c>
      <c r="W978" t="s">
        <v>729</v>
      </c>
      <c r="X978" s="2" t="s">
        <v>16</v>
      </c>
      <c r="Y978" s="6" t="e">
        <f t="shared" si="126"/>
        <v>#VALUE!</v>
      </c>
      <c r="AA978">
        <v>963941</v>
      </c>
      <c r="AB978">
        <v>27895</v>
      </c>
      <c r="AC978">
        <v>23249250</v>
      </c>
      <c r="AD978" t="s">
        <v>4</v>
      </c>
      <c r="AE978">
        <v>73</v>
      </c>
      <c r="AF978">
        <v>15</v>
      </c>
      <c r="AH978" t="s">
        <v>728</v>
      </c>
      <c r="AI978" t="s">
        <v>727</v>
      </c>
      <c r="AK978" t="s">
        <v>726</v>
      </c>
      <c r="AL978">
        <v>2</v>
      </c>
      <c r="AM978" s="5">
        <f t="shared" ref="AM978:AM1033" si="130">AL978/U978</f>
        <v>6.6666666666666666E-2</v>
      </c>
      <c r="AN978" s="4">
        <f t="shared" si="127"/>
        <v>1.0097185409567084E-4</v>
      </c>
      <c r="AO978" s="3"/>
      <c r="AP978">
        <v>0</v>
      </c>
      <c r="AR978" t="s">
        <v>0</v>
      </c>
      <c r="AT978" s="2" t="s">
        <v>16</v>
      </c>
      <c r="AU978" s="1" t="e">
        <f t="shared" ref="AU978:AU1033" si="131">(Y978*0.7+AN978*0.3)*100</f>
        <v>#VALUE!</v>
      </c>
      <c r="AV978" s="1" t="e">
        <f t="shared" ref="AV978:AV1033" si="132">(Y978*0.5+AN978*0.5)*100</f>
        <v>#VALUE!</v>
      </c>
      <c r="AW978" s="1" t="e">
        <f t="shared" ref="AW978:AW1033" si="133">(Y978*0.3+AN978*0.7)*100</f>
        <v>#VALUE!</v>
      </c>
    </row>
    <row r="979" spans="1:49" x14ac:dyDescent="0.2">
      <c r="A979">
        <v>977</v>
      </c>
      <c r="B979" t="s">
        <v>725</v>
      </c>
      <c r="F979" t="s">
        <v>724</v>
      </c>
      <c r="G979" t="s">
        <v>12</v>
      </c>
      <c r="H979" t="s">
        <v>11</v>
      </c>
      <c r="I979" t="s">
        <v>723</v>
      </c>
      <c r="N979">
        <v>2</v>
      </c>
      <c r="O979" t="s">
        <v>722</v>
      </c>
      <c r="P979" t="s">
        <v>721</v>
      </c>
      <c r="Q979" t="s">
        <v>720</v>
      </c>
      <c r="R979" s="7">
        <v>33604</v>
      </c>
      <c r="S979" s="8">
        <f t="shared" si="128"/>
        <v>1992</v>
      </c>
      <c r="T979" s="8">
        <v>1992</v>
      </c>
      <c r="U979" s="8">
        <f t="shared" si="129"/>
        <v>30</v>
      </c>
      <c r="V979" s="7">
        <v>33604</v>
      </c>
      <c r="W979" t="s">
        <v>590</v>
      </c>
      <c r="X979" s="2">
        <v>0.14099999999999999</v>
      </c>
      <c r="Y979" s="6">
        <f t="shared" si="126"/>
        <v>3.7639144710498915E-3</v>
      </c>
      <c r="AA979">
        <v>402508</v>
      </c>
      <c r="AB979">
        <v>20868</v>
      </c>
      <c r="AD979" t="s">
        <v>4</v>
      </c>
      <c r="AE979">
        <v>47</v>
      </c>
      <c r="AF979">
        <v>1</v>
      </c>
      <c r="AH979" t="s">
        <v>719</v>
      </c>
      <c r="AI979" t="s">
        <v>718</v>
      </c>
      <c r="AK979" t="s">
        <v>717</v>
      </c>
      <c r="AL979">
        <v>0</v>
      </c>
      <c r="AM979" s="5">
        <f t="shared" si="130"/>
        <v>0</v>
      </c>
      <c r="AN979" s="4">
        <f t="shared" si="127"/>
        <v>0</v>
      </c>
      <c r="AO979" s="3"/>
      <c r="AP979">
        <v>0</v>
      </c>
      <c r="AR979" t="s">
        <v>0</v>
      </c>
      <c r="AT979" s="2" t="s">
        <v>16</v>
      </c>
      <c r="AU979" s="1">
        <f t="shared" si="131"/>
        <v>0.26347401297349238</v>
      </c>
      <c r="AV979" s="1">
        <f t="shared" si="132"/>
        <v>0.18819572355249459</v>
      </c>
      <c r="AW979" s="1">
        <f t="shared" si="133"/>
        <v>0.11291743413149673</v>
      </c>
    </row>
    <row r="980" spans="1:49" x14ac:dyDescent="0.2">
      <c r="A980">
        <v>978</v>
      </c>
      <c r="B980" t="s">
        <v>716</v>
      </c>
      <c r="C980" t="s">
        <v>715</v>
      </c>
      <c r="D980" t="s">
        <v>714</v>
      </c>
      <c r="F980" t="s">
        <v>713</v>
      </c>
      <c r="G980" t="s">
        <v>12</v>
      </c>
      <c r="H980" t="s">
        <v>11</v>
      </c>
      <c r="I980" t="s">
        <v>712</v>
      </c>
      <c r="J980">
        <v>60000145</v>
      </c>
      <c r="K980" t="s">
        <v>369</v>
      </c>
      <c r="L980" t="s">
        <v>368</v>
      </c>
      <c r="M980" t="s">
        <v>367</v>
      </c>
      <c r="N980">
        <v>1</v>
      </c>
      <c r="O980" t="s">
        <v>711</v>
      </c>
      <c r="P980">
        <v>6602512778</v>
      </c>
      <c r="Q980">
        <v>60000145</v>
      </c>
      <c r="R980" s="7">
        <v>33604</v>
      </c>
      <c r="S980" s="8">
        <f t="shared" si="128"/>
        <v>1992</v>
      </c>
      <c r="T980" s="8">
        <v>1992</v>
      </c>
      <c r="U980" s="8">
        <f t="shared" si="129"/>
        <v>30</v>
      </c>
      <c r="V980" s="7">
        <v>33939</v>
      </c>
      <c r="W980" t="s">
        <v>710</v>
      </c>
      <c r="X980" s="2">
        <v>0.78400000000000003</v>
      </c>
      <c r="Y980" s="6">
        <f t="shared" si="126"/>
        <v>2.0928432236192309E-2</v>
      </c>
      <c r="AA980">
        <v>3766357</v>
      </c>
      <c r="AB980">
        <v>14288</v>
      </c>
      <c r="AD980" t="s">
        <v>4</v>
      </c>
      <c r="AE980">
        <v>28</v>
      </c>
      <c r="AF980" s="9">
        <v>44228</v>
      </c>
      <c r="AH980" t="s">
        <v>709</v>
      </c>
      <c r="AI980" t="s">
        <v>708</v>
      </c>
      <c r="AJ980" t="s">
        <v>707</v>
      </c>
      <c r="AK980" t="s">
        <v>706</v>
      </c>
      <c r="AL980">
        <v>13</v>
      </c>
      <c r="AM980" s="5">
        <f t="shared" si="130"/>
        <v>0.43333333333333335</v>
      </c>
      <c r="AN980" s="4">
        <f t="shared" si="127"/>
        <v>6.5631705162186044E-4</v>
      </c>
      <c r="AO980" s="3"/>
      <c r="AP980">
        <v>0</v>
      </c>
      <c r="AQ980" t="s">
        <v>705</v>
      </c>
      <c r="AR980" t="s">
        <v>0</v>
      </c>
      <c r="AS980" t="s">
        <v>704</v>
      </c>
      <c r="AT980" s="2">
        <v>1.7769999999999999</v>
      </c>
      <c r="AU980" s="1">
        <f t="shared" si="131"/>
        <v>1.4846797680821173</v>
      </c>
      <c r="AV980" s="1">
        <f t="shared" si="132"/>
        <v>1.0792374643907083</v>
      </c>
      <c r="AW980" s="1">
        <f t="shared" si="133"/>
        <v>0.67379516069929946</v>
      </c>
    </row>
    <row r="981" spans="1:49" x14ac:dyDescent="0.2">
      <c r="A981">
        <v>979</v>
      </c>
      <c r="B981" t="s">
        <v>703</v>
      </c>
      <c r="F981" t="s">
        <v>702</v>
      </c>
      <c r="G981" t="s">
        <v>12</v>
      </c>
      <c r="H981" t="s">
        <v>11</v>
      </c>
      <c r="I981" t="s">
        <v>701</v>
      </c>
      <c r="N981">
        <v>1</v>
      </c>
      <c r="O981" t="s">
        <v>700</v>
      </c>
      <c r="P981">
        <v>7004753376</v>
      </c>
      <c r="R981" s="7">
        <v>33604</v>
      </c>
      <c r="S981" s="8">
        <f t="shared" si="128"/>
        <v>1992</v>
      </c>
      <c r="T981" s="8">
        <v>1992</v>
      </c>
      <c r="U981" s="8">
        <f t="shared" si="129"/>
        <v>30</v>
      </c>
      <c r="V981" s="7">
        <v>33604</v>
      </c>
      <c r="W981" t="s">
        <v>590</v>
      </c>
      <c r="X981" s="2">
        <v>0.14099999999999999</v>
      </c>
      <c r="Y981" s="6">
        <f t="shared" si="126"/>
        <v>3.7639144710498915E-3</v>
      </c>
      <c r="AA981">
        <v>402508</v>
      </c>
      <c r="AB981">
        <v>20868</v>
      </c>
      <c r="AD981" t="s">
        <v>4</v>
      </c>
      <c r="AE981">
        <v>47</v>
      </c>
      <c r="AF981">
        <v>1</v>
      </c>
      <c r="AH981" t="s">
        <v>699</v>
      </c>
      <c r="AI981" t="s">
        <v>698</v>
      </c>
      <c r="AK981" t="s">
        <v>697</v>
      </c>
      <c r="AL981">
        <v>0</v>
      </c>
      <c r="AM981" s="5">
        <f t="shared" si="130"/>
        <v>0</v>
      </c>
      <c r="AN981" s="4">
        <f t="shared" si="127"/>
        <v>0</v>
      </c>
      <c r="AO981" s="3"/>
      <c r="AP981">
        <v>0</v>
      </c>
      <c r="AR981" t="s">
        <v>0</v>
      </c>
      <c r="AT981" s="2" t="s">
        <v>16</v>
      </c>
      <c r="AU981" s="1">
        <f t="shared" si="131"/>
        <v>0.26347401297349238</v>
      </c>
      <c r="AV981" s="1">
        <f t="shared" si="132"/>
        <v>0.18819572355249459</v>
      </c>
      <c r="AW981" s="1">
        <f t="shared" si="133"/>
        <v>0.11291743413149673</v>
      </c>
    </row>
    <row r="982" spans="1:49" x14ac:dyDescent="0.2">
      <c r="A982">
        <v>980</v>
      </c>
      <c r="B982" t="s">
        <v>696</v>
      </c>
      <c r="C982" t="s">
        <v>695</v>
      </c>
      <c r="D982" t="s">
        <v>694</v>
      </c>
      <c r="F982" t="s">
        <v>693</v>
      </c>
      <c r="G982" t="s">
        <v>12</v>
      </c>
      <c r="H982" t="s">
        <v>11</v>
      </c>
      <c r="I982" t="s">
        <v>74</v>
      </c>
      <c r="J982" t="s">
        <v>692</v>
      </c>
      <c r="K982" t="s">
        <v>691</v>
      </c>
      <c r="L982" t="s">
        <v>690</v>
      </c>
      <c r="M982" t="s">
        <v>689</v>
      </c>
      <c r="N982">
        <v>7</v>
      </c>
      <c r="O982" t="s">
        <v>688</v>
      </c>
      <c r="P982" t="s">
        <v>687</v>
      </c>
      <c r="Q982" t="s">
        <v>686</v>
      </c>
      <c r="R982" s="7">
        <v>33604</v>
      </c>
      <c r="S982" s="8">
        <f t="shared" si="128"/>
        <v>1992</v>
      </c>
      <c r="T982" s="8">
        <v>1992</v>
      </c>
      <c r="U982" s="8">
        <f t="shared" si="129"/>
        <v>30</v>
      </c>
      <c r="V982" s="7">
        <v>33878</v>
      </c>
      <c r="W982" t="s">
        <v>676</v>
      </c>
      <c r="X982" s="2">
        <v>0.68200000000000005</v>
      </c>
      <c r="Y982" s="6">
        <f t="shared" si="126"/>
        <v>1.8205600491177493E-2</v>
      </c>
      <c r="AA982">
        <v>2731177</v>
      </c>
      <c r="AB982">
        <v>12375</v>
      </c>
      <c r="AD982" t="s">
        <v>4</v>
      </c>
      <c r="AE982">
        <v>12</v>
      </c>
      <c r="AF982">
        <v>10</v>
      </c>
      <c r="AH982" t="s">
        <v>685</v>
      </c>
      <c r="AI982" t="s">
        <v>684</v>
      </c>
      <c r="AK982" t="s">
        <v>683</v>
      </c>
      <c r="AL982">
        <v>5</v>
      </c>
      <c r="AM982" s="5">
        <f t="shared" si="130"/>
        <v>0.16666666666666666</v>
      </c>
      <c r="AN982" s="4">
        <f t="shared" si="127"/>
        <v>2.5242963523917705E-4</v>
      </c>
      <c r="AO982" s="3"/>
      <c r="AP982">
        <v>0</v>
      </c>
      <c r="AR982" t="s">
        <v>0</v>
      </c>
      <c r="AT982" s="2">
        <v>2.1520000000000001</v>
      </c>
      <c r="AU982" s="1">
        <f t="shared" si="131"/>
        <v>1.2819649234395996</v>
      </c>
      <c r="AV982" s="1">
        <f t="shared" si="132"/>
        <v>0.92290150632083345</v>
      </c>
      <c r="AW982" s="1">
        <f t="shared" si="133"/>
        <v>0.56383808920206724</v>
      </c>
    </row>
    <row r="983" spans="1:49" x14ac:dyDescent="0.2">
      <c r="A983">
        <v>981</v>
      </c>
      <c r="B983" t="s">
        <v>682</v>
      </c>
      <c r="C983" t="s">
        <v>681</v>
      </c>
      <c r="D983">
        <v>273117792904454</v>
      </c>
      <c r="F983" t="s">
        <v>680</v>
      </c>
      <c r="G983" t="s">
        <v>12</v>
      </c>
      <c r="H983" t="s">
        <v>11</v>
      </c>
      <c r="I983" t="s">
        <v>74</v>
      </c>
      <c r="J983">
        <v>60191856</v>
      </c>
      <c r="K983" t="s">
        <v>679</v>
      </c>
      <c r="L983" t="s">
        <v>678</v>
      </c>
      <c r="M983" t="s">
        <v>393</v>
      </c>
      <c r="N983">
        <v>1</v>
      </c>
      <c r="O983" t="s">
        <v>677</v>
      </c>
      <c r="P983">
        <v>7006112190</v>
      </c>
      <c r="Q983">
        <v>60191856</v>
      </c>
      <c r="R983" s="7">
        <v>33604</v>
      </c>
      <c r="S983" s="8">
        <f t="shared" si="128"/>
        <v>1992</v>
      </c>
      <c r="T983" s="8">
        <v>1992</v>
      </c>
      <c r="U983" s="8">
        <f t="shared" si="129"/>
        <v>30</v>
      </c>
      <c r="V983" s="7">
        <v>33878</v>
      </c>
      <c r="W983" t="s">
        <v>676</v>
      </c>
      <c r="X983" s="2">
        <v>0.68200000000000005</v>
      </c>
      <c r="Y983" s="6">
        <f t="shared" si="126"/>
        <v>1.8205600491177493E-2</v>
      </c>
      <c r="AA983">
        <v>2731177</v>
      </c>
      <c r="AB983">
        <v>12375</v>
      </c>
      <c r="AD983" t="s">
        <v>4</v>
      </c>
      <c r="AE983">
        <v>12</v>
      </c>
      <c r="AF983">
        <v>10</v>
      </c>
      <c r="AH983" t="s">
        <v>675</v>
      </c>
      <c r="AI983" t="s">
        <v>674</v>
      </c>
      <c r="AK983" t="s">
        <v>673</v>
      </c>
      <c r="AL983">
        <v>13</v>
      </c>
      <c r="AM983" s="5">
        <f t="shared" si="130"/>
        <v>0.43333333333333335</v>
      </c>
      <c r="AN983" s="4">
        <f t="shared" si="127"/>
        <v>6.5631705162186044E-4</v>
      </c>
      <c r="AO983" s="3"/>
      <c r="AP983">
        <v>0</v>
      </c>
      <c r="AR983" t="s">
        <v>0</v>
      </c>
      <c r="AT983" s="2">
        <v>2.1520000000000001</v>
      </c>
      <c r="AU983" s="1">
        <f t="shared" si="131"/>
        <v>1.2940815459310802</v>
      </c>
      <c r="AV983" s="1">
        <f t="shared" si="132"/>
        <v>0.94309587713996768</v>
      </c>
      <c r="AW983" s="1">
        <f t="shared" si="133"/>
        <v>0.59211020834885497</v>
      </c>
    </row>
    <row r="984" spans="1:49" x14ac:dyDescent="0.2">
      <c r="A984">
        <v>982</v>
      </c>
      <c r="B984" t="s">
        <v>672</v>
      </c>
      <c r="C984" t="s">
        <v>671</v>
      </c>
      <c r="F984" t="s">
        <v>670</v>
      </c>
      <c r="G984" t="s">
        <v>12</v>
      </c>
      <c r="H984" t="s">
        <v>11</v>
      </c>
      <c r="I984" t="s">
        <v>669</v>
      </c>
      <c r="J984">
        <v>60103907</v>
      </c>
      <c r="K984" t="s">
        <v>668</v>
      </c>
      <c r="L984" t="s">
        <v>667</v>
      </c>
      <c r="M984" t="s">
        <v>151</v>
      </c>
      <c r="N984">
        <v>1</v>
      </c>
      <c r="O984" t="s">
        <v>666</v>
      </c>
      <c r="P984">
        <v>6701717991</v>
      </c>
      <c r="Q984">
        <v>60103907</v>
      </c>
      <c r="R984" s="7">
        <v>33604</v>
      </c>
      <c r="S984" s="8">
        <f t="shared" si="128"/>
        <v>1992</v>
      </c>
      <c r="T984" s="8">
        <v>1992</v>
      </c>
      <c r="U984" s="8">
        <f t="shared" si="129"/>
        <v>30</v>
      </c>
      <c r="V984" s="7">
        <v>1992</v>
      </c>
      <c r="W984" t="s">
        <v>665</v>
      </c>
      <c r="X984" s="2">
        <v>0.111</v>
      </c>
      <c r="Y984" s="6">
        <f t="shared" si="126"/>
        <v>2.9630816048690639E-3</v>
      </c>
      <c r="AA984">
        <v>87566621</v>
      </c>
      <c r="AB984">
        <v>24890</v>
      </c>
      <c r="AC984">
        <v>15206424</v>
      </c>
      <c r="AD984" t="s">
        <v>4</v>
      </c>
      <c r="AE984">
        <v>75</v>
      </c>
      <c r="AF984">
        <v>1</v>
      </c>
      <c r="AH984" t="s">
        <v>664</v>
      </c>
      <c r="AI984" t="s">
        <v>663</v>
      </c>
      <c r="AK984" t="s">
        <v>662</v>
      </c>
      <c r="AL984">
        <v>0</v>
      </c>
      <c r="AM984" s="5">
        <f t="shared" si="130"/>
        <v>0</v>
      </c>
      <c r="AN984" s="4">
        <f t="shared" si="127"/>
        <v>0</v>
      </c>
      <c r="AO984" s="3"/>
      <c r="AP984">
        <v>0</v>
      </c>
      <c r="AR984" t="s">
        <v>0</v>
      </c>
      <c r="AT984" s="2" t="s">
        <v>16</v>
      </c>
      <c r="AU984" s="1">
        <f t="shared" si="131"/>
        <v>0.20741571234083445</v>
      </c>
      <c r="AV984" s="1">
        <f t="shared" si="132"/>
        <v>0.1481540802434532</v>
      </c>
      <c r="AW984" s="1">
        <f t="shared" si="133"/>
        <v>8.8892448146071903E-2</v>
      </c>
    </row>
    <row r="985" spans="1:49" x14ac:dyDescent="0.2">
      <c r="A985">
        <v>983</v>
      </c>
      <c r="B985" t="s">
        <v>661</v>
      </c>
      <c r="F985" t="s">
        <v>660</v>
      </c>
      <c r="G985" t="s">
        <v>12</v>
      </c>
      <c r="H985" t="s">
        <v>11</v>
      </c>
      <c r="I985" t="s">
        <v>659</v>
      </c>
      <c r="J985">
        <v>60019215</v>
      </c>
      <c r="K985" t="s">
        <v>658</v>
      </c>
      <c r="L985" t="s">
        <v>657</v>
      </c>
      <c r="M985" t="s">
        <v>656</v>
      </c>
      <c r="N985">
        <v>1</v>
      </c>
      <c r="O985" t="s">
        <v>655</v>
      </c>
      <c r="P985">
        <v>7005252554</v>
      </c>
      <c r="Q985">
        <v>60019215</v>
      </c>
      <c r="R985" s="7">
        <v>33604</v>
      </c>
      <c r="S985" s="8">
        <f t="shared" si="128"/>
        <v>1992</v>
      </c>
      <c r="T985" s="8">
        <v>1992</v>
      </c>
      <c r="U985" s="8">
        <f t="shared" si="129"/>
        <v>30</v>
      </c>
      <c r="V985" s="7">
        <v>1992</v>
      </c>
      <c r="W985" t="s">
        <v>654</v>
      </c>
      <c r="X985" s="2" t="s">
        <v>16</v>
      </c>
      <c r="Y985" s="6" t="e">
        <f t="shared" si="126"/>
        <v>#VALUE!</v>
      </c>
      <c r="AB985">
        <v>33897</v>
      </c>
      <c r="AD985" t="s">
        <v>4</v>
      </c>
      <c r="AE985">
        <v>361</v>
      </c>
      <c r="AI985" t="s">
        <v>653</v>
      </c>
      <c r="AK985" t="s">
        <v>652</v>
      </c>
      <c r="AL985">
        <v>16</v>
      </c>
      <c r="AM985" s="5">
        <f t="shared" si="130"/>
        <v>0.53333333333333333</v>
      </c>
      <c r="AN985" s="4">
        <f t="shared" si="127"/>
        <v>8.0777483276536668E-4</v>
      </c>
      <c r="AO985" s="3"/>
      <c r="AP985">
        <v>0</v>
      </c>
      <c r="AR985" t="s">
        <v>0</v>
      </c>
      <c r="AT985" s="2" t="s">
        <v>16</v>
      </c>
      <c r="AU985" s="1" t="e">
        <f t="shared" si="131"/>
        <v>#VALUE!</v>
      </c>
      <c r="AV985" s="1" t="e">
        <f t="shared" si="132"/>
        <v>#VALUE!</v>
      </c>
      <c r="AW985" s="1" t="e">
        <f t="shared" si="133"/>
        <v>#VALUE!</v>
      </c>
    </row>
    <row r="986" spans="1:49" x14ac:dyDescent="0.2">
      <c r="A986">
        <v>984</v>
      </c>
      <c r="B986" t="s">
        <v>651</v>
      </c>
      <c r="C986" t="s">
        <v>650</v>
      </c>
      <c r="E986">
        <v>1460467</v>
      </c>
      <c r="F986" t="s">
        <v>649</v>
      </c>
      <c r="G986" t="s">
        <v>12</v>
      </c>
      <c r="H986" t="s">
        <v>11</v>
      </c>
      <c r="I986" t="s">
        <v>648</v>
      </c>
      <c r="J986">
        <v>60005455</v>
      </c>
      <c r="K986" t="s">
        <v>647</v>
      </c>
      <c r="L986" t="s">
        <v>646</v>
      </c>
      <c r="M986" t="s">
        <v>7</v>
      </c>
      <c r="N986">
        <v>2</v>
      </c>
      <c r="O986" t="s">
        <v>645</v>
      </c>
      <c r="P986" t="s">
        <v>644</v>
      </c>
      <c r="Q986" t="s">
        <v>643</v>
      </c>
      <c r="R986" s="7">
        <v>33604</v>
      </c>
      <c r="S986" s="8">
        <f t="shared" si="128"/>
        <v>1992</v>
      </c>
      <c r="T986" s="8">
        <v>1992</v>
      </c>
      <c r="U986" s="8">
        <f t="shared" si="129"/>
        <v>30</v>
      </c>
      <c r="V986" s="7">
        <v>33878</v>
      </c>
      <c r="W986" t="s">
        <v>642</v>
      </c>
      <c r="X986" s="2" t="s">
        <v>16</v>
      </c>
      <c r="Y986" s="6" t="e">
        <f t="shared" si="126"/>
        <v>#VALUE!</v>
      </c>
      <c r="AA986">
        <v>223034</v>
      </c>
      <c r="AB986">
        <v>23463</v>
      </c>
      <c r="AC986">
        <v>10974695</v>
      </c>
      <c r="AD986" t="s">
        <v>4</v>
      </c>
      <c r="AE986">
        <v>23</v>
      </c>
      <c r="AF986">
        <v>8</v>
      </c>
      <c r="AH986" t="s">
        <v>641</v>
      </c>
      <c r="AI986" t="s">
        <v>640</v>
      </c>
      <c r="AJ986" t="s">
        <v>639</v>
      </c>
      <c r="AK986" t="s">
        <v>638</v>
      </c>
      <c r="AL986">
        <v>93</v>
      </c>
      <c r="AM986" s="5">
        <f t="shared" si="130"/>
        <v>3.1</v>
      </c>
      <c r="AN986" s="4">
        <f t="shared" si="127"/>
        <v>4.6951912154486941E-3</v>
      </c>
      <c r="AO986" s="3"/>
      <c r="AP986">
        <v>0</v>
      </c>
      <c r="AR986" t="s">
        <v>0</v>
      </c>
      <c r="AT986" s="2" t="s">
        <v>16</v>
      </c>
      <c r="AU986" s="1" t="e">
        <f t="shared" si="131"/>
        <v>#VALUE!</v>
      </c>
      <c r="AV986" s="1" t="e">
        <f t="shared" si="132"/>
        <v>#VALUE!</v>
      </c>
      <c r="AW986" s="1" t="e">
        <f t="shared" si="133"/>
        <v>#VALUE!</v>
      </c>
    </row>
    <row r="987" spans="1:49" x14ac:dyDescent="0.2">
      <c r="A987">
        <v>985</v>
      </c>
      <c r="B987" t="s">
        <v>637</v>
      </c>
      <c r="F987" t="s">
        <v>636</v>
      </c>
      <c r="G987" t="s">
        <v>12</v>
      </c>
      <c r="H987" t="s">
        <v>11</v>
      </c>
      <c r="I987" t="s">
        <v>635</v>
      </c>
      <c r="N987">
        <v>1</v>
      </c>
      <c r="O987" t="s">
        <v>634</v>
      </c>
      <c r="P987">
        <v>6603303110</v>
      </c>
      <c r="R987" s="7">
        <v>33604</v>
      </c>
      <c r="S987" s="8">
        <f t="shared" si="128"/>
        <v>1992</v>
      </c>
      <c r="T987" s="8">
        <v>1992</v>
      </c>
      <c r="U987" s="8">
        <f t="shared" si="129"/>
        <v>30</v>
      </c>
      <c r="V987" s="7">
        <v>33604</v>
      </c>
      <c r="W987" t="s">
        <v>590</v>
      </c>
      <c r="X987" s="2">
        <v>0.14099999999999999</v>
      </c>
      <c r="Y987" s="6">
        <f t="shared" si="126"/>
        <v>3.7639144710498915E-3</v>
      </c>
      <c r="AA987">
        <v>402508</v>
      </c>
      <c r="AB987">
        <v>20868</v>
      </c>
      <c r="AD987" t="s">
        <v>4</v>
      </c>
      <c r="AE987">
        <v>47</v>
      </c>
      <c r="AF987">
        <v>1</v>
      </c>
      <c r="AH987" t="s">
        <v>633</v>
      </c>
      <c r="AI987" t="s">
        <v>632</v>
      </c>
      <c r="AK987" t="s">
        <v>631</v>
      </c>
      <c r="AL987">
        <v>1</v>
      </c>
      <c r="AM987" s="5">
        <f t="shared" si="130"/>
        <v>3.3333333333333333E-2</v>
      </c>
      <c r="AN987" s="4">
        <f t="shared" si="127"/>
        <v>5.0485927047835418E-5</v>
      </c>
      <c r="AO987" s="3"/>
      <c r="AP987">
        <v>0</v>
      </c>
      <c r="AR987" t="s">
        <v>0</v>
      </c>
      <c r="AT987" s="2" t="s">
        <v>16</v>
      </c>
      <c r="AU987" s="1">
        <f t="shared" si="131"/>
        <v>0.26498859078492742</v>
      </c>
      <c r="AV987" s="1">
        <f t="shared" si="132"/>
        <v>0.19072001990488635</v>
      </c>
      <c r="AW987" s="1">
        <f t="shared" si="133"/>
        <v>0.11645144902484521</v>
      </c>
    </row>
    <row r="988" spans="1:49" x14ac:dyDescent="0.2">
      <c r="A988">
        <v>986</v>
      </c>
      <c r="B988" t="s">
        <v>630</v>
      </c>
      <c r="F988" t="s">
        <v>629</v>
      </c>
      <c r="G988" t="s">
        <v>12</v>
      </c>
      <c r="H988" t="s">
        <v>11</v>
      </c>
      <c r="I988" t="s">
        <v>628</v>
      </c>
      <c r="N988">
        <v>1</v>
      </c>
      <c r="O988" t="s">
        <v>627</v>
      </c>
      <c r="P988">
        <v>6602285330</v>
      </c>
      <c r="R988" s="7">
        <v>33604</v>
      </c>
      <c r="S988" s="8">
        <f t="shared" si="128"/>
        <v>1992</v>
      </c>
      <c r="T988" s="8">
        <v>1992</v>
      </c>
      <c r="U988" s="8">
        <f t="shared" si="129"/>
        <v>30</v>
      </c>
      <c r="V988" s="7">
        <v>33604</v>
      </c>
      <c r="W988" t="s">
        <v>590</v>
      </c>
      <c r="X988" s="2">
        <v>0.14099999999999999</v>
      </c>
      <c r="Y988" s="6">
        <f t="shared" si="126"/>
        <v>3.7639144710498915E-3</v>
      </c>
      <c r="AA988">
        <v>402508</v>
      </c>
      <c r="AB988">
        <v>20868</v>
      </c>
      <c r="AD988" t="s">
        <v>4</v>
      </c>
      <c r="AE988">
        <v>47</v>
      </c>
      <c r="AF988">
        <v>1</v>
      </c>
      <c r="AH988" t="s">
        <v>626</v>
      </c>
      <c r="AI988" t="s">
        <v>625</v>
      </c>
      <c r="AK988" t="s">
        <v>624</v>
      </c>
      <c r="AL988">
        <v>0</v>
      </c>
      <c r="AM988" s="5">
        <f t="shared" si="130"/>
        <v>0</v>
      </c>
      <c r="AN988" s="4">
        <f t="shared" si="127"/>
        <v>0</v>
      </c>
      <c r="AO988" s="3"/>
      <c r="AP988">
        <v>0</v>
      </c>
      <c r="AR988" t="s">
        <v>0</v>
      </c>
      <c r="AT988" s="2" t="s">
        <v>16</v>
      </c>
      <c r="AU988" s="1">
        <f t="shared" si="131"/>
        <v>0.26347401297349238</v>
      </c>
      <c r="AV988" s="1">
        <f t="shared" si="132"/>
        <v>0.18819572355249459</v>
      </c>
      <c r="AW988" s="1">
        <f t="shared" si="133"/>
        <v>0.11291743413149673</v>
      </c>
    </row>
    <row r="989" spans="1:49" x14ac:dyDescent="0.2">
      <c r="A989">
        <v>987</v>
      </c>
      <c r="B989" t="s">
        <v>623</v>
      </c>
      <c r="C989" t="s">
        <v>622</v>
      </c>
      <c r="F989" t="s">
        <v>621</v>
      </c>
      <c r="G989" t="s">
        <v>12</v>
      </c>
      <c r="H989" t="s">
        <v>11</v>
      </c>
      <c r="I989" t="s">
        <v>620</v>
      </c>
      <c r="J989">
        <v>60030506</v>
      </c>
      <c r="K989" t="s">
        <v>619</v>
      </c>
      <c r="L989" t="s">
        <v>618</v>
      </c>
      <c r="M989" t="s">
        <v>617</v>
      </c>
      <c r="N989">
        <v>3</v>
      </c>
      <c r="O989" t="s">
        <v>616</v>
      </c>
      <c r="P989" t="s">
        <v>615</v>
      </c>
      <c r="Q989" t="s">
        <v>614</v>
      </c>
      <c r="R989" s="7">
        <v>33604</v>
      </c>
      <c r="S989" s="8">
        <f t="shared" si="128"/>
        <v>1992</v>
      </c>
      <c r="T989" s="8">
        <v>1992</v>
      </c>
      <c r="U989" s="8">
        <f t="shared" si="129"/>
        <v>30</v>
      </c>
      <c r="V989" s="7">
        <v>33664</v>
      </c>
      <c r="W989" t="s">
        <v>613</v>
      </c>
      <c r="X989" s="2">
        <v>0.91800000000000004</v>
      </c>
      <c r="Y989" s="6">
        <f t="shared" si="126"/>
        <v>2.4505485705133341E-2</v>
      </c>
      <c r="AA989">
        <v>1431161</v>
      </c>
      <c r="AB989">
        <v>22674</v>
      </c>
      <c r="AC989">
        <v>13665901</v>
      </c>
      <c r="AD989" t="s">
        <v>4</v>
      </c>
      <c r="AE989">
        <v>13</v>
      </c>
      <c r="AF989">
        <v>5</v>
      </c>
      <c r="AH989" t="s">
        <v>612</v>
      </c>
      <c r="AI989" t="s">
        <v>611</v>
      </c>
      <c r="AK989" t="s">
        <v>610</v>
      </c>
      <c r="AL989">
        <v>3</v>
      </c>
      <c r="AM989" s="5">
        <f t="shared" si="130"/>
        <v>0.1</v>
      </c>
      <c r="AN989" s="4">
        <f t="shared" si="127"/>
        <v>1.5145778114350627E-4</v>
      </c>
      <c r="AO989" s="3"/>
      <c r="AP989">
        <v>0</v>
      </c>
      <c r="AR989" t="s">
        <v>0</v>
      </c>
      <c r="AT989" s="2" t="s">
        <v>16</v>
      </c>
      <c r="AU989" s="1">
        <f t="shared" si="131"/>
        <v>1.7199277327936389</v>
      </c>
      <c r="AV989" s="1">
        <f t="shared" si="132"/>
        <v>1.2328471743138423</v>
      </c>
      <c r="AW989" s="1">
        <f t="shared" si="133"/>
        <v>0.74576661583404558</v>
      </c>
    </row>
    <row r="990" spans="1:49" x14ac:dyDescent="0.2">
      <c r="A990">
        <v>988</v>
      </c>
      <c r="B990" t="s">
        <v>609</v>
      </c>
      <c r="C990" t="s">
        <v>608</v>
      </c>
      <c r="F990" t="s">
        <v>607</v>
      </c>
      <c r="G990" t="s">
        <v>12</v>
      </c>
      <c r="H990" t="s">
        <v>11</v>
      </c>
      <c r="I990" t="s">
        <v>606</v>
      </c>
      <c r="J990" t="s">
        <v>605</v>
      </c>
      <c r="K990" t="s">
        <v>604</v>
      </c>
      <c r="L990" t="s">
        <v>603</v>
      </c>
      <c r="M990" t="s">
        <v>125</v>
      </c>
      <c r="N990">
        <v>4</v>
      </c>
      <c r="O990" t="s">
        <v>602</v>
      </c>
      <c r="P990" t="s">
        <v>601</v>
      </c>
      <c r="Q990" t="s">
        <v>600</v>
      </c>
      <c r="R990" s="7">
        <v>33604</v>
      </c>
      <c r="S990" s="8">
        <f t="shared" si="128"/>
        <v>1992</v>
      </c>
      <c r="T990" s="8">
        <v>1992</v>
      </c>
      <c r="U990" s="8">
        <f t="shared" si="129"/>
        <v>30</v>
      </c>
      <c r="V990" s="7">
        <v>33604</v>
      </c>
      <c r="W990" t="s">
        <v>599</v>
      </c>
      <c r="X990" s="2">
        <v>0.375</v>
      </c>
      <c r="Y990" s="6">
        <f t="shared" si="126"/>
        <v>1.0010410827260351E-2</v>
      </c>
      <c r="AA990">
        <v>135194</v>
      </c>
      <c r="AB990">
        <v>24918</v>
      </c>
      <c r="AD990" t="s">
        <v>4</v>
      </c>
      <c r="AE990">
        <v>28</v>
      </c>
      <c r="AF990">
        <v>3</v>
      </c>
      <c r="AH990" t="s">
        <v>598</v>
      </c>
      <c r="AI990" t="s">
        <v>597</v>
      </c>
      <c r="AJ990" t="s">
        <v>596</v>
      </c>
      <c r="AK990" t="s">
        <v>595</v>
      </c>
      <c r="AL990">
        <v>1</v>
      </c>
      <c r="AM990" s="5">
        <f t="shared" si="130"/>
        <v>3.3333333333333333E-2</v>
      </c>
      <c r="AN990" s="4">
        <f t="shared" si="127"/>
        <v>5.0485927047835418E-5</v>
      </c>
      <c r="AO990" s="3"/>
      <c r="AP990">
        <v>0</v>
      </c>
      <c r="AR990" t="s">
        <v>0</v>
      </c>
      <c r="AT990" s="2">
        <v>1.3140000000000001</v>
      </c>
      <c r="AU990" s="1">
        <f t="shared" si="131"/>
        <v>0.70224333571965969</v>
      </c>
      <c r="AV990" s="1">
        <f t="shared" si="132"/>
        <v>0.50304483771540931</v>
      </c>
      <c r="AW990" s="1">
        <f t="shared" si="133"/>
        <v>0.30384633971115899</v>
      </c>
    </row>
    <row r="991" spans="1:49" x14ac:dyDescent="0.2">
      <c r="A991">
        <v>989</v>
      </c>
      <c r="B991" t="s">
        <v>594</v>
      </c>
      <c r="F991" t="s">
        <v>593</v>
      </c>
      <c r="G991" t="s">
        <v>12</v>
      </c>
      <c r="H991" t="s">
        <v>11</v>
      </c>
      <c r="I991" t="s">
        <v>592</v>
      </c>
      <c r="N991">
        <v>1</v>
      </c>
      <c r="O991" t="s">
        <v>591</v>
      </c>
      <c r="P991">
        <v>6507713284</v>
      </c>
      <c r="R991" s="7">
        <v>33604</v>
      </c>
      <c r="S991" s="8">
        <f t="shared" si="128"/>
        <v>1992</v>
      </c>
      <c r="T991" s="8">
        <v>1992</v>
      </c>
      <c r="U991" s="8">
        <f t="shared" si="129"/>
        <v>30</v>
      </c>
      <c r="V991" s="7">
        <v>33604</v>
      </c>
      <c r="W991" t="s">
        <v>590</v>
      </c>
      <c r="X991" s="2">
        <v>0.14099999999999999</v>
      </c>
      <c r="Y991" s="6">
        <f t="shared" si="126"/>
        <v>3.7639144710498915E-3</v>
      </c>
      <c r="AA991">
        <v>402508</v>
      </c>
      <c r="AB991">
        <v>20868</v>
      </c>
      <c r="AD991" t="s">
        <v>4</v>
      </c>
      <c r="AE991">
        <v>47</v>
      </c>
      <c r="AF991">
        <v>1</v>
      </c>
      <c r="AH991" t="s">
        <v>589</v>
      </c>
      <c r="AI991" t="s">
        <v>588</v>
      </c>
      <c r="AK991" t="s">
        <v>587</v>
      </c>
      <c r="AL991">
        <v>0</v>
      </c>
      <c r="AM991" s="5">
        <f t="shared" si="130"/>
        <v>0</v>
      </c>
      <c r="AN991" s="4">
        <f t="shared" si="127"/>
        <v>0</v>
      </c>
      <c r="AO991" s="3"/>
      <c r="AP991">
        <v>0</v>
      </c>
      <c r="AR991" t="s">
        <v>0</v>
      </c>
      <c r="AT991" s="2" t="s">
        <v>16</v>
      </c>
      <c r="AU991" s="1">
        <f t="shared" si="131"/>
        <v>0.26347401297349238</v>
      </c>
      <c r="AV991" s="1">
        <f t="shared" si="132"/>
        <v>0.18819572355249459</v>
      </c>
      <c r="AW991" s="1">
        <f t="shared" si="133"/>
        <v>0.11291743413149673</v>
      </c>
    </row>
    <row r="992" spans="1:49" x14ac:dyDescent="0.2">
      <c r="A992">
        <v>990</v>
      </c>
      <c r="B992" t="s">
        <v>586</v>
      </c>
      <c r="C992" t="s">
        <v>585</v>
      </c>
      <c r="D992" t="s">
        <v>584</v>
      </c>
      <c r="F992" t="s">
        <v>583</v>
      </c>
      <c r="G992" t="s">
        <v>12</v>
      </c>
      <c r="H992" t="s">
        <v>11</v>
      </c>
      <c r="I992" t="s">
        <v>582</v>
      </c>
      <c r="J992">
        <v>60021501</v>
      </c>
      <c r="K992" t="s">
        <v>581</v>
      </c>
      <c r="L992" t="s">
        <v>580</v>
      </c>
      <c r="M992" t="s">
        <v>393</v>
      </c>
      <c r="N992">
        <v>3</v>
      </c>
      <c r="O992" t="s">
        <v>579</v>
      </c>
      <c r="P992" t="s">
        <v>578</v>
      </c>
      <c r="Q992" t="s">
        <v>577</v>
      </c>
      <c r="R992" s="7">
        <v>33604</v>
      </c>
      <c r="S992" s="8">
        <f t="shared" si="128"/>
        <v>1992</v>
      </c>
      <c r="T992" s="8">
        <v>1992</v>
      </c>
      <c r="U992" s="8">
        <f t="shared" si="129"/>
        <v>30</v>
      </c>
      <c r="V992" s="7">
        <v>33939</v>
      </c>
      <c r="W992" t="s">
        <v>576</v>
      </c>
      <c r="X992" s="2" t="s">
        <v>16</v>
      </c>
      <c r="Y992" s="6" t="e">
        <f t="shared" si="126"/>
        <v>#VALUE!</v>
      </c>
      <c r="AA992">
        <v>10111344</v>
      </c>
      <c r="AB992">
        <v>17622</v>
      </c>
      <c r="AD992" t="s">
        <v>4</v>
      </c>
      <c r="AE992">
        <v>16</v>
      </c>
      <c r="AF992" s="9">
        <v>44289</v>
      </c>
      <c r="AH992" t="s">
        <v>575</v>
      </c>
      <c r="AI992" t="s">
        <v>574</v>
      </c>
      <c r="AJ992" t="s">
        <v>573</v>
      </c>
      <c r="AK992" t="s">
        <v>572</v>
      </c>
      <c r="AL992">
        <v>8</v>
      </c>
      <c r="AM992" s="5">
        <f t="shared" si="130"/>
        <v>0.26666666666666666</v>
      </c>
      <c r="AN992" s="4">
        <f t="shared" si="127"/>
        <v>4.0388741638268334E-4</v>
      </c>
      <c r="AO992" s="3"/>
      <c r="AP992">
        <v>0</v>
      </c>
      <c r="AQ992" t="s">
        <v>571</v>
      </c>
      <c r="AR992" t="s">
        <v>0</v>
      </c>
      <c r="AS992" t="s">
        <v>570</v>
      </c>
      <c r="AT992" s="2" t="s">
        <v>16</v>
      </c>
      <c r="AU992" s="1" t="e">
        <f t="shared" si="131"/>
        <v>#VALUE!</v>
      </c>
      <c r="AV992" s="1" t="e">
        <f t="shared" si="132"/>
        <v>#VALUE!</v>
      </c>
      <c r="AW992" s="1" t="e">
        <f t="shared" si="133"/>
        <v>#VALUE!</v>
      </c>
    </row>
    <row r="993" spans="1:49" x14ac:dyDescent="0.2">
      <c r="A993">
        <v>991</v>
      </c>
      <c r="B993" t="s">
        <v>569</v>
      </c>
      <c r="C993" t="s">
        <v>568</v>
      </c>
      <c r="E993">
        <v>1536968</v>
      </c>
      <c r="F993" t="s">
        <v>567</v>
      </c>
      <c r="G993" t="s">
        <v>12</v>
      </c>
      <c r="H993" t="s">
        <v>11</v>
      </c>
      <c r="I993" t="s">
        <v>566</v>
      </c>
      <c r="J993" t="s">
        <v>565</v>
      </c>
      <c r="K993" t="s">
        <v>564</v>
      </c>
      <c r="L993" t="s">
        <v>563</v>
      </c>
      <c r="M993" t="s">
        <v>125</v>
      </c>
      <c r="N993">
        <v>2</v>
      </c>
      <c r="O993" t="s">
        <v>562</v>
      </c>
      <c r="P993" t="s">
        <v>561</v>
      </c>
      <c r="Q993" t="s">
        <v>560</v>
      </c>
      <c r="R993" s="7">
        <v>33604</v>
      </c>
      <c r="S993" s="8">
        <f t="shared" si="128"/>
        <v>1992</v>
      </c>
      <c r="T993" s="8">
        <v>1992</v>
      </c>
      <c r="U993" s="8">
        <f t="shared" si="129"/>
        <v>30</v>
      </c>
      <c r="V993" s="7">
        <v>1992</v>
      </c>
      <c r="W993" t="s">
        <v>559</v>
      </c>
      <c r="X993" s="2">
        <v>0.57599999999999996</v>
      </c>
      <c r="Y993" s="6">
        <f t="shared" si="126"/>
        <v>1.5375991030671898E-2</v>
      </c>
      <c r="AA993">
        <v>7394462</v>
      </c>
      <c r="AB993">
        <v>19155</v>
      </c>
      <c r="AC993">
        <v>15206327</v>
      </c>
      <c r="AD993" t="s">
        <v>4</v>
      </c>
      <c r="AE993">
        <v>19</v>
      </c>
      <c r="AF993">
        <v>1</v>
      </c>
      <c r="AH993" t="s">
        <v>558</v>
      </c>
      <c r="AI993" t="s">
        <v>557</v>
      </c>
      <c r="AJ993" t="s">
        <v>556</v>
      </c>
      <c r="AK993" t="s">
        <v>555</v>
      </c>
      <c r="AL993">
        <v>6</v>
      </c>
      <c r="AM993" s="5">
        <f t="shared" si="130"/>
        <v>0.2</v>
      </c>
      <c r="AN993" s="4">
        <f t="shared" si="127"/>
        <v>3.0291556228701253E-4</v>
      </c>
      <c r="AO993" s="3"/>
      <c r="AP993">
        <v>0</v>
      </c>
      <c r="AQ993" t="s">
        <v>554</v>
      </c>
      <c r="AR993" t="s">
        <v>553</v>
      </c>
      <c r="AS993" t="s">
        <v>552</v>
      </c>
      <c r="AT993" s="2" t="s">
        <v>16</v>
      </c>
      <c r="AU993" s="1">
        <f t="shared" si="131"/>
        <v>1.0854068390156431</v>
      </c>
      <c r="AV993" s="1">
        <f t="shared" si="132"/>
        <v>0.7839453296479455</v>
      </c>
      <c r="AW993" s="1">
        <f t="shared" si="133"/>
        <v>0.48248382028024778</v>
      </c>
    </row>
    <row r="994" spans="1:49" x14ac:dyDescent="0.2">
      <c r="A994">
        <v>992</v>
      </c>
      <c r="B994" t="s">
        <v>551</v>
      </c>
      <c r="C994" t="s">
        <v>550</v>
      </c>
      <c r="F994" t="s">
        <v>549</v>
      </c>
      <c r="G994" t="s">
        <v>12</v>
      </c>
      <c r="H994" t="s">
        <v>11</v>
      </c>
      <c r="I994" t="s">
        <v>548</v>
      </c>
      <c r="J994">
        <v>60022381</v>
      </c>
      <c r="K994" t="s">
        <v>547</v>
      </c>
      <c r="L994" t="s">
        <v>546</v>
      </c>
      <c r="M994" t="s">
        <v>545</v>
      </c>
      <c r="N994">
        <v>1</v>
      </c>
      <c r="O994" t="s">
        <v>544</v>
      </c>
      <c r="P994">
        <v>7202398106</v>
      </c>
      <c r="Q994">
        <v>60022381</v>
      </c>
      <c r="R994" s="7">
        <v>33604</v>
      </c>
      <c r="S994" s="8">
        <f t="shared" si="128"/>
        <v>1992</v>
      </c>
      <c r="T994" s="8">
        <v>1992</v>
      </c>
      <c r="U994" s="8">
        <f t="shared" si="129"/>
        <v>30</v>
      </c>
      <c r="V994" s="7">
        <v>33817</v>
      </c>
      <c r="W994" t="s">
        <v>529</v>
      </c>
      <c r="X994" s="2">
        <v>0.65500000000000003</v>
      </c>
      <c r="Y994" s="6">
        <f t="shared" si="126"/>
        <v>1.7484850911614749E-2</v>
      </c>
      <c r="AA994">
        <v>189375</v>
      </c>
      <c r="AB994">
        <v>26051</v>
      </c>
      <c r="AC994" t="s">
        <v>528</v>
      </c>
      <c r="AD994" t="s">
        <v>4</v>
      </c>
      <c r="AE994">
        <v>34</v>
      </c>
      <c r="AF994">
        <v>3</v>
      </c>
      <c r="AH994" t="s">
        <v>543</v>
      </c>
      <c r="AI994" t="s">
        <v>542</v>
      </c>
      <c r="AJ994" t="s">
        <v>541</v>
      </c>
      <c r="AK994" t="s">
        <v>540</v>
      </c>
      <c r="AL994">
        <v>6</v>
      </c>
      <c r="AM994" s="5">
        <f t="shared" si="130"/>
        <v>0.2</v>
      </c>
      <c r="AN994" s="4">
        <f t="shared" si="127"/>
        <v>3.0291556228701253E-4</v>
      </c>
      <c r="AO994" s="3"/>
      <c r="AP994">
        <v>0</v>
      </c>
      <c r="AR994" t="s">
        <v>0</v>
      </c>
      <c r="AS994" t="s">
        <v>539</v>
      </c>
      <c r="AT994" s="2" t="s">
        <v>16</v>
      </c>
      <c r="AU994" s="1">
        <f t="shared" si="131"/>
        <v>1.2330270306816427</v>
      </c>
      <c r="AV994" s="1">
        <f t="shared" si="132"/>
        <v>0.88938832369508813</v>
      </c>
      <c r="AW994" s="1">
        <f t="shared" si="133"/>
        <v>0.54574961670853339</v>
      </c>
    </row>
    <row r="995" spans="1:49" x14ac:dyDescent="0.2">
      <c r="A995">
        <v>993</v>
      </c>
      <c r="B995" t="s">
        <v>538</v>
      </c>
      <c r="C995" t="s">
        <v>537</v>
      </c>
      <c r="F995" t="s">
        <v>536</v>
      </c>
      <c r="G995" t="s">
        <v>12</v>
      </c>
      <c r="H995" t="s">
        <v>11</v>
      </c>
      <c r="I995" t="s">
        <v>535</v>
      </c>
      <c r="J995">
        <v>60001439</v>
      </c>
      <c r="K995" t="s">
        <v>534</v>
      </c>
      <c r="L995" t="s">
        <v>533</v>
      </c>
      <c r="M995" t="s">
        <v>7</v>
      </c>
      <c r="N995">
        <v>2</v>
      </c>
      <c r="O995" t="s">
        <v>532</v>
      </c>
      <c r="P995" t="s">
        <v>531</v>
      </c>
      <c r="Q995" t="s">
        <v>530</v>
      </c>
      <c r="R995" s="7">
        <v>33604</v>
      </c>
      <c r="S995" s="8">
        <f t="shared" si="128"/>
        <v>1992</v>
      </c>
      <c r="T995" s="8">
        <v>1992</v>
      </c>
      <c r="U995" s="8">
        <f t="shared" si="129"/>
        <v>30</v>
      </c>
      <c r="V995" s="7">
        <v>33817</v>
      </c>
      <c r="W995" t="s">
        <v>529</v>
      </c>
      <c r="X995" s="2">
        <v>0.65500000000000003</v>
      </c>
      <c r="Y995" s="6">
        <f t="shared" si="126"/>
        <v>1.7484850911614749E-2</v>
      </c>
      <c r="AA995">
        <v>189375</v>
      </c>
      <c r="AB995">
        <v>26051</v>
      </c>
      <c r="AC995" t="s">
        <v>528</v>
      </c>
      <c r="AD995" t="s">
        <v>4</v>
      </c>
      <c r="AE995">
        <v>34</v>
      </c>
      <c r="AF995">
        <v>3</v>
      </c>
      <c r="AH995" t="s">
        <v>527</v>
      </c>
      <c r="AI995" t="s">
        <v>526</v>
      </c>
      <c r="AK995" t="s">
        <v>525</v>
      </c>
      <c r="AL995">
        <v>23</v>
      </c>
      <c r="AM995" s="5">
        <f t="shared" si="130"/>
        <v>0.76666666666666672</v>
      </c>
      <c r="AN995" s="4">
        <f t="shared" si="127"/>
        <v>1.1611763221002146E-3</v>
      </c>
      <c r="AO995" s="3"/>
      <c r="AP995">
        <v>0</v>
      </c>
      <c r="AR995" t="s">
        <v>0</v>
      </c>
      <c r="AT995" s="2" t="s">
        <v>16</v>
      </c>
      <c r="AU995" s="1">
        <f t="shared" si="131"/>
        <v>1.2587748534760388</v>
      </c>
      <c r="AV995" s="1">
        <f t="shared" si="132"/>
        <v>0.93230136168574818</v>
      </c>
      <c r="AW995" s="1">
        <f t="shared" si="133"/>
        <v>0.60582786989545756</v>
      </c>
    </row>
    <row r="996" spans="1:49" x14ac:dyDescent="0.2">
      <c r="A996">
        <v>994</v>
      </c>
      <c r="B996" t="s">
        <v>524</v>
      </c>
      <c r="C996" t="s">
        <v>523</v>
      </c>
      <c r="D996">
        <v>741333592901653</v>
      </c>
      <c r="F996" t="s">
        <v>522</v>
      </c>
      <c r="G996" t="s">
        <v>12</v>
      </c>
      <c r="H996" t="s">
        <v>11</v>
      </c>
      <c r="I996" t="s">
        <v>521</v>
      </c>
      <c r="J996">
        <v>60004280</v>
      </c>
      <c r="K996" t="s">
        <v>520</v>
      </c>
      <c r="L996" t="s">
        <v>368</v>
      </c>
      <c r="M996" t="s">
        <v>367</v>
      </c>
      <c r="N996">
        <v>2</v>
      </c>
      <c r="O996" t="s">
        <v>519</v>
      </c>
      <c r="P996" t="s">
        <v>518</v>
      </c>
      <c r="Q996" t="s">
        <v>517</v>
      </c>
      <c r="R996" s="7">
        <v>33604</v>
      </c>
      <c r="S996" s="8">
        <f t="shared" si="128"/>
        <v>1992</v>
      </c>
      <c r="T996" s="8">
        <v>1992</v>
      </c>
      <c r="U996" s="8">
        <f t="shared" si="129"/>
        <v>30</v>
      </c>
      <c r="V996" s="7">
        <v>1992</v>
      </c>
      <c r="W996" t="s">
        <v>516</v>
      </c>
      <c r="X996" s="2">
        <v>1.3280000000000001</v>
      </c>
      <c r="Y996" s="6">
        <f t="shared" si="126"/>
        <v>3.5450201542937994E-2</v>
      </c>
      <c r="AA996">
        <v>7413335</v>
      </c>
      <c r="AB996">
        <v>29251</v>
      </c>
      <c r="AD996" t="s">
        <v>4</v>
      </c>
      <c r="AE996">
        <v>34</v>
      </c>
      <c r="AF996">
        <v>4</v>
      </c>
      <c r="AG996">
        <v>11</v>
      </c>
      <c r="AH996" t="s">
        <v>515</v>
      </c>
      <c r="AI996" t="s">
        <v>514</v>
      </c>
      <c r="AK996" t="s">
        <v>513</v>
      </c>
      <c r="AL996">
        <v>45</v>
      </c>
      <c r="AM996" s="5">
        <f t="shared" si="130"/>
        <v>1.5</v>
      </c>
      <c r="AN996" s="4">
        <f t="shared" si="127"/>
        <v>2.2718667171525938E-3</v>
      </c>
      <c r="AO996" s="3"/>
      <c r="AP996">
        <v>0</v>
      </c>
      <c r="AQ996" t="s">
        <v>512</v>
      </c>
      <c r="AR996" t="s">
        <v>0</v>
      </c>
      <c r="AS996" t="s">
        <v>511</v>
      </c>
      <c r="AT996" s="2">
        <v>2.4580000000000002</v>
      </c>
      <c r="AU996" s="1">
        <f t="shared" si="131"/>
        <v>2.5496701095202372</v>
      </c>
      <c r="AV996" s="1">
        <f t="shared" si="132"/>
        <v>1.8861034130045293</v>
      </c>
      <c r="AW996" s="1">
        <f t="shared" si="133"/>
        <v>1.2225367164888212</v>
      </c>
    </row>
    <row r="997" spans="1:49" x14ac:dyDescent="0.2">
      <c r="A997">
        <v>995</v>
      </c>
      <c r="B997" t="s">
        <v>510</v>
      </c>
      <c r="C997" t="s">
        <v>509</v>
      </c>
      <c r="D997" t="s">
        <v>508</v>
      </c>
      <c r="F997" t="s">
        <v>507</v>
      </c>
      <c r="G997" t="s">
        <v>12</v>
      </c>
      <c r="H997" t="s">
        <v>11</v>
      </c>
      <c r="I997" t="s">
        <v>506</v>
      </c>
      <c r="J997">
        <v>60021642</v>
      </c>
      <c r="K997" t="s">
        <v>505</v>
      </c>
      <c r="L997" t="s">
        <v>504</v>
      </c>
      <c r="M997" t="s">
        <v>503</v>
      </c>
      <c r="N997">
        <v>2</v>
      </c>
      <c r="O997" t="s">
        <v>502</v>
      </c>
      <c r="P997" t="s">
        <v>501</v>
      </c>
      <c r="Q997" t="s">
        <v>500</v>
      </c>
      <c r="R997" s="7">
        <v>33604</v>
      </c>
      <c r="S997" s="8">
        <f t="shared" si="128"/>
        <v>1992</v>
      </c>
      <c r="T997" s="8">
        <v>1992</v>
      </c>
      <c r="U997" s="8">
        <f t="shared" si="129"/>
        <v>30</v>
      </c>
      <c r="V997" s="7">
        <v>33817</v>
      </c>
      <c r="W997" t="s">
        <v>499</v>
      </c>
      <c r="X997" s="2">
        <v>1.5249999999999999</v>
      </c>
      <c r="Y997" s="6">
        <f t="shared" si="126"/>
        <v>4.070900403085876E-2</v>
      </c>
      <c r="AA997">
        <v>191035</v>
      </c>
      <c r="AB997">
        <v>27241</v>
      </c>
      <c r="AC997">
        <v>10902643</v>
      </c>
      <c r="AD997" t="s">
        <v>4</v>
      </c>
      <c r="AE997">
        <v>98</v>
      </c>
      <c r="AF997">
        <v>2</v>
      </c>
      <c r="AH997" t="s">
        <v>498</v>
      </c>
      <c r="AI997" t="s">
        <v>497</v>
      </c>
      <c r="AK997" t="s">
        <v>496</v>
      </c>
      <c r="AL997">
        <v>21</v>
      </c>
      <c r="AM997" s="5">
        <f t="shared" si="130"/>
        <v>0.7</v>
      </c>
      <c r="AN997" s="4">
        <f t="shared" si="127"/>
        <v>1.0602044680045437E-3</v>
      </c>
      <c r="AO997" s="3"/>
      <c r="AP997">
        <v>0</v>
      </c>
      <c r="AR997" t="s">
        <v>0</v>
      </c>
      <c r="AT997" s="2">
        <v>3.508</v>
      </c>
      <c r="AU997" s="1">
        <f t="shared" si="131"/>
        <v>2.8814364162002493</v>
      </c>
      <c r="AV997" s="1">
        <f t="shared" si="132"/>
        <v>2.0884604249431655</v>
      </c>
      <c r="AW997" s="1">
        <f t="shared" si="133"/>
        <v>1.2954844336860809</v>
      </c>
    </row>
    <row r="998" spans="1:49" x14ac:dyDescent="0.2">
      <c r="A998">
        <v>996</v>
      </c>
      <c r="B998" t="s">
        <v>495</v>
      </c>
      <c r="C998" t="s">
        <v>494</v>
      </c>
      <c r="F998" t="s">
        <v>493</v>
      </c>
      <c r="G998" t="s">
        <v>12</v>
      </c>
      <c r="H998" t="s">
        <v>11</v>
      </c>
      <c r="I998" t="s">
        <v>492</v>
      </c>
      <c r="J998">
        <v>60068852</v>
      </c>
      <c r="K998" t="s">
        <v>491</v>
      </c>
      <c r="L998" t="s">
        <v>490</v>
      </c>
      <c r="M998" t="s">
        <v>489</v>
      </c>
      <c r="N998">
        <v>1</v>
      </c>
      <c r="O998" t="s">
        <v>488</v>
      </c>
      <c r="P998">
        <v>56631873200</v>
      </c>
      <c r="Q998">
        <v>60068852</v>
      </c>
      <c r="R998" s="7">
        <v>33604</v>
      </c>
      <c r="S998" s="8">
        <f t="shared" si="128"/>
        <v>1992</v>
      </c>
      <c r="T998" s="8">
        <v>1992</v>
      </c>
      <c r="U998" s="8">
        <f t="shared" si="129"/>
        <v>30</v>
      </c>
      <c r="V998" s="7">
        <v>1992</v>
      </c>
      <c r="W998" t="s">
        <v>487</v>
      </c>
      <c r="X998" s="2">
        <v>1.641</v>
      </c>
      <c r="Y998" s="6">
        <f t="shared" si="126"/>
        <v>4.3805557780091299E-2</v>
      </c>
      <c r="AA998">
        <v>223654</v>
      </c>
      <c r="AB998">
        <v>30422</v>
      </c>
      <c r="AD998" t="s">
        <v>4</v>
      </c>
      <c r="AE998">
        <v>96</v>
      </c>
      <c r="AF998">
        <v>24</v>
      </c>
      <c r="AH998" t="s">
        <v>486</v>
      </c>
      <c r="AI998" t="s">
        <v>485</v>
      </c>
      <c r="AK998" t="s">
        <v>484</v>
      </c>
      <c r="AL998">
        <v>7</v>
      </c>
      <c r="AM998" s="5">
        <f t="shared" si="130"/>
        <v>0.23333333333333334</v>
      </c>
      <c r="AN998" s="4">
        <f t="shared" si="127"/>
        <v>3.5340148933484791E-4</v>
      </c>
      <c r="AO998" s="3"/>
      <c r="AP998">
        <v>0</v>
      </c>
      <c r="AR998" t="s">
        <v>0</v>
      </c>
      <c r="AT998" s="2" t="s">
        <v>16</v>
      </c>
      <c r="AU998" s="1">
        <f t="shared" si="131"/>
        <v>3.0769910892864365</v>
      </c>
      <c r="AV998" s="1">
        <f t="shared" si="132"/>
        <v>2.2079479634713071</v>
      </c>
      <c r="AW998" s="1">
        <f t="shared" si="133"/>
        <v>1.3389048376561785</v>
      </c>
    </row>
    <row r="999" spans="1:49" x14ac:dyDescent="0.2">
      <c r="A999">
        <v>997</v>
      </c>
      <c r="B999" t="s">
        <v>483</v>
      </c>
      <c r="C999" t="s">
        <v>482</v>
      </c>
      <c r="F999" t="s">
        <v>481</v>
      </c>
      <c r="G999" t="s">
        <v>12</v>
      </c>
      <c r="H999" t="s">
        <v>11</v>
      </c>
      <c r="I999" t="s">
        <v>480</v>
      </c>
      <c r="J999" t="s">
        <v>479</v>
      </c>
      <c r="K999" t="s">
        <v>478</v>
      </c>
      <c r="L999" t="s">
        <v>477</v>
      </c>
      <c r="M999" t="s">
        <v>476</v>
      </c>
      <c r="N999">
        <v>4</v>
      </c>
      <c r="O999" t="s">
        <v>475</v>
      </c>
      <c r="P999" t="s">
        <v>474</v>
      </c>
      <c r="Q999" t="s">
        <v>473</v>
      </c>
      <c r="R999" s="7">
        <v>33604</v>
      </c>
      <c r="S999" s="8">
        <f t="shared" si="128"/>
        <v>1992</v>
      </c>
      <c r="T999" s="8">
        <v>1992</v>
      </c>
      <c r="U999" s="8">
        <f t="shared" si="129"/>
        <v>30</v>
      </c>
      <c r="V999" s="7">
        <v>1992</v>
      </c>
      <c r="W999" t="s">
        <v>472</v>
      </c>
      <c r="X999" s="2">
        <v>2.3759999999999999</v>
      </c>
      <c r="Y999" s="6">
        <f t="shared" si="126"/>
        <v>6.3425963001521576E-2</v>
      </c>
      <c r="AA999" t="s">
        <v>471</v>
      </c>
      <c r="AB999">
        <v>26765</v>
      </c>
      <c r="AC999">
        <v>15384357</v>
      </c>
      <c r="AD999" t="s">
        <v>4</v>
      </c>
      <c r="AE999">
        <v>396</v>
      </c>
      <c r="AF999">
        <v>2</v>
      </c>
      <c r="AH999" t="s">
        <v>470</v>
      </c>
      <c r="AI999" t="s">
        <v>469</v>
      </c>
      <c r="AJ999" t="s">
        <v>468</v>
      </c>
      <c r="AK999" t="s">
        <v>467</v>
      </c>
      <c r="AL999">
        <v>71</v>
      </c>
      <c r="AM999" s="5">
        <f t="shared" si="130"/>
        <v>2.3666666666666667</v>
      </c>
      <c r="AN999" s="4">
        <f t="shared" si="127"/>
        <v>3.5845008203963147E-3</v>
      </c>
      <c r="AO999" s="3"/>
      <c r="AP999">
        <v>0</v>
      </c>
      <c r="AR999" t="s">
        <v>0</v>
      </c>
      <c r="AT999" s="2">
        <v>5.8739999999999997</v>
      </c>
      <c r="AU999" s="1">
        <f t="shared" si="131"/>
        <v>4.5473524347183991</v>
      </c>
      <c r="AV999" s="1">
        <f t="shared" si="132"/>
        <v>3.3505231910958946</v>
      </c>
      <c r="AW999" s="1">
        <f t="shared" si="133"/>
        <v>2.1536939474733892</v>
      </c>
    </row>
    <row r="1000" spans="1:49" x14ac:dyDescent="0.2">
      <c r="A1000">
        <v>998</v>
      </c>
      <c r="B1000" t="s">
        <v>466</v>
      </c>
      <c r="C1000" t="s">
        <v>465</v>
      </c>
      <c r="F1000" t="s">
        <v>464</v>
      </c>
      <c r="G1000" t="s">
        <v>12</v>
      </c>
      <c r="H1000" t="s">
        <v>11</v>
      </c>
      <c r="I1000" t="s">
        <v>463</v>
      </c>
      <c r="J1000">
        <v>60021331</v>
      </c>
      <c r="K1000" t="s">
        <v>462</v>
      </c>
      <c r="L1000" t="s">
        <v>461</v>
      </c>
      <c r="M1000" t="s">
        <v>460</v>
      </c>
      <c r="N1000">
        <v>2</v>
      </c>
      <c r="O1000" t="s">
        <v>459</v>
      </c>
      <c r="P1000" t="s">
        <v>458</v>
      </c>
      <c r="Q1000" t="s">
        <v>457</v>
      </c>
      <c r="R1000" s="7">
        <v>33604</v>
      </c>
      <c r="S1000" s="8">
        <f t="shared" si="128"/>
        <v>1992</v>
      </c>
      <c r="T1000" s="8">
        <v>1992</v>
      </c>
      <c r="U1000" s="8">
        <f t="shared" si="129"/>
        <v>30</v>
      </c>
      <c r="V1000" s="7">
        <v>1992</v>
      </c>
      <c r="W1000" t="s">
        <v>321</v>
      </c>
      <c r="X1000" s="2">
        <v>0.28599999999999998</v>
      </c>
      <c r="Y1000" s="6">
        <f t="shared" si="126"/>
        <v>7.6346066575905605E-3</v>
      </c>
      <c r="AA1000">
        <v>9205071</v>
      </c>
      <c r="AB1000">
        <v>28139</v>
      </c>
      <c r="AC1000">
        <v>15693937</v>
      </c>
      <c r="AD1000" t="s">
        <v>4</v>
      </c>
      <c r="AE1000">
        <v>6</v>
      </c>
      <c r="AF1000" s="9">
        <v>44348</v>
      </c>
      <c r="AH1000" t="s">
        <v>456</v>
      </c>
      <c r="AI1000" t="s">
        <v>455</v>
      </c>
      <c r="AK1000" t="s">
        <v>454</v>
      </c>
      <c r="AL1000">
        <v>11</v>
      </c>
      <c r="AM1000" s="5">
        <f t="shared" si="130"/>
        <v>0.36666666666666664</v>
      </c>
      <c r="AN1000" s="4">
        <f t="shared" si="127"/>
        <v>5.5534519752618958E-4</v>
      </c>
      <c r="AO1000" s="3"/>
      <c r="AP1000">
        <v>0</v>
      </c>
      <c r="AR1000" t="s">
        <v>0</v>
      </c>
      <c r="AT1000" s="2" t="s">
        <v>16</v>
      </c>
      <c r="AU1000" s="1">
        <f t="shared" si="131"/>
        <v>0.55108282195712488</v>
      </c>
      <c r="AV1000" s="1">
        <f t="shared" si="132"/>
        <v>0.40949759275583753</v>
      </c>
      <c r="AW1000" s="1">
        <f t="shared" si="133"/>
        <v>0.26791236355455011</v>
      </c>
    </row>
    <row r="1001" spans="1:49" x14ac:dyDescent="0.2">
      <c r="A1001">
        <v>999</v>
      </c>
      <c r="B1001" t="s">
        <v>453</v>
      </c>
      <c r="C1001" t="s">
        <v>452</v>
      </c>
      <c r="F1001" t="s">
        <v>451</v>
      </c>
      <c r="G1001" t="s">
        <v>12</v>
      </c>
      <c r="H1001" t="s">
        <v>11</v>
      </c>
      <c r="I1001" t="s">
        <v>450</v>
      </c>
      <c r="J1001" t="s">
        <v>449</v>
      </c>
      <c r="K1001" t="s">
        <v>448</v>
      </c>
      <c r="L1001" t="s">
        <v>447</v>
      </c>
      <c r="M1001" t="s">
        <v>125</v>
      </c>
      <c r="N1001">
        <v>3</v>
      </c>
      <c r="O1001" t="s">
        <v>446</v>
      </c>
      <c r="P1001" t="s">
        <v>445</v>
      </c>
      <c r="Q1001" t="s">
        <v>444</v>
      </c>
      <c r="R1001" s="7">
        <v>33604</v>
      </c>
      <c r="S1001" s="8">
        <f t="shared" si="128"/>
        <v>1992</v>
      </c>
      <c r="T1001" s="8">
        <v>1992</v>
      </c>
      <c r="U1001" s="8">
        <f t="shared" si="129"/>
        <v>30</v>
      </c>
      <c r="V1001" s="7">
        <v>33695</v>
      </c>
      <c r="W1001" t="s">
        <v>163</v>
      </c>
      <c r="X1001" s="2">
        <v>0.76500000000000001</v>
      </c>
      <c r="Y1001" s="6">
        <f t="shared" si="126"/>
        <v>2.0421238087611118E-2</v>
      </c>
      <c r="AA1001">
        <v>138703</v>
      </c>
      <c r="AB1001">
        <v>19793</v>
      </c>
      <c r="AC1001">
        <v>15707458</v>
      </c>
      <c r="AD1001" t="s">
        <v>4</v>
      </c>
      <c r="AE1001">
        <v>63</v>
      </c>
      <c r="AF1001">
        <v>1</v>
      </c>
      <c r="AH1001" t="s">
        <v>443</v>
      </c>
      <c r="AI1001" t="s">
        <v>442</v>
      </c>
      <c r="AJ1001" t="s">
        <v>441</v>
      </c>
      <c r="AK1001" t="s">
        <v>440</v>
      </c>
      <c r="AL1001">
        <v>44</v>
      </c>
      <c r="AM1001" s="5">
        <f t="shared" si="130"/>
        <v>1.4666666666666666</v>
      </c>
      <c r="AN1001" s="4">
        <f t="shared" si="127"/>
        <v>2.2213807901047583E-3</v>
      </c>
      <c r="AO1001" s="3"/>
      <c r="AP1001">
        <v>0</v>
      </c>
      <c r="AR1001" t="s">
        <v>0</v>
      </c>
      <c r="AT1001" s="2" t="s">
        <v>16</v>
      </c>
      <c r="AU1001" s="1">
        <f t="shared" si="131"/>
        <v>1.4961280898359208</v>
      </c>
      <c r="AV1001" s="1">
        <f t="shared" si="132"/>
        <v>1.1321309438857938</v>
      </c>
      <c r="AW1001" s="1">
        <f t="shared" si="133"/>
        <v>0.76813379793566661</v>
      </c>
    </row>
    <row r="1002" spans="1:49" x14ac:dyDescent="0.2">
      <c r="A1002">
        <v>1000</v>
      </c>
      <c r="B1002" t="s">
        <v>439</v>
      </c>
      <c r="C1002" t="s">
        <v>438</v>
      </c>
      <c r="F1002" t="s">
        <v>437</v>
      </c>
      <c r="G1002" t="s">
        <v>12</v>
      </c>
      <c r="H1002" t="s">
        <v>11</v>
      </c>
      <c r="I1002" t="s">
        <v>436</v>
      </c>
      <c r="J1002" t="s">
        <v>435</v>
      </c>
      <c r="K1002" t="s">
        <v>434</v>
      </c>
      <c r="L1002" t="s">
        <v>433</v>
      </c>
      <c r="M1002" t="s">
        <v>432</v>
      </c>
      <c r="N1002">
        <v>5</v>
      </c>
      <c r="O1002" t="s">
        <v>431</v>
      </c>
      <c r="P1002" t="s">
        <v>430</v>
      </c>
      <c r="Q1002" t="s">
        <v>429</v>
      </c>
      <c r="R1002" s="7">
        <v>33604</v>
      </c>
      <c r="S1002" s="8">
        <f t="shared" si="128"/>
        <v>1992</v>
      </c>
      <c r="T1002" s="8">
        <v>1992</v>
      </c>
      <c r="U1002" s="8">
        <f t="shared" si="129"/>
        <v>30</v>
      </c>
      <c r="V1002" s="7">
        <v>33878</v>
      </c>
      <c r="W1002" t="s">
        <v>97</v>
      </c>
      <c r="X1002" s="2">
        <v>1.6519999999999999</v>
      </c>
      <c r="Y1002" s="6">
        <f t="shared" si="126"/>
        <v>4.409919649769093E-2</v>
      </c>
      <c r="AA1002" t="s">
        <v>96</v>
      </c>
      <c r="AB1002">
        <v>17337</v>
      </c>
      <c r="AC1002">
        <v>15582221</v>
      </c>
      <c r="AD1002" t="s">
        <v>4</v>
      </c>
      <c r="AE1002">
        <v>40</v>
      </c>
      <c r="AF1002">
        <v>10</v>
      </c>
      <c r="AH1002" t="s">
        <v>428</v>
      </c>
      <c r="AI1002" t="s">
        <v>427</v>
      </c>
      <c r="AK1002" t="s">
        <v>426</v>
      </c>
      <c r="AL1002">
        <v>21</v>
      </c>
      <c r="AM1002" s="5">
        <f t="shared" si="130"/>
        <v>0.7</v>
      </c>
      <c r="AN1002" s="4">
        <f t="shared" si="127"/>
        <v>1.0602044680045437E-3</v>
      </c>
      <c r="AO1002" s="3"/>
      <c r="AP1002">
        <v>0</v>
      </c>
      <c r="AR1002" t="s">
        <v>0</v>
      </c>
      <c r="AT1002" s="2" t="s">
        <v>16</v>
      </c>
      <c r="AU1002" s="1">
        <f t="shared" si="131"/>
        <v>3.1187498888785017</v>
      </c>
      <c r="AV1002" s="1">
        <f t="shared" si="132"/>
        <v>2.2579700482847738</v>
      </c>
      <c r="AW1002" s="1">
        <f t="shared" si="133"/>
        <v>1.3971902076910458</v>
      </c>
    </row>
    <row r="1003" spans="1:49" x14ac:dyDescent="0.2">
      <c r="A1003">
        <v>1001</v>
      </c>
      <c r="B1003" t="s">
        <v>425</v>
      </c>
      <c r="C1003" t="s">
        <v>424</v>
      </c>
      <c r="F1003" t="s">
        <v>423</v>
      </c>
      <c r="G1003" t="s">
        <v>12</v>
      </c>
      <c r="H1003" t="s">
        <v>11</v>
      </c>
      <c r="I1003" t="s">
        <v>422</v>
      </c>
      <c r="J1003" t="s">
        <v>421</v>
      </c>
      <c r="K1003" t="s">
        <v>420</v>
      </c>
      <c r="L1003" t="s">
        <v>419</v>
      </c>
      <c r="M1003" t="s">
        <v>418</v>
      </c>
      <c r="N1003">
        <v>4</v>
      </c>
      <c r="O1003" t="s">
        <v>417</v>
      </c>
      <c r="P1003" t="s">
        <v>416</v>
      </c>
      <c r="Q1003" t="s">
        <v>415</v>
      </c>
      <c r="R1003" s="7">
        <v>33604</v>
      </c>
      <c r="S1003" s="8">
        <f t="shared" si="128"/>
        <v>1992</v>
      </c>
      <c r="T1003" s="8">
        <v>1992</v>
      </c>
      <c r="U1003" s="8">
        <f t="shared" si="129"/>
        <v>30</v>
      </c>
      <c r="V1003" s="7">
        <v>1992</v>
      </c>
      <c r="W1003" t="s">
        <v>414</v>
      </c>
      <c r="X1003" s="2">
        <v>2.141</v>
      </c>
      <c r="Y1003" s="6">
        <f t="shared" si="126"/>
        <v>5.7152772216438434E-2</v>
      </c>
      <c r="AA1003">
        <v>1962892</v>
      </c>
      <c r="AB1003">
        <v>17360</v>
      </c>
      <c r="AC1003">
        <v>15580644</v>
      </c>
      <c r="AD1003" t="s">
        <v>4</v>
      </c>
      <c r="AE1003">
        <v>30</v>
      </c>
      <c r="AF1003">
        <v>6</v>
      </c>
      <c r="AH1003" t="s">
        <v>413</v>
      </c>
      <c r="AI1003" t="s">
        <v>412</v>
      </c>
      <c r="AJ1003" t="s">
        <v>411</v>
      </c>
      <c r="AK1003" t="s">
        <v>410</v>
      </c>
      <c r="AL1003">
        <v>7</v>
      </c>
      <c r="AM1003" s="5">
        <f t="shared" si="130"/>
        <v>0.23333333333333334</v>
      </c>
      <c r="AN1003" s="4">
        <f t="shared" si="127"/>
        <v>3.5340148933484791E-4</v>
      </c>
      <c r="AO1003" s="3"/>
      <c r="AP1003">
        <v>0</v>
      </c>
      <c r="AR1003" t="s">
        <v>0</v>
      </c>
      <c r="AT1003" s="2" t="s">
        <v>16</v>
      </c>
      <c r="AU1003" s="1">
        <f t="shared" si="131"/>
        <v>4.0112960998307354</v>
      </c>
      <c r="AV1003" s="1">
        <f t="shared" si="132"/>
        <v>2.875308685288664</v>
      </c>
      <c r="AW1003" s="1">
        <f t="shared" si="133"/>
        <v>1.7393212707465924</v>
      </c>
    </row>
    <row r="1004" spans="1:49" x14ac:dyDescent="0.2">
      <c r="A1004">
        <v>1002</v>
      </c>
      <c r="B1004" t="s">
        <v>409</v>
      </c>
      <c r="C1004" t="s">
        <v>408</v>
      </c>
      <c r="F1004" t="s">
        <v>407</v>
      </c>
      <c r="G1004" t="s">
        <v>12</v>
      </c>
      <c r="H1004" t="s">
        <v>11</v>
      </c>
      <c r="I1004" t="s">
        <v>406</v>
      </c>
      <c r="J1004">
        <v>60015623</v>
      </c>
      <c r="K1004" t="s">
        <v>405</v>
      </c>
      <c r="L1004" t="s">
        <v>404</v>
      </c>
      <c r="M1004" t="s">
        <v>7</v>
      </c>
      <c r="N1004">
        <v>1</v>
      </c>
      <c r="O1004" t="s">
        <v>403</v>
      </c>
      <c r="P1004">
        <v>24382646500</v>
      </c>
      <c r="Q1004">
        <v>60015623</v>
      </c>
      <c r="R1004" s="7">
        <v>33604</v>
      </c>
      <c r="S1004" s="8">
        <f t="shared" si="128"/>
        <v>1992</v>
      </c>
      <c r="T1004" s="8">
        <v>1992</v>
      </c>
      <c r="U1004" s="8">
        <f t="shared" si="129"/>
        <v>30</v>
      </c>
      <c r="V1004" s="7">
        <v>33878</v>
      </c>
      <c r="W1004" t="s">
        <v>97</v>
      </c>
      <c r="X1004" s="2">
        <v>1.6519999999999999</v>
      </c>
      <c r="Y1004" s="6">
        <f t="shared" si="126"/>
        <v>4.409919649769093E-2</v>
      </c>
      <c r="AA1004" t="s">
        <v>96</v>
      </c>
      <c r="AB1004">
        <v>17337</v>
      </c>
      <c r="AC1004">
        <v>15582221</v>
      </c>
      <c r="AD1004" t="s">
        <v>4</v>
      </c>
      <c r="AE1004">
        <v>40</v>
      </c>
      <c r="AF1004">
        <v>10</v>
      </c>
      <c r="AH1004" t="s">
        <v>402</v>
      </c>
      <c r="AI1004" t="s">
        <v>401</v>
      </c>
      <c r="AK1004" t="s">
        <v>400</v>
      </c>
      <c r="AL1004">
        <v>11</v>
      </c>
      <c r="AM1004" s="5">
        <f t="shared" si="130"/>
        <v>0.36666666666666664</v>
      </c>
      <c r="AN1004" s="4">
        <f t="shared" si="127"/>
        <v>5.5534519752618958E-4</v>
      </c>
      <c r="AO1004" s="3"/>
      <c r="AP1004">
        <v>0</v>
      </c>
      <c r="AR1004" t="s">
        <v>0</v>
      </c>
      <c r="AT1004" s="2" t="s">
        <v>16</v>
      </c>
      <c r="AU1004" s="1">
        <f t="shared" si="131"/>
        <v>3.1036041107641505</v>
      </c>
      <c r="AV1004" s="1">
        <f t="shared" si="132"/>
        <v>2.2327270847608558</v>
      </c>
      <c r="AW1004" s="1">
        <f t="shared" si="133"/>
        <v>1.361850058757561</v>
      </c>
    </row>
    <row r="1005" spans="1:49" x14ac:dyDescent="0.2">
      <c r="A1005">
        <v>1003</v>
      </c>
      <c r="B1005" t="s">
        <v>399</v>
      </c>
      <c r="C1005" t="s">
        <v>398</v>
      </c>
      <c r="F1005" t="s">
        <v>397</v>
      </c>
      <c r="G1005" t="s">
        <v>12</v>
      </c>
      <c r="H1005" t="s">
        <v>11</v>
      </c>
      <c r="I1005" t="s">
        <v>396</v>
      </c>
      <c r="J1005">
        <v>60032619</v>
      </c>
      <c r="K1005" t="s">
        <v>395</v>
      </c>
      <c r="L1005" t="s">
        <v>394</v>
      </c>
      <c r="M1005" t="s">
        <v>393</v>
      </c>
      <c r="N1005">
        <v>3</v>
      </c>
      <c r="O1005" t="s">
        <v>392</v>
      </c>
      <c r="P1005" t="s">
        <v>391</v>
      </c>
      <c r="Q1005" t="s">
        <v>390</v>
      </c>
      <c r="R1005" s="7">
        <v>33604</v>
      </c>
      <c r="S1005" s="8">
        <f t="shared" si="128"/>
        <v>1992</v>
      </c>
      <c r="T1005" s="8">
        <v>1992</v>
      </c>
      <c r="U1005" s="8">
        <f t="shared" si="129"/>
        <v>30</v>
      </c>
      <c r="V1005" s="7">
        <v>33848</v>
      </c>
      <c r="W1005" t="s">
        <v>217</v>
      </c>
      <c r="X1005" s="2">
        <v>0.69299999999999995</v>
      </c>
      <c r="Y1005" s="6">
        <f t="shared" si="126"/>
        <v>1.8499239208777128E-2</v>
      </c>
      <c r="AA1005">
        <v>3076962</v>
      </c>
      <c r="AB1005">
        <v>21084</v>
      </c>
      <c r="AC1005">
        <v>13653032</v>
      </c>
      <c r="AD1005" t="s">
        <v>4</v>
      </c>
      <c r="AE1005">
        <v>17</v>
      </c>
      <c r="AF1005">
        <v>3</v>
      </c>
      <c r="AH1005" t="s">
        <v>389</v>
      </c>
      <c r="AI1005" t="s">
        <v>388</v>
      </c>
      <c r="AJ1005" t="s">
        <v>387</v>
      </c>
      <c r="AK1005" t="s">
        <v>386</v>
      </c>
      <c r="AL1005">
        <v>17</v>
      </c>
      <c r="AM1005" s="5">
        <f t="shared" si="130"/>
        <v>0.56666666666666665</v>
      </c>
      <c r="AN1005" s="4">
        <f t="shared" si="127"/>
        <v>8.5826075981320206E-4</v>
      </c>
      <c r="AO1005" s="3"/>
      <c r="AP1005">
        <v>0</v>
      </c>
      <c r="AR1005" t="s">
        <v>0</v>
      </c>
      <c r="AT1005" s="2">
        <v>1.833</v>
      </c>
      <c r="AU1005" s="1">
        <f t="shared" si="131"/>
        <v>1.3206945674087951</v>
      </c>
      <c r="AV1005" s="1">
        <f t="shared" si="132"/>
        <v>0.96787499842951652</v>
      </c>
      <c r="AW1005" s="1">
        <f t="shared" si="133"/>
        <v>0.61505542945023794</v>
      </c>
    </row>
    <row r="1006" spans="1:49" x14ac:dyDescent="0.2">
      <c r="A1006">
        <v>1004</v>
      </c>
      <c r="B1006" t="s">
        <v>385</v>
      </c>
      <c r="C1006" t="s">
        <v>384</v>
      </c>
      <c r="F1006" t="s">
        <v>383</v>
      </c>
      <c r="G1006" t="s">
        <v>12</v>
      </c>
      <c r="H1006" t="s">
        <v>11</v>
      </c>
      <c r="I1006" t="s">
        <v>382</v>
      </c>
      <c r="J1006">
        <v>60038812</v>
      </c>
      <c r="K1006" t="s">
        <v>374</v>
      </c>
      <c r="L1006" t="s">
        <v>381</v>
      </c>
      <c r="M1006" t="s">
        <v>380</v>
      </c>
      <c r="N1006">
        <v>1</v>
      </c>
      <c r="O1006" t="s">
        <v>379</v>
      </c>
      <c r="P1006">
        <v>35581830600</v>
      </c>
      <c r="Q1006">
        <v>60038812</v>
      </c>
      <c r="R1006" s="7">
        <v>33604</v>
      </c>
      <c r="S1006" s="8">
        <f t="shared" si="128"/>
        <v>1992</v>
      </c>
      <c r="T1006" s="8">
        <v>1992</v>
      </c>
      <c r="U1006" s="8">
        <f t="shared" si="129"/>
        <v>30</v>
      </c>
      <c r="V1006" s="7">
        <v>1992</v>
      </c>
      <c r="W1006" t="s">
        <v>321</v>
      </c>
      <c r="X1006" s="2">
        <v>0.28599999999999998</v>
      </c>
      <c r="Y1006" s="6">
        <f t="shared" si="126"/>
        <v>7.6346066575905605E-3</v>
      </c>
      <c r="AA1006">
        <v>9205071</v>
      </c>
      <c r="AB1006">
        <v>28139</v>
      </c>
      <c r="AC1006">
        <v>15693937</v>
      </c>
      <c r="AD1006" t="s">
        <v>4</v>
      </c>
      <c r="AE1006">
        <v>6</v>
      </c>
      <c r="AF1006" s="9">
        <v>44348</v>
      </c>
      <c r="AH1006" t="s">
        <v>378</v>
      </c>
      <c r="AI1006" t="s">
        <v>377</v>
      </c>
      <c r="AK1006" t="s">
        <v>376</v>
      </c>
      <c r="AL1006">
        <v>30</v>
      </c>
      <c r="AM1006" s="5">
        <f t="shared" si="130"/>
        <v>1</v>
      </c>
      <c r="AN1006" s="4">
        <f t="shared" si="127"/>
        <v>1.5145778114350624E-3</v>
      </c>
      <c r="AO1006" s="3"/>
      <c r="AP1006">
        <v>0</v>
      </c>
      <c r="AQ1006" t="s">
        <v>375</v>
      </c>
      <c r="AR1006" t="s">
        <v>0</v>
      </c>
      <c r="AS1006" t="s">
        <v>374</v>
      </c>
      <c r="AT1006" s="2" t="s">
        <v>16</v>
      </c>
      <c r="AU1006" s="1">
        <f t="shared" si="131"/>
        <v>0.57985980037439111</v>
      </c>
      <c r="AV1006" s="1">
        <f t="shared" si="132"/>
        <v>0.45745922345128115</v>
      </c>
      <c r="AW1006" s="1">
        <f t="shared" si="133"/>
        <v>0.33505864652817119</v>
      </c>
    </row>
    <row r="1007" spans="1:49" x14ac:dyDescent="0.2">
      <c r="A1007">
        <v>1005</v>
      </c>
      <c r="B1007" t="s">
        <v>373</v>
      </c>
      <c r="C1007" t="s">
        <v>372</v>
      </c>
      <c r="F1007" t="s">
        <v>371</v>
      </c>
      <c r="G1007" t="s">
        <v>12</v>
      </c>
      <c r="H1007" t="s">
        <v>11</v>
      </c>
      <c r="I1007" t="s">
        <v>370</v>
      </c>
      <c r="J1007">
        <v>60000145</v>
      </c>
      <c r="K1007" t="s">
        <v>369</v>
      </c>
      <c r="L1007" t="s">
        <v>368</v>
      </c>
      <c r="M1007" t="s">
        <v>367</v>
      </c>
      <c r="N1007">
        <v>3</v>
      </c>
      <c r="O1007" t="s">
        <v>366</v>
      </c>
      <c r="P1007" t="s">
        <v>365</v>
      </c>
      <c r="Q1007" t="s">
        <v>364</v>
      </c>
      <c r="R1007" s="7">
        <v>33604</v>
      </c>
      <c r="S1007" s="8">
        <f t="shared" si="128"/>
        <v>1992</v>
      </c>
      <c r="T1007" s="8">
        <v>1992</v>
      </c>
      <c r="U1007" s="8">
        <f t="shared" si="129"/>
        <v>30</v>
      </c>
      <c r="V1007" s="7">
        <v>33635</v>
      </c>
      <c r="W1007" t="s">
        <v>363</v>
      </c>
      <c r="X1007" s="2">
        <v>0.69299999999999995</v>
      </c>
      <c r="Y1007" s="6">
        <f t="shared" si="126"/>
        <v>1.8499239208777128E-2</v>
      </c>
      <c r="AA1007">
        <v>431737</v>
      </c>
      <c r="AB1007">
        <v>94353</v>
      </c>
      <c r="AC1007">
        <v>13653180</v>
      </c>
      <c r="AD1007" t="s">
        <v>4</v>
      </c>
      <c r="AE1007">
        <v>32</v>
      </c>
      <c r="AF1007">
        <v>1</v>
      </c>
      <c r="AH1007" s="10">
        <v>42979</v>
      </c>
      <c r="AI1007" t="s">
        <v>362</v>
      </c>
      <c r="AK1007" t="s">
        <v>361</v>
      </c>
      <c r="AL1007">
        <v>9</v>
      </c>
      <c r="AM1007" s="5">
        <f t="shared" si="130"/>
        <v>0.3</v>
      </c>
      <c r="AN1007" s="4">
        <f t="shared" si="127"/>
        <v>4.5437334343051872E-4</v>
      </c>
      <c r="AO1007" s="3"/>
      <c r="AP1007">
        <v>0</v>
      </c>
      <c r="AR1007" t="s">
        <v>0</v>
      </c>
      <c r="AT1007" s="2">
        <v>2.4239999999999999</v>
      </c>
      <c r="AU1007" s="1">
        <f t="shared" si="131"/>
        <v>1.3085779449173145</v>
      </c>
      <c r="AV1007" s="1">
        <f t="shared" si="132"/>
        <v>0.9476806276103823</v>
      </c>
      <c r="AW1007" s="1">
        <f t="shared" si="133"/>
        <v>0.5867833103034501</v>
      </c>
    </row>
    <row r="1008" spans="1:49" x14ac:dyDescent="0.2">
      <c r="A1008">
        <v>1006</v>
      </c>
      <c r="B1008" t="s">
        <v>360</v>
      </c>
      <c r="C1008" t="s">
        <v>359</v>
      </c>
      <c r="F1008" t="s">
        <v>358</v>
      </c>
      <c r="G1008" t="s">
        <v>12</v>
      </c>
      <c r="H1008" t="s">
        <v>11</v>
      </c>
      <c r="I1008" t="s">
        <v>357</v>
      </c>
      <c r="J1008" t="s">
        <v>351</v>
      </c>
      <c r="K1008" t="s">
        <v>356</v>
      </c>
      <c r="L1008" t="s">
        <v>355</v>
      </c>
      <c r="M1008" t="s">
        <v>354</v>
      </c>
      <c r="N1008">
        <v>2</v>
      </c>
      <c r="O1008" t="s">
        <v>353</v>
      </c>
      <c r="P1008" t="s">
        <v>352</v>
      </c>
      <c r="Q1008" t="s">
        <v>351</v>
      </c>
      <c r="R1008" s="7">
        <v>33604</v>
      </c>
      <c r="S1008" s="8">
        <f t="shared" si="128"/>
        <v>1992</v>
      </c>
      <c r="T1008" s="8">
        <v>1992</v>
      </c>
      <c r="U1008" s="8">
        <f t="shared" si="129"/>
        <v>30</v>
      </c>
      <c r="V1008" s="7" t="s">
        <v>350</v>
      </c>
      <c r="W1008" t="s">
        <v>349</v>
      </c>
      <c r="X1008" s="2">
        <v>0.51100000000000001</v>
      </c>
      <c r="Y1008" s="6">
        <f t="shared" si="126"/>
        <v>1.3640853153946772E-2</v>
      </c>
      <c r="AA1008">
        <v>222933</v>
      </c>
      <c r="AB1008">
        <v>29630</v>
      </c>
      <c r="AC1008">
        <v>14645262</v>
      </c>
      <c r="AD1008" t="s">
        <v>4</v>
      </c>
      <c r="AE1008">
        <v>26</v>
      </c>
      <c r="AF1008">
        <v>3</v>
      </c>
      <c r="AH1008" t="s">
        <v>348</v>
      </c>
      <c r="AI1008" t="s">
        <v>347</v>
      </c>
      <c r="AJ1008" t="s">
        <v>346</v>
      </c>
      <c r="AK1008" t="s">
        <v>345</v>
      </c>
      <c r="AL1008">
        <v>4</v>
      </c>
      <c r="AM1008" s="5">
        <f t="shared" si="130"/>
        <v>0.13333333333333333</v>
      </c>
      <c r="AN1008" s="4">
        <f t="shared" si="127"/>
        <v>2.0194370819134167E-4</v>
      </c>
      <c r="AO1008" s="3"/>
      <c r="AP1008">
        <v>0</v>
      </c>
      <c r="AR1008" t="s">
        <v>0</v>
      </c>
      <c r="AT1008" s="2">
        <v>1.016</v>
      </c>
      <c r="AU1008" s="1">
        <f t="shared" si="131"/>
        <v>0.9609180320220142</v>
      </c>
      <c r="AV1008" s="1">
        <f t="shared" si="132"/>
        <v>0.69213984310690568</v>
      </c>
      <c r="AW1008" s="1">
        <f t="shared" si="133"/>
        <v>0.42336165419179705</v>
      </c>
    </row>
    <row r="1009" spans="1:49" x14ac:dyDescent="0.2">
      <c r="A1009">
        <v>1007</v>
      </c>
      <c r="B1009" t="s">
        <v>344</v>
      </c>
      <c r="C1009" t="s">
        <v>343</v>
      </c>
      <c r="F1009" t="s">
        <v>342</v>
      </c>
      <c r="G1009" t="s">
        <v>12</v>
      </c>
      <c r="H1009" t="s">
        <v>11</v>
      </c>
      <c r="I1009" t="s">
        <v>341</v>
      </c>
      <c r="J1009">
        <v>60027075</v>
      </c>
      <c r="K1009" t="s">
        <v>340</v>
      </c>
      <c r="L1009" t="s">
        <v>339</v>
      </c>
      <c r="M1009" t="s">
        <v>338</v>
      </c>
      <c r="N1009">
        <v>2</v>
      </c>
      <c r="O1009" t="s">
        <v>337</v>
      </c>
      <c r="P1009" t="s">
        <v>336</v>
      </c>
      <c r="Q1009" t="s">
        <v>335</v>
      </c>
      <c r="R1009" s="7">
        <v>33604</v>
      </c>
      <c r="S1009" s="8">
        <f t="shared" si="128"/>
        <v>1992</v>
      </c>
      <c r="T1009" s="8">
        <v>1992</v>
      </c>
      <c r="U1009" s="8">
        <f t="shared" si="129"/>
        <v>30</v>
      </c>
      <c r="V1009" s="7">
        <v>1992</v>
      </c>
      <c r="W1009" t="s">
        <v>283</v>
      </c>
      <c r="X1009" s="2">
        <v>1.1879999999999999</v>
      </c>
      <c r="Y1009" s="6">
        <f t="shared" si="126"/>
        <v>3.1712981500760788E-2</v>
      </c>
      <c r="AA1009">
        <v>8998221</v>
      </c>
      <c r="AB1009">
        <v>8900153323</v>
      </c>
      <c r="AD1009" t="s">
        <v>4</v>
      </c>
      <c r="AE1009">
        <v>4</v>
      </c>
      <c r="AF1009">
        <v>3</v>
      </c>
      <c r="AH1009" t="s">
        <v>334</v>
      </c>
      <c r="AI1009" t="s">
        <v>333</v>
      </c>
      <c r="AK1009" t="s">
        <v>332</v>
      </c>
      <c r="AL1009">
        <v>19</v>
      </c>
      <c r="AM1009" s="5">
        <f t="shared" si="130"/>
        <v>0.6333333333333333</v>
      </c>
      <c r="AN1009" s="4">
        <f t="shared" si="127"/>
        <v>9.5923261390887281E-4</v>
      </c>
      <c r="AO1009" s="3"/>
      <c r="AP1009">
        <v>0</v>
      </c>
      <c r="AR1009" t="s">
        <v>0</v>
      </c>
      <c r="AT1009" s="2" t="s">
        <v>16</v>
      </c>
      <c r="AU1009" s="1">
        <f t="shared" si="131"/>
        <v>2.2486856834705211</v>
      </c>
      <c r="AV1009" s="1">
        <f t="shared" si="132"/>
        <v>1.633610705733483</v>
      </c>
      <c r="AW1009" s="1">
        <f t="shared" si="133"/>
        <v>1.0185357279964449</v>
      </c>
    </row>
    <row r="1010" spans="1:49" x14ac:dyDescent="0.2">
      <c r="A1010">
        <v>1008</v>
      </c>
      <c r="B1010" t="s">
        <v>331</v>
      </c>
      <c r="C1010" t="s">
        <v>330</v>
      </c>
      <c r="F1010" t="s">
        <v>329</v>
      </c>
      <c r="G1010" t="s">
        <v>12</v>
      </c>
      <c r="H1010" t="s">
        <v>11</v>
      </c>
      <c r="I1010" t="s">
        <v>328</v>
      </c>
      <c r="J1010" t="s">
        <v>327</v>
      </c>
      <c r="K1010" t="s">
        <v>326</v>
      </c>
      <c r="L1010" t="s">
        <v>325</v>
      </c>
      <c r="M1010" t="s">
        <v>125</v>
      </c>
      <c r="N1010">
        <v>2</v>
      </c>
      <c r="O1010" t="s">
        <v>324</v>
      </c>
      <c r="P1010" t="s">
        <v>323</v>
      </c>
      <c r="Q1010" t="s">
        <v>322</v>
      </c>
      <c r="R1010" s="7">
        <v>33604</v>
      </c>
      <c r="S1010" s="8">
        <f t="shared" si="128"/>
        <v>1992</v>
      </c>
      <c r="T1010" s="8">
        <v>1992</v>
      </c>
      <c r="U1010" s="8">
        <f t="shared" si="129"/>
        <v>30</v>
      </c>
      <c r="V1010" s="7">
        <v>1992</v>
      </c>
      <c r="W1010" t="s">
        <v>321</v>
      </c>
      <c r="X1010" s="2">
        <v>0.28599999999999998</v>
      </c>
      <c r="Y1010" s="6">
        <f t="shared" si="126"/>
        <v>7.6346066575905605E-3</v>
      </c>
      <c r="AA1010">
        <v>9205071</v>
      </c>
      <c r="AB1010">
        <v>28139</v>
      </c>
      <c r="AC1010">
        <v>15693937</v>
      </c>
      <c r="AD1010" t="s">
        <v>4</v>
      </c>
      <c r="AE1010">
        <v>6</v>
      </c>
      <c r="AF1010">
        <v>7</v>
      </c>
      <c r="AH1010" t="s">
        <v>320</v>
      </c>
      <c r="AI1010" t="s">
        <v>319</v>
      </c>
      <c r="AK1010" t="s">
        <v>318</v>
      </c>
      <c r="AL1010">
        <v>4</v>
      </c>
      <c r="AM1010" s="5">
        <f t="shared" si="130"/>
        <v>0.13333333333333333</v>
      </c>
      <c r="AN1010" s="4">
        <f t="shared" si="127"/>
        <v>2.0194370819134167E-4</v>
      </c>
      <c r="AO1010" s="3"/>
      <c r="AP1010">
        <v>0</v>
      </c>
      <c r="AR1010" t="s">
        <v>0</v>
      </c>
      <c r="AT1010" s="2" t="s">
        <v>16</v>
      </c>
      <c r="AU1010" s="1">
        <f t="shared" si="131"/>
        <v>0.54048077727707944</v>
      </c>
      <c r="AV1010" s="1">
        <f t="shared" si="132"/>
        <v>0.39182751828909512</v>
      </c>
      <c r="AW1010" s="1">
        <f t="shared" si="133"/>
        <v>0.24317425930111075</v>
      </c>
    </row>
    <row r="1011" spans="1:49" x14ac:dyDescent="0.2">
      <c r="A1011">
        <v>1009</v>
      </c>
      <c r="B1011" t="s">
        <v>317</v>
      </c>
      <c r="C1011" t="s">
        <v>316</v>
      </c>
      <c r="F1011" t="s">
        <v>315</v>
      </c>
      <c r="G1011" t="s">
        <v>12</v>
      </c>
      <c r="H1011" t="s">
        <v>11</v>
      </c>
      <c r="I1011" t="s">
        <v>314</v>
      </c>
      <c r="J1011">
        <v>60025778</v>
      </c>
      <c r="K1011" t="s">
        <v>25</v>
      </c>
      <c r="L1011" t="s">
        <v>24</v>
      </c>
      <c r="M1011" t="s">
        <v>7</v>
      </c>
      <c r="N1011">
        <v>3</v>
      </c>
      <c r="O1011" t="s">
        <v>313</v>
      </c>
      <c r="P1011" t="s">
        <v>312</v>
      </c>
      <c r="Q1011" t="s">
        <v>311</v>
      </c>
      <c r="R1011" s="7">
        <v>33604</v>
      </c>
      <c r="S1011" s="8">
        <f t="shared" si="128"/>
        <v>1992</v>
      </c>
      <c r="T1011" s="8">
        <v>1992</v>
      </c>
      <c r="U1011" s="8">
        <f t="shared" si="129"/>
        <v>30</v>
      </c>
      <c r="V1011" s="7">
        <v>33878</v>
      </c>
      <c r="W1011" t="s">
        <v>97</v>
      </c>
      <c r="X1011" s="2">
        <v>1.6519999999999999</v>
      </c>
      <c r="Y1011" s="6">
        <f t="shared" si="126"/>
        <v>4.409919649769093E-2</v>
      </c>
      <c r="AA1011" t="s">
        <v>96</v>
      </c>
      <c r="AB1011">
        <v>17337</v>
      </c>
      <c r="AC1011">
        <v>15582221</v>
      </c>
      <c r="AD1011" t="s">
        <v>4</v>
      </c>
      <c r="AE1011">
        <v>40</v>
      </c>
      <c r="AF1011">
        <v>10</v>
      </c>
      <c r="AH1011" t="s">
        <v>310</v>
      </c>
      <c r="AI1011" t="s">
        <v>309</v>
      </c>
      <c r="AK1011" t="s">
        <v>308</v>
      </c>
      <c r="AL1011">
        <v>27</v>
      </c>
      <c r="AM1011" s="5">
        <f t="shared" si="130"/>
        <v>0.9</v>
      </c>
      <c r="AN1011" s="4">
        <f t="shared" si="127"/>
        <v>1.3631200302915562E-3</v>
      </c>
      <c r="AO1011" s="3"/>
      <c r="AP1011">
        <v>0</v>
      </c>
      <c r="AR1011" t="s">
        <v>0</v>
      </c>
      <c r="AT1011" s="2" t="s">
        <v>16</v>
      </c>
      <c r="AU1011" s="1">
        <f t="shared" si="131"/>
        <v>3.1278373557471117</v>
      </c>
      <c r="AV1011" s="1">
        <f t="shared" si="132"/>
        <v>2.2731158263991245</v>
      </c>
      <c r="AW1011" s="1">
        <f t="shared" si="133"/>
        <v>1.4183942970511367</v>
      </c>
    </row>
    <row r="1012" spans="1:49" x14ac:dyDescent="0.2">
      <c r="A1012">
        <v>1010</v>
      </c>
      <c r="B1012" t="s">
        <v>307</v>
      </c>
      <c r="C1012" t="s">
        <v>306</v>
      </c>
      <c r="F1012" t="s">
        <v>305</v>
      </c>
      <c r="G1012" t="s">
        <v>12</v>
      </c>
      <c r="H1012" t="s">
        <v>11</v>
      </c>
      <c r="I1012" t="s">
        <v>304</v>
      </c>
      <c r="J1012">
        <v>60032587</v>
      </c>
      <c r="K1012" t="s">
        <v>303</v>
      </c>
      <c r="L1012" t="s">
        <v>302</v>
      </c>
      <c r="M1012" t="s">
        <v>301</v>
      </c>
      <c r="N1012">
        <v>2</v>
      </c>
      <c r="O1012" t="s">
        <v>300</v>
      </c>
      <c r="P1012" t="s">
        <v>299</v>
      </c>
      <c r="Q1012" t="s">
        <v>298</v>
      </c>
      <c r="R1012" s="7">
        <v>33604</v>
      </c>
      <c r="S1012" s="8">
        <f t="shared" si="128"/>
        <v>1992</v>
      </c>
      <c r="T1012" s="8">
        <v>1992</v>
      </c>
      <c r="U1012" s="8">
        <f t="shared" si="129"/>
        <v>30</v>
      </c>
      <c r="V1012" s="7">
        <v>33756</v>
      </c>
      <c r="W1012" t="s">
        <v>297</v>
      </c>
      <c r="X1012" s="2">
        <v>0.76700000000000002</v>
      </c>
      <c r="Y1012" s="6">
        <f t="shared" si="126"/>
        <v>2.0474626945356504E-2</v>
      </c>
      <c r="AA1012">
        <v>983063</v>
      </c>
      <c r="AB1012">
        <v>26048</v>
      </c>
      <c r="AD1012" t="s">
        <v>4</v>
      </c>
      <c r="AE1012">
        <v>38</v>
      </c>
      <c r="AF1012">
        <v>4</v>
      </c>
      <c r="AH1012" t="s">
        <v>296</v>
      </c>
      <c r="AI1012" t="s">
        <v>295</v>
      </c>
      <c r="AK1012" t="s">
        <v>294</v>
      </c>
      <c r="AL1012">
        <v>2</v>
      </c>
      <c r="AM1012" s="5">
        <f t="shared" si="130"/>
        <v>6.6666666666666666E-2</v>
      </c>
      <c r="AN1012" s="4">
        <f t="shared" si="127"/>
        <v>1.0097185409567084E-4</v>
      </c>
      <c r="AO1012" s="3"/>
      <c r="AP1012">
        <v>0</v>
      </c>
      <c r="AR1012" t="s">
        <v>0</v>
      </c>
      <c r="AT1012" s="2" t="s">
        <v>16</v>
      </c>
      <c r="AU1012" s="1">
        <f t="shared" si="131"/>
        <v>1.4362530417978254</v>
      </c>
      <c r="AV1012" s="1">
        <f t="shared" si="132"/>
        <v>1.0287799399726087</v>
      </c>
      <c r="AW1012" s="1">
        <f t="shared" si="133"/>
        <v>0.62130683814739207</v>
      </c>
    </row>
    <row r="1013" spans="1:49" x14ac:dyDescent="0.2">
      <c r="A1013">
        <v>1011</v>
      </c>
      <c r="B1013" t="s">
        <v>293</v>
      </c>
      <c r="C1013" t="s">
        <v>292</v>
      </c>
      <c r="F1013" t="s">
        <v>291</v>
      </c>
      <c r="G1013" t="s">
        <v>12</v>
      </c>
      <c r="H1013" t="s">
        <v>11</v>
      </c>
      <c r="I1013" t="s">
        <v>290</v>
      </c>
      <c r="J1013" t="s">
        <v>289</v>
      </c>
      <c r="K1013" t="s">
        <v>288</v>
      </c>
      <c r="L1013" t="s">
        <v>287</v>
      </c>
      <c r="M1013" t="s">
        <v>125</v>
      </c>
      <c r="N1013">
        <v>3</v>
      </c>
      <c r="O1013" t="s">
        <v>286</v>
      </c>
      <c r="P1013" t="s">
        <v>285</v>
      </c>
      <c r="Q1013" t="s">
        <v>284</v>
      </c>
      <c r="R1013" s="7">
        <v>33604</v>
      </c>
      <c r="S1013" s="8">
        <f t="shared" si="128"/>
        <v>1992</v>
      </c>
      <c r="T1013" s="8">
        <v>1992</v>
      </c>
      <c r="U1013" s="8">
        <f t="shared" si="129"/>
        <v>30</v>
      </c>
      <c r="V1013" s="7">
        <v>1992</v>
      </c>
      <c r="W1013" t="s">
        <v>283</v>
      </c>
      <c r="X1013" s="2">
        <v>1.1879999999999999</v>
      </c>
      <c r="Y1013" s="6">
        <f t="shared" si="126"/>
        <v>3.1712981500760788E-2</v>
      </c>
      <c r="AA1013">
        <v>8998221</v>
      </c>
      <c r="AB1013">
        <v>8900153323</v>
      </c>
      <c r="AD1013" t="s">
        <v>4</v>
      </c>
      <c r="AE1013">
        <v>4</v>
      </c>
      <c r="AF1013">
        <v>2</v>
      </c>
      <c r="AH1013" t="s">
        <v>282</v>
      </c>
      <c r="AI1013" t="s">
        <v>281</v>
      </c>
      <c r="AK1013" t="s">
        <v>280</v>
      </c>
      <c r="AL1013">
        <v>8</v>
      </c>
      <c r="AM1013" s="5">
        <f t="shared" si="130"/>
        <v>0.26666666666666666</v>
      </c>
      <c r="AN1013" s="4">
        <f t="shared" si="127"/>
        <v>4.0388741638268334E-4</v>
      </c>
      <c r="AO1013" s="3"/>
      <c r="AP1013">
        <v>0</v>
      </c>
      <c r="AR1013" t="s">
        <v>0</v>
      </c>
      <c r="AT1013" s="2" t="s">
        <v>16</v>
      </c>
      <c r="AU1013" s="1">
        <f t="shared" si="131"/>
        <v>2.2320253275447355</v>
      </c>
      <c r="AV1013" s="1">
        <f t="shared" si="132"/>
        <v>1.6058434458571735</v>
      </c>
      <c r="AW1013" s="1">
        <f t="shared" si="133"/>
        <v>0.97966156416961148</v>
      </c>
    </row>
    <row r="1014" spans="1:49" x14ac:dyDescent="0.2">
      <c r="A1014">
        <v>1012</v>
      </c>
      <c r="B1014" t="s">
        <v>279</v>
      </c>
      <c r="C1014" t="s">
        <v>278</v>
      </c>
      <c r="F1014" t="s">
        <v>277</v>
      </c>
      <c r="G1014" t="s">
        <v>12</v>
      </c>
      <c r="H1014" t="s">
        <v>11</v>
      </c>
      <c r="I1014" t="s">
        <v>276</v>
      </c>
      <c r="J1014">
        <v>60010023</v>
      </c>
      <c r="K1014" t="s">
        <v>275</v>
      </c>
      <c r="L1014" t="s">
        <v>274</v>
      </c>
      <c r="M1014" t="s">
        <v>273</v>
      </c>
      <c r="N1014">
        <v>2</v>
      </c>
      <c r="O1014" t="s">
        <v>272</v>
      </c>
      <c r="P1014" t="s">
        <v>271</v>
      </c>
      <c r="Q1014" t="s">
        <v>270</v>
      </c>
      <c r="R1014" s="7">
        <v>33604</v>
      </c>
      <c r="S1014" s="8">
        <f t="shared" si="128"/>
        <v>1992</v>
      </c>
      <c r="T1014" s="8">
        <v>1992</v>
      </c>
      <c r="U1014" s="8">
        <f t="shared" si="129"/>
        <v>30</v>
      </c>
      <c r="V1014" s="7">
        <v>33664</v>
      </c>
      <c r="W1014" t="s">
        <v>217</v>
      </c>
      <c r="X1014" s="2">
        <v>0.69299999999999995</v>
      </c>
      <c r="Y1014" s="6">
        <f t="shared" si="126"/>
        <v>1.8499239208777128E-2</v>
      </c>
      <c r="AA1014">
        <v>3076962</v>
      </c>
      <c r="AB1014">
        <v>21084</v>
      </c>
      <c r="AC1014">
        <v>13653032</v>
      </c>
      <c r="AD1014" t="s">
        <v>4</v>
      </c>
      <c r="AE1014">
        <v>17</v>
      </c>
      <c r="AF1014">
        <v>1</v>
      </c>
      <c r="AH1014" t="s">
        <v>269</v>
      </c>
      <c r="AI1014" t="s">
        <v>268</v>
      </c>
      <c r="AJ1014" t="s">
        <v>267</v>
      </c>
      <c r="AK1014" t="s">
        <v>266</v>
      </c>
      <c r="AL1014">
        <v>30</v>
      </c>
      <c r="AM1014" s="5">
        <f t="shared" si="130"/>
        <v>1</v>
      </c>
      <c r="AN1014" s="4">
        <f t="shared" si="127"/>
        <v>1.5145778114350624E-3</v>
      </c>
      <c r="AO1014" s="3"/>
      <c r="AP1014">
        <v>0</v>
      </c>
      <c r="AR1014" t="s">
        <v>0</v>
      </c>
      <c r="AT1014" s="2">
        <v>1.833</v>
      </c>
      <c r="AU1014" s="1">
        <f t="shared" si="131"/>
        <v>1.3403840789574508</v>
      </c>
      <c r="AV1014" s="1">
        <f t="shared" si="132"/>
        <v>1.0006908510106094</v>
      </c>
      <c r="AW1014" s="1">
        <f t="shared" si="133"/>
        <v>0.66099762306376819</v>
      </c>
    </row>
    <row r="1015" spans="1:49" x14ac:dyDescent="0.2">
      <c r="A1015">
        <v>1013</v>
      </c>
      <c r="B1015" t="s">
        <v>265</v>
      </c>
      <c r="C1015" t="s">
        <v>264</v>
      </c>
      <c r="F1015" t="s">
        <v>263</v>
      </c>
      <c r="G1015" t="s">
        <v>12</v>
      </c>
      <c r="H1015" t="s">
        <v>11</v>
      </c>
      <c r="I1015" t="s">
        <v>262</v>
      </c>
      <c r="J1015" t="s">
        <v>261</v>
      </c>
      <c r="K1015" t="s">
        <v>260</v>
      </c>
      <c r="L1015" t="s">
        <v>259</v>
      </c>
      <c r="M1015" t="s">
        <v>125</v>
      </c>
      <c r="N1015">
        <v>1</v>
      </c>
      <c r="O1015" t="s">
        <v>258</v>
      </c>
      <c r="P1015">
        <v>7402383238</v>
      </c>
      <c r="Q1015" t="s">
        <v>257</v>
      </c>
      <c r="R1015" s="7">
        <v>33604</v>
      </c>
      <c r="S1015" s="8">
        <f t="shared" si="128"/>
        <v>1992</v>
      </c>
      <c r="T1015" s="8">
        <v>1992</v>
      </c>
      <c r="U1015" s="8">
        <f t="shared" si="129"/>
        <v>30</v>
      </c>
      <c r="V1015" s="7">
        <v>1992</v>
      </c>
      <c r="W1015" t="s">
        <v>5</v>
      </c>
      <c r="X1015" s="2">
        <v>1.887</v>
      </c>
      <c r="Y1015" s="6">
        <f t="shared" si="126"/>
        <v>5.0372387282774087E-2</v>
      </c>
      <c r="AA1015">
        <v>5562821</v>
      </c>
      <c r="AB1015">
        <v>29459</v>
      </c>
      <c r="AD1015" t="s">
        <v>4</v>
      </c>
      <c r="AE1015">
        <v>46</v>
      </c>
      <c r="AF1015">
        <v>12</v>
      </c>
      <c r="AH1015" t="s">
        <v>256</v>
      </c>
      <c r="AI1015" t="s">
        <v>255</v>
      </c>
      <c r="AK1015" t="s">
        <v>254</v>
      </c>
      <c r="AL1015">
        <v>182</v>
      </c>
      <c r="AM1015" s="5">
        <f t="shared" si="130"/>
        <v>6.0666666666666664</v>
      </c>
      <c r="AN1015" s="4">
        <f t="shared" si="127"/>
        <v>9.1884387227060445E-3</v>
      </c>
      <c r="AO1015" s="3"/>
      <c r="AP1015">
        <v>0</v>
      </c>
      <c r="AR1015" t="s">
        <v>0</v>
      </c>
      <c r="AT1015" s="2">
        <v>5.2960000000000003</v>
      </c>
      <c r="AU1015" s="1">
        <f t="shared" si="131"/>
        <v>3.8017202714753671</v>
      </c>
      <c r="AV1015" s="1">
        <f t="shared" si="132"/>
        <v>2.9780413002740063</v>
      </c>
      <c r="AW1015" s="1">
        <f t="shared" si="133"/>
        <v>2.1543623290726455</v>
      </c>
    </row>
    <row r="1016" spans="1:49" x14ac:dyDescent="0.2">
      <c r="A1016">
        <v>1014</v>
      </c>
      <c r="B1016" t="s">
        <v>253</v>
      </c>
      <c r="C1016" t="s">
        <v>252</v>
      </c>
      <c r="F1016" t="s">
        <v>251</v>
      </c>
      <c r="G1016" t="s">
        <v>12</v>
      </c>
      <c r="H1016" t="s">
        <v>11</v>
      </c>
      <c r="I1016" t="s">
        <v>250</v>
      </c>
      <c r="J1016" t="s">
        <v>249</v>
      </c>
      <c r="K1016" t="s">
        <v>248</v>
      </c>
      <c r="L1016" t="s">
        <v>247</v>
      </c>
      <c r="M1016" t="s">
        <v>246</v>
      </c>
      <c r="N1016">
        <v>4</v>
      </c>
      <c r="O1016" t="s">
        <v>245</v>
      </c>
      <c r="P1016" t="s">
        <v>244</v>
      </c>
      <c r="Q1016" t="s">
        <v>243</v>
      </c>
      <c r="R1016" s="7">
        <v>33604</v>
      </c>
      <c r="S1016" s="8">
        <f t="shared" si="128"/>
        <v>1992</v>
      </c>
      <c r="T1016" s="8">
        <v>1992</v>
      </c>
      <c r="U1016" s="8">
        <f t="shared" si="129"/>
        <v>30</v>
      </c>
      <c r="V1016" s="7">
        <v>33939</v>
      </c>
      <c r="W1016" t="s">
        <v>136</v>
      </c>
      <c r="X1016" s="2">
        <v>1.3720000000000001</v>
      </c>
      <c r="Y1016" s="6">
        <f t="shared" si="126"/>
        <v>3.662475641333654E-2</v>
      </c>
      <c r="AA1016">
        <v>189480</v>
      </c>
      <c r="AB1016">
        <v>17366</v>
      </c>
      <c r="AC1016">
        <v>15579670</v>
      </c>
      <c r="AD1016" t="s">
        <v>4</v>
      </c>
      <c r="AE1016">
        <v>40</v>
      </c>
      <c r="AF1016">
        <v>12</v>
      </c>
      <c r="AH1016" t="s">
        <v>242</v>
      </c>
      <c r="AI1016" t="s">
        <v>241</v>
      </c>
      <c r="AK1016" t="s">
        <v>240</v>
      </c>
      <c r="AL1016">
        <v>19</v>
      </c>
      <c r="AM1016" s="5">
        <f t="shared" si="130"/>
        <v>0.6333333333333333</v>
      </c>
      <c r="AN1016" s="4">
        <f t="shared" si="127"/>
        <v>9.5923261390887281E-4</v>
      </c>
      <c r="AO1016" s="3"/>
      <c r="AP1016">
        <v>0</v>
      </c>
      <c r="AR1016" t="s">
        <v>0</v>
      </c>
      <c r="AT1016" s="2" t="s">
        <v>16</v>
      </c>
      <c r="AU1016" s="1">
        <f t="shared" si="131"/>
        <v>2.5925099273508239</v>
      </c>
      <c r="AV1016" s="1">
        <f t="shared" si="132"/>
        <v>1.8791994513622705</v>
      </c>
      <c r="AW1016" s="1">
        <f t="shared" si="133"/>
        <v>1.1658889753737174</v>
      </c>
    </row>
    <row r="1017" spans="1:49" x14ac:dyDescent="0.2">
      <c r="A1017">
        <v>1015</v>
      </c>
      <c r="B1017" t="s">
        <v>239</v>
      </c>
      <c r="C1017" t="s">
        <v>238</v>
      </c>
      <c r="F1017" t="s">
        <v>237</v>
      </c>
      <c r="G1017" t="s">
        <v>12</v>
      </c>
      <c r="H1017" t="s">
        <v>11</v>
      </c>
      <c r="I1017" t="s">
        <v>236</v>
      </c>
      <c r="J1017" t="s">
        <v>235</v>
      </c>
      <c r="K1017" t="s">
        <v>234</v>
      </c>
      <c r="L1017" t="s">
        <v>233</v>
      </c>
      <c r="M1017" t="s">
        <v>125</v>
      </c>
      <c r="N1017">
        <v>3</v>
      </c>
      <c r="O1017" t="s">
        <v>232</v>
      </c>
      <c r="P1017" t="s">
        <v>231</v>
      </c>
      <c r="Q1017" t="s">
        <v>230</v>
      </c>
      <c r="R1017" s="7">
        <v>33604</v>
      </c>
      <c r="S1017" s="8">
        <f t="shared" si="128"/>
        <v>1992</v>
      </c>
      <c r="T1017" s="8">
        <v>1992</v>
      </c>
      <c r="U1017" s="8">
        <f t="shared" si="129"/>
        <v>30</v>
      </c>
      <c r="V1017" s="7">
        <v>1992</v>
      </c>
      <c r="W1017" t="s">
        <v>229</v>
      </c>
      <c r="X1017" s="2">
        <v>12.555999999999999</v>
      </c>
      <c r="Y1017" s="6">
        <f t="shared" si="126"/>
        <v>0.33517524892554923</v>
      </c>
      <c r="AA1017">
        <v>368075</v>
      </c>
      <c r="AB1017">
        <v>23571</v>
      </c>
      <c r="AD1017" t="s">
        <v>4</v>
      </c>
      <c r="AE1017">
        <v>258</v>
      </c>
      <c r="AF1017">
        <v>5082</v>
      </c>
      <c r="AH1017" t="s">
        <v>228</v>
      </c>
      <c r="AI1017" t="s">
        <v>227</v>
      </c>
      <c r="AK1017" t="s">
        <v>226</v>
      </c>
      <c r="AL1017">
        <v>204</v>
      </c>
      <c r="AM1017" s="5">
        <f t="shared" si="130"/>
        <v>6.8</v>
      </c>
      <c r="AN1017" s="4">
        <f t="shared" si="127"/>
        <v>1.0299129117758425E-2</v>
      </c>
      <c r="AO1017" s="3"/>
      <c r="AP1017">
        <v>0</v>
      </c>
      <c r="AR1017" t="s">
        <v>0</v>
      </c>
      <c r="AT1017" s="2">
        <v>47.728000000000002</v>
      </c>
      <c r="AU1017" s="1">
        <f t="shared" si="131"/>
        <v>23.771241298321197</v>
      </c>
      <c r="AV1017" s="1">
        <f t="shared" si="132"/>
        <v>17.273718902165385</v>
      </c>
      <c r="AW1017" s="1">
        <f t="shared" si="133"/>
        <v>10.776196506009567</v>
      </c>
    </row>
    <row r="1018" spans="1:49" x14ac:dyDescent="0.2">
      <c r="A1018">
        <v>1016</v>
      </c>
      <c r="B1018" t="s">
        <v>225</v>
      </c>
      <c r="C1018" t="s">
        <v>224</v>
      </c>
      <c r="F1018" t="s">
        <v>223</v>
      </c>
      <c r="G1018" t="s">
        <v>12</v>
      </c>
      <c r="H1018" t="s">
        <v>11</v>
      </c>
      <c r="I1018" t="s">
        <v>222</v>
      </c>
      <c r="J1018">
        <v>60044069</v>
      </c>
      <c r="K1018" t="s">
        <v>221</v>
      </c>
      <c r="L1018" t="s">
        <v>220</v>
      </c>
      <c r="M1018" t="s">
        <v>219</v>
      </c>
      <c r="N1018">
        <v>1</v>
      </c>
      <c r="O1018" t="s">
        <v>218</v>
      </c>
      <c r="P1018">
        <v>24339260900</v>
      </c>
      <c r="Q1018">
        <v>60044069</v>
      </c>
      <c r="R1018" s="7">
        <v>33604</v>
      </c>
      <c r="S1018" s="8">
        <f t="shared" si="128"/>
        <v>1992</v>
      </c>
      <c r="T1018" s="8">
        <v>1992</v>
      </c>
      <c r="U1018" s="8">
        <f t="shared" si="129"/>
        <v>30</v>
      </c>
      <c r="V1018" s="7">
        <v>33939</v>
      </c>
      <c r="W1018" t="s">
        <v>217</v>
      </c>
      <c r="X1018" s="2">
        <v>0.69299999999999995</v>
      </c>
      <c r="Y1018" s="6">
        <f t="shared" si="126"/>
        <v>1.8499239208777128E-2</v>
      </c>
      <c r="AA1018">
        <v>3076962</v>
      </c>
      <c r="AB1018">
        <v>21084</v>
      </c>
      <c r="AC1018">
        <v>13653032</v>
      </c>
      <c r="AD1018" t="s">
        <v>4</v>
      </c>
      <c r="AE1018">
        <v>17</v>
      </c>
      <c r="AF1018">
        <v>4</v>
      </c>
      <c r="AH1018" t="s">
        <v>216</v>
      </c>
      <c r="AI1018" t="s">
        <v>215</v>
      </c>
      <c r="AJ1018" t="s">
        <v>214</v>
      </c>
      <c r="AK1018" t="s">
        <v>213</v>
      </c>
      <c r="AL1018">
        <v>11</v>
      </c>
      <c r="AM1018" s="5">
        <f t="shared" si="130"/>
        <v>0.36666666666666664</v>
      </c>
      <c r="AN1018" s="4">
        <f t="shared" si="127"/>
        <v>5.5534519752618958E-4</v>
      </c>
      <c r="AO1018" s="3"/>
      <c r="AP1018">
        <v>0</v>
      </c>
      <c r="AR1018" t="s">
        <v>0</v>
      </c>
      <c r="AT1018" s="2">
        <v>1.833</v>
      </c>
      <c r="AU1018" s="1">
        <f t="shared" si="131"/>
        <v>1.3116071005401846</v>
      </c>
      <c r="AV1018" s="1">
        <f t="shared" si="132"/>
        <v>0.95272922031516583</v>
      </c>
      <c r="AW1018" s="1">
        <f t="shared" si="133"/>
        <v>0.59385134009014706</v>
      </c>
    </row>
    <row r="1019" spans="1:49" x14ac:dyDescent="0.2">
      <c r="A1019">
        <v>1017</v>
      </c>
      <c r="B1019" t="s">
        <v>212</v>
      </c>
      <c r="C1019" t="s">
        <v>211</v>
      </c>
      <c r="F1019" t="s">
        <v>210</v>
      </c>
      <c r="G1019" t="s">
        <v>12</v>
      </c>
      <c r="H1019" t="s">
        <v>11</v>
      </c>
      <c r="I1019" t="s">
        <v>209</v>
      </c>
      <c r="J1019" t="s">
        <v>208</v>
      </c>
      <c r="K1019" t="s">
        <v>207</v>
      </c>
      <c r="L1019" t="s">
        <v>206</v>
      </c>
      <c r="M1019" t="s">
        <v>125</v>
      </c>
      <c r="N1019">
        <v>3</v>
      </c>
      <c r="O1019" t="s">
        <v>205</v>
      </c>
      <c r="P1019" t="s">
        <v>204</v>
      </c>
      <c r="Q1019" t="s">
        <v>203</v>
      </c>
      <c r="R1019" s="7">
        <v>33604</v>
      </c>
      <c r="S1019" s="8">
        <f t="shared" si="128"/>
        <v>1992</v>
      </c>
      <c r="T1019" s="8">
        <v>1992</v>
      </c>
      <c r="U1019" s="8">
        <f t="shared" si="129"/>
        <v>30</v>
      </c>
      <c r="V1019" s="7">
        <v>33878</v>
      </c>
      <c r="W1019" t="s">
        <v>97</v>
      </c>
      <c r="X1019" s="2">
        <v>1.6519999999999999</v>
      </c>
      <c r="Y1019" s="6">
        <f t="shared" si="126"/>
        <v>4.409919649769093E-2</v>
      </c>
      <c r="AA1019" t="s">
        <v>96</v>
      </c>
      <c r="AB1019">
        <v>17337</v>
      </c>
      <c r="AC1019">
        <v>15582221</v>
      </c>
      <c r="AD1019" t="s">
        <v>4</v>
      </c>
      <c r="AE1019">
        <v>40</v>
      </c>
      <c r="AF1019">
        <v>10</v>
      </c>
      <c r="AH1019" t="s">
        <v>202</v>
      </c>
      <c r="AI1019" t="s">
        <v>201</v>
      </c>
      <c r="AK1019" t="s">
        <v>200</v>
      </c>
      <c r="AL1019">
        <v>23</v>
      </c>
      <c r="AM1019" s="5">
        <f t="shared" si="130"/>
        <v>0.76666666666666672</v>
      </c>
      <c r="AN1019" s="4">
        <f t="shared" si="127"/>
        <v>1.1611763221002146E-3</v>
      </c>
      <c r="AO1019" s="3"/>
      <c r="AP1019">
        <v>0</v>
      </c>
      <c r="AR1019" t="s">
        <v>0</v>
      </c>
      <c r="AT1019" s="2" t="s">
        <v>16</v>
      </c>
      <c r="AU1019" s="1">
        <f t="shared" si="131"/>
        <v>3.1217790445013716</v>
      </c>
      <c r="AV1019" s="1">
        <f t="shared" si="132"/>
        <v>2.2630186409895572</v>
      </c>
      <c r="AW1019" s="1">
        <f t="shared" si="133"/>
        <v>1.4042582374777428</v>
      </c>
    </row>
    <row r="1020" spans="1:49" x14ac:dyDescent="0.2">
      <c r="A1020">
        <v>1018</v>
      </c>
      <c r="B1020" t="s">
        <v>199</v>
      </c>
      <c r="C1020" t="s">
        <v>198</v>
      </c>
      <c r="F1020" t="s">
        <v>197</v>
      </c>
      <c r="G1020" t="s">
        <v>12</v>
      </c>
      <c r="H1020" t="s">
        <v>11</v>
      </c>
      <c r="I1020" t="s">
        <v>196</v>
      </c>
      <c r="J1020">
        <v>60025778</v>
      </c>
      <c r="K1020" t="s">
        <v>25</v>
      </c>
      <c r="L1020" t="s">
        <v>24</v>
      </c>
      <c r="M1020" t="s">
        <v>7</v>
      </c>
      <c r="N1020">
        <v>1</v>
      </c>
      <c r="O1020" t="s">
        <v>195</v>
      </c>
      <c r="P1020">
        <v>56246062600</v>
      </c>
      <c r="Q1020">
        <v>60025778</v>
      </c>
      <c r="R1020" s="7">
        <v>33604</v>
      </c>
      <c r="S1020" s="8">
        <f t="shared" si="128"/>
        <v>1992</v>
      </c>
      <c r="T1020" s="8">
        <v>1992</v>
      </c>
      <c r="U1020" s="8">
        <f t="shared" si="129"/>
        <v>30</v>
      </c>
      <c r="V1020" s="7">
        <v>33909</v>
      </c>
      <c r="W1020" t="s">
        <v>194</v>
      </c>
      <c r="X1020" s="2">
        <v>2.383</v>
      </c>
      <c r="Y1020" s="6">
        <f t="shared" si="126"/>
        <v>6.3612824003630442E-2</v>
      </c>
      <c r="AA1020">
        <v>189219</v>
      </c>
      <c r="AB1020">
        <v>17915</v>
      </c>
      <c r="AC1020">
        <v>15582256</v>
      </c>
      <c r="AD1020" t="s">
        <v>4</v>
      </c>
      <c r="AE1020">
        <v>80</v>
      </c>
      <c r="AF1020">
        <v>11</v>
      </c>
      <c r="AH1020" t="s">
        <v>193</v>
      </c>
      <c r="AI1020" t="s">
        <v>192</v>
      </c>
      <c r="AK1020" t="s">
        <v>191</v>
      </c>
      <c r="AL1020">
        <v>29</v>
      </c>
      <c r="AM1020" s="5">
        <f t="shared" si="130"/>
        <v>0.96666666666666667</v>
      </c>
      <c r="AN1020" s="4">
        <f t="shared" si="127"/>
        <v>1.4640918843872271E-3</v>
      </c>
      <c r="AO1020" s="3"/>
      <c r="AP1020">
        <v>0</v>
      </c>
      <c r="AQ1020" t="s">
        <v>190</v>
      </c>
      <c r="AR1020" t="s">
        <v>189</v>
      </c>
      <c r="AS1020" t="s">
        <v>188</v>
      </c>
      <c r="AT1020" s="2">
        <v>10.961</v>
      </c>
      <c r="AU1020" s="1">
        <f t="shared" si="131"/>
        <v>4.4968204367857476</v>
      </c>
      <c r="AV1020" s="1">
        <f t="shared" si="132"/>
        <v>3.2538457944008838</v>
      </c>
      <c r="AW1020" s="1">
        <f t="shared" si="133"/>
        <v>2.0108711520160192</v>
      </c>
    </row>
    <row r="1021" spans="1:49" x14ac:dyDescent="0.2">
      <c r="A1021">
        <v>1019</v>
      </c>
      <c r="B1021" t="s">
        <v>187</v>
      </c>
      <c r="C1021" t="s">
        <v>186</v>
      </c>
      <c r="F1021" t="s">
        <v>185</v>
      </c>
      <c r="G1021" t="s">
        <v>12</v>
      </c>
      <c r="H1021" t="s">
        <v>11</v>
      </c>
      <c r="I1021" t="s">
        <v>184</v>
      </c>
      <c r="J1021">
        <v>60033021</v>
      </c>
      <c r="K1021" t="s">
        <v>183</v>
      </c>
      <c r="L1021" t="s">
        <v>182</v>
      </c>
      <c r="M1021" t="s">
        <v>7</v>
      </c>
      <c r="N1021">
        <v>2</v>
      </c>
      <c r="O1021" t="s">
        <v>181</v>
      </c>
      <c r="P1021" t="s">
        <v>180</v>
      </c>
      <c r="Q1021" t="s">
        <v>179</v>
      </c>
      <c r="R1021" s="7">
        <v>33604</v>
      </c>
      <c r="S1021" s="8">
        <f t="shared" si="128"/>
        <v>1992</v>
      </c>
      <c r="T1021" s="8">
        <v>1992</v>
      </c>
      <c r="U1021" s="8">
        <f t="shared" si="129"/>
        <v>30</v>
      </c>
      <c r="V1021" s="7">
        <v>1992</v>
      </c>
      <c r="W1021" t="s">
        <v>178</v>
      </c>
      <c r="X1021" s="2">
        <v>1.78</v>
      </c>
      <c r="Y1021" s="6">
        <f t="shared" si="126"/>
        <v>4.7516083393395803E-2</v>
      </c>
      <c r="AA1021">
        <v>1631829</v>
      </c>
      <c r="AB1021">
        <v>85318</v>
      </c>
      <c r="AD1021" t="s">
        <v>4</v>
      </c>
      <c r="AE1021">
        <v>46</v>
      </c>
      <c r="AF1021">
        <v>21</v>
      </c>
      <c r="AH1021" t="s">
        <v>177</v>
      </c>
      <c r="AI1021" t="s">
        <v>176</v>
      </c>
      <c r="AK1021" t="s">
        <v>175</v>
      </c>
      <c r="AL1021">
        <v>10</v>
      </c>
      <c r="AM1021" s="5">
        <f t="shared" si="130"/>
        <v>0.33333333333333331</v>
      </c>
      <c r="AN1021" s="4">
        <f t="shared" si="127"/>
        <v>5.048592704783541E-4</v>
      </c>
      <c r="AO1021" s="3"/>
      <c r="AP1021">
        <v>0</v>
      </c>
      <c r="AR1021" t="s">
        <v>0</v>
      </c>
      <c r="AT1021" s="2">
        <v>4.0359999999999996</v>
      </c>
      <c r="AU1021" s="1">
        <f t="shared" si="131"/>
        <v>3.3412716156520563</v>
      </c>
      <c r="AV1021" s="1">
        <f t="shared" si="132"/>
        <v>2.4010471331937078</v>
      </c>
      <c r="AW1021" s="1">
        <f t="shared" si="133"/>
        <v>1.4608226507353588</v>
      </c>
    </row>
    <row r="1022" spans="1:49" x14ac:dyDescent="0.2">
      <c r="A1022">
        <v>1020</v>
      </c>
      <c r="B1022" t="s">
        <v>174</v>
      </c>
      <c r="C1022" t="s">
        <v>173</v>
      </c>
      <c r="F1022" t="s">
        <v>172</v>
      </c>
      <c r="G1022" t="s">
        <v>12</v>
      </c>
      <c r="H1022" t="s">
        <v>11</v>
      </c>
      <c r="I1022" t="s">
        <v>171</v>
      </c>
      <c r="J1022" t="s">
        <v>170</v>
      </c>
      <c r="K1022" t="s">
        <v>169</v>
      </c>
      <c r="L1022" t="s">
        <v>168</v>
      </c>
      <c r="M1022" t="s">
        <v>167</v>
      </c>
      <c r="N1022">
        <v>4</v>
      </c>
      <c r="O1022" t="s">
        <v>166</v>
      </c>
      <c r="P1022" t="s">
        <v>165</v>
      </c>
      <c r="Q1022" t="s">
        <v>164</v>
      </c>
      <c r="R1022" s="7">
        <v>33604</v>
      </c>
      <c r="S1022" s="8">
        <f t="shared" si="128"/>
        <v>1992</v>
      </c>
      <c r="T1022" s="8">
        <v>1992</v>
      </c>
      <c r="U1022" s="8">
        <f t="shared" si="129"/>
        <v>30</v>
      </c>
      <c r="V1022" s="7">
        <v>33664</v>
      </c>
      <c r="W1022" t="s">
        <v>163</v>
      </c>
      <c r="X1022" s="2">
        <v>0.76500000000000001</v>
      </c>
      <c r="Y1022" s="6">
        <f t="shared" si="126"/>
        <v>2.0421238087611118E-2</v>
      </c>
      <c r="AA1022">
        <v>138703</v>
      </c>
      <c r="AB1022">
        <v>19793</v>
      </c>
      <c r="AC1022">
        <v>15707458</v>
      </c>
      <c r="AD1022" t="s">
        <v>4</v>
      </c>
      <c r="AE1022">
        <v>62</v>
      </c>
      <c r="AF1022">
        <v>3</v>
      </c>
      <c r="AH1022" t="s">
        <v>162</v>
      </c>
      <c r="AI1022" t="s">
        <v>161</v>
      </c>
      <c r="AJ1022" t="s">
        <v>160</v>
      </c>
      <c r="AK1022" t="s">
        <v>159</v>
      </c>
      <c r="AL1022">
        <v>52</v>
      </c>
      <c r="AM1022" s="5">
        <f t="shared" si="130"/>
        <v>1.7333333333333334</v>
      </c>
      <c r="AN1022" s="4">
        <f t="shared" si="127"/>
        <v>2.6252682064874418E-3</v>
      </c>
      <c r="AO1022" s="3"/>
      <c r="AP1022">
        <v>0</v>
      </c>
      <c r="AR1022" t="s">
        <v>0</v>
      </c>
      <c r="AT1022" s="2" t="s">
        <v>16</v>
      </c>
      <c r="AU1022" s="1">
        <f t="shared" si="131"/>
        <v>1.5082447123274012</v>
      </c>
      <c r="AV1022" s="1">
        <f t="shared" si="132"/>
        <v>1.1523253147049279</v>
      </c>
      <c r="AW1022" s="1">
        <f t="shared" si="133"/>
        <v>0.79640591708245445</v>
      </c>
    </row>
    <row r="1023" spans="1:49" x14ac:dyDescent="0.2">
      <c r="A1023">
        <v>1021</v>
      </c>
      <c r="B1023" t="s">
        <v>158</v>
      </c>
      <c r="C1023" t="s">
        <v>157</v>
      </c>
      <c r="D1023" t="s">
        <v>156</v>
      </c>
      <c r="F1023" t="s">
        <v>155</v>
      </c>
      <c r="G1023" t="s">
        <v>12</v>
      </c>
      <c r="H1023" t="s">
        <v>11</v>
      </c>
      <c r="I1023" t="s">
        <v>154</v>
      </c>
      <c r="J1023">
        <v>60012288</v>
      </c>
      <c r="K1023" t="s">
        <v>153</v>
      </c>
      <c r="L1023" t="s">
        <v>152</v>
      </c>
      <c r="M1023" t="s">
        <v>151</v>
      </c>
      <c r="N1023">
        <v>12</v>
      </c>
      <c r="O1023" t="s">
        <v>150</v>
      </c>
      <c r="P1023" t="s">
        <v>149</v>
      </c>
      <c r="Q1023" t="s">
        <v>148</v>
      </c>
      <c r="R1023" s="7">
        <v>33604</v>
      </c>
      <c r="S1023" s="8">
        <f t="shared" si="128"/>
        <v>1992</v>
      </c>
      <c r="T1023" s="8">
        <v>1992</v>
      </c>
      <c r="U1023" s="8">
        <f t="shared" si="129"/>
        <v>30</v>
      </c>
      <c r="V1023" s="7">
        <v>33878</v>
      </c>
      <c r="W1023" t="s">
        <v>147</v>
      </c>
      <c r="X1023" s="2">
        <v>0.65600000000000003</v>
      </c>
      <c r="Y1023" s="6">
        <f t="shared" si="126"/>
        <v>1.751154534048744E-2</v>
      </c>
      <c r="AA1023">
        <v>9203796</v>
      </c>
      <c r="AB1023">
        <v>20344</v>
      </c>
      <c r="AD1023" t="s">
        <v>4</v>
      </c>
      <c r="AE1023">
        <v>19</v>
      </c>
      <c r="AF1023">
        <v>3</v>
      </c>
      <c r="AH1023" t="s">
        <v>146</v>
      </c>
      <c r="AI1023" t="s">
        <v>145</v>
      </c>
      <c r="AK1023" t="s">
        <v>144</v>
      </c>
      <c r="AL1023">
        <v>7</v>
      </c>
      <c r="AM1023" s="5">
        <f t="shared" si="130"/>
        <v>0.23333333333333334</v>
      </c>
      <c r="AN1023" s="4">
        <f t="shared" si="127"/>
        <v>3.5340148933484791E-4</v>
      </c>
      <c r="AO1023" s="3"/>
      <c r="AP1023">
        <v>0</v>
      </c>
      <c r="AR1023" t="s">
        <v>0</v>
      </c>
      <c r="AT1023" s="2">
        <v>1.4530000000000001</v>
      </c>
      <c r="AU1023" s="1">
        <f t="shared" si="131"/>
        <v>1.2364102185141663</v>
      </c>
      <c r="AV1023" s="1">
        <f t="shared" si="132"/>
        <v>0.8932473414911144</v>
      </c>
      <c r="AW1023" s="1">
        <f t="shared" si="133"/>
        <v>0.55008446446806247</v>
      </c>
    </row>
    <row r="1024" spans="1:49" x14ac:dyDescent="0.2">
      <c r="A1024">
        <v>1022</v>
      </c>
      <c r="B1024" t="s">
        <v>143</v>
      </c>
      <c r="C1024" t="s">
        <v>142</v>
      </c>
      <c r="F1024" t="s">
        <v>141</v>
      </c>
      <c r="G1024" t="s">
        <v>12</v>
      </c>
      <c r="H1024" t="s">
        <v>11</v>
      </c>
      <c r="I1024" t="s">
        <v>140</v>
      </c>
      <c r="J1024">
        <v>100341607</v>
      </c>
      <c r="K1024" t="s">
        <v>139</v>
      </c>
      <c r="L1024" t="s">
        <v>138</v>
      </c>
      <c r="M1024" t="s">
        <v>7</v>
      </c>
      <c r="N1024">
        <v>1</v>
      </c>
      <c r="O1024" t="s">
        <v>137</v>
      </c>
      <c r="P1024">
        <v>6602215644</v>
      </c>
      <c r="Q1024">
        <v>100341607</v>
      </c>
      <c r="R1024" s="7">
        <v>33604</v>
      </c>
      <c r="S1024" s="8">
        <f t="shared" si="128"/>
        <v>1992</v>
      </c>
      <c r="T1024" s="8">
        <v>1992</v>
      </c>
      <c r="U1024" s="8">
        <f t="shared" si="129"/>
        <v>30</v>
      </c>
      <c r="V1024" s="7">
        <v>33939</v>
      </c>
      <c r="W1024" t="s">
        <v>136</v>
      </c>
      <c r="X1024" s="2">
        <v>1.3720000000000001</v>
      </c>
      <c r="Y1024" s="6">
        <f t="shared" si="126"/>
        <v>3.662475641333654E-2</v>
      </c>
      <c r="AA1024">
        <v>189480</v>
      </c>
      <c r="AB1024">
        <v>17366</v>
      </c>
      <c r="AC1024">
        <v>15579670</v>
      </c>
      <c r="AD1024" t="s">
        <v>4</v>
      </c>
      <c r="AE1024">
        <v>40</v>
      </c>
      <c r="AF1024">
        <v>12</v>
      </c>
      <c r="AH1024" t="s">
        <v>135</v>
      </c>
      <c r="AI1024" t="s">
        <v>134</v>
      </c>
      <c r="AK1024" t="s">
        <v>133</v>
      </c>
      <c r="AL1024">
        <v>8</v>
      </c>
      <c r="AM1024" s="5">
        <f t="shared" si="130"/>
        <v>0.26666666666666666</v>
      </c>
      <c r="AN1024" s="4">
        <f t="shared" si="127"/>
        <v>4.0388741638268334E-4</v>
      </c>
      <c r="AO1024" s="3"/>
      <c r="AP1024">
        <v>0</v>
      </c>
      <c r="AR1024" t="s">
        <v>0</v>
      </c>
      <c r="AT1024" s="2" t="s">
        <v>16</v>
      </c>
      <c r="AU1024" s="1">
        <f t="shared" si="131"/>
        <v>2.5758495714250382</v>
      </c>
      <c r="AV1024" s="1">
        <f t="shared" si="132"/>
        <v>1.8514321914859613</v>
      </c>
      <c r="AW1024" s="1">
        <f t="shared" si="133"/>
        <v>1.1270148115468841</v>
      </c>
    </row>
    <row r="1025" spans="1:49" x14ac:dyDescent="0.2">
      <c r="A1025">
        <v>1023</v>
      </c>
      <c r="B1025" t="s">
        <v>132</v>
      </c>
      <c r="C1025" t="s">
        <v>131</v>
      </c>
      <c r="F1025" t="s">
        <v>130</v>
      </c>
      <c r="G1025" t="s">
        <v>12</v>
      </c>
      <c r="H1025" t="s">
        <v>11</v>
      </c>
      <c r="I1025" t="s">
        <v>129</v>
      </c>
      <c r="J1025" t="s">
        <v>128</v>
      </c>
      <c r="K1025" t="s">
        <v>127</v>
      </c>
      <c r="L1025" t="s">
        <v>126</v>
      </c>
      <c r="M1025" t="s">
        <v>125</v>
      </c>
      <c r="N1025">
        <v>2</v>
      </c>
      <c r="O1025" t="s">
        <v>124</v>
      </c>
      <c r="P1025" t="s">
        <v>123</v>
      </c>
      <c r="Q1025" t="s">
        <v>122</v>
      </c>
      <c r="R1025" s="7">
        <v>33604</v>
      </c>
      <c r="S1025" s="8">
        <f t="shared" si="128"/>
        <v>1992</v>
      </c>
      <c r="T1025" s="8">
        <v>1992</v>
      </c>
      <c r="U1025" s="8">
        <f t="shared" si="129"/>
        <v>30</v>
      </c>
      <c r="V1025" s="7">
        <v>33909</v>
      </c>
      <c r="W1025" t="s">
        <v>48</v>
      </c>
      <c r="X1025" s="2">
        <v>3.5539999999999998</v>
      </c>
      <c r="Y1025" s="6">
        <f t="shared" si="126"/>
        <v>9.4872000213555435E-2</v>
      </c>
      <c r="AA1025">
        <v>320889</v>
      </c>
      <c r="AB1025">
        <v>16615</v>
      </c>
      <c r="AD1025" t="s">
        <v>4</v>
      </c>
      <c r="AE1025">
        <v>100</v>
      </c>
      <c r="AF1025">
        <v>3</v>
      </c>
      <c r="AH1025" t="s">
        <v>121</v>
      </c>
      <c r="AI1025" t="s">
        <v>120</v>
      </c>
      <c r="AK1025" t="s">
        <v>119</v>
      </c>
      <c r="AL1025">
        <v>27</v>
      </c>
      <c r="AM1025" s="5">
        <f t="shared" si="130"/>
        <v>0.9</v>
      </c>
      <c r="AN1025" s="4">
        <f t="shared" si="127"/>
        <v>1.3631200302915562E-3</v>
      </c>
      <c r="AO1025" s="3"/>
      <c r="AP1025">
        <v>1</v>
      </c>
      <c r="AR1025" t="s">
        <v>0</v>
      </c>
      <c r="AT1025" s="2">
        <v>8.34</v>
      </c>
      <c r="AU1025" s="1">
        <f t="shared" si="131"/>
        <v>6.681933615857627</v>
      </c>
      <c r="AV1025" s="1">
        <f t="shared" si="132"/>
        <v>4.8117560121923493</v>
      </c>
      <c r="AW1025" s="1">
        <f t="shared" si="133"/>
        <v>2.941578408527072</v>
      </c>
    </row>
    <row r="1026" spans="1:49" x14ac:dyDescent="0.2">
      <c r="A1026">
        <v>1024</v>
      </c>
      <c r="B1026" t="s">
        <v>118</v>
      </c>
      <c r="C1026" t="s">
        <v>117</v>
      </c>
      <c r="F1026" t="s">
        <v>116</v>
      </c>
      <c r="G1026" t="s">
        <v>12</v>
      </c>
      <c r="H1026" t="s">
        <v>11</v>
      </c>
      <c r="I1026" t="s">
        <v>115</v>
      </c>
      <c r="J1026" t="s">
        <v>114</v>
      </c>
      <c r="K1026" t="s">
        <v>113</v>
      </c>
      <c r="L1026" t="s">
        <v>112</v>
      </c>
      <c r="M1026" t="s">
        <v>111</v>
      </c>
      <c r="N1026">
        <v>5</v>
      </c>
      <c r="O1026" t="s">
        <v>110</v>
      </c>
      <c r="P1026" t="s">
        <v>109</v>
      </c>
      <c r="Q1026" t="s">
        <v>108</v>
      </c>
      <c r="R1026" s="7">
        <v>33604</v>
      </c>
      <c r="S1026" s="8">
        <f t="shared" si="128"/>
        <v>1992</v>
      </c>
      <c r="T1026" s="8">
        <v>1992</v>
      </c>
      <c r="U1026" s="8">
        <f t="shared" si="129"/>
        <v>30</v>
      </c>
      <c r="V1026" s="7">
        <v>1992</v>
      </c>
      <c r="W1026" t="s">
        <v>48</v>
      </c>
      <c r="X1026" s="2">
        <v>3.5539999999999998</v>
      </c>
      <c r="Y1026" s="6">
        <f t="shared" ref="Y1026:Y1033" si="134">(X1026-$Z$4)/($Z$3-$Z$4)</f>
        <v>9.4872000213555435E-2</v>
      </c>
      <c r="AA1026">
        <v>320889</v>
      </c>
      <c r="AB1026">
        <v>16615</v>
      </c>
      <c r="AD1026" t="s">
        <v>4</v>
      </c>
      <c r="AE1026">
        <v>100</v>
      </c>
      <c r="AF1026">
        <v>1</v>
      </c>
      <c r="AH1026" t="s">
        <v>107</v>
      </c>
      <c r="AI1026" t="s">
        <v>106</v>
      </c>
      <c r="AK1026" t="s">
        <v>105</v>
      </c>
      <c r="AL1026">
        <v>14</v>
      </c>
      <c r="AM1026" s="5">
        <f t="shared" si="130"/>
        <v>0.46666666666666667</v>
      </c>
      <c r="AN1026" s="4">
        <f t="shared" ref="AN1026:AN1033" si="135">(AM1026-$AO$4)/($AO$3-$AO$4)</f>
        <v>7.0680297866969582E-4</v>
      </c>
      <c r="AO1026" s="3"/>
      <c r="AP1026">
        <v>1</v>
      </c>
      <c r="AR1026" t="s">
        <v>0</v>
      </c>
      <c r="AT1026" s="2">
        <v>8.34</v>
      </c>
      <c r="AU1026" s="1">
        <f t="shared" si="131"/>
        <v>6.6622441043089715</v>
      </c>
      <c r="AV1026" s="1">
        <f t="shared" si="132"/>
        <v>4.7789401596112562</v>
      </c>
      <c r="AW1026" s="1">
        <f t="shared" si="133"/>
        <v>2.8956362149135417</v>
      </c>
    </row>
    <row r="1027" spans="1:49" x14ac:dyDescent="0.2">
      <c r="A1027">
        <v>1025</v>
      </c>
      <c r="B1027" t="s">
        <v>104</v>
      </c>
      <c r="C1027" t="s">
        <v>103</v>
      </c>
      <c r="F1027" t="s">
        <v>102</v>
      </c>
      <c r="G1027" t="s">
        <v>12</v>
      </c>
      <c r="H1027" t="s">
        <v>11</v>
      </c>
      <c r="I1027" t="s">
        <v>101</v>
      </c>
      <c r="J1027">
        <v>60014313</v>
      </c>
      <c r="K1027" t="s">
        <v>100</v>
      </c>
      <c r="L1027" t="s">
        <v>99</v>
      </c>
      <c r="M1027" t="s">
        <v>7</v>
      </c>
      <c r="N1027">
        <v>1</v>
      </c>
      <c r="O1027" t="s">
        <v>98</v>
      </c>
      <c r="P1027">
        <v>7006061921</v>
      </c>
      <c r="Q1027">
        <v>60014313</v>
      </c>
      <c r="R1027" s="7">
        <v>33604</v>
      </c>
      <c r="S1027" s="8">
        <f t="shared" si="128"/>
        <v>1992</v>
      </c>
      <c r="T1027" s="8">
        <v>1992</v>
      </c>
      <c r="U1027" s="8">
        <f t="shared" si="129"/>
        <v>30</v>
      </c>
      <c r="V1027" s="7">
        <v>33878</v>
      </c>
      <c r="W1027" t="s">
        <v>97</v>
      </c>
      <c r="X1027" s="2">
        <v>1.6519999999999999</v>
      </c>
      <c r="Y1027" s="6">
        <f t="shared" si="134"/>
        <v>4.409919649769093E-2</v>
      </c>
      <c r="AA1027" t="s">
        <v>96</v>
      </c>
      <c r="AB1027">
        <v>17337</v>
      </c>
      <c r="AC1027">
        <v>15582221</v>
      </c>
      <c r="AD1027" t="s">
        <v>4</v>
      </c>
      <c r="AE1027">
        <v>40</v>
      </c>
      <c r="AF1027">
        <v>10</v>
      </c>
      <c r="AH1027" t="s">
        <v>95</v>
      </c>
      <c r="AI1027" t="s">
        <v>94</v>
      </c>
      <c r="AK1027" t="s">
        <v>93</v>
      </c>
      <c r="AL1027">
        <v>60</v>
      </c>
      <c r="AM1027" s="5">
        <f t="shared" si="130"/>
        <v>2</v>
      </c>
      <c r="AN1027" s="4">
        <f t="shared" si="135"/>
        <v>3.0291556228701248E-3</v>
      </c>
      <c r="AO1027" s="3"/>
      <c r="AP1027">
        <v>0</v>
      </c>
      <c r="AR1027" t="s">
        <v>0</v>
      </c>
      <c r="AT1027" s="2" t="s">
        <v>16</v>
      </c>
      <c r="AU1027" s="1">
        <f t="shared" si="131"/>
        <v>3.1778184235244686</v>
      </c>
      <c r="AV1027" s="1">
        <f t="shared" si="132"/>
        <v>2.3564176060280526</v>
      </c>
      <c r="AW1027" s="1">
        <f t="shared" si="133"/>
        <v>1.5350167885316366</v>
      </c>
    </row>
    <row r="1028" spans="1:49" x14ac:dyDescent="0.2">
      <c r="A1028">
        <v>1026</v>
      </c>
      <c r="B1028" t="s">
        <v>92</v>
      </c>
      <c r="C1028" t="s">
        <v>91</v>
      </c>
      <c r="F1028" t="s">
        <v>90</v>
      </c>
      <c r="G1028" t="s">
        <v>12</v>
      </c>
      <c r="H1028" t="s">
        <v>11</v>
      </c>
      <c r="I1028" t="s">
        <v>89</v>
      </c>
      <c r="J1028">
        <v>60013499</v>
      </c>
      <c r="K1028" t="s">
        <v>88</v>
      </c>
      <c r="L1028" t="s">
        <v>87</v>
      </c>
      <c r="M1028" t="s">
        <v>7</v>
      </c>
      <c r="N1028">
        <v>3</v>
      </c>
      <c r="O1028" t="s">
        <v>86</v>
      </c>
      <c r="P1028" t="s">
        <v>85</v>
      </c>
      <c r="Q1028" t="s">
        <v>84</v>
      </c>
      <c r="R1028" s="7">
        <v>33604</v>
      </c>
      <c r="S1028" s="8">
        <f t="shared" si="128"/>
        <v>1992</v>
      </c>
      <c r="T1028" s="8">
        <v>1992</v>
      </c>
      <c r="U1028" s="8">
        <f t="shared" si="129"/>
        <v>30</v>
      </c>
      <c r="V1028" s="7">
        <v>33604</v>
      </c>
      <c r="W1028" t="s">
        <v>83</v>
      </c>
      <c r="X1028" s="2">
        <v>0.53400000000000003</v>
      </c>
      <c r="Y1028" s="6">
        <f t="shared" si="134"/>
        <v>1.4254825018018741E-2</v>
      </c>
      <c r="AA1028">
        <v>8927553</v>
      </c>
      <c r="AB1028">
        <v>20484</v>
      </c>
      <c r="AC1028">
        <v>15728889</v>
      </c>
      <c r="AD1028" t="s">
        <v>4</v>
      </c>
      <c r="AE1028">
        <v>5</v>
      </c>
      <c r="AF1028">
        <v>1</v>
      </c>
      <c r="AH1028" t="s">
        <v>82</v>
      </c>
      <c r="AI1028" t="s">
        <v>81</v>
      </c>
      <c r="AJ1028" t="s">
        <v>80</v>
      </c>
      <c r="AK1028" t="s">
        <v>79</v>
      </c>
      <c r="AL1028">
        <v>30</v>
      </c>
      <c r="AM1028" s="5">
        <f t="shared" si="130"/>
        <v>1</v>
      </c>
      <c r="AN1028" s="4">
        <f t="shared" si="135"/>
        <v>1.5145778114350624E-3</v>
      </c>
      <c r="AO1028" s="3"/>
      <c r="AP1028">
        <v>0</v>
      </c>
      <c r="AR1028" t="s">
        <v>0</v>
      </c>
      <c r="AT1028" s="2">
        <v>1.3089999999999999</v>
      </c>
      <c r="AU1028" s="1">
        <f t="shared" si="131"/>
        <v>1.0432750856043638</v>
      </c>
      <c r="AV1028" s="1">
        <f t="shared" si="132"/>
        <v>0.78847014147269012</v>
      </c>
      <c r="AW1028" s="1">
        <f t="shared" si="133"/>
        <v>0.53366519734101658</v>
      </c>
    </row>
    <row r="1029" spans="1:49" x14ac:dyDescent="0.2">
      <c r="A1029">
        <v>1027</v>
      </c>
      <c r="B1029" t="s">
        <v>78</v>
      </c>
      <c r="C1029" t="s">
        <v>77</v>
      </c>
      <c r="D1029" t="s">
        <v>76</v>
      </c>
      <c r="F1029" t="s">
        <v>75</v>
      </c>
      <c r="G1029" t="s">
        <v>12</v>
      </c>
      <c r="H1029" t="s">
        <v>11</v>
      </c>
      <c r="I1029" t="s">
        <v>74</v>
      </c>
      <c r="J1029" t="s">
        <v>73</v>
      </c>
      <c r="K1029" t="s">
        <v>72</v>
      </c>
      <c r="L1029" t="s">
        <v>71</v>
      </c>
      <c r="M1029" t="s">
        <v>70</v>
      </c>
      <c r="N1029">
        <v>4</v>
      </c>
      <c r="O1029" t="s">
        <v>69</v>
      </c>
      <c r="P1029" t="s">
        <v>68</v>
      </c>
      <c r="Q1029" t="s">
        <v>67</v>
      </c>
      <c r="R1029" s="7">
        <v>33604</v>
      </c>
      <c r="S1029" s="8">
        <f t="shared" si="128"/>
        <v>1992</v>
      </c>
      <c r="T1029" s="8">
        <v>1992</v>
      </c>
      <c r="U1029" s="8">
        <f t="shared" si="129"/>
        <v>30</v>
      </c>
      <c r="V1029" s="7" t="s">
        <v>66</v>
      </c>
      <c r="W1029" t="s">
        <v>65</v>
      </c>
      <c r="X1029" s="2">
        <v>0.51500000000000001</v>
      </c>
      <c r="Y1029" s="6">
        <f t="shared" si="134"/>
        <v>1.374763086943755E-2</v>
      </c>
      <c r="AA1029">
        <v>219169</v>
      </c>
      <c r="AB1029">
        <v>30966</v>
      </c>
      <c r="AD1029" t="s">
        <v>4</v>
      </c>
      <c r="AE1029">
        <v>54</v>
      </c>
      <c r="AF1029" s="9">
        <v>44415</v>
      </c>
      <c r="AH1029" t="s">
        <v>64</v>
      </c>
      <c r="AI1029" t="s">
        <v>63</v>
      </c>
      <c r="AK1029" t="s">
        <v>62</v>
      </c>
      <c r="AL1029">
        <v>41</v>
      </c>
      <c r="AM1029" s="5">
        <f t="shared" si="130"/>
        <v>1.3666666666666667</v>
      </c>
      <c r="AN1029" s="4">
        <f t="shared" si="135"/>
        <v>2.0699230089612523E-3</v>
      </c>
      <c r="AO1029" s="3"/>
      <c r="AP1029">
        <v>0</v>
      </c>
      <c r="AQ1029" t="s">
        <v>61</v>
      </c>
      <c r="AR1029" t="s">
        <v>0</v>
      </c>
      <c r="AS1029" t="s">
        <v>60</v>
      </c>
      <c r="AT1029" s="2" t="s">
        <v>16</v>
      </c>
      <c r="AU1029" s="1">
        <f t="shared" si="131"/>
        <v>1.0244318511294659</v>
      </c>
      <c r="AV1029" s="1">
        <f t="shared" si="132"/>
        <v>0.79087769391994012</v>
      </c>
      <c r="AW1029" s="1">
        <f t="shared" si="133"/>
        <v>0.55732353671041412</v>
      </c>
    </row>
    <row r="1030" spans="1:49" x14ac:dyDescent="0.2">
      <c r="A1030">
        <v>1028</v>
      </c>
      <c r="B1030" t="s">
        <v>59</v>
      </c>
      <c r="C1030" t="s">
        <v>58</v>
      </c>
      <c r="F1030" t="s">
        <v>57</v>
      </c>
      <c r="G1030" t="s">
        <v>12</v>
      </c>
      <c r="H1030" t="s">
        <v>11</v>
      </c>
      <c r="I1030" t="s">
        <v>56</v>
      </c>
      <c r="J1030" t="s">
        <v>55</v>
      </c>
      <c r="K1030" t="s">
        <v>54</v>
      </c>
      <c r="L1030" t="s">
        <v>53</v>
      </c>
      <c r="M1030" t="s">
        <v>52</v>
      </c>
      <c r="N1030">
        <v>3</v>
      </c>
      <c r="O1030" t="s">
        <v>51</v>
      </c>
      <c r="P1030" t="s">
        <v>50</v>
      </c>
      <c r="Q1030" t="s">
        <v>49</v>
      </c>
      <c r="R1030" s="7">
        <v>33604</v>
      </c>
      <c r="S1030" s="8">
        <f t="shared" si="128"/>
        <v>1992</v>
      </c>
      <c r="T1030" s="8">
        <v>1992</v>
      </c>
      <c r="U1030" s="8">
        <f t="shared" si="129"/>
        <v>30</v>
      </c>
      <c r="V1030" s="7">
        <v>33909</v>
      </c>
      <c r="W1030" t="s">
        <v>48</v>
      </c>
      <c r="X1030" s="2">
        <v>3.5539999999999998</v>
      </c>
      <c r="Y1030" s="6">
        <f t="shared" si="134"/>
        <v>9.4872000213555435E-2</v>
      </c>
      <c r="AA1030">
        <v>320889</v>
      </c>
      <c r="AB1030">
        <v>16615</v>
      </c>
      <c r="AD1030" t="s">
        <v>4</v>
      </c>
      <c r="AE1030">
        <v>100</v>
      </c>
      <c r="AF1030">
        <v>3</v>
      </c>
      <c r="AH1030" t="s">
        <v>47</v>
      </c>
      <c r="AI1030" t="s">
        <v>46</v>
      </c>
      <c r="AK1030" t="s">
        <v>45</v>
      </c>
      <c r="AL1030">
        <v>17</v>
      </c>
      <c r="AM1030" s="5">
        <f t="shared" si="130"/>
        <v>0.56666666666666665</v>
      </c>
      <c r="AN1030" s="4">
        <f t="shared" si="135"/>
        <v>8.5826075981320206E-4</v>
      </c>
      <c r="AO1030" s="3"/>
      <c r="AP1030">
        <v>1</v>
      </c>
      <c r="AR1030" t="s">
        <v>0</v>
      </c>
      <c r="AT1030" s="2">
        <v>8.34</v>
      </c>
      <c r="AU1030" s="1">
        <f t="shared" si="131"/>
        <v>6.6667878377432768</v>
      </c>
      <c r="AV1030" s="1">
        <f t="shared" si="132"/>
        <v>4.7865130486684313</v>
      </c>
      <c r="AW1030" s="1">
        <f t="shared" si="133"/>
        <v>2.9062382595935872</v>
      </c>
    </row>
    <row r="1031" spans="1:49" x14ac:dyDescent="0.2">
      <c r="A1031">
        <v>1029</v>
      </c>
      <c r="B1031" t="s">
        <v>44</v>
      </c>
      <c r="C1031" t="s">
        <v>43</v>
      </c>
      <c r="F1031" t="s">
        <v>42</v>
      </c>
      <c r="G1031" t="s">
        <v>12</v>
      </c>
      <c r="H1031" t="s">
        <v>11</v>
      </c>
      <c r="I1031" t="s">
        <v>41</v>
      </c>
      <c r="J1031" t="s">
        <v>40</v>
      </c>
      <c r="K1031" t="s">
        <v>39</v>
      </c>
      <c r="L1031" t="s">
        <v>38</v>
      </c>
      <c r="M1031" t="s">
        <v>37</v>
      </c>
      <c r="N1031">
        <v>2</v>
      </c>
      <c r="O1031" t="s">
        <v>36</v>
      </c>
      <c r="P1031" t="s">
        <v>35</v>
      </c>
      <c r="Q1031" t="s">
        <v>34</v>
      </c>
      <c r="R1031" s="7">
        <v>33604</v>
      </c>
      <c r="S1031" s="8">
        <f t="shared" si="128"/>
        <v>1992</v>
      </c>
      <c r="T1031" s="8">
        <v>1992</v>
      </c>
      <c r="U1031" s="8">
        <f t="shared" si="129"/>
        <v>30</v>
      </c>
      <c r="V1031" s="7">
        <v>33909</v>
      </c>
      <c r="W1031" t="s">
        <v>33</v>
      </c>
      <c r="X1031" s="2">
        <v>1.468</v>
      </c>
      <c r="Y1031" s="6">
        <f t="shared" si="134"/>
        <v>3.9187421585115186E-2</v>
      </c>
      <c r="AA1031">
        <v>906778</v>
      </c>
      <c r="AB1031">
        <v>18931</v>
      </c>
      <c r="AD1031" t="s">
        <v>4</v>
      </c>
      <c r="AE1031">
        <v>40</v>
      </c>
      <c r="AF1031">
        <v>11</v>
      </c>
      <c r="AH1031" t="s">
        <v>32</v>
      </c>
      <c r="AI1031" t="s">
        <v>31</v>
      </c>
      <c r="AK1031" t="s">
        <v>30</v>
      </c>
      <c r="AL1031">
        <v>54</v>
      </c>
      <c r="AM1031" s="5">
        <f t="shared" si="130"/>
        <v>1.8</v>
      </c>
      <c r="AN1031" s="4">
        <f t="shared" si="135"/>
        <v>2.7262400605831123E-3</v>
      </c>
      <c r="AO1031" s="3"/>
      <c r="AP1031">
        <v>0</v>
      </c>
      <c r="AR1031" t="s">
        <v>0</v>
      </c>
      <c r="AT1031" s="2">
        <v>5.0830000000000002</v>
      </c>
      <c r="AU1031" s="1">
        <f t="shared" si="131"/>
        <v>2.8249067127755563</v>
      </c>
      <c r="AV1031" s="1">
        <f t="shared" si="132"/>
        <v>2.0956830822849151</v>
      </c>
      <c r="AW1031" s="1">
        <f t="shared" si="133"/>
        <v>1.3664594517942734</v>
      </c>
    </row>
    <row r="1032" spans="1:49" x14ac:dyDescent="0.2">
      <c r="A1032">
        <v>1030</v>
      </c>
      <c r="B1032" t="s">
        <v>29</v>
      </c>
      <c r="C1032" t="s">
        <v>28</v>
      </c>
      <c r="F1032" t="s">
        <v>27</v>
      </c>
      <c r="G1032" t="s">
        <v>12</v>
      </c>
      <c r="H1032" t="s">
        <v>11</v>
      </c>
      <c r="I1032" t="s">
        <v>26</v>
      </c>
      <c r="J1032">
        <v>60025778</v>
      </c>
      <c r="K1032" t="s">
        <v>25</v>
      </c>
      <c r="L1032" t="s">
        <v>24</v>
      </c>
      <c r="M1032" t="s">
        <v>7</v>
      </c>
      <c r="N1032">
        <v>2</v>
      </c>
      <c r="O1032" t="s">
        <v>23</v>
      </c>
      <c r="P1032" t="s">
        <v>22</v>
      </c>
      <c r="Q1032" t="s">
        <v>21</v>
      </c>
      <c r="R1032" s="7">
        <v>33604</v>
      </c>
      <c r="S1032" s="8">
        <f t="shared" si="128"/>
        <v>1992</v>
      </c>
      <c r="T1032" s="8">
        <v>1992</v>
      </c>
      <c r="U1032" s="8">
        <f t="shared" si="129"/>
        <v>30</v>
      </c>
      <c r="V1032" s="7">
        <v>33786</v>
      </c>
      <c r="W1032" t="s">
        <v>20</v>
      </c>
      <c r="X1032" s="2">
        <v>0.94</v>
      </c>
      <c r="Y1032" s="6">
        <f t="shared" si="134"/>
        <v>2.5092763140332611E-2</v>
      </c>
      <c r="AA1032">
        <v>10518207</v>
      </c>
      <c r="AB1032">
        <v>63372</v>
      </c>
      <c r="AD1032" t="s">
        <v>4</v>
      </c>
      <c r="AE1032">
        <v>2</v>
      </c>
      <c r="AF1032">
        <v>7</v>
      </c>
      <c r="AH1032" t="s">
        <v>19</v>
      </c>
      <c r="AI1032" t="s">
        <v>18</v>
      </c>
      <c r="AK1032" t="s">
        <v>17</v>
      </c>
      <c r="AL1032">
        <v>17</v>
      </c>
      <c r="AM1032" s="5">
        <f t="shared" si="130"/>
        <v>0.56666666666666665</v>
      </c>
      <c r="AN1032" s="4">
        <f t="shared" si="135"/>
        <v>8.5826075981320206E-4</v>
      </c>
      <c r="AO1032" s="3"/>
      <c r="AP1032">
        <v>0</v>
      </c>
      <c r="AR1032" t="s">
        <v>0</v>
      </c>
      <c r="AT1032" s="2" t="s">
        <v>16</v>
      </c>
      <c r="AU1032" s="1">
        <f t="shared" si="131"/>
        <v>1.7822412426176788</v>
      </c>
      <c r="AV1032" s="1">
        <f t="shared" si="132"/>
        <v>1.2975511950072907</v>
      </c>
      <c r="AW1032" s="1">
        <f t="shared" si="133"/>
        <v>0.81286114739690252</v>
      </c>
    </row>
    <row r="1033" spans="1:49" x14ac:dyDescent="0.2">
      <c r="A1033">
        <v>1031</v>
      </c>
      <c r="B1033" t="s">
        <v>15</v>
      </c>
      <c r="C1033" t="s">
        <v>14</v>
      </c>
      <c r="F1033" t="s">
        <v>13</v>
      </c>
      <c r="G1033" t="s">
        <v>12</v>
      </c>
      <c r="H1033" t="s">
        <v>11</v>
      </c>
      <c r="I1033" t="s">
        <v>10</v>
      </c>
      <c r="J1033">
        <v>60020304</v>
      </c>
      <c r="K1033" t="s">
        <v>9</v>
      </c>
      <c r="L1033" t="s">
        <v>8</v>
      </c>
      <c r="M1033" t="s">
        <v>7</v>
      </c>
      <c r="N1033">
        <v>1</v>
      </c>
      <c r="O1033" t="s">
        <v>6</v>
      </c>
      <c r="P1033">
        <v>16437065300</v>
      </c>
      <c r="Q1033">
        <v>60020304</v>
      </c>
      <c r="R1033" s="7">
        <v>33604</v>
      </c>
      <c r="S1033" s="8">
        <f t="shared" si="128"/>
        <v>1992</v>
      </c>
      <c r="T1033" s="8">
        <v>1992</v>
      </c>
      <c r="U1033" s="8">
        <f t="shared" si="129"/>
        <v>30</v>
      </c>
      <c r="V1033" s="7">
        <v>1992</v>
      </c>
      <c r="W1033" t="s">
        <v>5</v>
      </c>
      <c r="X1033" s="2">
        <v>1.887</v>
      </c>
      <c r="Y1033" s="6">
        <f t="shared" si="134"/>
        <v>5.0372387282774087E-2</v>
      </c>
      <c r="AA1033">
        <v>5562821</v>
      </c>
      <c r="AB1033">
        <v>29459</v>
      </c>
      <c r="AD1033" t="s">
        <v>4</v>
      </c>
      <c r="AE1033">
        <v>46</v>
      </c>
      <c r="AF1033">
        <v>6</v>
      </c>
      <c r="AH1033" t="s">
        <v>3</v>
      </c>
      <c r="AI1033" t="s">
        <v>2</v>
      </c>
      <c r="AK1033" t="s">
        <v>1</v>
      </c>
      <c r="AL1033">
        <v>35</v>
      </c>
      <c r="AM1033" s="5">
        <f t="shared" si="130"/>
        <v>1.1666666666666667</v>
      </c>
      <c r="AN1033" s="4">
        <f t="shared" si="135"/>
        <v>1.7670074466742396E-3</v>
      </c>
      <c r="AO1033" s="3"/>
      <c r="AP1033">
        <v>0</v>
      </c>
      <c r="AR1033" t="s">
        <v>0</v>
      </c>
      <c r="AT1033" s="2">
        <v>5.2960000000000003</v>
      </c>
      <c r="AU1033" s="1">
        <f t="shared" si="131"/>
        <v>3.5790773331944128</v>
      </c>
      <c r="AV1033" s="1">
        <f t="shared" si="132"/>
        <v>2.6069697364724163</v>
      </c>
      <c r="AW1033" s="1">
        <f t="shared" si="133"/>
        <v>1.6348621397504193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1992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2021-11-11T11:39:58Z</dcterms:created>
  <dcterms:modified xsi:type="dcterms:W3CDTF">2022-01-19T20:19:34Z</dcterms:modified>
</cp:coreProperties>
</file>