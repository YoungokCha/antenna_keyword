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42D706C1-78A4-F64E-A441-3057A751F2EE}" xr6:coauthVersionLast="47" xr6:coauthVersionMax="47" xr10:uidLastSave="{AC23AF35-7FB8-0945-B30D-484CEBD2219B}"/>
  <bookViews>
    <workbookView xWindow="3720" yWindow="3420" windowWidth="27640" windowHeight="16940" xr2:uid="{280A805B-0586-3644-8479-A581261C2769}"/>
  </bookViews>
  <sheets>
    <sheet name="1988"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2" i="1"/>
  <c r="S2" i="1" l="1"/>
  <c r="U2" i="1"/>
  <c r="AM2" i="1" s="1"/>
  <c r="AV2" i="1"/>
  <c r="S3" i="1"/>
  <c r="U3" i="1"/>
  <c r="AM3" i="1" s="1"/>
  <c r="AV3" i="1" s="1"/>
  <c r="S4" i="1"/>
  <c r="U4" i="1"/>
  <c r="AM4" i="1" s="1"/>
  <c r="S5" i="1"/>
  <c r="U5" i="1"/>
  <c r="AM5" i="1" s="1"/>
  <c r="AV5" i="1" s="1"/>
  <c r="S6" i="1"/>
  <c r="U6" i="1"/>
  <c r="AM6" i="1" s="1"/>
  <c r="AV6" i="1"/>
  <c r="S7" i="1"/>
  <c r="U7" i="1"/>
  <c r="AM7" i="1" s="1"/>
  <c r="S8" i="1"/>
  <c r="U8" i="1"/>
  <c r="AM8" i="1" s="1"/>
  <c r="AV8" i="1"/>
  <c r="S9" i="1"/>
  <c r="U9" i="1"/>
  <c r="AM9" i="1" s="1"/>
  <c r="S10" i="1"/>
  <c r="U10" i="1"/>
  <c r="AM10" i="1"/>
  <c r="S11" i="1"/>
  <c r="U11" i="1"/>
  <c r="AM11" i="1" s="1"/>
  <c r="AV11" i="1"/>
  <c r="S12" i="1"/>
  <c r="U12" i="1"/>
  <c r="AM12" i="1" s="1"/>
  <c r="AV12" i="1"/>
  <c r="S13" i="1"/>
  <c r="U13" i="1"/>
  <c r="AM13" i="1" s="1"/>
  <c r="AV13" i="1"/>
  <c r="S14" i="1"/>
  <c r="U14" i="1"/>
  <c r="AV14" i="1"/>
  <c r="AM14" i="1"/>
  <c r="S15" i="1"/>
  <c r="U15" i="1"/>
  <c r="AM15" i="1" s="1"/>
  <c r="S16" i="1"/>
  <c r="U16" i="1"/>
  <c r="AM16" i="1" s="1"/>
  <c r="AV16" i="1"/>
  <c r="S17" i="1"/>
  <c r="U17" i="1"/>
  <c r="AM17" i="1" s="1"/>
  <c r="AV17" i="1"/>
  <c r="S18" i="1"/>
  <c r="U18" i="1"/>
  <c r="AM18" i="1" s="1"/>
  <c r="S19" i="1"/>
  <c r="U19" i="1"/>
  <c r="AM19" i="1" s="1"/>
  <c r="S20" i="1"/>
  <c r="U20" i="1"/>
  <c r="AM20" i="1" s="1"/>
  <c r="S21" i="1"/>
  <c r="U21" i="1"/>
  <c r="AM21" i="1" s="1"/>
  <c r="AV21" i="1" s="1"/>
  <c r="S22" i="1"/>
  <c r="U22" i="1"/>
  <c r="AM22" i="1" s="1"/>
  <c r="S23" i="1"/>
  <c r="U23" i="1"/>
  <c r="AM23" i="1" s="1"/>
  <c r="S24" i="1"/>
  <c r="U24" i="1"/>
  <c r="AM24" i="1" s="1"/>
  <c r="S25" i="1"/>
  <c r="U25" i="1"/>
  <c r="AM25" i="1" s="1"/>
  <c r="AW25" i="1" s="1"/>
  <c r="S26" i="1"/>
  <c r="U26" i="1"/>
  <c r="AM26" i="1" s="1"/>
  <c r="S27" i="1"/>
  <c r="U27" i="1"/>
  <c r="AM27" i="1" s="1"/>
  <c r="S28" i="1"/>
  <c r="U28" i="1"/>
  <c r="AM28" i="1" s="1"/>
  <c r="S29" i="1"/>
  <c r="U29" i="1"/>
  <c r="AM29" i="1" s="1"/>
  <c r="AU29" i="1"/>
  <c r="S30" i="1"/>
  <c r="U30" i="1"/>
  <c r="AM30" i="1" s="1"/>
  <c r="S31" i="1"/>
  <c r="U31" i="1"/>
  <c r="AM31" i="1"/>
  <c r="S32" i="1"/>
  <c r="U32" i="1"/>
  <c r="AM32" i="1" s="1"/>
  <c r="S33" i="1"/>
  <c r="U33" i="1"/>
  <c r="AM33" i="1" s="1"/>
  <c r="S34" i="1"/>
  <c r="U34" i="1"/>
  <c r="AM34" i="1" s="1"/>
  <c r="S35" i="1"/>
  <c r="U35" i="1"/>
  <c r="AM35" i="1" s="1"/>
  <c r="S36" i="1"/>
  <c r="U36" i="1"/>
  <c r="AM36" i="1" s="1"/>
  <c r="S37" i="1"/>
  <c r="U37" i="1"/>
  <c r="AM37" i="1" s="1"/>
  <c r="S38" i="1"/>
  <c r="U38" i="1"/>
  <c r="AM38" i="1" s="1"/>
  <c r="S39" i="1"/>
  <c r="U39" i="1"/>
  <c r="AM39" i="1" s="1"/>
  <c r="S40" i="1"/>
  <c r="U40" i="1"/>
  <c r="AM40" i="1" s="1"/>
  <c r="S41" i="1"/>
  <c r="U41" i="1"/>
  <c r="AM41" i="1" s="1"/>
  <c r="S42" i="1"/>
  <c r="U42" i="1"/>
  <c r="AM42" i="1" s="1"/>
  <c r="AV42" i="1"/>
  <c r="S43" i="1"/>
  <c r="U43" i="1"/>
  <c r="AM43" i="1" s="1"/>
  <c r="S44" i="1"/>
  <c r="U44" i="1"/>
  <c r="AM44" i="1" s="1"/>
  <c r="S45" i="1"/>
  <c r="U45" i="1"/>
  <c r="AM45" i="1"/>
  <c r="S46" i="1"/>
  <c r="U46" i="1"/>
  <c r="AM46" i="1"/>
  <c r="S47" i="1"/>
  <c r="U47" i="1"/>
  <c r="AM47" i="1"/>
  <c r="S48" i="1"/>
  <c r="U48" i="1"/>
  <c r="AM48" i="1" s="1"/>
  <c r="S49" i="1"/>
  <c r="U49" i="1"/>
  <c r="AM49" i="1" s="1"/>
  <c r="S50" i="1"/>
  <c r="U50" i="1"/>
  <c r="AM50" i="1" s="1"/>
  <c r="S51" i="1"/>
  <c r="U51" i="1"/>
  <c r="AM51" i="1"/>
  <c r="S52" i="1"/>
  <c r="U52" i="1"/>
  <c r="AM52" i="1" s="1"/>
  <c r="AU52" i="1"/>
  <c r="S53" i="1"/>
  <c r="U53" i="1"/>
  <c r="AM53" i="1" s="1"/>
  <c r="S54" i="1"/>
  <c r="U54" i="1"/>
  <c r="AM54" i="1" s="1"/>
  <c r="S55" i="1"/>
  <c r="U55" i="1"/>
  <c r="AM55" i="1" s="1"/>
  <c r="S56" i="1"/>
  <c r="U56" i="1"/>
  <c r="AM56" i="1" s="1"/>
  <c r="S57" i="1"/>
  <c r="U57" i="1"/>
  <c r="AM57" i="1"/>
  <c r="AU57" i="1"/>
  <c r="S58" i="1"/>
  <c r="U58" i="1"/>
  <c r="AM58" i="1" s="1"/>
  <c r="S59" i="1"/>
  <c r="U59" i="1"/>
  <c r="AM59" i="1" s="1"/>
  <c r="S60" i="1"/>
  <c r="U60" i="1"/>
  <c r="AM60" i="1"/>
  <c r="S61" i="1"/>
  <c r="U61" i="1"/>
  <c r="AM61" i="1" s="1"/>
  <c r="S62" i="1"/>
  <c r="U62" i="1"/>
  <c r="AM62" i="1" s="1"/>
  <c r="AV62" i="1"/>
  <c r="S63" i="1"/>
  <c r="U63" i="1"/>
  <c r="AM63" i="1" s="1"/>
  <c r="S64" i="1"/>
  <c r="U64" i="1"/>
  <c r="AM64" i="1" s="1"/>
  <c r="S65" i="1"/>
  <c r="U65" i="1"/>
  <c r="AM65" i="1" s="1"/>
  <c r="S66" i="1"/>
  <c r="U66" i="1"/>
  <c r="AM66" i="1" s="1"/>
  <c r="S67" i="1"/>
  <c r="U67" i="1"/>
  <c r="AM67" i="1" s="1"/>
  <c r="S68" i="1"/>
  <c r="U68" i="1"/>
  <c r="AM68" i="1" s="1"/>
  <c r="S69" i="1"/>
  <c r="U69" i="1"/>
  <c r="AM69" i="1" s="1"/>
  <c r="S70" i="1"/>
  <c r="U70" i="1"/>
  <c r="AM70" i="1"/>
  <c r="S71" i="1"/>
  <c r="U71" i="1"/>
  <c r="AM71" i="1"/>
  <c r="S72" i="1"/>
  <c r="U72" i="1"/>
  <c r="AM72" i="1"/>
  <c r="S73" i="1"/>
  <c r="U73" i="1"/>
  <c r="AM73" i="1" s="1"/>
  <c r="S74" i="1"/>
  <c r="U74" i="1"/>
  <c r="AM74" i="1" s="1"/>
  <c r="AV74" i="1" s="1"/>
  <c r="S75" i="1"/>
  <c r="U75" i="1"/>
  <c r="AM75" i="1" s="1"/>
  <c r="S76" i="1"/>
  <c r="U76" i="1"/>
  <c r="AM76" i="1"/>
  <c r="S77" i="1"/>
  <c r="U77" i="1"/>
  <c r="AM77" i="1"/>
  <c r="AV77" i="1"/>
  <c r="AU77" i="1"/>
  <c r="S78" i="1"/>
  <c r="U78" i="1"/>
  <c r="AM78" i="1" s="1"/>
  <c r="S79" i="1"/>
  <c r="U79" i="1"/>
  <c r="AM79" i="1" s="1"/>
  <c r="S80" i="1"/>
  <c r="U80" i="1"/>
  <c r="AM80" i="1" s="1"/>
  <c r="AU80" i="1"/>
  <c r="S81" i="1"/>
  <c r="U81" i="1"/>
  <c r="AM81" i="1" s="1"/>
  <c r="S82" i="1"/>
  <c r="U82" i="1"/>
  <c r="AM82" i="1" s="1"/>
  <c r="S83" i="1"/>
  <c r="U83" i="1"/>
  <c r="AM83" i="1" s="1"/>
  <c r="S84" i="1"/>
  <c r="U84" i="1"/>
  <c r="AM84" i="1" s="1"/>
  <c r="S85" i="1"/>
  <c r="U85" i="1"/>
  <c r="AM85" i="1"/>
  <c r="S86" i="1"/>
  <c r="U86" i="1"/>
  <c r="AM86" i="1"/>
  <c r="S87" i="1"/>
  <c r="U87" i="1"/>
  <c r="AM87" i="1"/>
  <c r="S88" i="1"/>
  <c r="U88" i="1"/>
  <c r="AM88" i="1" s="1"/>
  <c r="S89" i="1"/>
  <c r="U89" i="1"/>
  <c r="AM89" i="1"/>
  <c r="AV89" i="1" s="1"/>
  <c r="S90" i="1"/>
  <c r="U90" i="1"/>
  <c r="AM90" i="1" s="1"/>
  <c r="S91" i="1"/>
  <c r="U91" i="1"/>
  <c r="AM91" i="1"/>
  <c r="S92" i="1"/>
  <c r="U92" i="1"/>
  <c r="AM92" i="1" s="1"/>
  <c r="S93" i="1"/>
  <c r="U93" i="1"/>
  <c r="AM93" i="1" s="1"/>
  <c r="S94" i="1"/>
  <c r="U94" i="1"/>
  <c r="AM94" i="1" s="1"/>
  <c r="S95" i="1"/>
  <c r="U95" i="1"/>
  <c r="AM95" i="1" s="1"/>
  <c r="S96" i="1"/>
  <c r="U96" i="1"/>
  <c r="AM96" i="1" s="1"/>
  <c r="AU96" i="1"/>
  <c r="S97" i="1"/>
  <c r="U97" i="1"/>
  <c r="AM97" i="1"/>
  <c r="AW97" i="1" s="1"/>
  <c r="S98" i="1"/>
  <c r="U98" i="1"/>
  <c r="AM98" i="1" s="1"/>
  <c r="S99" i="1"/>
  <c r="U99" i="1"/>
  <c r="AM99" i="1"/>
  <c r="S100" i="1"/>
  <c r="U100" i="1"/>
  <c r="AM100" i="1" s="1"/>
  <c r="S101" i="1"/>
  <c r="U101" i="1"/>
  <c r="AM101" i="1" s="1"/>
  <c r="AV101" i="1" s="1"/>
  <c r="S102" i="1"/>
  <c r="U102" i="1"/>
  <c r="AM102" i="1" s="1"/>
  <c r="S103" i="1"/>
  <c r="U103" i="1"/>
  <c r="AM103" i="1" s="1"/>
  <c r="S104" i="1"/>
  <c r="U104" i="1"/>
  <c r="AM104" i="1" s="1"/>
  <c r="S105" i="1"/>
  <c r="U105" i="1"/>
  <c r="AM105" i="1"/>
  <c r="S106" i="1"/>
  <c r="U106" i="1"/>
  <c r="AM106" i="1"/>
  <c r="AV106" i="1" s="1"/>
  <c r="S107" i="1"/>
  <c r="U107" i="1"/>
  <c r="AM107" i="1" s="1"/>
  <c r="AV107" i="1"/>
  <c r="S108" i="1"/>
  <c r="U108" i="1"/>
  <c r="AM108" i="1" s="1"/>
  <c r="S109" i="1"/>
  <c r="U109" i="1"/>
  <c r="AM109" i="1" s="1"/>
  <c r="AV109" i="1" s="1"/>
  <c r="S110" i="1"/>
  <c r="U110" i="1"/>
  <c r="AM110" i="1" s="1"/>
  <c r="S111" i="1"/>
  <c r="U111" i="1"/>
  <c r="AM111" i="1"/>
  <c r="AV111" i="1" s="1"/>
  <c r="S112" i="1"/>
  <c r="U112" i="1"/>
  <c r="AM112" i="1" s="1"/>
  <c r="AV112" i="1"/>
  <c r="S113" i="1"/>
  <c r="U113" i="1"/>
  <c r="AM113" i="1" s="1"/>
  <c r="S114" i="1"/>
  <c r="U114" i="1"/>
  <c r="AM114" i="1" s="1"/>
  <c r="AV114" i="1" s="1"/>
  <c r="S115" i="1"/>
  <c r="U115" i="1"/>
  <c r="AM115" i="1" s="1"/>
  <c r="S116" i="1"/>
  <c r="U116" i="1"/>
  <c r="AM116" i="1" s="1"/>
  <c r="S117" i="1"/>
  <c r="U117" i="1"/>
  <c r="AM117" i="1" s="1"/>
  <c r="S118" i="1"/>
  <c r="U118" i="1"/>
  <c r="AM118" i="1" s="1"/>
  <c r="S119" i="1"/>
  <c r="U119" i="1"/>
  <c r="AM119" i="1" s="1"/>
  <c r="S120" i="1"/>
  <c r="U120" i="1"/>
  <c r="AM120" i="1"/>
  <c r="S121" i="1"/>
  <c r="U121" i="1"/>
  <c r="AM121" i="1" s="1"/>
  <c r="AV121" i="1" s="1"/>
  <c r="S122" i="1"/>
  <c r="U122" i="1"/>
  <c r="AM122" i="1" s="1"/>
  <c r="S123" i="1"/>
  <c r="U123" i="1"/>
  <c r="AM123" i="1" s="1"/>
  <c r="S124" i="1"/>
  <c r="U124" i="1"/>
  <c r="AM124" i="1" s="1"/>
  <c r="S125" i="1"/>
  <c r="U125" i="1"/>
  <c r="AM125" i="1" s="1"/>
  <c r="S126" i="1"/>
  <c r="U126" i="1"/>
  <c r="AM126" i="1"/>
  <c r="S127" i="1"/>
  <c r="U127" i="1"/>
  <c r="AM127" i="1" s="1"/>
  <c r="AV127" i="1"/>
  <c r="S128" i="1"/>
  <c r="U128" i="1"/>
  <c r="AM128" i="1" s="1"/>
  <c r="S129" i="1"/>
  <c r="U129" i="1"/>
  <c r="AM129" i="1"/>
  <c r="S130" i="1"/>
  <c r="U130" i="1"/>
  <c r="AM130" i="1" s="1"/>
  <c r="S131" i="1"/>
  <c r="U131" i="1"/>
  <c r="AM131" i="1" s="1"/>
  <c r="S132" i="1"/>
  <c r="U132" i="1"/>
  <c r="AM132" i="1" s="1"/>
  <c r="S133" i="1"/>
  <c r="U133" i="1"/>
  <c r="AM133" i="1" s="1"/>
  <c r="S134" i="1"/>
  <c r="U134" i="1"/>
  <c r="AM134" i="1" s="1"/>
  <c r="AV134" i="1"/>
  <c r="S135" i="1"/>
  <c r="U135" i="1"/>
  <c r="AM135" i="1"/>
  <c r="S136" i="1"/>
  <c r="U136" i="1"/>
  <c r="AM136" i="1" s="1"/>
  <c r="AV136" i="1" s="1"/>
  <c r="S137" i="1"/>
  <c r="U137" i="1"/>
  <c r="AM137" i="1" s="1"/>
  <c r="AW137" i="1"/>
  <c r="S138" i="1"/>
  <c r="U138" i="1"/>
  <c r="AM138" i="1" s="1"/>
  <c r="S139" i="1"/>
  <c r="U139" i="1"/>
  <c r="AM139" i="1" s="1"/>
  <c r="S140" i="1"/>
  <c r="U140" i="1"/>
  <c r="AM140" i="1" s="1"/>
  <c r="S141" i="1"/>
  <c r="U141" i="1"/>
  <c r="AM141" i="1" s="1"/>
  <c r="S142" i="1"/>
  <c r="U142" i="1"/>
  <c r="AM142" i="1" s="1"/>
  <c r="S143" i="1"/>
  <c r="U143" i="1"/>
  <c r="AM143" i="1" s="1"/>
  <c r="AV143" i="1"/>
  <c r="S144" i="1"/>
  <c r="U144" i="1"/>
  <c r="AM144" i="1" s="1"/>
  <c r="AV144" i="1"/>
  <c r="S145" i="1"/>
  <c r="U145" i="1"/>
  <c r="AM145" i="1" s="1"/>
  <c r="S146" i="1"/>
  <c r="U146" i="1"/>
  <c r="AM146" i="1"/>
  <c r="S147" i="1"/>
  <c r="U147" i="1"/>
  <c r="AM147" i="1" s="1"/>
  <c r="S148" i="1"/>
  <c r="U148" i="1"/>
  <c r="AM148" i="1" s="1"/>
  <c r="AV148" i="1" s="1"/>
  <c r="S149" i="1"/>
  <c r="U149" i="1"/>
  <c r="AM149" i="1" s="1"/>
  <c r="AV149" i="1" s="1"/>
  <c r="S150" i="1"/>
  <c r="U150" i="1"/>
  <c r="AM150" i="1" s="1"/>
  <c r="S151" i="1"/>
  <c r="U151" i="1"/>
  <c r="AM151" i="1" s="1"/>
  <c r="S152" i="1"/>
  <c r="U152" i="1"/>
  <c r="AM152" i="1" s="1"/>
  <c r="S153" i="1"/>
  <c r="U153" i="1"/>
  <c r="AM153" i="1" s="1"/>
  <c r="AV153" i="1"/>
  <c r="S154" i="1"/>
  <c r="U154" i="1"/>
  <c r="AM154" i="1" s="1"/>
  <c r="S155" i="1"/>
  <c r="U155" i="1"/>
  <c r="AM155" i="1"/>
  <c r="S156" i="1"/>
  <c r="U156" i="1"/>
  <c r="AM156" i="1"/>
  <c r="S157" i="1"/>
  <c r="U157" i="1"/>
  <c r="AM157" i="1" s="1"/>
  <c r="S158" i="1"/>
  <c r="U158" i="1"/>
  <c r="AM158" i="1" s="1"/>
  <c r="AV158" i="1"/>
  <c r="S159" i="1"/>
  <c r="U159" i="1"/>
  <c r="AM159" i="1" s="1"/>
  <c r="S160" i="1"/>
  <c r="U160" i="1"/>
  <c r="AM160" i="1" s="1"/>
  <c r="S161" i="1"/>
  <c r="U161" i="1"/>
  <c r="AM161" i="1"/>
  <c r="S162" i="1"/>
  <c r="U162" i="1"/>
  <c r="AM162" i="1" s="1"/>
  <c r="S163" i="1"/>
  <c r="U163" i="1"/>
  <c r="AM163" i="1" s="1"/>
  <c r="S164" i="1"/>
  <c r="U164" i="1"/>
  <c r="AM164" i="1" s="1"/>
  <c r="S165" i="1"/>
  <c r="U165" i="1"/>
  <c r="AM165" i="1" s="1"/>
  <c r="S166" i="1"/>
  <c r="U166" i="1"/>
  <c r="AM166" i="1" s="1"/>
  <c r="S167" i="1"/>
  <c r="U167" i="1"/>
  <c r="AM167" i="1" s="1"/>
  <c r="S168" i="1"/>
  <c r="U168" i="1"/>
  <c r="AM168" i="1" s="1"/>
  <c r="AW168" i="1"/>
  <c r="S169" i="1"/>
  <c r="U169" i="1"/>
  <c r="AM169" i="1" s="1"/>
  <c r="S170" i="1"/>
  <c r="U170" i="1"/>
  <c r="AM170" i="1" s="1"/>
  <c r="S171" i="1"/>
  <c r="U171" i="1"/>
  <c r="AM171" i="1"/>
  <c r="AU171" i="1" s="1"/>
  <c r="S172" i="1"/>
  <c r="U172" i="1"/>
  <c r="AM172" i="1" s="1"/>
  <c r="S173" i="1"/>
  <c r="U173" i="1"/>
  <c r="AM173" i="1" s="1"/>
  <c r="AV173" i="1"/>
  <c r="S174" i="1"/>
  <c r="U174" i="1"/>
  <c r="AM174" i="1"/>
  <c r="S175" i="1"/>
  <c r="U175" i="1"/>
  <c r="AM175" i="1"/>
  <c r="S176" i="1"/>
  <c r="U176" i="1"/>
  <c r="AM176" i="1" s="1"/>
  <c r="S177" i="1"/>
  <c r="U177" i="1"/>
  <c r="AM177" i="1"/>
  <c r="S178" i="1"/>
  <c r="U178" i="1"/>
  <c r="AM178" i="1" s="1"/>
  <c r="AV178" i="1"/>
  <c r="S179" i="1"/>
  <c r="U179" i="1"/>
  <c r="AM179" i="1" s="1"/>
  <c r="S180" i="1"/>
  <c r="U180" i="1"/>
  <c r="AM180" i="1" s="1"/>
  <c r="S181" i="1"/>
  <c r="U181" i="1"/>
  <c r="AM181" i="1" s="1"/>
  <c r="S182" i="1"/>
  <c r="U182" i="1"/>
  <c r="AM182" i="1" s="1"/>
  <c r="S183" i="1"/>
  <c r="U183" i="1"/>
  <c r="AM183" i="1" s="1"/>
  <c r="S184" i="1"/>
  <c r="U184" i="1"/>
  <c r="AM184" i="1" s="1"/>
  <c r="AU184" i="1" s="1"/>
  <c r="S185" i="1"/>
  <c r="U185" i="1"/>
  <c r="AM185" i="1" s="1"/>
  <c r="S186" i="1"/>
  <c r="U186" i="1"/>
  <c r="AM186" i="1"/>
  <c r="S187" i="1"/>
  <c r="U187" i="1"/>
  <c r="AM187" i="1"/>
  <c r="S188" i="1"/>
  <c r="U188" i="1"/>
  <c r="AM188" i="1" s="1"/>
  <c r="S189" i="1"/>
  <c r="U189" i="1"/>
  <c r="AM189" i="1" s="1"/>
  <c r="S190" i="1"/>
  <c r="U190" i="1"/>
  <c r="AM190" i="1" s="1"/>
  <c r="S191" i="1"/>
  <c r="U191" i="1"/>
  <c r="AM191" i="1" s="1"/>
  <c r="S192" i="1"/>
  <c r="U192" i="1"/>
  <c r="AM192" i="1"/>
  <c r="S193" i="1"/>
  <c r="U193" i="1"/>
  <c r="AM193" i="1" s="1"/>
  <c r="S194" i="1"/>
  <c r="U194" i="1"/>
  <c r="AM194" i="1" s="1"/>
  <c r="S195" i="1"/>
  <c r="U195" i="1"/>
  <c r="AM195" i="1" s="1"/>
  <c r="S196" i="1"/>
  <c r="U196" i="1"/>
  <c r="AM196" i="1" s="1"/>
  <c r="S197" i="1"/>
  <c r="U197" i="1"/>
  <c r="AM197" i="1" s="1"/>
  <c r="S198" i="1"/>
  <c r="U198" i="1"/>
  <c r="AM198" i="1" s="1"/>
  <c r="AW198" i="1"/>
  <c r="S199" i="1"/>
  <c r="U199" i="1"/>
  <c r="AM199" i="1" s="1"/>
  <c r="S200" i="1"/>
  <c r="U200" i="1"/>
  <c r="AM200" i="1" s="1"/>
  <c r="S201" i="1"/>
  <c r="U201" i="1"/>
  <c r="AM201" i="1" s="1"/>
  <c r="AU201" i="1"/>
  <c r="S202" i="1"/>
  <c r="U202" i="1"/>
  <c r="AM202" i="1" s="1"/>
  <c r="S203" i="1"/>
  <c r="U203" i="1"/>
  <c r="AM203" i="1" s="1"/>
  <c r="AU203" i="1" s="1"/>
  <c r="AV203" i="1"/>
  <c r="S204" i="1"/>
  <c r="U204" i="1"/>
  <c r="AM204" i="1" s="1"/>
  <c r="AU204" i="1" s="1"/>
  <c r="S205" i="1"/>
  <c r="U205" i="1"/>
  <c r="AM205" i="1" s="1"/>
  <c r="S206" i="1"/>
  <c r="U206" i="1"/>
  <c r="AM206" i="1" s="1"/>
  <c r="S207" i="1"/>
  <c r="U207" i="1"/>
  <c r="AM207" i="1"/>
  <c r="S208" i="1"/>
  <c r="U208" i="1"/>
  <c r="AM208" i="1" s="1"/>
  <c r="S209" i="1"/>
  <c r="U209" i="1"/>
  <c r="AM209" i="1" s="1"/>
  <c r="S210" i="1"/>
  <c r="U210" i="1"/>
  <c r="AM210" i="1" s="1"/>
  <c r="AU210" i="1" s="1"/>
  <c r="S211" i="1"/>
  <c r="U211" i="1"/>
  <c r="AM211" i="1" s="1"/>
  <c r="AU211" i="1"/>
  <c r="S212" i="1"/>
  <c r="U212" i="1"/>
  <c r="AM212" i="1" s="1"/>
  <c r="S213" i="1"/>
  <c r="U213" i="1"/>
  <c r="AM213" i="1" s="1"/>
  <c r="AW213" i="1"/>
  <c r="S214" i="1"/>
  <c r="U214" i="1"/>
  <c r="AM214" i="1" s="1"/>
  <c r="S215" i="1"/>
  <c r="U215" i="1"/>
  <c r="AM215" i="1"/>
  <c r="S216" i="1"/>
  <c r="U216" i="1"/>
  <c r="AM216" i="1" s="1"/>
  <c r="S217" i="1"/>
  <c r="U217" i="1"/>
  <c r="AM217" i="1" s="1"/>
  <c r="S218" i="1"/>
  <c r="U218" i="1"/>
  <c r="AM218" i="1" s="1"/>
  <c r="S219" i="1"/>
  <c r="U219" i="1"/>
  <c r="AM219" i="1" s="1"/>
  <c r="S220" i="1"/>
  <c r="U220" i="1"/>
  <c r="AM220" i="1" s="1"/>
  <c r="S221" i="1"/>
  <c r="U221" i="1"/>
  <c r="AM221" i="1" s="1"/>
  <c r="S222" i="1"/>
  <c r="U222" i="1"/>
  <c r="AM222" i="1" s="1"/>
  <c r="S223" i="1"/>
  <c r="U223" i="1"/>
  <c r="AM223" i="1" s="1"/>
  <c r="AW223" i="1"/>
  <c r="S224" i="1"/>
  <c r="U224" i="1"/>
  <c r="AM224" i="1"/>
  <c r="S225" i="1"/>
  <c r="U225" i="1"/>
  <c r="AM225" i="1" s="1"/>
  <c r="S226" i="1"/>
  <c r="U226" i="1"/>
  <c r="AM226" i="1"/>
  <c r="S227" i="1"/>
  <c r="U227" i="1"/>
  <c r="AM227" i="1" s="1"/>
  <c r="S228" i="1"/>
  <c r="U228" i="1"/>
  <c r="AM228" i="1" s="1"/>
  <c r="S229" i="1"/>
  <c r="U229" i="1"/>
  <c r="AM229" i="1" s="1"/>
  <c r="S230" i="1"/>
  <c r="U230" i="1"/>
  <c r="AM230" i="1" s="1"/>
  <c r="S231" i="1"/>
  <c r="U231" i="1"/>
  <c r="AM231" i="1" s="1"/>
  <c r="S232" i="1"/>
  <c r="U232" i="1"/>
  <c r="AM232" i="1" s="1"/>
  <c r="S233" i="1"/>
  <c r="U233" i="1"/>
  <c r="AM233" i="1" s="1"/>
  <c r="S234" i="1"/>
  <c r="U234" i="1"/>
  <c r="AM234" i="1" s="1"/>
  <c r="S235" i="1"/>
  <c r="U235" i="1"/>
  <c r="AM235" i="1" s="1"/>
  <c r="S236" i="1"/>
  <c r="U236" i="1"/>
  <c r="AM236" i="1"/>
  <c r="S237" i="1"/>
  <c r="U237" i="1"/>
  <c r="AM237" i="1" s="1"/>
  <c r="S238" i="1"/>
  <c r="U238" i="1"/>
  <c r="AM238" i="1" s="1"/>
  <c r="S239" i="1"/>
  <c r="U239" i="1"/>
  <c r="AM239" i="1" s="1"/>
  <c r="S240" i="1"/>
  <c r="U240" i="1"/>
  <c r="AM240" i="1" s="1"/>
  <c r="S241" i="1"/>
  <c r="U241" i="1"/>
  <c r="AM241" i="1" s="1"/>
  <c r="S242" i="1"/>
  <c r="U242" i="1"/>
  <c r="AM242" i="1" s="1"/>
  <c r="S243" i="1"/>
  <c r="U243" i="1"/>
  <c r="AM243" i="1" s="1"/>
  <c r="S244" i="1"/>
  <c r="U244" i="1"/>
  <c r="AM244" i="1"/>
  <c r="S245" i="1"/>
  <c r="U245" i="1"/>
  <c r="AM245" i="1" s="1"/>
  <c r="S246" i="1"/>
  <c r="U246" i="1"/>
  <c r="AM246" i="1"/>
  <c r="S247" i="1"/>
  <c r="U247" i="1"/>
  <c r="AM247" i="1" s="1"/>
  <c r="S248" i="1"/>
  <c r="U248" i="1"/>
  <c r="AM248" i="1" s="1"/>
  <c r="S249" i="1"/>
  <c r="U249" i="1"/>
  <c r="AM249" i="1" s="1"/>
  <c r="S250" i="1"/>
  <c r="U250" i="1"/>
  <c r="AM250" i="1" s="1"/>
  <c r="S251" i="1"/>
  <c r="U251" i="1"/>
  <c r="AM251" i="1" s="1"/>
  <c r="AW251" i="1" s="1"/>
  <c r="S252" i="1"/>
  <c r="U252" i="1"/>
  <c r="AM252" i="1" s="1"/>
  <c r="S253" i="1"/>
  <c r="U253" i="1"/>
  <c r="AM253" i="1" s="1"/>
  <c r="S254" i="1"/>
  <c r="U254" i="1"/>
  <c r="AM254" i="1" s="1"/>
  <c r="S255" i="1"/>
  <c r="U255" i="1"/>
  <c r="AM255" i="1"/>
  <c r="AV255" i="1"/>
  <c r="S256" i="1"/>
  <c r="U256" i="1"/>
  <c r="AM256" i="1" s="1"/>
  <c r="S257" i="1"/>
  <c r="U257" i="1"/>
  <c r="AM257" i="1" s="1"/>
  <c r="S258" i="1"/>
  <c r="U258" i="1"/>
  <c r="AM258" i="1" s="1"/>
  <c r="S259" i="1"/>
  <c r="U259" i="1"/>
  <c r="AM259" i="1" s="1"/>
  <c r="AU259" i="1"/>
  <c r="S260" i="1"/>
  <c r="U260" i="1"/>
  <c r="AM260" i="1" s="1"/>
  <c r="S261" i="1"/>
  <c r="U261" i="1"/>
  <c r="AM261" i="1" s="1"/>
  <c r="S262" i="1"/>
  <c r="U262" i="1"/>
  <c r="AM262" i="1" s="1"/>
  <c r="S263" i="1"/>
  <c r="U263" i="1"/>
  <c r="AM263" i="1" s="1"/>
  <c r="S264" i="1"/>
  <c r="U264" i="1"/>
  <c r="AM264" i="1"/>
  <c r="S265" i="1"/>
  <c r="U265" i="1"/>
  <c r="AM265" i="1"/>
  <c r="S266" i="1"/>
  <c r="U266" i="1"/>
  <c r="AM266" i="1" s="1"/>
  <c r="S267" i="1"/>
  <c r="U267" i="1"/>
  <c r="AM267" i="1" s="1"/>
  <c r="S268" i="1"/>
  <c r="U268" i="1"/>
  <c r="AM268" i="1" s="1"/>
  <c r="S269" i="1"/>
  <c r="U269" i="1"/>
  <c r="AM269" i="1"/>
  <c r="S270" i="1"/>
  <c r="U270" i="1"/>
  <c r="AM270" i="1"/>
  <c r="AV270" i="1" s="1"/>
  <c r="S271" i="1"/>
  <c r="U271" i="1"/>
  <c r="AM271" i="1" s="1"/>
  <c r="S272" i="1"/>
  <c r="U272" i="1"/>
  <c r="AM272" i="1" s="1"/>
  <c r="S273" i="1"/>
  <c r="U273" i="1"/>
  <c r="AM273" i="1" s="1"/>
  <c r="S274" i="1"/>
  <c r="U274" i="1"/>
  <c r="AM274" i="1"/>
  <c r="S275" i="1"/>
  <c r="U275" i="1"/>
  <c r="AM275" i="1" s="1"/>
  <c r="S276" i="1"/>
  <c r="U276" i="1"/>
  <c r="AM276" i="1" s="1"/>
  <c r="S277" i="1"/>
  <c r="U277" i="1"/>
  <c r="AM277" i="1" s="1"/>
  <c r="S278" i="1"/>
  <c r="U278" i="1"/>
  <c r="AM278" i="1" s="1"/>
  <c r="S279" i="1"/>
  <c r="U279" i="1"/>
  <c r="AM279" i="1" s="1"/>
  <c r="S280" i="1"/>
  <c r="U280" i="1"/>
  <c r="AM280" i="1" s="1"/>
  <c r="S281" i="1"/>
  <c r="U281" i="1"/>
  <c r="AM281" i="1" s="1"/>
  <c r="AU281" i="1"/>
  <c r="S282" i="1"/>
  <c r="U282" i="1"/>
  <c r="AM282" i="1" s="1"/>
  <c r="S283" i="1"/>
  <c r="U283" i="1"/>
  <c r="AM283" i="1" s="1"/>
  <c r="S284" i="1"/>
  <c r="U284" i="1"/>
  <c r="AM284" i="1"/>
  <c r="S285" i="1"/>
  <c r="U285" i="1"/>
  <c r="AM285" i="1"/>
  <c r="AV285" i="1" s="1"/>
  <c r="S286" i="1"/>
  <c r="U286" i="1"/>
  <c r="AM286" i="1" s="1"/>
  <c r="S287" i="1"/>
  <c r="U287" i="1"/>
  <c r="AM287" i="1" s="1"/>
  <c r="S288" i="1"/>
  <c r="U288" i="1"/>
  <c r="AM288" i="1" s="1"/>
  <c r="S289" i="1"/>
  <c r="U289" i="1"/>
  <c r="AM289" i="1"/>
  <c r="S290" i="1"/>
  <c r="U290" i="1"/>
  <c r="AM290" i="1" s="1"/>
  <c r="S291" i="1"/>
  <c r="U291" i="1"/>
  <c r="AM291" i="1" s="1"/>
  <c r="AU291" i="1"/>
  <c r="S292" i="1"/>
  <c r="U292" i="1"/>
  <c r="AM292" i="1" s="1"/>
  <c r="S293" i="1"/>
  <c r="U293" i="1"/>
  <c r="AM293" i="1" s="1"/>
  <c r="S294" i="1"/>
  <c r="U294" i="1"/>
  <c r="AM294" i="1"/>
  <c r="S295" i="1"/>
  <c r="U295" i="1"/>
  <c r="AM295" i="1"/>
  <c r="AW295" i="1" s="1"/>
  <c r="S296" i="1"/>
  <c r="U296" i="1"/>
  <c r="AM296" i="1" s="1"/>
  <c r="AU296" i="1"/>
  <c r="S297" i="1"/>
  <c r="U297" i="1"/>
  <c r="AM297" i="1" s="1"/>
  <c r="S298" i="1"/>
  <c r="U298" i="1"/>
  <c r="AM298" i="1" s="1"/>
  <c r="S299" i="1"/>
  <c r="U299" i="1"/>
  <c r="AM299" i="1"/>
  <c r="S300" i="1"/>
  <c r="U300" i="1"/>
  <c r="AM300" i="1"/>
  <c r="AW300" i="1"/>
  <c r="S301" i="1"/>
  <c r="U301" i="1"/>
  <c r="AM301" i="1" s="1"/>
  <c r="AU301" i="1"/>
  <c r="S302" i="1"/>
  <c r="U302" i="1"/>
  <c r="AM302" i="1" s="1"/>
  <c r="S303" i="1"/>
  <c r="U303" i="1"/>
  <c r="AM303" i="1" s="1"/>
  <c r="S304" i="1"/>
  <c r="U304" i="1"/>
  <c r="AM304" i="1" s="1"/>
  <c r="S305" i="1"/>
  <c r="U305" i="1"/>
  <c r="AM305" i="1"/>
  <c r="AW305" i="1"/>
  <c r="AU305" i="1"/>
  <c r="S306" i="1"/>
  <c r="U306" i="1"/>
  <c r="AM306" i="1" s="1"/>
  <c r="AU306" i="1"/>
  <c r="S307" i="1"/>
  <c r="U307" i="1"/>
  <c r="AM307" i="1" s="1"/>
  <c r="S308" i="1"/>
  <c r="U308" i="1"/>
  <c r="AM308" i="1" s="1"/>
  <c r="S309" i="1"/>
  <c r="U309" i="1"/>
  <c r="AM309" i="1"/>
  <c r="S310" i="1"/>
  <c r="U310" i="1"/>
  <c r="AM310" i="1" s="1"/>
  <c r="S311" i="1"/>
  <c r="U311" i="1"/>
  <c r="AM311" i="1" s="1"/>
  <c r="S312" i="1"/>
  <c r="U312" i="1"/>
  <c r="AM312" i="1" s="1"/>
  <c r="S313" i="1"/>
  <c r="U313" i="1"/>
  <c r="AM313" i="1" s="1"/>
  <c r="S314" i="1"/>
  <c r="U314" i="1"/>
  <c r="AM314" i="1"/>
  <c r="S315" i="1"/>
  <c r="U315" i="1"/>
  <c r="AM315" i="1"/>
  <c r="AW315" i="1" s="1"/>
  <c r="S316" i="1"/>
  <c r="U316" i="1"/>
  <c r="AM316" i="1" s="1"/>
  <c r="S317" i="1"/>
  <c r="U317" i="1"/>
  <c r="AM317" i="1" s="1"/>
  <c r="S318" i="1"/>
  <c r="U318" i="1"/>
  <c r="AM318" i="1" s="1"/>
  <c r="S319" i="1"/>
  <c r="U319" i="1"/>
  <c r="AM319" i="1" s="1"/>
  <c r="S320" i="1"/>
  <c r="U320" i="1"/>
  <c r="AM320" i="1"/>
  <c r="S321" i="1"/>
  <c r="U321" i="1"/>
  <c r="AM321" i="1" s="1"/>
  <c r="S322" i="1"/>
  <c r="U322" i="1"/>
  <c r="AM322" i="1" s="1"/>
  <c r="S323" i="1"/>
  <c r="U323" i="1"/>
  <c r="AM323" i="1" s="1"/>
  <c r="S324" i="1"/>
  <c r="U324" i="1"/>
  <c r="AM324" i="1" s="1"/>
  <c r="S325" i="1"/>
  <c r="U325" i="1"/>
  <c r="AM325" i="1" s="1"/>
  <c r="S326" i="1"/>
  <c r="U326" i="1"/>
  <c r="AM326" i="1" s="1"/>
  <c r="AU326" i="1"/>
  <c r="S327" i="1"/>
  <c r="U327" i="1"/>
  <c r="AM327" i="1" s="1"/>
  <c r="AU327" i="1"/>
  <c r="S328" i="1"/>
  <c r="U328" i="1"/>
  <c r="AM328" i="1" s="1"/>
  <c r="AV328" i="1" s="1"/>
  <c r="S329" i="1"/>
  <c r="U329" i="1"/>
  <c r="AM329" i="1" s="1"/>
  <c r="S330" i="1"/>
  <c r="U330" i="1"/>
  <c r="AM330" i="1" s="1"/>
  <c r="S331" i="1"/>
  <c r="U331" i="1"/>
  <c r="AM331" i="1" s="1"/>
  <c r="AU331" i="1"/>
  <c r="S332" i="1"/>
  <c r="U332" i="1"/>
  <c r="AM332" i="1" s="1"/>
  <c r="S333" i="1"/>
  <c r="U333" i="1"/>
  <c r="AM333" i="1" s="1"/>
  <c r="S334" i="1"/>
  <c r="U334" i="1"/>
  <c r="AM334" i="1" s="1"/>
  <c r="AU334" i="1"/>
  <c r="S335" i="1"/>
  <c r="U335" i="1"/>
  <c r="AM335" i="1"/>
  <c r="S336" i="1"/>
  <c r="U336" i="1"/>
  <c r="AM336" i="1" s="1"/>
  <c r="S337" i="1"/>
  <c r="U337" i="1"/>
  <c r="AM337" i="1" s="1"/>
  <c r="S338" i="1"/>
  <c r="U338" i="1"/>
  <c r="AM338" i="1" s="1"/>
  <c r="AV338" i="1" s="1"/>
  <c r="S339" i="1"/>
  <c r="U339" i="1"/>
  <c r="AM339" i="1" s="1"/>
  <c r="S340" i="1"/>
  <c r="U340" i="1"/>
  <c r="AM340" i="1"/>
  <c r="S341" i="1"/>
  <c r="U341" i="1"/>
  <c r="AM341" i="1" s="1"/>
  <c r="S342" i="1"/>
  <c r="U342" i="1"/>
  <c r="AM342" i="1" s="1"/>
  <c r="S343" i="1"/>
  <c r="U343" i="1"/>
  <c r="AM343" i="1" s="1"/>
  <c r="S344" i="1"/>
  <c r="U344" i="1"/>
  <c r="AM344" i="1" s="1"/>
  <c r="AU344" i="1"/>
  <c r="S345" i="1"/>
  <c r="U345" i="1"/>
  <c r="AM345" i="1"/>
  <c r="S346" i="1"/>
  <c r="U346" i="1"/>
  <c r="AM346" i="1" s="1"/>
  <c r="S347" i="1"/>
  <c r="U347" i="1"/>
  <c r="AM347" i="1" s="1"/>
  <c r="S348" i="1"/>
  <c r="U348" i="1"/>
  <c r="AM348" i="1" s="1"/>
  <c r="S349" i="1"/>
  <c r="U349" i="1"/>
  <c r="AM349" i="1" s="1"/>
  <c r="S350" i="1"/>
  <c r="U350" i="1"/>
  <c r="AM350" i="1"/>
  <c r="AW350" i="1" s="1"/>
  <c r="S351" i="1"/>
  <c r="U351" i="1"/>
  <c r="AM351" i="1" s="1"/>
  <c r="S352" i="1"/>
  <c r="U352" i="1"/>
  <c r="AM352" i="1"/>
  <c r="S353" i="1"/>
  <c r="U353" i="1"/>
  <c r="AM353" i="1" s="1"/>
  <c r="S354" i="1"/>
  <c r="U354" i="1"/>
  <c r="AM354" i="1" s="1"/>
  <c r="AU354" i="1"/>
  <c r="S355" i="1"/>
  <c r="U355" i="1"/>
  <c r="AM355" i="1" s="1"/>
  <c r="S356" i="1"/>
  <c r="U356" i="1"/>
  <c r="AM356" i="1" s="1"/>
  <c r="S357" i="1"/>
  <c r="U357" i="1"/>
  <c r="AM357" i="1"/>
  <c r="S358" i="1"/>
  <c r="U358" i="1"/>
  <c r="AM358" i="1" s="1"/>
  <c r="AV358" i="1"/>
  <c r="S359" i="1"/>
  <c r="U359" i="1"/>
  <c r="AM359" i="1" s="1"/>
  <c r="S360" i="1"/>
  <c r="U360" i="1"/>
  <c r="AM360" i="1"/>
  <c r="AU360" i="1" s="1"/>
  <c r="S361" i="1"/>
  <c r="U361" i="1"/>
  <c r="AM361" i="1" s="1"/>
  <c r="S362" i="1"/>
  <c r="U362" i="1"/>
  <c r="AM362" i="1"/>
  <c r="S363" i="1"/>
  <c r="U363" i="1"/>
  <c r="AM363" i="1" s="1"/>
  <c r="AV363" i="1" s="1"/>
  <c r="S364" i="1"/>
  <c r="U364" i="1"/>
  <c r="AM364" i="1" s="1"/>
  <c r="S365" i="1"/>
  <c r="U365" i="1"/>
  <c r="AM365" i="1" s="1"/>
  <c r="S366" i="1"/>
  <c r="U366" i="1"/>
  <c r="AM366" i="1" s="1"/>
  <c r="S367" i="1"/>
  <c r="U367" i="1"/>
  <c r="AM367" i="1" s="1"/>
  <c r="S368" i="1"/>
  <c r="U368" i="1"/>
  <c r="AM368" i="1" s="1"/>
  <c r="S369" i="1"/>
  <c r="U369" i="1"/>
  <c r="AM369" i="1" s="1"/>
  <c r="S370" i="1"/>
  <c r="U370" i="1"/>
  <c r="AM370" i="1" s="1"/>
  <c r="S371" i="1"/>
  <c r="U371" i="1"/>
  <c r="AM371" i="1" s="1"/>
  <c r="S372" i="1"/>
  <c r="U372" i="1"/>
  <c r="AM372" i="1" s="1"/>
  <c r="AW372" i="1"/>
  <c r="S373" i="1"/>
  <c r="U373" i="1"/>
  <c r="AM373" i="1" s="1"/>
  <c r="AV373" i="1"/>
  <c r="S374" i="1"/>
  <c r="U374" i="1"/>
  <c r="AM374" i="1" s="1"/>
  <c r="S375" i="1"/>
  <c r="U375" i="1"/>
  <c r="AM375" i="1" s="1"/>
  <c r="AU375" i="1" s="1"/>
  <c r="S376" i="1"/>
  <c r="U376" i="1"/>
  <c r="AM376" i="1" s="1"/>
  <c r="S377" i="1"/>
  <c r="U377" i="1"/>
  <c r="AM377" i="1"/>
  <c r="S378" i="1"/>
  <c r="U378" i="1"/>
  <c r="AM378" i="1" s="1"/>
  <c r="AU378" i="1"/>
  <c r="S379" i="1"/>
  <c r="U379" i="1"/>
  <c r="AM379" i="1" s="1"/>
  <c r="S380" i="1"/>
  <c r="U380" i="1"/>
  <c r="AM380" i="1" s="1"/>
  <c r="AV380" i="1" s="1"/>
  <c r="S381" i="1"/>
  <c r="U381" i="1"/>
  <c r="AM381" i="1" s="1"/>
  <c r="S382" i="1"/>
  <c r="U382" i="1"/>
  <c r="AM382" i="1" s="1"/>
  <c r="S383" i="1"/>
  <c r="U383" i="1"/>
  <c r="AM383" i="1" s="1"/>
  <c r="AU383" i="1"/>
  <c r="S384" i="1"/>
  <c r="U384" i="1"/>
  <c r="AM384" i="1" s="1"/>
  <c r="S385" i="1"/>
  <c r="U385" i="1"/>
  <c r="AM385" i="1" s="1"/>
  <c r="AV385" i="1"/>
  <c r="S386" i="1"/>
  <c r="U386" i="1"/>
  <c r="AM386" i="1" s="1"/>
  <c r="AW386" i="1" s="1"/>
  <c r="S387" i="1"/>
  <c r="U387" i="1"/>
  <c r="AM387" i="1" s="1"/>
  <c r="S388" i="1"/>
  <c r="U388" i="1"/>
  <c r="AM388" i="1" s="1"/>
  <c r="S389" i="1"/>
  <c r="U389" i="1"/>
  <c r="AM389" i="1" s="1"/>
  <c r="S390" i="1"/>
  <c r="U390" i="1"/>
  <c r="AM390" i="1" s="1"/>
  <c r="S391" i="1"/>
  <c r="U391" i="1"/>
  <c r="AM391" i="1" s="1"/>
  <c r="S392" i="1"/>
  <c r="U392" i="1"/>
  <c r="AM392" i="1" s="1"/>
  <c r="S393" i="1"/>
  <c r="U393" i="1"/>
  <c r="AM393" i="1"/>
  <c r="AW393" i="1" s="1"/>
  <c r="S394" i="1"/>
  <c r="U394" i="1"/>
  <c r="AM394" i="1" s="1"/>
  <c r="S395" i="1"/>
  <c r="U395" i="1"/>
  <c r="AM395" i="1"/>
  <c r="AU395" i="1" s="1"/>
  <c r="S396" i="1"/>
  <c r="U396" i="1"/>
  <c r="AM396" i="1"/>
  <c r="AV396" i="1" s="1"/>
  <c r="S397" i="1"/>
  <c r="U397" i="1"/>
  <c r="AM397" i="1" s="1"/>
  <c r="S398" i="1"/>
  <c r="U398" i="1"/>
  <c r="AM398" i="1" s="1"/>
  <c r="S399" i="1"/>
  <c r="U399" i="1"/>
  <c r="AM399" i="1" s="1"/>
  <c r="S400" i="1"/>
  <c r="U400" i="1"/>
  <c r="AM400" i="1" s="1"/>
  <c r="S401" i="1"/>
  <c r="U401" i="1"/>
  <c r="AM401" i="1" s="1"/>
  <c r="AU401" i="1"/>
  <c r="S402" i="1"/>
  <c r="U402" i="1"/>
  <c r="AM402" i="1" s="1"/>
  <c r="S403" i="1"/>
  <c r="U403" i="1"/>
  <c r="AW403" i="1"/>
  <c r="AM403" i="1"/>
  <c r="AU403" i="1"/>
  <c r="S404" i="1"/>
  <c r="U404" i="1"/>
  <c r="AM404" i="1" s="1"/>
  <c r="S405" i="1"/>
  <c r="U405" i="1"/>
  <c r="AM405" i="1"/>
  <c r="AW405" i="1" s="1"/>
  <c r="S406" i="1"/>
  <c r="U406" i="1"/>
  <c r="AM406" i="1"/>
  <c r="S407" i="1"/>
  <c r="U407" i="1"/>
  <c r="AM407" i="1" s="1"/>
  <c r="S408" i="1"/>
  <c r="U408" i="1"/>
  <c r="AM408" i="1" s="1"/>
  <c r="S409" i="1"/>
  <c r="U409" i="1"/>
  <c r="AM409" i="1" s="1"/>
  <c r="S410" i="1"/>
  <c r="U410" i="1"/>
  <c r="AM410" i="1" s="1"/>
  <c r="S411" i="1"/>
  <c r="U411" i="1"/>
  <c r="AM411" i="1"/>
  <c r="AV411" i="1" s="1"/>
  <c r="S412" i="1"/>
  <c r="U412" i="1"/>
  <c r="AM412" i="1" s="1"/>
  <c r="AW412" i="1" s="1"/>
  <c r="S413" i="1"/>
  <c r="U413" i="1"/>
  <c r="AM413" i="1" s="1"/>
  <c r="S414" i="1"/>
  <c r="U414" i="1"/>
  <c r="AM414" i="1" s="1"/>
  <c r="S415" i="1"/>
  <c r="U415" i="1"/>
  <c r="AM415" i="1"/>
  <c r="S416" i="1"/>
  <c r="U416" i="1"/>
  <c r="AM416" i="1" s="1"/>
  <c r="S417" i="1"/>
  <c r="U417" i="1"/>
  <c r="AM417" i="1" s="1"/>
  <c r="AW417" i="1"/>
  <c r="S418" i="1"/>
  <c r="U418" i="1"/>
  <c r="AM418" i="1" s="1"/>
  <c r="S419" i="1"/>
  <c r="U419" i="1"/>
  <c r="AM419" i="1"/>
  <c r="S420" i="1"/>
  <c r="U420" i="1"/>
  <c r="AM420" i="1"/>
  <c r="AV420" i="1" s="1"/>
  <c r="S421" i="1"/>
  <c r="U421" i="1"/>
  <c r="AM421" i="1"/>
  <c r="S422" i="1"/>
  <c r="U422" i="1"/>
  <c r="AM422" i="1"/>
  <c r="S423" i="1"/>
  <c r="U423" i="1"/>
  <c r="AM423" i="1"/>
  <c r="AW423" i="1"/>
  <c r="S424" i="1"/>
  <c r="U424" i="1"/>
  <c r="AM424" i="1" s="1"/>
  <c r="S425" i="1"/>
  <c r="U425" i="1"/>
  <c r="AM425" i="1"/>
  <c r="S426" i="1"/>
  <c r="U426" i="1"/>
  <c r="AM426" i="1"/>
  <c r="S427" i="1"/>
  <c r="U427" i="1"/>
  <c r="AM427" i="1"/>
  <c r="S428" i="1"/>
  <c r="U428" i="1"/>
  <c r="AM428" i="1" s="1"/>
  <c r="S429" i="1"/>
  <c r="U429" i="1"/>
  <c r="AM429" i="1" s="1"/>
  <c r="S430" i="1"/>
  <c r="U430" i="1"/>
  <c r="AM430" i="1" s="1"/>
  <c r="S431" i="1"/>
  <c r="U431" i="1"/>
  <c r="AM431" i="1" s="1"/>
  <c r="S432" i="1"/>
  <c r="U432" i="1"/>
  <c r="AM432" i="1" s="1"/>
  <c r="AV432" i="1"/>
  <c r="S433" i="1"/>
  <c r="U433" i="1"/>
  <c r="AM433" i="1" s="1"/>
  <c r="S434" i="1"/>
  <c r="U434" i="1"/>
  <c r="AM434" i="1" s="1"/>
  <c r="S435" i="1"/>
  <c r="U435" i="1"/>
  <c r="AM435" i="1"/>
  <c r="S436" i="1"/>
  <c r="U436" i="1"/>
  <c r="AM436" i="1" s="1"/>
  <c r="AU436" i="1" s="1"/>
  <c r="S437" i="1"/>
  <c r="U437" i="1"/>
  <c r="AM437" i="1" s="1"/>
  <c r="S438" i="1"/>
  <c r="U438" i="1"/>
  <c r="AM438" i="1" s="1"/>
  <c r="S439" i="1"/>
  <c r="U439" i="1"/>
  <c r="AM439" i="1" s="1"/>
  <c r="S440" i="1"/>
  <c r="U440" i="1"/>
  <c r="AM440" i="1" s="1"/>
  <c r="AU440" i="1"/>
  <c r="S441" i="1"/>
  <c r="U441" i="1"/>
  <c r="AM441" i="1" s="1"/>
  <c r="S442" i="1"/>
  <c r="U442" i="1"/>
  <c r="AM442" i="1"/>
  <c r="S443" i="1"/>
  <c r="U443" i="1"/>
  <c r="AM443" i="1" s="1"/>
  <c r="AU443" i="1"/>
  <c r="S444" i="1"/>
  <c r="U444" i="1"/>
  <c r="AM444" i="1" s="1"/>
  <c r="S445" i="1"/>
  <c r="U445" i="1"/>
  <c r="AM445" i="1" s="1"/>
  <c r="AV445" i="1" s="1"/>
  <c r="S446" i="1"/>
  <c r="U446" i="1"/>
  <c r="AM446" i="1" s="1"/>
  <c r="S447" i="1"/>
  <c r="U447" i="1"/>
  <c r="AM447" i="1" s="1"/>
  <c r="S448" i="1"/>
  <c r="U448" i="1"/>
  <c r="AM448" i="1" s="1"/>
  <c r="S449" i="1"/>
  <c r="U449" i="1"/>
  <c r="AM449" i="1" s="1"/>
  <c r="S450" i="1"/>
  <c r="U450" i="1"/>
  <c r="AM450" i="1" s="1"/>
  <c r="AV450" i="1" s="1"/>
  <c r="S451" i="1"/>
  <c r="U451" i="1"/>
  <c r="AM451" i="1"/>
  <c r="S452" i="1"/>
  <c r="U452" i="1"/>
  <c r="AM452" i="1" s="1"/>
  <c r="AW452" i="1"/>
  <c r="S453" i="1"/>
  <c r="U453" i="1"/>
  <c r="AM453" i="1" s="1"/>
  <c r="S454" i="1"/>
  <c r="U454" i="1"/>
  <c r="AM454" i="1" s="1"/>
  <c r="S455" i="1"/>
  <c r="U455" i="1"/>
  <c r="AM455" i="1"/>
  <c r="S456" i="1"/>
  <c r="U456" i="1"/>
  <c r="AM456" i="1" s="1"/>
  <c r="S457" i="1"/>
  <c r="U457" i="1"/>
  <c r="AV457" i="1"/>
  <c r="AM457" i="1"/>
  <c r="S458" i="1"/>
  <c r="U458" i="1"/>
  <c r="AM458" i="1" s="1"/>
  <c r="S459" i="1"/>
  <c r="U459" i="1"/>
  <c r="AM459" i="1" s="1"/>
  <c r="S460" i="1"/>
  <c r="U460" i="1"/>
  <c r="AM460" i="1" s="1"/>
  <c r="S461" i="1"/>
  <c r="U461" i="1"/>
  <c r="AM461" i="1"/>
  <c r="S462" i="1"/>
  <c r="U462" i="1"/>
  <c r="AM462" i="1"/>
  <c r="S463" i="1"/>
  <c r="U463" i="1"/>
  <c r="AM463" i="1"/>
  <c r="S464" i="1"/>
  <c r="U464" i="1"/>
  <c r="AM464" i="1" s="1"/>
  <c r="AU464" i="1"/>
  <c r="S465" i="1"/>
  <c r="U465" i="1"/>
  <c r="AM465" i="1" s="1"/>
  <c r="AV465" i="1" s="1"/>
  <c r="S466" i="1"/>
  <c r="U466" i="1"/>
  <c r="AM466" i="1" s="1"/>
  <c r="S467" i="1"/>
  <c r="U467" i="1"/>
  <c r="AM467" i="1"/>
  <c r="S468" i="1"/>
  <c r="U468" i="1"/>
  <c r="AM468" i="1" s="1"/>
  <c r="S469" i="1"/>
  <c r="U469" i="1"/>
  <c r="AM469" i="1" s="1"/>
  <c r="AU469" i="1"/>
  <c r="S470" i="1"/>
  <c r="U470" i="1"/>
  <c r="AM470" i="1" s="1"/>
  <c r="S471" i="1"/>
  <c r="U471" i="1"/>
  <c r="AM471" i="1"/>
  <c r="S472" i="1"/>
  <c r="U472" i="1"/>
  <c r="AM472" i="1" s="1"/>
  <c r="S473" i="1"/>
  <c r="U473" i="1"/>
  <c r="AM473" i="1"/>
  <c r="S474" i="1"/>
  <c r="U474" i="1"/>
  <c r="AM474" i="1" s="1"/>
  <c r="S475" i="1"/>
  <c r="U475" i="1"/>
  <c r="AM475" i="1" s="1"/>
  <c r="AV475" i="1" s="1"/>
  <c r="S476" i="1"/>
  <c r="U476" i="1"/>
  <c r="AM476" i="1"/>
  <c r="S477" i="1"/>
  <c r="U477" i="1"/>
  <c r="AM477" i="1" s="1"/>
  <c r="AW477" i="1" s="1"/>
  <c r="S478" i="1"/>
  <c r="U478" i="1"/>
  <c r="AM478" i="1" s="1"/>
  <c r="S479" i="1"/>
  <c r="U479" i="1"/>
  <c r="AM479" i="1" s="1"/>
  <c r="S480" i="1"/>
  <c r="U480" i="1"/>
  <c r="AM480" i="1" s="1"/>
  <c r="S481" i="1"/>
  <c r="U481" i="1"/>
  <c r="AM481" i="1"/>
  <c r="AV481" i="1" s="1"/>
  <c r="S482" i="1"/>
  <c r="U482" i="1"/>
  <c r="AM482" i="1"/>
  <c r="S483" i="1"/>
  <c r="U483" i="1"/>
  <c r="AM483" i="1"/>
  <c r="S484" i="1"/>
  <c r="U484" i="1"/>
  <c r="AM484" i="1" s="1"/>
  <c r="S485" i="1"/>
  <c r="U485" i="1"/>
  <c r="AM485" i="1" s="1"/>
  <c r="S486" i="1"/>
  <c r="U486" i="1"/>
  <c r="AM486" i="1" s="1"/>
  <c r="S487" i="1"/>
  <c r="U487" i="1"/>
  <c r="AM487" i="1"/>
  <c r="S488" i="1"/>
  <c r="U488" i="1"/>
  <c r="AM488" i="1" s="1"/>
  <c r="AV488" i="1" s="1"/>
  <c r="S489" i="1"/>
  <c r="U489" i="1"/>
  <c r="AM489" i="1" s="1"/>
  <c r="S490" i="1"/>
  <c r="U490" i="1"/>
  <c r="AM490" i="1" s="1"/>
  <c r="AV490" i="1" s="1"/>
  <c r="S491" i="1"/>
  <c r="U491" i="1"/>
  <c r="AM491" i="1" s="1"/>
  <c r="S492" i="1"/>
  <c r="U492" i="1"/>
  <c r="AM492" i="1" s="1"/>
  <c r="S493" i="1"/>
  <c r="U493" i="1"/>
  <c r="AM493" i="1"/>
  <c r="S494" i="1"/>
  <c r="U494" i="1"/>
  <c r="AM494" i="1" s="1"/>
  <c r="S495" i="1"/>
  <c r="U495" i="1"/>
  <c r="AM495" i="1" s="1"/>
  <c r="AV495" i="1"/>
  <c r="S496" i="1"/>
  <c r="U496" i="1"/>
  <c r="AM496" i="1"/>
  <c r="AU496" i="1" s="1"/>
  <c r="S497" i="1"/>
  <c r="U497" i="1"/>
  <c r="AM497" i="1" s="1"/>
  <c r="S498" i="1"/>
  <c r="U498" i="1"/>
  <c r="AM498" i="1"/>
  <c r="S499" i="1"/>
  <c r="U499" i="1"/>
  <c r="AM499" i="1" s="1"/>
  <c r="S500" i="1"/>
  <c r="U500" i="1"/>
  <c r="AM500" i="1"/>
  <c r="S501" i="1"/>
  <c r="U501" i="1"/>
  <c r="AM501" i="1" s="1"/>
  <c r="S502" i="1"/>
  <c r="U502" i="1"/>
  <c r="AM502" i="1" s="1"/>
  <c r="S503" i="1"/>
  <c r="U503" i="1"/>
  <c r="AM503" i="1" s="1"/>
  <c r="S504" i="1"/>
  <c r="U504" i="1"/>
  <c r="AM504" i="1" s="1"/>
  <c r="S505" i="1"/>
  <c r="U505" i="1"/>
  <c r="AM505" i="1" s="1"/>
  <c r="S506" i="1"/>
  <c r="U506" i="1"/>
  <c r="AM506" i="1" s="1"/>
  <c r="AU506" i="1" s="1"/>
  <c r="S507" i="1"/>
  <c r="U507" i="1"/>
  <c r="AM507" i="1" s="1"/>
  <c r="AV507" i="1"/>
  <c r="S508" i="1"/>
  <c r="U508" i="1"/>
  <c r="AM508" i="1" s="1"/>
  <c r="S509" i="1"/>
  <c r="U509" i="1"/>
  <c r="AM509" i="1" s="1"/>
  <c r="S510" i="1"/>
  <c r="U510" i="1"/>
  <c r="AM510" i="1"/>
  <c r="S511" i="1"/>
  <c r="U511" i="1"/>
  <c r="AM511" i="1" s="1"/>
  <c r="S512" i="1"/>
  <c r="U512" i="1"/>
  <c r="AM512" i="1"/>
  <c r="S513" i="1"/>
  <c r="U513" i="1"/>
  <c r="AM513" i="1" s="1"/>
  <c r="S514" i="1"/>
  <c r="U514" i="1"/>
  <c r="AM514" i="1" s="1"/>
  <c r="S515" i="1"/>
  <c r="U515" i="1"/>
  <c r="AM515" i="1" s="1"/>
  <c r="S516" i="1"/>
  <c r="U516" i="1"/>
  <c r="AM516" i="1" s="1"/>
  <c r="AU516" i="1" s="1"/>
  <c r="AV516" i="1"/>
  <c r="S517" i="1"/>
  <c r="U517" i="1"/>
  <c r="AM517" i="1"/>
  <c r="S518" i="1"/>
  <c r="U518" i="1"/>
  <c r="AM518" i="1" s="1"/>
  <c r="S519" i="1"/>
  <c r="U519" i="1"/>
  <c r="AM519" i="1" s="1"/>
  <c r="S520" i="1"/>
  <c r="U520" i="1"/>
  <c r="AM520" i="1"/>
  <c r="S521" i="1"/>
  <c r="U521" i="1"/>
  <c r="AM521" i="1" s="1"/>
  <c r="S522" i="1"/>
  <c r="U522" i="1"/>
  <c r="AM522" i="1"/>
  <c r="AW522" i="1" s="1"/>
  <c r="S523" i="1"/>
  <c r="U523" i="1"/>
  <c r="AM523" i="1" s="1"/>
  <c r="S524" i="1"/>
  <c r="U524" i="1"/>
  <c r="AM524" i="1" s="1"/>
  <c r="S525" i="1"/>
  <c r="U525" i="1"/>
  <c r="AM525" i="1" s="1"/>
  <c r="AV525" i="1" s="1"/>
  <c r="S526" i="1"/>
  <c r="U526" i="1"/>
  <c r="AM526" i="1" s="1"/>
  <c r="S527" i="1"/>
  <c r="U527" i="1"/>
  <c r="AM527" i="1"/>
  <c r="S528" i="1"/>
  <c r="U528" i="1"/>
  <c r="AM528" i="1"/>
  <c r="S529" i="1"/>
  <c r="U529" i="1"/>
  <c r="AM529" i="1" s="1"/>
  <c r="AV529" i="1"/>
  <c r="S530" i="1"/>
  <c r="U530" i="1"/>
  <c r="AM530" i="1" s="1"/>
  <c r="S531" i="1"/>
  <c r="U531" i="1"/>
  <c r="AM531" i="1" s="1"/>
  <c r="S532" i="1"/>
  <c r="U532" i="1"/>
  <c r="AM532" i="1" s="1"/>
  <c r="S533" i="1"/>
  <c r="U533" i="1"/>
  <c r="AM533" i="1" s="1"/>
  <c r="S534" i="1"/>
  <c r="U534" i="1"/>
  <c r="AM534" i="1" s="1"/>
  <c r="AV534" i="1" s="1"/>
  <c r="S535" i="1"/>
  <c r="U535" i="1"/>
  <c r="AM535" i="1" s="1"/>
  <c r="AU535" i="1"/>
  <c r="S536" i="1"/>
  <c r="U536" i="1"/>
  <c r="AM536" i="1" s="1"/>
  <c r="AV536" i="1"/>
  <c r="S537" i="1"/>
  <c r="U537" i="1"/>
  <c r="AM537" i="1"/>
  <c r="AU537" i="1" s="1"/>
  <c r="S538" i="1"/>
  <c r="U538" i="1"/>
  <c r="AM538" i="1" s="1"/>
  <c r="S539" i="1"/>
  <c r="U539" i="1"/>
  <c r="AM539" i="1" s="1"/>
  <c r="S540" i="1"/>
  <c r="U540" i="1"/>
  <c r="AM540" i="1"/>
  <c r="AU540" i="1"/>
  <c r="AW540" i="1"/>
  <c r="S541" i="1"/>
  <c r="U541" i="1"/>
  <c r="AM541" i="1" s="1"/>
  <c r="S542" i="1"/>
  <c r="U542" i="1"/>
  <c r="AM542" i="1"/>
  <c r="S543" i="1"/>
  <c r="U543" i="1"/>
  <c r="AM543" i="1" s="1"/>
  <c r="S544" i="1"/>
  <c r="U544" i="1"/>
  <c r="AM544" i="1" s="1"/>
  <c r="S545" i="1"/>
  <c r="U545" i="1"/>
  <c r="AM545" i="1" s="1"/>
  <c r="S546" i="1"/>
  <c r="U546" i="1"/>
  <c r="AM546" i="1" s="1"/>
  <c r="S547" i="1"/>
  <c r="U547" i="1"/>
  <c r="AM547" i="1" s="1"/>
  <c r="AV547" i="1"/>
  <c r="S548" i="1"/>
  <c r="U548" i="1"/>
  <c r="AM548" i="1" s="1"/>
  <c r="S549" i="1"/>
  <c r="U549" i="1"/>
  <c r="AM549" i="1" s="1"/>
  <c r="S550" i="1"/>
  <c r="U550" i="1"/>
  <c r="AM550" i="1" s="1"/>
  <c r="AV550" i="1"/>
  <c r="AU550" i="1"/>
  <c r="AW550" i="1"/>
  <c r="S551" i="1"/>
  <c r="U551" i="1"/>
  <c r="AM551" i="1" s="1"/>
  <c r="S552" i="1"/>
  <c r="U552" i="1"/>
  <c r="AM552" i="1" s="1"/>
  <c r="S553" i="1"/>
  <c r="U553" i="1"/>
  <c r="AM553" i="1" s="1"/>
  <c r="AU553" i="1"/>
  <c r="S554" i="1"/>
  <c r="U554" i="1"/>
  <c r="AM554" i="1" s="1"/>
  <c r="S555" i="1"/>
  <c r="U555" i="1"/>
  <c r="AM555" i="1" s="1"/>
  <c r="S556" i="1"/>
  <c r="U556" i="1"/>
  <c r="AM556" i="1" s="1"/>
  <c r="AV556" i="1"/>
  <c r="S557" i="1"/>
  <c r="U557" i="1"/>
  <c r="AM557" i="1" s="1"/>
  <c r="AU557" i="1"/>
  <c r="S558" i="1"/>
  <c r="U558" i="1"/>
  <c r="AM558" i="1" s="1"/>
  <c r="S559" i="1"/>
  <c r="U559" i="1"/>
  <c r="AM559" i="1" s="1"/>
  <c r="S560" i="1"/>
  <c r="U560" i="1"/>
  <c r="AM560" i="1" s="1"/>
  <c r="S561" i="1"/>
  <c r="U561" i="1"/>
  <c r="AM561" i="1"/>
  <c r="S562" i="1"/>
  <c r="U562" i="1"/>
  <c r="AM562" i="1"/>
  <c r="AU562" i="1" s="1"/>
  <c r="S563" i="1"/>
  <c r="U563" i="1"/>
  <c r="AM563" i="1" s="1"/>
  <c r="S564" i="1"/>
  <c r="U564" i="1"/>
  <c r="AM564" i="1" s="1"/>
  <c r="S565" i="1"/>
  <c r="U565" i="1"/>
  <c r="AM565" i="1" s="1"/>
  <c r="S566" i="1"/>
  <c r="U566" i="1"/>
  <c r="AM566" i="1" s="1"/>
  <c r="S567" i="1"/>
  <c r="U567" i="1"/>
  <c r="AM567" i="1" s="1"/>
  <c r="S568" i="1"/>
  <c r="U568" i="1"/>
  <c r="AM568" i="1" s="1"/>
  <c r="AU568" i="1"/>
  <c r="S569" i="1"/>
  <c r="U569" i="1"/>
  <c r="AM569" i="1" s="1"/>
  <c r="AW569" i="1" s="1"/>
  <c r="S570" i="1"/>
  <c r="U570" i="1"/>
  <c r="AM570" i="1" s="1"/>
  <c r="S571" i="1"/>
  <c r="U571" i="1"/>
  <c r="AM571" i="1" s="1"/>
  <c r="S572" i="1"/>
  <c r="U572" i="1"/>
  <c r="AM572" i="1" s="1"/>
  <c r="S573" i="1"/>
  <c r="U573" i="1"/>
  <c r="AM573" i="1"/>
  <c r="S574" i="1"/>
  <c r="U574" i="1"/>
  <c r="AM574" i="1" s="1"/>
  <c r="AW574" i="1"/>
  <c r="S575" i="1"/>
  <c r="U575" i="1"/>
  <c r="AM575" i="1" s="1"/>
  <c r="S576" i="1"/>
  <c r="U576" i="1"/>
  <c r="AM576" i="1" s="1"/>
  <c r="AU576" i="1"/>
  <c r="S577" i="1"/>
  <c r="U577" i="1"/>
  <c r="AM577" i="1" s="1"/>
  <c r="S578" i="1"/>
  <c r="U578" i="1"/>
  <c r="AM578" i="1" s="1"/>
  <c r="S579" i="1"/>
  <c r="U579" i="1"/>
  <c r="AM579" i="1" s="1"/>
  <c r="S580" i="1"/>
  <c r="U580" i="1"/>
  <c r="AM580" i="1"/>
  <c r="S581" i="1"/>
  <c r="U581" i="1"/>
  <c r="AM581" i="1" s="1"/>
  <c r="S582" i="1"/>
  <c r="U582" i="1"/>
  <c r="AM582" i="1" s="1"/>
  <c r="S583" i="1"/>
  <c r="U583" i="1"/>
  <c r="AM583" i="1" s="1"/>
  <c r="S584" i="1"/>
  <c r="U584" i="1"/>
  <c r="AM584" i="1" s="1"/>
  <c r="S585" i="1"/>
  <c r="U585" i="1"/>
  <c r="AM585" i="1" s="1"/>
  <c r="S586" i="1"/>
  <c r="U586" i="1"/>
  <c r="AM586" i="1" s="1"/>
  <c r="AU586" i="1" s="1"/>
  <c r="S587" i="1"/>
  <c r="U587" i="1"/>
  <c r="AM587" i="1" s="1"/>
  <c r="S588" i="1"/>
  <c r="U588" i="1"/>
  <c r="AM588" i="1" s="1"/>
  <c r="S589" i="1"/>
  <c r="U589" i="1"/>
  <c r="AM589" i="1" s="1"/>
  <c r="AU589" i="1"/>
  <c r="S590" i="1"/>
  <c r="U590" i="1"/>
  <c r="AM590" i="1" s="1"/>
  <c r="S591" i="1"/>
  <c r="U591" i="1"/>
  <c r="AM591" i="1" s="1"/>
  <c r="S592" i="1"/>
  <c r="U592" i="1"/>
  <c r="AM592" i="1" s="1"/>
  <c r="S593" i="1"/>
  <c r="U593" i="1"/>
  <c r="AM593" i="1" s="1"/>
  <c r="S594" i="1"/>
  <c r="U594" i="1"/>
  <c r="AM594" i="1" s="1"/>
  <c r="S595" i="1"/>
  <c r="U595" i="1"/>
  <c r="AM595" i="1" s="1"/>
  <c r="S596" i="1"/>
  <c r="U596" i="1"/>
  <c r="AM596" i="1" s="1"/>
  <c r="AU596" i="1" s="1"/>
  <c r="S597" i="1"/>
  <c r="U597" i="1"/>
  <c r="AM597" i="1" s="1"/>
  <c r="S598" i="1"/>
  <c r="U598" i="1"/>
  <c r="AM598" i="1" s="1"/>
  <c r="S599" i="1"/>
  <c r="U599" i="1"/>
  <c r="AM599" i="1" s="1"/>
  <c r="S600" i="1"/>
  <c r="U600" i="1"/>
  <c r="AM600" i="1"/>
  <c r="S601" i="1"/>
  <c r="U601" i="1"/>
  <c r="AM601" i="1" s="1"/>
  <c r="S602" i="1"/>
  <c r="U602" i="1"/>
  <c r="AM602" i="1" s="1"/>
  <c r="S603" i="1"/>
  <c r="U603" i="1"/>
  <c r="AM603" i="1" s="1"/>
  <c r="S604" i="1"/>
  <c r="U604" i="1"/>
  <c r="AM604" i="1" s="1"/>
  <c r="S605" i="1"/>
  <c r="U605" i="1"/>
  <c r="AM605" i="1" s="1"/>
  <c r="S606" i="1"/>
  <c r="U606" i="1"/>
  <c r="AM606" i="1" s="1"/>
  <c r="S607" i="1"/>
  <c r="U607" i="1"/>
  <c r="AM607" i="1" s="1"/>
  <c r="S608" i="1"/>
  <c r="U608" i="1"/>
  <c r="AM608" i="1" s="1"/>
  <c r="S609" i="1"/>
  <c r="U609" i="1"/>
  <c r="AM609" i="1" s="1"/>
  <c r="S610" i="1"/>
  <c r="U610" i="1"/>
  <c r="AM610" i="1" s="1"/>
  <c r="S611" i="1"/>
  <c r="U611" i="1"/>
  <c r="AM611" i="1" s="1"/>
  <c r="S612" i="1"/>
  <c r="U612" i="1"/>
  <c r="AM612" i="1" s="1"/>
  <c r="S613" i="1"/>
  <c r="U613" i="1"/>
  <c r="AM613" i="1" s="1"/>
  <c r="S614" i="1"/>
  <c r="U614" i="1"/>
  <c r="AM614" i="1" s="1"/>
  <c r="AU614" i="1"/>
  <c r="S615" i="1"/>
  <c r="U615" i="1"/>
  <c r="AM615" i="1"/>
  <c r="S616" i="1"/>
  <c r="U616" i="1"/>
  <c r="AM616" i="1" s="1"/>
  <c r="AU616" i="1" s="1"/>
  <c r="S617" i="1"/>
  <c r="U617" i="1"/>
  <c r="AM617" i="1" s="1"/>
  <c r="S618" i="1"/>
  <c r="U618" i="1"/>
  <c r="AM618" i="1" s="1"/>
  <c r="S619" i="1"/>
  <c r="U619" i="1"/>
  <c r="AM619" i="1" s="1"/>
  <c r="AU619" i="1"/>
  <c r="S620" i="1"/>
  <c r="U620" i="1"/>
  <c r="AM620" i="1"/>
  <c r="S621" i="1"/>
  <c r="U621" i="1"/>
  <c r="AM621" i="1" s="1"/>
  <c r="AV621" i="1"/>
  <c r="S622" i="1"/>
  <c r="U622" i="1"/>
  <c r="AM622" i="1" s="1"/>
  <c r="S623" i="1"/>
  <c r="U623" i="1"/>
  <c r="AM623" i="1" s="1"/>
  <c r="S624" i="1"/>
  <c r="U624" i="1"/>
  <c r="AM624" i="1" s="1"/>
  <c r="S625" i="1"/>
  <c r="U625" i="1"/>
  <c r="AM625" i="1"/>
  <c r="S626" i="1"/>
  <c r="U626" i="1"/>
  <c r="AM626" i="1" s="1"/>
  <c r="S627" i="1"/>
  <c r="U627" i="1"/>
  <c r="AM627" i="1" s="1"/>
  <c r="S628" i="1"/>
  <c r="U628" i="1"/>
  <c r="AM628" i="1" s="1"/>
  <c r="S629" i="1"/>
  <c r="U629" i="1"/>
  <c r="AM629" i="1" s="1"/>
  <c r="S630" i="1"/>
  <c r="U630" i="1"/>
  <c r="AM630" i="1" s="1"/>
  <c r="S631" i="1"/>
  <c r="U631" i="1"/>
  <c r="AM631" i="1" s="1"/>
  <c r="S632" i="1"/>
  <c r="U632" i="1"/>
  <c r="AM632" i="1" s="1"/>
  <c r="S633" i="1"/>
  <c r="U633" i="1"/>
  <c r="AM633" i="1" s="1"/>
  <c r="S634" i="1"/>
  <c r="U634" i="1"/>
  <c r="AM634" i="1" s="1"/>
  <c r="AU634" i="1"/>
  <c r="S635" i="1"/>
  <c r="U635" i="1"/>
  <c r="AM635" i="1" s="1"/>
  <c r="S636" i="1"/>
  <c r="U636" i="1"/>
  <c r="AM636" i="1" s="1"/>
  <c r="AV636" i="1"/>
  <c r="S637" i="1"/>
  <c r="U637" i="1"/>
  <c r="AM637" i="1" s="1"/>
  <c r="AU637" i="1"/>
  <c r="S638" i="1"/>
  <c r="U638" i="1"/>
  <c r="AM638" i="1" s="1"/>
  <c r="S639" i="1"/>
  <c r="U639" i="1"/>
  <c r="AM639" i="1" s="1"/>
  <c r="S640" i="1"/>
  <c r="U640" i="1"/>
  <c r="AM640" i="1" s="1"/>
  <c r="S641" i="1"/>
  <c r="U641" i="1"/>
  <c r="AM641" i="1" s="1"/>
  <c r="S642" i="1"/>
  <c r="U642" i="1"/>
  <c r="AM642" i="1" s="1"/>
  <c r="S643" i="1"/>
  <c r="U643" i="1"/>
  <c r="AM643" i="1" s="1"/>
  <c r="S644" i="1"/>
  <c r="U644" i="1"/>
  <c r="AM644" i="1" s="1"/>
  <c r="S645" i="1"/>
  <c r="U645" i="1"/>
  <c r="AM645" i="1"/>
  <c r="S646" i="1"/>
  <c r="U646" i="1"/>
  <c r="AM646" i="1" s="1"/>
  <c r="S647" i="1"/>
  <c r="U647" i="1"/>
  <c r="AM647" i="1" s="1"/>
  <c r="S648" i="1"/>
  <c r="U648" i="1"/>
  <c r="AM648" i="1" s="1"/>
  <c r="AU648" i="1"/>
  <c r="S649" i="1"/>
  <c r="U649" i="1"/>
  <c r="AM649" i="1" s="1"/>
  <c r="AU649" i="1"/>
  <c r="S650" i="1"/>
  <c r="U650" i="1"/>
  <c r="AM650" i="1" s="1"/>
  <c r="S651" i="1"/>
  <c r="U651" i="1"/>
  <c r="AM651" i="1"/>
  <c r="AU651" i="1"/>
  <c r="S652" i="1"/>
  <c r="U652" i="1"/>
  <c r="AM652" i="1" s="1"/>
  <c r="AU652" i="1"/>
  <c r="S653" i="1"/>
  <c r="U653" i="1"/>
  <c r="AM653" i="1" s="1"/>
  <c r="S654" i="1"/>
  <c r="U654" i="1"/>
  <c r="AM654" i="1" s="1"/>
  <c r="S655" i="1"/>
  <c r="U655" i="1"/>
  <c r="AM655" i="1"/>
  <c r="AU655" i="1" s="1"/>
  <c r="S656" i="1"/>
  <c r="U656" i="1"/>
  <c r="AM656" i="1"/>
  <c r="AU656" i="1"/>
  <c r="S657" i="1"/>
  <c r="U657" i="1"/>
  <c r="AM657" i="1" s="1"/>
  <c r="S658" i="1"/>
  <c r="U658" i="1"/>
  <c r="AM658" i="1" s="1"/>
  <c r="S659" i="1"/>
  <c r="U659" i="1"/>
  <c r="AM659" i="1" s="1"/>
  <c r="S660" i="1"/>
  <c r="U660" i="1"/>
  <c r="AM660" i="1"/>
  <c r="S661" i="1"/>
  <c r="U661" i="1"/>
  <c r="AM661" i="1"/>
  <c r="AU661" i="1"/>
  <c r="S662" i="1"/>
  <c r="U662" i="1"/>
  <c r="AM662" i="1" s="1"/>
  <c r="S663" i="1"/>
  <c r="U663" i="1"/>
  <c r="AM663" i="1" s="1"/>
  <c r="S664" i="1"/>
  <c r="U664" i="1"/>
  <c r="AM664" i="1" s="1"/>
  <c r="S665" i="1"/>
  <c r="U665" i="1"/>
  <c r="AM665" i="1"/>
  <c r="S666" i="1"/>
  <c r="U666" i="1"/>
  <c r="AM666" i="1"/>
  <c r="AU666" i="1"/>
  <c r="S667" i="1"/>
  <c r="U667" i="1"/>
  <c r="AM667" i="1" s="1"/>
  <c r="S668" i="1"/>
  <c r="U668" i="1"/>
  <c r="AM668" i="1" s="1"/>
  <c r="S669" i="1"/>
  <c r="U669" i="1"/>
  <c r="AM669" i="1" s="1"/>
  <c r="S670" i="1"/>
  <c r="U670" i="1"/>
  <c r="AM670" i="1"/>
  <c r="S671" i="1"/>
  <c r="U671" i="1"/>
  <c r="AM671" i="1"/>
  <c r="AU671" i="1"/>
  <c r="S672" i="1"/>
  <c r="U672" i="1"/>
  <c r="AM672" i="1" s="1"/>
  <c r="S673" i="1"/>
  <c r="U673" i="1"/>
  <c r="AM673" i="1" s="1"/>
  <c r="S674" i="1"/>
  <c r="U674" i="1"/>
  <c r="AM674" i="1" s="1"/>
  <c r="S675" i="1"/>
  <c r="U675" i="1"/>
  <c r="AM675" i="1"/>
  <c r="S676" i="1"/>
  <c r="U676" i="1"/>
  <c r="AM676" i="1"/>
  <c r="AU676" i="1"/>
  <c r="S677" i="1"/>
  <c r="U677" i="1"/>
  <c r="AM677" i="1" s="1"/>
  <c r="S678" i="1"/>
  <c r="U678" i="1"/>
  <c r="AM678" i="1" s="1"/>
  <c r="S679" i="1"/>
  <c r="U679" i="1"/>
  <c r="AM679" i="1" s="1"/>
  <c r="S680" i="1"/>
  <c r="U680" i="1"/>
  <c r="AM680" i="1"/>
  <c r="S681" i="1"/>
  <c r="U681" i="1"/>
  <c r="AM681" i="1"/>
  <c r="AU681" i="1"/>
  <c r="S682" i="1"/>
  <c r="U682" i="1"/>
  <c r="AM682" i="1" s="1"/>
  <c r="S683" i="1"/>
  <c r="U683" i="1"/>
  <c r="AM683" i="1" s="1"/>
  <c r="S684" i="1"/>
  <c r="U684" i="1"/>
  <c r="AM684" i="1" s="1"/>
  <c r="AV684" i="1" s="1"/>
  <c r="S685" i="1"/>
  <c r="U685" i="1"/>
  <c r="AM685" i="1"/>
  <c r="S686" i="1"/>
  <c r="U686" i="1"/>
  <c r="AM686" i="1"/>
  <c r="AU686" i="1"/>
  <c r="S687" i="1"/>
  <c r="U687" i="1"/>
  <c r="AM687" i="1" s="1"/>
  <c r="S688" i="1"/>
  <c r="U688" i="1"/>
  <c r="AM688" i="1" s="1"/>
  <c r="S689" i="1"/>
  <c r="U689" i="1"/>
  <c r="AM689" i="1" s="1"/>
  <c r="AV689" i="1" s="1"/>
  <c r="S690" i="1"/>
  <c r="U690" i="1"/>
  <c r="AM690" i="1"/>
  <c r="S691" i="1"/>
  <c r="U691" i="1"/>
  <c r="AM691" i="1"/>
  <c r="AU691" i="1"/>
  <c r="S692" i="1"/>
  <c r="U692" i="1"/>
  <c r="AM692" i="1" s="1"/>
  <c r="S693" i="1"/>
  <c r="U693" i="1"/>
  <c r="AM693" i="1" s="1"/>
  <c r="S694" i="1"/>
  <c r="U694" i="1"/>
  <c r="AM694" i="1" s="1"/>
  <c r="S695" i="1"/>
  <c r="U695" i="1"/>
  <c r="AM695" i="1"/>
  <c r="S696" i="1"/>
  <c r="U696" i="1"/>
  <c r="AM696" i="1"/>
  <c r="S697" i="1"/>
  <c r="U697" i="1"/>
  <c r="AM697" i="1" s="1"/>
  <c r="S698" i="1"/>
  <c r="U698" i="1"/>
  <c r="AM698" i="1" s="1"/>
  <c r="AV698" i="1"/>
  <c r="S699" i="1"/>
  <c r="U699" i="1"/>
  <c r="AM699" i="1" s="1"/>
  <c r="AU699" i="1"/>
  <c r="S700" i="1"/>
  <c r="U700" i="1"/>
  <c r="AM700" i="1"/>
  <c r="S701" i="1"/>
  <c r="U701" i="1"/>
  <c r="AM701" i="1"/>
  <c r="S702" i="1"/>
  <c r="U702" i="1"/>
  <c r="AM702" i="1" s="1"/>
  <c r="S703" i="1"/>
  <c r="U703" i="1"/>
  <c r="AM703" i="1" s="1"/>
  <c r="AV703" i="1"/>
  <c r="S704" i="1"/>
  <c r="U704" i="1"/>
  <c r="AM704" i="1" s="1"/>
  <c r="S705" i="1"/>
  <c r="U705" i="1"/>
  <c r="AM705" i="1"/>
  <c r="S706" i="1"/>
  <c r="U706" i="1"/>
  <c r="AM706" i="1" s="1"/>
  <c r="S707" i="1"/>
  <c r="U707" i="1"/>
  <c r="AM707" i="1" s="1"/>
  <c r="S708" i="1"/>
  <c r="U708" i="1"/>
  <c r="AM708" i="1" s="1"/>
  <c r="AV708" i="1"/>
  <c r="AW708" i="1"/>
  <c r="S709" i="1"/>
  <c r="U709" i="1"/>
  <c r="AM709" i="1" s="1"/>
  <c r="S710" i="1"/>
  <c r="U710" i="1"/>
  <c r="AM710" i="1"/>
  <c r="S711" i="1"/>
  <c r="U711" i="1"/>
  <c r="AM711" i="1" s="1"/>
  <c r="S712" i="1"/>
  <c r="U712" i="1"/>
  <c r="AM712" i="1" s="1"/>
  <c r="AW712" i="1" s="1"/>
  <c r="S713" i="1"/>
  <c r="U713" i="1"/>
  <c r="AM713" i="1" s="1"/>
  <c r="S714" i="1"/>
  <c r="U714" i="1"/>
  <c r="AM714" i="1" s="1"/>
  <c r="S715" i="1"/>
  <c r="U715" i="1"/>
  <c r="AM715" i="1" s="1"/>
  <c r="S716" i="1"/>
  <c r="U716" i="1"/>
  <c r="AM716" i="1" s="1"/>
  <c r="S717" i="1"/>
  <c r="U717" i="1"/>
  <c r="AM717" i="1" s="1"/>
  <c r="S718" i="1"/>
  <c r="U718" i="1"/>
  <c r="AM718" i="1" s="1"/>
  <c r="AU718" i="1" s="1"/>
  <c r="S719" i="1"/>
  <c r="U719" i="1"/>
  <c r="AM719" i="1" s="1"/>
  <c r="S720" i="1"/>
  <c r="U720" i="1"/>
  <c r="AM720" i="1" s="1"/>
  <c r="AV720" i="1"/>
  <c r="S721" i="1"/>
  <c r="U721" i="1"/>
  <c r="AM721" i="1" s="1"/>
  <c r="S722" i="1"/>
  <c r="U722" i="1"/>
  <c r="AM722" i="1" s="1"/>
  <c r="S723" i="1"/>
  <c r="U723" i="1"/>
  <c r="AM723" i="1" s="1"/>
  <c r="AU723" i="1"/>
  <c r="S724" i="1"/>
  <c r="U724" i="1"/>
  <c r="AM724" i="1" s="1"/>
  <c r="S725" i="1"/>
  <c r="U725" i="1"/>
  <c r="AM725" i="1" s="1"/>
  <c r="AW725" i="1" s="1"/>
  <c r="S726" i="1"/>
  <c r="U726" i="1"/>
  <c r="AM726" i="1" s="1"/>
  <c r="S727" i="1"/>
  <c r="U727" i="1"/>
  <c r="AM727" i="1" s="1"/>
  <c r="S728" i="1"/>
  <c r="U728" i="1"/>
  <c r="AM728" i="1"/>
  <c r="AU728" i="1" s="1"/>
  <c r="S729" i="1"/>
  <c r="U729" i="1"/>
  <c r="AM729" i="1" s="1"/>
  <c r="S730" i="1"/>
  <c r="U730" i="1"/>
  <c r="AM730" i="1"/>
  <c r="AU730" i="1" s="1"/>
  <c r="S731" i="1"/>
  <c r="U731" i="1"/>
  <c r="AM731" i="1" s="1"/>
  <c r="S732" i="1"/>
  <c r="U732" i="1"/>
  <c r="AM732" i="1" s="1"/>
  <c r="AW732" i="1"/>
  <c r="S733" i="1"/>
  <c r="U733" i="1"/>
  <c r="AM733" i="1" s="1"/>
  <c r="S734" i="1"/>
  <c r="U734" i="1"/>
  <c r="AM734" i="1" s="1"/>
  <c r="S735" i="1"/>
  <c r="U735" i="1"/>
  <c r="AM735" i="1"/>
  <c r="S736" i="1"/>
  <c r="U736" i="1"/>
  <c r="AM736" i="1" s="1"/>
  <c r="S737" i="1"/>
  <c r="U737" i="1"/>
  <c r="AM737" i="1" s="1"/>
  <c r="S738" i="1"/>
  <c r="U738" i="1"/>
  <c r="AM738" i="1" s="1"/>
  <c r="S739" i="1"/>
  <c r="U739" i="1"/>
  <c r="AM739" i="1" s="1"/>
  <c r="S740" i="1"/>
  <c r="U740" i="1"/>
  <c r="AM740" i="1"/>
  <c r="S741" i="1"/>
  <c r="U741" i="1"/>
  <c r="AM741" i="1" s="1"/>
  <c r="S742" i="1"/>
  <c r="U742" i="1"/>
  <c r="AM742" i="1" s="1"/>
  <c r="AW742" i="1"/>
  <c r="S743" i="1"/>
  <c r="U743" i="1"/>
  <c r="AM743" i="1" s="1"/>
  <c r="S744" i="1"/>
  <c r="U744" i="1"/>
  <c r="AM744" i="1" s="1"/>
  <c r="S745" i="1"/>
  <c r="U745" i="1"/>
  <c r="AM745" i="1"/>
  <c r="S746" i="1"/>
  <c r="U746" i="1"/>
  <c r="AM746" i="1" s="1"/>
  <c r="S747" i="1"/>
  <c r="U747" i="1"/>
  <c r="AM747" i="1" s="1"/>
  <c r="S748" i="1"/>
  <c r="U748" i="1"/>
  <c r="AM748" i="1" s="1"/>
  <c r="S749" i="1"/>
  <c r="U749" i="1"/>
  <c r="AM749" i="1" s="1"/>
  <c r="AV749" i="1" s="1"/>
  <c r="S750" i="1"/>
  <c r="U750" i="1"/>
  <c r="AM750" i="1" s="1"/>
  <c r="S751" i="1"/>
  <c r="U751" i="1"/>
  <c r="AM751" i="1" s="1"/>
  <c r="S752" i="1"/>
  <c r="U752" i="1"/>
  <c r="AM752" i="1" s="1"/>
  <c r="S753" i="1"/>
  <c r="U753" i="1"/>
  <c r="AM753" i="1" s="1"/>
  <c r="S754" i="1"/>
  <c r="U754" i="1"/>
  <c r="AM754" i="1" s="1"/>
  <c r="S755" i="1"/>
  <c r="U755" i="1"/>
  <c r="AM755" i="1"/>
  <c r="S756" i="1"/>
  <c r="U756" i="1"/>
  <c r="AM756" i="1" s="1"/>
  <c r="S757" i="1"/>
  <c r="U757" i="1"/>
  <c r="AM757" i="1" s="1"/>
  <c r="S758" i="1"/>
  <c r="U758" i="1"/>
  <c r="AM758" i="1" s="1"/>
  <c r="S759" i="1"/>
  <c r="U759" i="1"/>
  <c r="AM759" i="1"/>
  <c r="AU759" i="1" s="1"/>
  <c r="S760" i="1"/>
  <c r="U760" i="1"/>
  <c r="AM760" i="1" s="1"/>
  <c r="S761" i="1"/>
  <c r="U761" i="1"/>
  <c r="AM761" i="1" s="1"/>
  <c r="S762" i="1"/>
  <c r="U762" i="1"/>
  <c r="AM762" i="1" s="1"/>
  <c r="S763" i="1"/>
  <c r="U763" i="1"/>
  <c r="AM763" i="1" s="1"/>
  <c r="S764" i="1"/>
  <c r="U764" i="1"/>
  <c r="AM764" i="1"/>
  <c r="S765" i="1"/>
  <c r="U765" i="1"/>
  <c r="AM765" i="1" s="1"/>
  <c r="S766" i="1"/>
  <c r="U766" i="1"/>
  <c r="AM766" i="1" s="1"/>
  <c r="S767" i="1"/>
  <c r="U767" i="1"/>
  <c r="AM767" i="1" s="1"/>
  <c r="S768" i="1"/>
  <c r="U768" i="1"/>
  <c r="AM768" i="1" s="1"/>
  <c r="S769" i="1"/>
  <c r="U769" i="1"/>
  <c r="AM769" i="1"/>
  <c r="S770" i="1"/>
  <c r="U770" i="1"/>
  <c r="AM770" i="1"/>
  <c r="S771" i="1"/>
  <c r="U771" i="1"/>
  <c r="AM771" i="1" s="1"/>
  <c r="S772" i="1"/>
  <c r="U772" i="1"/>
  <c r="AM772" i="1" s="1"/>
  <c r="S773" i="1"/>
  <c r="U773" i="1"/>
  <c r="AM773" i="1" s="1"/>
  <c r="S774" i="1"/>
  <c r="U774" i="1"/>
  <c r="AM774" i="1"/>
  <c r="AV774" i="1"/>
  <c r="S775" i="1"/>
  <c r="U775" i="1"/>
  <c r="AM775" i="1"/>
  <c r="S776" i="1"/>
  <c r="U776" i="1"/>
  <c r="AM776" i="1" s="1"/>
  <c r="S777" i="1"/>
  <c r="U777" i="1"/>
  <c r="AM777" i="1" s="1"/>
  <c r="AU777" i="1"/>
  <c r="S778" i="1"/>
  <c r="U778" i="1"/>
  <c r="AM778" i="1" s="1"/>
  <c r="S779" i="1"/>
  <c r="U779" i="1"/>
  <c r="AM779" i="1"/>
  <c r="AV779" i="1"/>
  <c r="S780" i="1"/>
  <c r="U780" i="1"/>
  <c r="AM780" i="1"/>
  <c r="S781" i="1"/>
  <c r="U781" i="1"/>
  <c r="AM781" i="1" s="1"/>
  <c r="S782" i="1"/>
  <c r="U782" i="1"/>
  <c r="AM782" i="1" s="1"/>
  <c r="S783" i="1"/>
  <c r="U783" i="1"/>
  <c r="AM783" i="1" s="1"/>
  <c r="S784" i="1"/>
  <c r="U784" i="1"/>
  <c r="AM784" i="1" s="1"/>
  <c r="AV784" i="1" s="1"/>
  <c r="S785" i="1"/>
  <c r="U785" i="1"/>
  <c r="AM785" i="1" s="1"/>
  <c r="S786" i="1"/>
  <c r="U786" i="1"/>
  <c r="AM786" i="1" s="1"/>
  <c r="AU786" i="1"/>
  <c r="S787" i="1"/>
  <c r="U787" i="1"/>
  <c r="AM787" i="1" s="1"/>
  <c r="S788" i="1"/>
  <c r="U788" i="1"/>
  <c r="AM788" i="1" s="1"/>
  <c r="S789" i="1"/>
  <c r="U789" i="1"/>
  <c r="AM789" i="1"/>
  <c r="AV789" i="1" s="1"/>
  <c r="S790" i="1"/>
  <c r="U790" i="1"/>
  <c r="AM790" i="1" s="1"/>
  <c r="S791" i="1"/>
  <c r="U791" i="1"/>
  <c r="AM791" i="1" s="1"/>
  <c r="S792" i="1"/>
  <c r="U792" i="1"/>
  <c r="AM792" i="1" s="1"/>
  <c r="AU792" i="1"/>
  <c r="S793" i="1"/>
  <c r="U793" i="1"/>
  <c r="AM793" i="1" s="1"/>
  <c r="S794" i="1"/>
  <c r="U794" i="1"/>
  <c r="AM794" i="1"/>
  <c r="AV794" i="1" s="1"/>
  <c r="S795" i="1"/>
  <c r="U795" i="1"/>
  <c r="AM795" i="1"/>
  <c r="S796" i="1"/>
  <c r="U796" i="1"/>
  <c r="AM796" i="1" s="1"/>
  <c r="AU796" i="1"/>
  <c r="S797" i="1"/>
  <c r="U797" i="1"/>
  <c r="AM797" i="1" s="1"/>
  <c r="S798" i="1"/>
  <c r="U798" i="1"/>
  <c r="AM798" i="1" s="1"/>
  <c r="S799" i="1"/>
  <c r="U799" i="1"/>
  <c r="AM799" i="1"/>
  <c r="AV799" i="1"/>
  <c r="S800" i="1"/>
  <c r="U800" i="1"/>
  <c r="AM800" i="1"/>
  <c r="S801" i="1"/>
  <c r="U801" i="1"/>
  <c r="AM801" i="1" s="1"/>
  <c r="S802" i="1"/>
  <c r="U802" i="1"/>
  <c r="AM802" i="1" s="1"/>
  <c r="AU802" i="1"/>
  <c r="S803" i="1"/>
  <c r="U803" i="1"/>
  <c r="AM803" i="1" s="1"/>
  <c r="S804" i="1"/>
  <c r="U804" i="1"/>
  <c r="AM804" i="1" s="1"/>
  <c r="AV804" i="1" s="1"/>
  <c r="S805" i="1"/>
  <c r="U805" i="1"/>
  <c r="AM805" i="1" s="1"/>
  <c r="S806" i="1"/>
  <c r="U806" i="1"/>
  <c r="AM806" i="1" s="1"/>
  <c r="S807" i="1"/>
  <c r="U807" i="1"/>
  <c r="AM807" i="1" s="1"/>
  <c r="S808" i="1"/>
  <c r="U808" i="1"/>
  <c r="AM808" i="1" s="1"/>
  <c r="S809" i="1"/>
  <c r="U809" i="1"/>
  <c r="AM809" i="1" s="1"/>
  <c r="AV809" i="1"/>
  <c r="S810" i="1"/>
  <c r="U810" i="1"/>
  <c r="AM810" i="1"/>
  <c r="S811" i="1"/>
  <c r="U811" i="1"/>
  <c r="AM811" i="1" s="1"/>
  <c r="AU811" i="1"/>
  <c r="S812" i="1"/>
  <c r="U812" i="1"/>
  <c r="AM812" i="1" s="1"/>
  <c r="AU812" i="1"/>
  <c r="S813" i="1"/>
  <c r="U813" i="1"/>
  <c r="AM813" i="1" s="1"/>
  <c r="S814" i="1"/>
  <c r="U814" i="1"/>
  <c r="AM814" i="1" s="1"/>
  <c r="S815" i="1"/>
  <c r="U815" i="1"/>
  <c r="AM815" i="1"/>
  <c r="S816" i="1"/>
  <c r="U816" i="1"/>
  <c r="AM816" i="1" s="1"/>
  <c r="AU816" i="1"/>
  <c r="S817" i="1"/>
  <c r="U817" i="1"/>
  <c r="AM817" i="1" s="1"/>
  <c r="AU817" i="1"/>
  <c r="S818" i="1"/>
  <c r="U818" i="1"/>
  <c r="AM818" i="1" s="1"/>
  <c r="S819" i="1"/>
  <c r="U819" i="1"/>
  <c r="AM819" i="1" s="1"/>
  <c r="S820" i="1"/>
  <c r="U820" i="1"/>
  <c r="AM820" i="1" s="1"/>
  <c r="S821" i="1"/>
  <c r="U821" i="1"/>
  <c r="AM821" i="1" s="1"/>
  <c r="S822" i="1"/>
  <c r="U822" i="1"/>
  <c r="AM822" i="1" s="1"/>
  <c r="S823" i="1"/>
  <c r="U823" i="1"/>
  <c r="AM823" i="1" s="1"/>
  <c r="S824" i="1"/>
  <c r="U824" i="1"/>
  <c r="AM824" i="1"/>
  <c r="AV824" i="1" s="1"/>
  <c r="S825" i="1"/>
  <c r="U825" i="1"/>
  <c r="AM825" i="1" s="1"/>
  <c r="S826" i="1"/>
  <c r="U826" i="1"/>
  <c r="AM826" i="1" s="1"/>
  <c r="S827" i="1"/>
  <c r="U827" i="1"/>
  <c r="AM827" i="1" s="1"/>
  <c r="S828" i="1"/>
  <c r="U828" i="1"/>
  <c r="AM828" i="1" s="1"/>
  <c r="S829" i="1"/>
  <c r="U829" i="1"/>
  <c r="AM829" i="1"/>
  <c r="S830" i="1"/>
  <c r="U830" i="1"/>
  <c r="AM830" i="1"/>
  <c r="S831" i="1"/>
  <c r="U831" i="1"/>
  <c r="AM831" i="1" s="1"/>
  <c r="S832" i="1"/>
  <c r="U832" i="1"/>
  <c r="AM832" i="1" s="1"/>
  <c r="S833" i="1"/>
  <c r="U833" i="1"/>
  <c r="AM833" i="1" s="1"/>
  <c r="S834" i="1"/>
  <c r="U834" i="1"/>
  <c r="AM834" i="1"/>
  <c r="AV834" i="1"/>
  <c r="S835" i="1"/>
  <c r="U835" i="1"/>
  <c r="AM835" i="1"/>
  <c r="S836" i="1"/>
  <c r="U836" i="1"/>
  <c r="AM836" i="1" s="1"/>
  <c r="AU836" i="1"/>
  <c r="S837" i="1"/>
  <c r="U837" i="1"/>
  <c r="AM837" i="1" s="1"/>
  <c r="AU837" i="1"/>
  <c r="S838" i="1"/>
  <c r="U838" i="1"/>
  <c r="AM838" i="1" s="1"/>
  <c r="S839" i="1"/>
  <c r="U839" i="1"/>
  <c r="AM839" i="1"/>
  <c r="AV839" i="1" s="1"/>
  <c r="S840" i="1"/>
  <c r="U840" i="1"/>
  <c r="AM840" i="1"/>
  <c r="S841" i="1"/>
  <c r="U841" i="1"/>
  <c r="AM841" i="1" s="1"/>
  <c r="AU841" i="1"/>
  <c r="S842" i="1"/>
  <c r="U842" i="1"/>
  <c r="AM842" i="1" s="1"/>
  <c r="S843" i="1"/>
  <c r="U843" i="1"/>
  <c r="AM843" i="1" s="1"/>
  <c r="S844" i="1"/>
  <c r="U844" i="1"/>
  <c r="AM844" i="1"/>
  <c r="AV844" i="1"/>
  <c r="S845" i="1"/>
  <c r="U845" i="1"/>
  <c r="AM845" i="1"/>
  <c r="S846" i="1"/>
  <c r="U846" i="1"/>
  <c r="AM846" i="1" s="1"/>
  <c r="AU846" i="1"/>
  <c r="S847" i="1"/>
  <c r="U847" i="1"/>
  <c r="AM847" i="1" s="1"/>
  <c r="S848" i="1"/>
  <c r="U848" i="1"/>
  <c r="AM848" i="1" s="1"/>
  <c r="S849" i="1"/>
  <c r="U849" i="1"/>
  <c r="AM849" i="1"/>
  <c r="AV849" i="1"/>
  <c r="S850" i="1"/>
  <c r="U850" i="1"/>
  <c r="AM850" i="1" s="1"/>
  <c r="S851" i="1"/>
  <c r="U851" i="1"/>
  <c r="AM851" i="1" s="1"/>
  <c r="AU851" i="1"/>
  <c r="S852" i="1"/>
  <c r="U852" i="1"/>
  <c r="AM852" i="1" s="1"/>
  <c r="AU852" i="1"/>
  <c r="S853" i="1"/>
  <c r="U853" i="1"/>
  <c r="AM853" i="1" s="1"/>
  <c r="S854" i="1"/>
  <c r="U854" i="1"/>
  <c r="AM854" i="1" s="1"/>
  <c r="AV854" i="1" s="1"/>
  <c r="S855" i="1"/>
  <c r="U855" i="1"/>
  <c r="AM855" i="1"/>
  <c r="S856" i="1"/>
  <c r="U856" i="1"/>
  <c r="AM856" i="1" s="1"/>
  <c r="S857" i="1"/>
  <c r="U857" i="1"/>
  <c r="AM857" i="1" s="1"/>
  <c r="S858" i="1"/>
  <c r="U858" i="1"/>
  <c r="AM858" i="1" s="1"/>
  <c r="S859" i="1"/>
  <c r="U859" i="1"/>
  <c r="AM859" i="1" s="1"/>
  <c r="S860" i="1"/>
  <c r="U860" i="1"/>
  <c r="AM860" i="1" s="1"/>
  <c r="S861" i="1"/>
  <c r="U861" i="1"/>
  <c r="AM861" i="1" s="1"/>
  <c r="AU861" i="1"/>
  <c r="S862" i="1"/>
  <c r="U862" i="1"/>
  <c r="AM862" i="1" s="1"/>
  <c r="AU862" i="1"/>
  <c r="S863" i="1"/>
  <c r="U863" i="1"/>
  <c r="AM863" i="1" s="1"/>
  <c r="S864" i="1"/>
  <c r="U864" i="1"/>
  <c r="AM864" i="1"/>
  <c r="S865" i="1"/>
  <c r="U865" i="1"/>
  <c r="AM865" i="1" s="1"/>
  <c r="S866" i="1"/>
  <c r="U866" i="1"/>
  <c r="AM866" i="1" s="1"/>
  <c r="AV866" i="1" s="1"/>
  <c r="S867" i="1"/>
  <c r="U867" i="1"/>
  <c r="AM867" i="1" s="1"/>
  <c r="AU867" i="1"/>
  <c r="S868" i="1"/>
  <c r="U868" i="1"/>
  <c r="AM868" i="1" s="1"/>
  <c r="S869" i="1"/>
  <c r="U869" i="1"/>
  <c r="AM869" i="1"/>
  <c r="S870" i="1"/>
  <c r="U870" i="1"/>
  <c r="AM870" i="1"/>
  <c r="S871" i="1"/>
  <c r="U871" i="1"/>
  <c r="AM871" i="1" s="1"/>
  <c r="AU871" i="1"/>
  <c r="S872" i="1"/>
  <c r="U872" i="1"/>
  <c r="AM872" i="1" s="1"/>
  <c r="S873" i="1"/>
  <c r="U873" i="1"/>
  <c r="AM873" i="1" s="1"/>
  <c r="S874" i="1"/>
  <c r="U874" i="1"/>
  <c r="AM874" i="1"/>
  <c r="AV874" i="1"/>
  <c r="S875" i="1"/>
  <c r="U875" i="1"/>
  <c r="AM875" i="1"/>
  <c r="S876" i="1"/>
  <c r="U876" i="1"/>
  <c r="AM876" i="1" s="1"/>
  <c r="AU675" i="1" l="1"/>
  <c r="AV675" i="1"/>
  <c r="AW171" i="1"/>
  <c r="AU295" i="1"/>
  <c r="AU685" i="1"/>
  <c r="AV685" i="1"/>
  <c r="AU690" i="1"/>
  <c r="AV690" i="1"/>
  <c r="AU695" i="1"/>
  <c r="AV695" i="1"/>
  <c r="AU411" i="1"/>
  <c r="AU700" i="1"/>
  <c r="AV700" i="1"/>
  <c r="AU680" i="1"/>
  <c r="AV680" i="1"/>
  <c r="AV730" i="1"/>
  <c r="AU705" i="1"/>
  <c r="AV705" i="1"/>
  <c r="AW310" i="1"/>
  <c r="AU310" i="1"/>
  <c r="AU660" i="1"/>
  <c r="AV660" i="1"/>
  <c r="AW320" i="1"/>
  <c r="AU320" i="1"/>
  <c r="AU715" i="1"/>
  <c r="AV715" i="1"/>
  <c r="AU710" i="1"/>
  <c r="AV710" i="1"/>
  <c r="AU665" i="1"/>
  <c r="AV665" i="1"/>
  <c r="AU315" i="1"/>
  <c r="AV814" i="1"/>
  <c r="AU670" i="1"/>
  <c r="AV670" i="1"/>
  <c r="AU446" i="1"/>
  <c r="AW378" i="1"/>
  <c r="AV372" i="1"/>
  <c r="AV441" i="1"/>
  <c r="AV360" i="1"/>
  <c r="AU213" i="1"/>
  <c r="AW697" i="1"/>
  <c r="AW692" i="1"/>
  <c r="AU682" i="1"/>
  <c r="AU677" i="1"/>
  <c r="AU672" i="1"/>
  <c r="AU667" i="1"/>
  <c r="AU662" i="1"/>
  <c r="AU657" i="1"/>
  <c r="AU646" i="1"/>
  <c r="AU594" i="1"/>
  <c r="AV575" i="1"/>
  <c r="AV452" i="1"/>
  <c r="AW428" i="1"/>
  <c r="AV353" i="1"/>
  <c r="AU311" i="1"/>
  <c r="AV117" i="1"/>
  <c r="AV819" i="1"/>
  <c r="AU639" i="1"/>
  <c r="AW457" i="1"/>
  <c r="AW383" i="1"/>
  <c r="AU371" i="1"/>
  <c r="AU300" i="1"/>
  <c r="AW266" i="1"/>
  <c r="AV212" i="1"/>
  <c r="AW157" i="1"/>
  <c r="AV517" i="1"/>
  <c r="AV10" i="1"/>
  <c r="AV417" i="1"/>
  <c r="AV169" i="1"/>
  <c r="AV116" i="1"/>
  <c r="AV22" i="1"/>
  <c r="AV124" i="1"/>
  <c r="AU696" i="1"/>
  <c r="AV539" i="1"/>
  <c r="AW433" i="1"/>
  <c r="AW564" i="1"/>
  <c r="AU188" i="1"/>
  <c r="AV829" i="1"/>
  <c r="AU762" i="1"/>
  <c r="AU382" i="1"/>
  <c r="AU376" i="1"/>
  <c r="AU198" i="1"/>
  <c r="AV138" i="1"/>
  <c r="AV104" i="1"/>
  <c r="AV27" i="1"/>
  <c r="AV141" i="1"/>
  <c r="AU756" i="1"/>
  <c r="AW722" i="1"/>
  <c r="AU644" i="1"/>
  <c r="AU618" i="1"/>
  <c r="AU561" i="1"/>
  <c r="AU426" i="1"/>
  <c r="AU388" i="1"/>
  <c r="AU339" i="1"/>
  <c r="AV333" i="1"/>
  <c r="AW222" i="1"/>
  <c r="AV168" i="1"/>
  <c r="AU127" i="1"/>
  <c r="AU158" i="1"/>
  <c r="AU270" i="1"/>
  <c r="AV558" i="1"/>
  <c r="AV806" i="1"/>
  <c r="AU821" i="1"/>
  <c r="AU767" i="1"/>
  <c r="AW727" i="1"/>
  <c r="AV611" i="1"/>
  <c r="AU543" i="1"/>
  <c r="AV137" i="1"/>
  <c r="AU132" i="1"/>
  <c r="AV801" i="1"/>
  <c r="AU643" i="1"/>
  <c r="AV591" i="1"/>
  <c r="AW537" i="1"/>
  <c r="AV455" i="1"/>
  <c r="AU449" i="1"/>
  <c r="AU381" i="1"/>
  <c r="AV375" i="1"/>
  <c r="AU137" i="1"/>
  <c r="AU62" i="1"/>
  <c r="AU32" i="1"/>
  <c r="AU491" i="1"/>
  <c r="AU832" i="1"/>
  <c r="AU826" i="1"/>
  <c r="AU548" i="1"/>
  <c r="AV542" i="1"/>
  <c r="AV531" i="1"/>
  <c r="AU481" i="1"/>
  <c r="AV442" i="1"/>
  <c r="AU431" i="1"/>
  <c r="AU410" i="1"/>
  <c r="AV325" i="1"/>
  <c r="AW102" i="1"/>
  <c r="AV79" i="1"/>
  <c r="AV348" i="1"/>
  <c r="AW730" i="1"/>
  <c r="AU642" i="1"/>
  <c r="AU256" i="1"/>
  <c r="AU131" i="1"/>
  <c r="AV194" i="1"/>
  <c r="AV796" i="1"/>
  <c r="AU525" i="1"/>
  <c r="AW166" i="1"/>
  <c r="AU90" i="1"/>
  <c r="AU876" i="1"/>
  <c r="AU842" i="1"/>
  <c r="AU831" i="1"/>
  <c r="AU776" i="1"/>
  <c r="AU609" i="1"/>
  <c r="AU577" i="1"/>
  <c r="AW525" i="1"/>
  <c r="AU508" i="1"/>
  <c r="AU486" i="1"/>
  <c r="AV470" i="1"/>
  <c r="AV343" i="1"/>
  <c r="AU280" i="1"/>
  <c r="AU142" i="1"/>
  <c r="AV18" i="1"/>
  <c r="AV864" i="1"/>
  <c r="AV764" i="1"/>
  <c r="AV390" i="1"/>
  <c r="AU390" i="1"/>
  <c r="AW390" i="1"/>
  <c r="AV377" i="1"/>
  <c r="AW377" i="1"/>
  <c r="AU365" i="1"/>
  <c r="AV365" i="1"/>
  <c r="AU42" i="1"/>
  <c r="AW42" i="1"/>
  <c r="AV826" i="1"/>
  <c r="AW340" i="1"/>
  <c r="AU340" i="1"/>
  <c r="AV340" i="1"/>
  <c r="AV260" i="1"/>
  <c r="AU260" i="1"/>
  <c r="AV99" i="1"/>
  <c r="AU47" i="1"/>
  <c r="AU754" i="1"/>
  <c r="AW759" i="1"/>
  <c r="AV290" i="1"/>
  <c r="AU290" i="1"/>
  <c r="AV842" i="1"/>
  <c r="AV462" i="1"/>
  <c r="AW462" i="1"/>
  <c r="AU874" i="1"/>
  <c r="AU774" i="1"/>
  <c r="AV661" i="1"/>
  <c r="AU779" i="1"/>
  <c r="AU427" i="1"/>
  <c r="AV427" i="1"/>
  <c r="AW427" i="1"/>
  <c r="AU422" i="1"/>
  <c r="AV522" i="1"/>
  <c r="AV265" i="1"/>
  <c r="AU265" i="1"/>
  <c r="AU859" i="1"/>
  <c r="AU72" i="1"/>
  <c r="AV72" i="1"/>
  <c r="AW72" i="1"/>
  <c r="AV181" i="1"/>
  <c r="AV709" i="1"/>
  <c r="AV655" i="1"/>
  <c r="AU567" i="1"/>
  <c r="AW567" i="1"/>
  <c r="AV527" i="1"/>
  <c r="AW527" i="1"/>
  <c r="AV467" i="1"/>
  <c r="AU370" i="1"/>
  <c r="AV370" i="1"/>
  <c r="AV223" i="1"/>
  <c r="AU223" i="1"/>
  <c r="AU87" i="1"/>
  <c r="AV87" i="1"/>
  <c r="AW87" i="1"/>
  <c r="AV827" i="1"/>
  <c r="AV742" i="1"/>
  <c r="AV831" i="1"/>
  <c r="AU789" i="1"/>
  <c r="AV857" i="1"/>
  <c r="AU794" i="1"/>
  <c r="AV714" i="1"/>
  <c r="AU598" i="1"/>
  <c r="AV477" i="1"/>
  <c r="AW345" i="1"/>
  <c r="AU345" i="1"/>
  <c r="AV345" i="1"/>
  <c r="AV52" i="1"/>
  <c r="AW52" i="1"/>
  <c r="AV832" i="1"/>
  <c r="AV666" i="1"/>
  <c r="AU840" i="1"/>
  <c r="AV719" i="1"/>
  <c r="AV704" i="1"/>
  <c r="AV482" i="1"/>
  <c r="AV437" i="1"/>
  <c r="AW437" i="1"/>
  <c r="AU400" i="1"/>
  <c r="AW400" i="1"/>
  <c r="AV811" i="1"/>
  <c r="AU24" i="1"/>
  <c r="AV816" i="1"/>
  <c r="AU809" i="1"/>
  <c r="AU866" i="1"/>
  <c r="AV861" i="1"/>
  <c r="AU814" i="1"/>
  <c r="AU782" i="1"/>
  <c r="AU766" i="1"/>
  <c r="AV728" i="1"/>
  <c r="AU591" i="1"/>
  <c r="AU432" i="1"/>
  <c r="AW432" i="1"/>
  <c r="AU415" i="1"/>
  <c r="AW415" i="1"/>
  <c r="AU405" i="1"/>
  <c r="AU222" i="1"/>
  <c r="AV222" i="1"/>
  <c r="AU92" i="1"/>
  <c r="AU869" i="1"/>
  <c r="AU769" i="1"/>
  <c r="AV837" i="1"/>
  <c r="AU784" i="1"/>
  <c r="AV867" i="1"/>
  <c r="AU819" i="1"/>
  <c r="AU771" i="1"/>
  <c r="AV713" i="1"/>
  <c r="AW703" i="1"/>
  <c r="AU498" i="1"/>
  <c r="AV498" i="1"/>
  <c r="AW498" i="1"/>
  <c r="AU493" i="1"/>
  <c r="AV493" i="1"/>
  <c r="AV487" i="1"/>
  <c r="AW487" i="1"/>
  <c r="AU97" i="1"/>
  <c r="AV97" i="1"/>
  <c r="AU790" i="1"/>
  <c r="AU408" i="1"/>
  <c r="AW408" i="1"/>
  <c r="AU795" i="1"/>
  <c r="AV129" i="1"/>
  <c r="AV852" i="1"/>
  <c r="AV862" i="1"/>
  <c r="AV851" i="1"/>
  <c r="AV616" i="1"/>
  <c r="AV572" i="1"/>
  <c r="AW572" i="1"/>
  <c r="AW548" i="1"/>
  <c r="AU542" i="1"/>
  <c r="AU520" i="1"/>
  <c r="AW167" i="1"/>
  <c r="AV20" i="1"/>
  <c r="AW335" i="1"/>
  <c r="AU335" i="1"/>
  <c r="AV335" i="1"/>
  <c r="AV676" i="1"/>
  <c r="AV836" i="1"/>
  <c r="AV856" i="1"/>
  <c r="AU703" i="1"/>
  <c r="AV275" i="1"/>
  <c r="AU275" i="1"/>
  <c r="AU102" i="1"/>
  <c r="AV841" i="1"/>
  <c r="AV846" i="1"/>
  <c r="AV872" i="1"/>
  <c r="AU824" i="1"/>
  <c r="AW728" i="1"/>
  <c r="AW325" i="1"/>
  <c r="AU325" i="1"/>
  <c r="AU799" i="1"/>
  <c r="AV732" i="1"/>
  <c r="AU641" i="1"/>
  <c r="AV577" i="1"/>
  <c r="AW577" i="1"/>
  <c r="AV497" i="1"/>
  <c r="AW497" i="1"/>
  <c r="AV183" i="1"/>
  <c r="AW183" i="1"/>
  <c r="AV154" i="1"/>
  <c r="AV821" i="1"/>
  <c r="AV726" i="1"/>
  <c r="AV656" i="1"/>
  <c r="AU804" i="1"/>
  <c r="AU829" i="1"/>
  <c r="AU875" i="1"/>
  <c r="AV859" i="1"/>
  <c r="AU844" i="1"/>
  <c r="AV791" i="1"/>
  <c r="AV754" i="1"/>
  <c r="AU749" i="1"/>
  <c r="AW717" i="1"/>
  <c r="AW558" i="1"/>
  <c r="AV502" i="1"/>
  <c r="AW502" i="1"/>
  <c r="AU492" i="1"/>
  <c r="AV492" i="1"/>
  <c r="AW492" i="1"/>
  <c r="AW355" i="1"/>
  <c r="AU355" i="1"/>
  <c r="AV355" i="1"/>
  <c r="AW330" i="1"/>
  <c r="AV330" i="1"/>
  <c r="AV96" i="1"/>
  <c r="AU181" i="1"/>
  <c r="AW181" i="1"/>
  <c r="AV193" i="1"/>
  <c r="AW193" i="1"/>
  <c r="AV847" i="1"/>
  <c r="AU556" i="1"/>
  <c r="AU82" i="1"/>
  <c r="AV82" i="1"/>
  <c r="AW82" i="1"/>
  <c r="AV871" i="1"/>
  <c r="AV876" i="1"/>
  <c r="AU849" i="1"/>
  <c r="AU801" i="1"/>
  <c r="AV759" i="1"/>
  <c r="AW702" i="1"/>
  <c r="AU621" i="1"/>
  <c r="AU558" i="1"/>
  <c r="AU547" i="1"/>
  <c r="AU447" i="1"/>
  <c r="AV447" i="1"/>
  <c r="AW447" i="1"/>
  <c r="AU330" i="1"/>
  <c r="AU864" i="1"/>
  <c r="AU764" i="1"/>
  <c r="AU575" i="1"/>
  <c r="AU285" i="1"/>
  <c r="AV671" i="1"/>
  <c r="AU94" i="1"/>
  <c r="AV94" i="1"/>
  <c r="AU834" i="1"/>
  <c r="AU839" i="1"/>
  <c r="AV869" i="1"/>
  <c r="AU854" i="1"/>
  <c r="AV769" i="1"/>
  <c r="AV737" i="1"/>
  <c r="AU727" i="1"/>
  <c r="AW687" i="1"/>
  <c r="AW682" i="1"/>
  <c r="AW677" i="1"/>
  <c r="AW672" i="1"/>
  <c r="AW667" i="1"/>
  <c r="AV646" i="1"/>
  <c r="AV485" i="1"/>
  <c r="AV408" i="1"/>
  <c r="AW385" i="1"/>
  <c r="AU385" i="1"/>
  <c r="AV280" i="1"/>
  <c r="AU67" i="1"/>
  <c r="AV67" i="1"/>
  <c r="AW67" i="1"/>
  <c r="AU37" i="1"/>
  <c r="AV37" i="1"/>
  <c r="AW37" i="1"/>
  <c r="AV480" i="1"/>
  <c r="AW476" i="1"/>
  <c r="AU472" i="1"/>
  <c r="AW467" i="1"/>
  <c r="AV405" i="1"/>
  <c r="AW256" i="1"/>
  <c r="AW203" i="1"/>
  <c r="AU193" i="1"/>
  <c r="AU183" i="1"/>
  <c r="AW158" i="1"/>
  <c r="AV119" i="1"/>
  <c r="AV84" i="1"/>
  <c r="AW57" i="1"/>
  <c r="AU45" i="1"/>
  <c r="AU512" i="1"/>
  <c r="AU328" i="1"/>
  <c r="AV323" i="1"/>
  <c r="AV318" i="1"/>
  <c r="AU266" i="1"/>
  <c r="AW261" i="1"/>
  <c r="AV219" i="1"/>
  <c r="AV187" i="1"/>
  <c r="AW178" i="1"/>
  <c r="AV57" i="1"/>
  <c r="AV26" i="1"/>
  <c r="AU507" i="1"/>
  <c r="AU430" i="1"/>
  <c r="AU386" i="1"/>
  <c r="AU271" i="1"/>
  <c r="AU255" i="1"/>
  <c r="AV139" i="1"/>
  <c r="AU79" i="1"/>
  <c r="AU75" i="1"/>
  <c r="AV425" i="1"/>
  <c r="AU421" i="1"/>
  <c r="AU417" i="1"/>
  <c r="AV381" i="1"/>
  <c r="AU40" i="1"/>
  <c r="AU467" i="1"/>
  <c r="AU244" i="1"/>
  <c r="AU192" i="1"/>
  <c r="AU178" i="1"/>
  <c r="AU129" i="1"/>
  <c r="AU99" i="1"/>
  <c r="AU95" i="1"/>
  <c r="AV31" i="1"/>
  <c r="AV651" i="1"/>
  <c r="AU633" i="1"/>
  <c r="AU608" i="1"/>
  <c r="AV596" i="1"/>
  <c r="AV528" i="1"/>
  <c r="AV524" i="1"/>
  <c r="AV511" i="1"/>
  <c r="AU502" i="1"/>
  <c r="AU487" i="1"/>
  <c r="AU412" i="1"/>
  <c r="AU377" i="1"/>
  <c r="AV368" i="1"/>
  <c r="AU173" i="1"/>
  <c r="AU163" i="1"/>
  <c r="AV102" i="1"/>
  <c r="AU74" i="1"/>
  <c r="AU70" i="1"/>
  <c r="AU25" i="1"/>
  <c r="AW20" i="1"/>
  <c r="AV7" i="1"/>
  <c r="AV579" i="1"/>
  <c r="AU347" i="1"/>
  <c r="AU342" i="1"/>
  <c r="AU337" i="1"/>
  <c r="AU321" i="1"/>
  <c r="AU316" i="1"/>
  <c r="AU249" i="1"/>
  <c r="AU157" i="1"/>
  <c r="AW47" i="1"/>
  <c r="AU35" i="1"/>
  <c r="AW482" i="1"/>
  <c r="AU462" i="1"/>
  <c r="AW442" i="1"/>
  <c r="AU362" i="1"/>
  <c r="AU357" i="1"/>
  <c r="AV202" i="1"/>
  <c r="AU168" i="1"/>
  <c r="AV47" i="1"/>
  <c r="AU30" i="1"/>
  <c r="AU632" i="1"/>
  <c r="AU626" i="1"/>
  <c r="AU601" i="1"/>
  <c r="AU584" i="1"/>
  <c r="AV574" i="1"/>
  <c r="AW559" i="1"/>
  <c r="AV537" i="1"/>
  <c r="AV519" i="1"/>
  <c r="AU515" i="1"/>
  <c r="AU474" i="1"/>
  <c r="AU457" i="1"/>
  <c r="AU428" i="1"/>
  <c r="AW411" i="1"/>
  <c r="AU367" i="1"/>
  <c r="AU147" i="1"/>
  <c r="AV142" i="1"/>
  <c r="AU122" i="1"/>
  <c r="AW77" i="1"/>
  <c r="AU69" i="1"/>
  <c r="AU65" i="1"/>
  <c r="AV24" i="1"/>
  <c r="AU569" i="1"/>
  <c r="AU554" i="1"/>
  <c r="AU452" i="1"/>
  <c r="AW376" i="1"/>
  <c r="AU372" i="1"/>
  <c r="AV320" i="1"/>
  <c r="AV315" i="1"/>
  <c r="AV310" i="1"/>
  <c r="AV305" i="1"/>
  <c r="AV300" i="1"/>
  <c r="AV295" i="1"/>
  <c r="AU152" i="1"/>
  <c r="AU482" i="1"/>
  <c r="AW461" i="1"/>
  <c r="AU442" i="1"/>
  <c r="AV211" i="1"/>
  <c r="AV201" i="1"/>
  <c r="AU156" i="1"/>
  <c r="AU60" i="1"/>
  <c r="AU631" i="1"/>
  <c r="AU606" i="1"/>
  <c r="AU527" i="1"/>
  <c r="AV514" i="1"/>
  <c r="AU497" i="1"/>
  <c r="AW493" i="1"/>
  <c r="AW456" i="1"/>
  <c r="AU437" i="1"/>
  <c r="AU423" i="1"/>
  <c r="AU121" i="1"/>
  <c r="AU708" i="1"/>
  <c r="AV699" i="1"/>
  <c r="AW517" i="1"/>
  <c r="AW451" i="1"/>
  <c r="AV419" i="1"/>
  <c r="AV403" i="1"/>
  <c r="AU398" i="1"/>
  <c r="AU393" i="1"/>
  <c r="AV350" i="1"/>
  <c r="AV146" i="1"/>
  <c r="AV131" i="1"/>
  <c r="AV694" i="1"/>
  <c r="AU624" i="1"/>
  <c r="AU536" i="1"/>
  <c r="AV460" i="1"/>
  <c r="AU441" i="1"/>
  <c r="AV388" i="1"/>
  <c r="AU350" i="1"/>
  <c r="AU221" i="1"/>
  <c r="AU215" i="1"/>
  <c r="AU194" i="1"/>
  <c r="AV151" i="1"/>
  <c r="AV126" i="1"/>
  <c r="AU59" i="1"/>
  <c r="AU55" i="1"/>
  <c r="AV28" i="1"/>
  <c r="AW19" i="1"/>
  <c r="AU588" i="1"/>
  <c r="AW422" i="1"/>
  <c r="AW32" i="1"/>
  <c r="AU636" i="1"/>
  <c r="AU611" i="1"/>
  <c r="AU522" i="1"/>
  <c r="AU477" i="1"/>
  <c r="AW472" i="1"/>
  <c r="AV422" i="1"/>
  <c r="AV378" i="1"/>
  <c r="AU289" i="1"/>
  <c r="AU224" i="1"/>
  <c r="AU109" i="1"/>
  <c r="AW92" i="1"/>
  <c r="AU89" i="1"/>
  <c r="AU85" i="1"/>
  <c r="AV32" i="1"/>
  <c r="AW707" i="1"/>
  <c r="AU593" i="1"/>
  <c r="AV562" i="1"/>
  <c r="AU517" i="1"/>
  <c r="AW512" i="1"/>
  <c r="AV472" i="1"/>
  <c r="AU450" i="1"/>
  <c r="AU418" i="1"/>
  <c r="AV383" i="1"/>
  <c r="AV92" i="1"/>
  <c r="AW62" i="1"/>
  <c r="AU50" i="1"/>
  <c r="AV9" i="1"/>
  <c r="AU572" i="1"/>
  <c r="AW547" i="1"/>
  <c r="AV543" i="1"/>
  <c r="AV512" i="1"/>
  <c r="AW507" i="1"/>
  <c r="AU503" i="1"/>
  <c r="AU459" i="1"/>
  <c r="AU229" i="1"/>
  <c r="AU209" i="1"/>
  <c r="AW199" i="1"/>
  <c r="AV179" i="1"/>
  <c r="AU104" i="1"/>
  <c r="AV41" i="1"/>
  <c r="AU838" i="1"/>
  <c r="AV838" i="1"/>
  <c r="AW838" i="1"/>
  <c r="AU827" i="1"/>
  <c r="AV822" i="1"/>
  <c r="AW822" i="1"/>
  <c r="AU748" i="1"/>
  <c r="AU843" i="1"/>
  <c r="AV843" i="1"/>
  <c r="AW843" i="1"/>
  <c r="AV748" i="1"/>
  <c r="AW748" i="1"/>
  <c r="AU706" i="1"/>
  <c r="AU848" i="1"/>
  <c r="AV848" i="1"/>
  <c r="AW848" i="1"/>
  <c r="AU800" i="1"/>
  <c r="AU736" i="1"/>
  <c r="AV736" i="1"/>
  <c r="AW736" i="1"/>
  <c r="AU726" i="1"/>
  <c r="AU853" i="1"/>
  <c r="AV853" i="1"/>
  <c r="AW853" i="1"/>
  <c r="AU805" i="1"/>
  <c r="AU858" i="1"/>
  <c r="AV858" i="1"/>
  <c r="AW858" i="1"/>
  <c r="AU847" i="1"/>
  <c r="AU810" i="1"/>
  <c r="AU753" i="1"/>
  <c r="AV753" i="1"/>
  <c r="AW753" i="1"/>
  <c r="AU741" i="1"/>
  <c r="AU735" i="1"/>
  <c r="AV735" i="1"/>
  <c r="AW735" i="1"/>
  <c r="AU863" i="1"/>
  <c r="AV863" i="1"/>
  <c r="AW863" i="1"/>
  <c r="AU815" i="1"/>
  <c r="AU763" i="1"/>
  <c r="AV763" i="1"/>
  <c r="AW763" i="1"/>
  <c r="AU758" i="1"/>
  <c r="AV758" i="1"/>
  <c r="AW758" i="1"/>
  <c r="AU868" i="1"/>
  <c r="AV868" i="1"/>
  <c r="AW868" i="1"/>
  <c r="AU857" i="1"/>
  <c r="AU820" i="1"/>
  <c r="AU768" i="1"/>
  <c r="AV768" i="1"/>
  <c r="AW768" i="1"/>
  <c r="AU746" i="1"/>
  <c r="AU873" i="1"/>
  <c r="AV873" i="1"/>
  <c r="AW873" i="1"/>
  <c r="AU825" i="1"/>
  <c r="AU773" i="1"/>
  <c r="AV773" i="1"/>
  <c r="AW773" i="1"/>
  <c r="AU757" i="1"/>
  <c r="AV752" i="1"/>
  <c r="AW752" i="1"/>
  <c r="AV746" i="1"/>
  <c r="AW746" i="1"/>
  <c r="AU740" i="1"/>
  <c r="AW740" i="1"/>
  <c r="AU830" i="1"/>
  <c r="AU778" i="1"/>
  <c r="AV778" i="1"/>
  <c r="AW778" i="1"/>
  <c r="AV762" i="1"/>
  <c r="AW762" i="1"/>
  <c r="AV757" i="1"/>
  <c r="AW757" i="1"/>
  <c r="AV740" i="1"/>
  <c r="AU872" i="1"/>
  <c r="AU856" i="1"/>
  <c r="AU835" i="1"/>
  <c r="AU783" i="1"/>
  <c r="AV783" i="1"/>
  <c r="AW783" i="1"/>
  <c r="AU772" i="1"/>
  <c r="AV767" i="1"/>
  <c r="AW767" i="1"/>
  <c r="AU788" i="1"/>
  <c r="AV788" i="1"/>
  <c r="AW788" i="1"/>
  <c r="AV772" i="1"/>
  <c r="AW772" i="1"/>
  <c r="AV761" i="1"/>
  <c r="AW761" i="1"/>
  <c r="AU751" i="1"/>
  <c r="AV751" i="1"/>
  <c r="AW751" i="1"/>
  <c r="AU745" i="1"/>
  <c r="AU845" i="1"/>
  <c r="AU793" i="1"/>
  <c r="AV793" i="1"/>
  <c r="AW793" i="1"/>
  <c r="AV777" i="1"/>
  <c r="AW777" i="1"/>
  <c r="AU761" i="1"/>
  <c r="AV756" i="1"/>
  <c r="AW756" i="1"/>
  <c r="AU850" i="1"/>
  <c r="AU798" i="1"/>
  <c r="AV798" i="1"/>
  <c r="AW798" i="1"/>
  <c r="AU787" i="1"/>
  <c r="AV782" i="1"/>
  <c r="AW782" i="1"/>
  <c r="AV766" i="1"/>
  <c r="AW766" i="1"/>
  <c r="AU733" i="1"/>
  <c r="AV733" i="1"/>
  <c r="AW733" i="1"/>
  <c r="AU855" i="1"/>
  <c r="AU803" i="1"/>
  <c r="AV803" i="1"/>
  <c r="AW803" i="1"/>
  <c r="AV787" i="1"/>
  <c r="AW787" i="1"/>
  <c r="AV771" i="1"/>
  <c r="AW771" i="1"/>
  <c r="AU750" i="1"/>
  <c r="AU860" i="1"/>
  <c r="AU808" i="1"/>
  <c r="AV808" i="1"/>
  <c r="AW808" i="1"/>
  <c r="AU797" i="1"/>
  <c r="AV792" i="1"/>
  <c r="AW792" i="1"/>
  <c r="AU781" i="1"/>
  <c r="AV776" i="1"/>
  <c r="AW776" i="1"/>
  <c r="AU755" i="1"/>
  <c r="AU865" i="1"/>
  <c r="AU813" i="1"/>
  <c r="AV813" i="1"/>
  <c r="AW813" i="1"/>
  <c r="AV797" i="1"/>
  <c r="AW797" i="1"/>
  <c r="AV781" i="1"/>
  <c r="AW781" i="1"/>
  <c r="AU765" i="1"/>
  <c r="AU760" i="1"/>
  <c r="AU738" i="1"/>
  <c r="AU870" i="1"/>
  <c r="AU818" i="1"/>
  <c r="AV818" i="1"/>
  <c r="AW818" i="1"/>
  <c r="AU807" i="1"/>
  <c r="AV802" i="1"/>
  <c r="AW802" i="1"/>
  <c r="AU791" i="1"/>
  <c r="AV786" i="1"/>
  <c r="AW786" i="1"/>
  <c r="AU770" i="1"/>
  <c r="AU743" i="1"/>
  <c r="AU823" i="1"/>
  <c r="AV823" i="1"/>
  <c r="AW823" i="1"/>
  <c r="AV807" i="1"/>
  <c r="AW807" i="1"/>
  <c r="AU775" i="1"/>
  <c r="AV743" i="1"/>
  <c r="AW743" i="1"/>
  <c r="AU828" i="1"/>
  <c r="AV828" i="1"/>
  <c r="AW828" i="1"/>
  <c r="AV812" i="1"/>
  <c r="AW812" i="1"/>
  <c r="AU780" i="1"/>
  <c r="AU833" i="1"/>
  <c r="AV833" i="1"/>
  <c r="AW833" i="1"/>
  <c r="AU822" i="1"/>
  <c r="AV817" i="1"/>
  <c r="AW817" i="1"/>
  <c r="AU806" i="1"/>
  <c r="AU785" i="1"/>
  <c r="AU731" i="1"/>
  <c r="AV731" i="1"/>
  <c r="AW731" i="1"/>
  <c r="AU716" i="1"/>
  <c r="AU711" i="1"/>
  <c r="AU747" i="1"/>
  <c r="AU744" i="1"/>
  <c r="AV744" i="1"/>
  <c r="AW744" i="1"/>
  <c r="AU717" i="1"/>
  <c r="AU713" i="1"/>
  <c r="AU709" i="1"/>
  <c r="AU687" i="1"/>
  <c r="AV647" i="1"/>
  <c r="AW647" i="1"/>
  <c r="AV641" i="1"/>
  <c r="AU587" i="1"/>
  <c r="AV587" i="1"/>
  <c r="AW587" i="1"/>
  <c r="AU521" i="1"/>
  <c r="AW872" i="1"/>
  <c r="AW867" i="1"/>
  <c r="AW862" i="1"/>
  <c r="AW857" i="1"/>
  <c r="AW852" i="1"/>
  <c r="AW847" i="1"/>
  <c r="AW842" i="1"/>
  <c r="AW837" i="1"/>
  <c r="AW832" i="1"/>
  <c r="AW827" i="1"/>
  <c r="AV721" i="1"/>
  <c r="AW721" i="1"/>
  <c r="AV701" i="1"/>
  <c r="AW701" i="1"/>
  <c r="AU551" i="1"/>
  <c r="AV551" i="1"/>
  <c r="AV662" i="1"/>
  <c r="AW662" i="1"/>
  <c r="AV657" i="1"/>
  <c r="AW657" i="1"/>
  <c r="AV652" i="1"/>
  <c r="AW652" i="1"/>
  <c r="AU628" i="1"/>
  <c r="AU622" i="1"/>
  <c r="AV622" i="1"/>
  <c r="AW622" i="1"/>
  <c r="AU603" i="1"/>
  <c r="AU592" i="1"/>
  <c r="AV592" i="1"/>
  <c r="AW592" i="1"/>
  <c r="AV586" i="1"/>
  <c r="AU571" i="1"/>
  <c r="AU566" i="1"/>
  <c r="AV566" i="1"/>
  <c r="AV561" i="1"/>
  <c r="AU538" i="1"/>
  <c r="AU640" i="1"/>
  <c r="AV640" i="1"/>
  <c r="AW640" i="1"/>
  <c r="AU615" i="1"/>
  <c r="AV615" i="1"/>
  <c r="AW615" i="1"/>
  <c r="AU580" i="1"/>
  <c r="AW580" i="1"/>
  <c r="AW737" i="1"/>
  <c r="AV696" i="1"/>
  <c r="AU597" i="1"/>
  <c r="AV597" i="1"/>
  <c r="AW597" i="1"/>
  <c r="AV580" i="1"/>
  <c r="AW874" i="1"/>
  <c r="AW869" i="1"/>
  <c r="AW864" i="1"/>
  <c r="AW859" i="1"/>
  <c r="AW854" i="1"/>
  <c r="AW849" i="1"/>
  <c r="AW844" i="1"/>
  <c r="AW839" i="1"/>
  <c r="AW834" i="1"/>
  <c r="AW829" i="1"/>
  <c r="AW824" i="1"/>
  <c r="AW819" i="1"/>
  <c r="AW814" i="1"/>
  <c r="AW809" i="1"/>
  <c r="AW804" i="1"/>
  <c r="AW799" i="1"/>
  <c r="AW794" i="1"/>
  <c r="AW789" i="1"/>
  <c r="AW784" i="1"/>
  <c r="AW779" i="1"/>
  <c r="AW774" i="1"/>
  <c r="AW769" i="1"/>
  <c r="AW764" i="1"/>
  <c r="AW754" i="1"/>
  <c r="AU752" i="1"/>
  <c r="AU737" i="1"/>
  <c r="AU734" i="1"/>
  <c r="AV734" i="1"/>
  <c r="AW734" i="1"/>
  <c r="AU724" i="1"/>
  <c r="AU720" i="1"/>
  <c r="AW720" i="1"/>
  <c r="AU712" i="1"/>
  <c r="AU704" i="1"/>
  <c r="AV691" i="1"/>
  <c r="AU585" i="1"/>
  <c r="AV585" i="1"/>
  <c r="AW585" i="1"/>
  <c r="AW570" i="1"/>
  <c r="AU560" i="1"/>
  <c r="AU528" i="1"/>
  <c r="AW528" i="1"/>
  <c r="AU511" i="1"/>
  <c r="AV716" i="1"/>
  <c r="AW716" i="1"/>
  <c r="AV686" i="1"/>
  <c r="AV681" i="1"/>
  <c r="AU627" i="1"/>
  <c r="AV627" i="1"/>
  <c r="AW627" i="1"/>
  <c r="AU602" i="1"/>
  <c r="AV602" i="1"/>
  <c r="AW602" i="1"/>
  <c r="AU570" i="1"/>
  <c r="AV570" i="1"/>
  <c r="AW749" i="1"/>
  <c r="AU645" i="1"/>
  <c r="AV645" i="1"/>
  <c r="AW645" i="1"/>
  <c r="AU620" i="1"/>
  <c r="AV620" i="1"/>
  <c r="AW620" i="1"/>
  <c r="AU590" i="1"/>
  <c r="AV590" i="1"/>
  <c r="AW590" i="1"/>
  <c r="AU565" i="1"/>
  <c r="AU555" i="1"/>
  <c r="AV555" i="1"/>
  <c r="AW555" i="1"/>
  <c r="AU533" i="1"/>
  <c r="AV533" i="1"/>
  <c r="AW533" i="1"/>
  <c r="AW723" i="1"/>
  <c r="AV626" i="1"/>
  <c r="AV601" i="1"/>
  <c r="AV559" i="1"/>
  <c r="AU541" i="1"/>
  <c r="AU510" i="1"/>
  <c r="AV510" i="1"/>
  <c r="AW510" i="1"/>
  <c r="AW876" i="1"/>
  <c r="AW871" i="1"/>
  <c r="AW866" i="1"/>
  <c r="AW861" i="1"/>
  <c r="AW856" i="1"/>
  <c r="AW851" i="1"/>
  <c r="AW846" i="1"/>
  <c r="AW841" i="1"/>
  <c r="AW836" i="1"/>
  <c r="AW831" i="1"/>
  <c r="AW826" i="1"/>
  <c r="AW821" i="1"/>
  <c r="AW816" i="1"/>
  <c r="AW811" i="1"/>
  <c r="AW806" i="1"/>
  <c r="AW801" i="1"/>
  <c r="AW796" i="1"/>
  <c r="AW791" i="1"/>
  <c r="AV723" i="1"/>
  <c r="AU650" i="1"/>
  <c r="AV650" i="1"/>
  <c r="AW650" i="1"/>
  <c r="AU595" i="1"/>
  <c r="AV595" i="1"/>
  <c r="AW595" i="1"/>
  <c r="AV523" i="1"/>
  <c r="AW523" i="1"/>
  <c r="AU719" i="1"/>
  <c r="AU707" i="1"/>
  <c r="AU638" i="1"/>
  <c r="AV632" i="1"/>
  <c r="AW632" i="1"/>
  <c r="AU613" i="1"/>
  <c r="AU607" i="1"/>
  <c r="AV607" i="1"/>
  <c r="AW607" i="1"/>
  <c r="AU578" i="1"/>
  <c r="AV578" i="1"/>
  <c r="AV564" i="1"/>
  <c r="AV549" i="1"/>
  <c r="AU545" i="1"/>
  <c r="AU523" i="1"/>
  <c r="AV505" i="1"/>
  <c r="AU501" i="1"/>
  <c r="AV501" i="1"/>
  <c r="AW745" i="1"/>
  <c r="AV711" i="1"/>
  <c r="AW711" i="1"/>
  <c r="AU625" i="1"/>
  <c r="AV625" i="1"/>
  <c r="AW625" i="1"/>
  <c r="AU600" i="1"/>
  <c r="AV600" i="1"/>
  <c r="AW600" i="1"/>
  <c r="AW578" i="1"/>
  <c r="AV545" i="1"/>
  <c r="AW545" i="1"/>
  <c r="AU518" i="1"/>
  <c r="AV745" i="1"/>
  <c r="AV631" i="1"/>
  <c r="AV606" i="1"/>
  <c r="AU583" i="1"/>
  <c r="AU742" i="1"/>
  <c r="AU739" i="1"/>
  <c r="AV739" i="1"/>
  <c r="AW739" i="1"/>
  <c r="AW718" i="1"/>
  <c r="AW698" i="1"/>
  <c r="AU694" i="1"/>
  <c r="AU573" i="1"/>
  <c r="AV718" i="1"/>
  <c r="AU689" i="1"/>
  <c r="AV637" i="1"/>
  <c r="AW637" i="1"/>
  <c r="AU612" i="1"/>
  <c r="AV612" i="1"/>
  <c r="AW612" i="1"/>
  <c r="AU563" i="1"/>
  <c r="AV563" i="1"/>
  <c r="AW563" i="1"/>
  <c r="AV553" i="1"/>
  <c r="AW553" i="1"/>
  <c r="AV544" i="1"/>
  <c r="AW544" i="1"/>
  <c r="AU531" i="1"/>
  <c r="AW726" i="1"/>
  <c r="AU722" i="1"/>
  <c r="AU714" i="1"/>
  <c r="AU702" i="1"/>
  <c r="AU698" i="1"/>
  <c r="AU684" i="1"/>
  <c r="AU679" i="1"/>
  <c r="AU674" i="1"/>
  <c r="AU669" i="1"/>
  <c r="AU664" i="1"/>
  <c r="AU659" i="1"/>
  <c r="AU654" i="1"/>
  <c r="AU630" i="1"/>
  <c r="AV630" i="1"/>
  <c r="AW630" i="1"/>
  <c r="AU605" i="1"/>
  <c r="AV605" i="1"/>
  <c r="AW605" i="1"/>
  <c r="AU599" i="1"/>
  <c r="AU582" i="1"/>
  <c r="AV582" i="1"/>
  <c r="AW582" i="1"/>
  <c r="AW750" i="1"/>
  <c r="AW741" i="1"/>
  <c r="AW738" i="1"/>
  <c r="AU729" i="1"/>
  <c r="AV729" i="1"/>
  <c r="AW729" i="1"/>
  <c r="AV706" i="1"/>
  <c r="AW706" i="1"/>
  <c r="AU693" i="1"/>
  <c r="AV693" i="1"/>
  <c r="AW693" i="1"/>
  <c r="AU552" i="1"/>
  <c r="AV552" i="1"/>
  <c r="AW552" i="1"/>
  <c r="AU513" i="1"/>
  <c r="AV513" i="1"/>
  <c r="AW513" i="1"/>
  <c r="AW875" i="1"/>
  <c r="AW870" i="1"/>
  <c r="AW865" i="1"/>
  <c r="AW860" i="1"/>
  <c r="AW855" i="1"/>
  <c r="AW850" i="1"/>
  <c r="AW845" i="1"/>
  <c r="AW840" i="1"/>
  <c r="AW835" i="1"/>
  <c r="AW830" i="1"/>
  <c r="AW825" i="1"/>
  <c r="AW820" i="1"/>
  <c r="AW815" i="1"/>
  <c r="AW810" i="1"/>
  <c r="AW805" i="1"/>
  <c r="AW800" i="1"/>
  <c r="AW795" i="1"/>
  <c r="AW790" i="1"/>
  <c r="AW785" i="1"/>
  <c r="AW780" i="1"/>
  <c r="AW775" i="1"/>
  <c r="AW770" i="1"/>
  <c r="AW765" i="1"/>
  <c r="AW760" i="1"/>
  <c r="AW755" i="1"/>
  <c r="AV750" i="1"/>
  <c r="AV741" i="1"/>
  <c r="AV738" i="1"/>
  <c r="AU732" i="1"/>
  <c r="AU688" i="1"/>
  <c r="AV688" i="1"/>
  <c r="AW688" i="1"/>
  <c r="AU530" i="1"/>
  <c r="AV530" i="1"/>
  <c r="AW530" i="1"/>
  <c r="AU526" i="1"/>
  <c r="AV526" i="1"/>
  <c r="AV508" i="1"/>
  <c r="AW508" i="1"/>
  <c r="AV875" i="1"/>
  <c r="AV870" i="1"/>
  <c r="AV865" i="1"/>
  <c r="AV860" i="1"/>
  <c r="AV855" i="1"/>
  <c r="AV850" i="1"/>
  <c r="AV845" i="1"/>
  <c r="AV840" i="1"/>
  <c r="AV835" i="1"/>
  <c r="AV830" i="1"/>
  <c r="AV825" i="1"/>
  <c r="AV820" i="1"/>
  <c r="AV815" i="1"/>
  <c r="AV810" i="1"/>
  <c r="AV805" i="1"/>
  <c r="AV800" i="1"/>
  <c r="AV795" i="1"/>
  <c r="AV790" i="1"/>
  <c r="AV785" i="1"/>
  <c r="AV780" i="1"/>
  <c r="AV775" i="1"/>
  <c r="AV770" i="1"/>
  <c r="AV765" i="1"/>
  <c r="AV760" i="1"/>
  <c r="AV755" i="1"/>
  <c r="AW747" i="1"/>
  <c r="AV725" i="1"/>
  <c r="AU721" i="1"/>
  <c r="AW713" i="1"/>
  <c r="AU701" i="1"/>
  <c r="AU697" i="1"/>
  <c r="AU683" i="1"/>
  <c r="AV683" i="1"/>
  <c r="AW683" i="1"/>
  <c r="AU678" i="1"/>
  <c r="AV678" i="1"/>
  <c r="AW678" i="1"/>
  <c r="AU673" i="1"/>
  <c r="AU668" i="1"/>
  <c r="AU663" i="1"/>
  <c r="AU658" i="1"/>
  <c r="AU653" i="1"/>
  <c r="AV642" i="1"/>
  <c r="AW642" i="1"/>
  <c r="AU623" i="1"/>
  <c r="AU617" i="1"/>
  <c r="AV617" i="1"/>
  <c r="AW617" i="1"/>
  <c r="AV747" i="1"/>
  <c r="AU725" i="1"/>
  <c r="AU692" i="1"/>
  <c r="AU647" i="1"/>
  <c r="AU635" i="1"/>
  <c r="AV635" i="1"/>
  <c r="AW635" i="1"/>
  <c r="AU629" i="1"/>
  <c r="AU610" i="1"/>
  <c r="AV610" i="1"/>
  <c r="AW610" i="1"/>
  <c r="AU604" i="1"/>
  <c r="AU454" i="1"/>
  <c r="AU413" i="1"/>
  <c r="AU391" i="1"/>
  <c r="AW546" i="1"/>
  <c r="AU509" i="1"/>
  <c r="AV509" i="1"/>
  <c r="AW509" i="1"/>
  <c r="AU500" i="1"/>
  <c r="AW500" i="1"/>
  <c r="AU483" i="1"/>
  <c r="AV483" i="1"/>
  <c r="AW483" i="1"/>
  <c r="AV471" i="1"/>
  <c r="AU471" i="1"/>
  <c r="AU458" i="1"/>
  <c r="AV458" i="1"/>
  <c r="AW458" i="1"/>
  <c r="AU435" i="1"/>
  <c r="AV426" i="1"/>
  <c r="AU396" i="1"/>
  <c r="AW673" i="1"/>
  <c r="AW668" i="1"/>
  <c r="AW663" i="1"/>
  <c r="AW658" i="1"/>
  <c r="AW653" i="1"/>
  <c r="AW648" i="1"/>
  <c r="AW643" i="1"/>
  <c r="AW638" i="1"/>
  <c r="AW633" i="1"/>
  <c r="AW628" i="1"/>
  <c r="AW623" i="1"/>
  <c r="AW618" i="1"/>
  <c r="AW613" i="1"/>
  <c r="AW608" i="1"/>
  <c r="AW603" i="1"/>
  <c r="AW598" i="1"/>
  <c r="AW593" i="1"/>
  <c r="AW588" i="1"/>
  <c r="AW583" i="1"/>
  <c r="AW581" i="1"/>
  <c r="AW575" i="1"/>
  <c r="AV567" i="1"/>
  <c r="AV548" i="1"/>
  <c r="AV540" i="1"/>
  <c r="AU532" i="1"/>
  <c r="AU529" i="1"/>
  <c r="AW529" i="1"/>
  <c r="AW520" i="1"/>
  <c r="AU479" i="1"/>
  <c r="AW471" i="1"/>
  <c r="AU444" i="1"/>
  <c r="AV673" i="1"/>
  <c r="AV668" i="1"/>
  <c r="AV663" i="1"/>
  <c r="AV658" i="1"/>
  <c r="AV653" i="1"/>
  <c r="AV648" i="1"/>
  <c r="AV643" i="1"/>
  <c r="AV638" i="1"/>
  <c r="AV633" i="1"/>
  <c r="AV628" i="1"/>
  <c r="AV623" i="1"/>
  <c r="AV618" i="1"/>
  <c r="AV613" i="1"/>
  <c r="AV608" i="1"/>
  <c r="AV603" i="1"/>
  <c r="AV598" i="1"/>
  <c r="AV593" i="1"/>
  <c r="AV588" i="1"/>
  <c r="AV583" i="1"/>
  <c r="AV520" i="1"/>
  <c r="AW506" i="1"/>
  <c r="AV496" i="1"/>
  <c r="AU490" i="1"/>
  <c r="AW490" i="1"/>
  <c r="AV486" i="1"/>
  <c r="AU475" i="1"/>
  <c r="AW475" i="1"/>
  <c r="AU453" i="1"/>
  <c r="AV453" i="1"/>
  <c r="AW453" i="1"/>
  <c r="AU439" i="1"/>
  <c r="AU559" i="1"/>
  <c r="AW551" i="1"/>
  <c r="AW526" i="1"/>
  <c r="AU448" i="1"/>
  <c r="AU434" i="1"/>
  <c r="AU499" i="1"/>
  <c r="AV499" i="1"/>
  <c r="AW499" i="1"/>
  <c r="AV466" i="1"/>
  <c r="AU466" i="1"/>
  <c r="AU425" i="1"/>
  <c r="AV421" i="1"/>
  <c r="AW715" i="1"/>
  <c r="AW710" i="1"/>
  <c r="AW705" i="1"/>
  <c r="AW700" i="1"/>
  <c r="AW695" i="1"/>
  <c r="AW690" i="1"/>
  <c r="AW685" i="1"/>
  <c r="AW680" i="1"/>
  <c r="AW675" i="1"/>
  <c r="AW670" i="1"/>
  <c r="AW665" i="1"/>
  <c r="AW660" i="1"/>
  <c r="AW655" i="1"/>
  <c r="AW542" i="1"/>
  <c r="AW505" i="1"/>
  <c r="AW496" i="1"/>
  <c r="AW486" i="1"/>
  <c r="AW466" i="1"/>
  <c r="AU438" i="1"/>
  <c r="AU429" i="1"/>
  <c r="AU564" i="1"/>
  <c r="AW556" i="1"/>
  <c r="AU534" i="1"/>
  <c r="AW534" i="1"/>
  <c r="AU514" i="1"/>
  <c r="AW514" i="1"/>
  <c r="AU489" i="1"/>
  <c r="AV489" i="1"/>
  <c r="AW489" i="1"/>
  <c r="AU478" i="1"/>
  <c r="AV478" i="1"/>
  <c r="AW478" i="1"/>
  <c r="AU470" i="1"/>
  <c r="AW470" i="1"/>
  <c r="AU433" i="1"/>
  <c r="AU416" i="1"/>
  <c r="AV569" i="1"/>
  <c r="AU424" i="1"/>
  <c r="AW531" i="1"/>
  <c r="AW511" i="1"/>
  <c r="AV461" i="1"/>
  <c r="AU461" i="1"/>
  <c r="AU420" i="1"/>
  <c r="AW561" i="1"/>
  <c r="AU505" i="1"/>
  <c r="AV727" i="1"/>
  <c r="AV722" i="1"/>
  <c r="AV717" i="1"/>
  <c r="AV712" i="1"/>
  <c r="AV707" i="1"/>
  <c r="AV702" i="1"/>
  <c r="AV697" i="1"/>
  <c r="AV692" i="1"/>
  <c r="AV687" i="1"/>
  <c r="AV682" i="1"/>
  <c r="AV677" i="1"/>
  <c r="AV672" i="1"/>
  <c r="AV667" i="1"/>
  <c r="AU539" i="1"/>
  <c r="AW539" i="1"/>
  <c r="AU473" i="1"/>
  <c r="AV473" i="1"/>
  <c r="AW473" i="1"/>
  <c r="AU465" i="1"/>
  <c r="AW465" i="1"/>
  <c r="AV456" i="1"/>
  <c r="AU456" i="1"/>
  <c r="AV571" i="1"/>
  <c r="AU519" i="1"/>
  <c r="AW519" i="1"/>
  <c r="AU495" i="1"/>
  <c r="AW495" i="1"/>
  <c r="AU485" i="1"/>
  <c r="AW485" i="1"/>
  <c r="AW579" i="1"/>
  <c r="AU574" i="1"/>
  <c r="AW568" i="1"/>
  <c r="AW566" i="1"/>
  <c r="AW560" i="1"/>
  <c r="AU488" i="1"/>
  <c r="AW488" i="1"/>
  <c r="AW481" i="1"/>
  <c r="AV451" i="1"/>
  <c r="AU451" i="1"/>
  <c r="AW724" i="1"/>
  <c r="AW719" i="1"/>
  <c r="AW714" i="1"/>
  <c r="AW709" i="1"/>
  <c r="AW704" i="1"/>
  <c r="AW699" i="1"/>
  <c r="AW694" i="1"/>
  <c r="AW689" i="1"/>
  <c r="AW684" i="1"/>
  <c r="AW679" i="1"/>
  <c r="AW674" i="1"/>
  <c r="AW669" i="1"/>
  <c r="AW664" i="1"/>
  <c r="AW659" i="1"/>
  <c r="AW654" i="1"/>
  <c r="AW649" i="1"/>
  <c r="AW644" i="1"/>
  <c r="AW639" i="1"/>
  <c r="AW634" i="1"/>
  <c r="AW629" i="1"/>
  <c r="AW624" i="1"/>
  <c r="AW619" i="1"/>
  <c r="AW614" i="1"/>
  <c r="AW609" i="1"/>
  <c r="AW604" i="1"/>
  <c r="AW599" i="1"/>
  <c r="AW594" i="1"/>
  <c r="AW589" i="1"/>
  <c r="AW584" i="1"/>
  <c r="AV568" i="1"/>
  <c r="AV560" i="1"/>
  <c r="AV541" i="1"/>
  <c r="AW538" i="1"/>
  <c r="AW536" i="1"/>
  <c r="AW516" i="1"/>
  <c r="AU504" i="1"/>
  <c r="AV504" i="1"/>
  <c r="AW504" i="1"/>
  <c r="AV491" i="1"/>
  <c r="AV724" i="1"/>
  <c r="AV679" i="1"/>
  <c r="AV674" i="1"/>
  <c r="AV669" i="1"/>
  <c r="AV664" i="1"/>
  <c r="AV659" i="1"/>
  <c r="AV654" i="1"/>
  <c r="AV649" i="1"/>
  <c r="AV644" i="1"/>
  <c r="AV639" i="1"/>
  <c r="AV634" i="1"/>
  <c r="AV629" i="1"/>
  <c r="AV624" i="1"/>
  <c r="AV619" i="1"/>
  <c r="AV614" i="1"/>
  <c r="AV609" i="1"/>
  <c r="AV604" i="1"/>
  <c r="AV599" i="1"/>
  <c r="AV594" i="1"/>
  <c r="AV589" i="1"/>
  <c r="AV584" i="1"/>
  <c r="AV576" i="1"/>
  <c r="AW557" i="1"/>
  <c r="AW549" i="1"/>
  <c r="AU544" i="1"/>
  <c r="AV538" i="1"/>
  <c r="AV521" i="1"/>
  <c r="AW518" i="1"/>
  <c r="AW501" i="1"/>
  <c r="AU468" i="1"/>
  <c r="AV468" i="1"/>
  <c r="AW468" i="1"/>
  <c r="AU460" i="1"/>
  <c r="AV446" i="1"/>
  <c r="AU579" i="1"/>
  <c r="AW573" i="1"/>
  <c r="AW571" i="1"/>
  <c r="AW565" i="1"/>
  <c r="AV557" i="1"/>
  <c r="AV518" i="1"/>
  <c r="AU494" i="1"/>
  <c r="AV494" i="1"/>
  <c r="AW494" i="1"/>
  <c r="AU484" i="1"/>
  <c r="AV484" i="1"/>
  <c r="AW484" i="1"/>
  <c r="AU406" i="1"/>
  <c r="AV406" i="1"/>
  <c r="AW406" i="1"/>
  <c r="AV573" i="1"/>
  <c r="AV565" i="1"/>
  <c r="AV546" i="1"/>
  <c r="AW535" i="1"/>
  <c r="AU524" i="1"/>
  <c r="AW524" i="1"/>
  <c r="AW515" i="1"/>
  <c r="AW503" i="1"/>
  <c r="AW491" i="1"/>
  <c r="AV476" i="1"/>
  <c r="AU476" i="1"/>
  <c r="AU455" i="1"/>
  <c r="AV436" i="1"/>
  <c r="AW696" i="1"/>
  <c r="AW691" i="1"/>
  <c r="AW686" i="1"/>
  <c r="AW681" i="1"/>
  <c r="AW676" i="1"/>
  <c r="AW671" i="1"/>
  <c r="AW666" i="1"/>
  <c r="AW661" i="1"/>
  <c r="AW656" i="1"/>
  <c r="AW651" i="1"/>
  <c r="AW646" i="1"/>
  <c r="AW641" i="1"/>
  <c r="AW636" i="1"/>
  <c r="AW631" i="1"/>
  <c r="AW626" i="1"/>
  <c r="AW621" i="1"/>
  <c r="AW616" i="1"/>
  <c r="AW611" i="1"/>
  <c r="AW606" i="1"/>
  <c r="AW601" i="1"/>
  <c r="AW596" i="1"/>
  <c r="AW591" i="1"/>
  <c r="AW586" i="1"/>
  <c r="AV581" i="1"/>
  <c r="AW562" i="1"/>
  <c r="AW554" i="1"/>
  <c r="AU549" i="1"/>
  <c r="AU546" i="1"/>
  <c r="AW543" i="1"/>
  <c r="AW541" i="1"/>
  <c r="AV535" i="1"/>
  <c r="AW532" i="1"/>
  <c r="AV515" i="1"/>
  <c r="AV503" i="1"/>
  <c r="AV500" i="1"/>
  <c r="AU480" i="1"/>
  <c r="AW480" i="1"/>
  <c r="AU581" i="1"/>
  <c r="AW576" i="1"/>
  <c r="AV554" i="1"/>
  <c r="AV532" i="1"/>
  <c r="AW521" i="1"/>
  <c r="AV506" i="1"/>
  <c r="AU463" i="1"/>
  <c r="AV463" i="1"/>
  <c r="AW463" i="1"/>
  <c r="AU445" i="1"/>
  <c r="AV431" i="1"/>
  <c r="AW418" i="1"/>
  <c r="AU283" i="1"/>
  <c r="AV283" i="1"/>
  <c r="AW283" i="1"/>
  <c r="AU267" i="1"/>
  <c r="AV267" i="1"/>
  <c r="AW267" i="1"/>
  <c r="AU245" i="1"/>
  <c r="AV245" i="1"/>
  <c r="AW245" i="1"/>
  <c r="AU174" i="1"/>
  <c r="AV174" i="1"/>
  <c r="AW174" i="1"/>
  <c r="AV418" i="1"/>
  <c r="AU349" i="1"/>
  <c r="AU323" i="1"/>
  <c r="AU318" i="1"/>
  <c r="AU288" i="1"/>
  <c r="AV288" i="1"/>
  <c r="AW288" i="1"/>
  <c r="AU272" i="1"/>
  <c r="AV272" i="1"/>
  <c r="AW272" i="1"/>
  <c r="AU261" i="1"/>
  <c r="AU234" i="1"/>
  <c r="AU219" i="1"/>
  <c r="AU187" i="1"/>
  <c r="AW187" i="1"/>
  <c r="AW448" i="1"/>
  <c r="AW443" i="1"/>
  <c r="AW438" i="1"/>
  <c r="AU384" i="1"/>
  <c r="AV384" i="1"/>
  <c r="AW384" i="1"/>
  <c r="AU380" i="1"/>
  <c r="AW380" i="1"/>
  <c r="AU313" i="1"/>
  <c r="AV313" i="1"/>
  <c r="AW313" i="1"/>
  <c r="AU308" i="1"/>
  <c r="AV308" i="1"/>
  <c r="AW308" i="1"/>
  <c r="AU303" i="1"/>
  <c r="AV303" i="1"/>
  <c r="AW303" i="1"/>
  <c r="AU298" i="1"/>
  <c r="AV298" i="1"/>
  <c r="AW298" i="1"/>
  <c r="AU293" i="1"/>
  <c r="AV293" i="1"/>
  <c r="AW293" i="1"/>
  <c r="AU277" i="1"/>
  <c r="AV277" i="1"/>
  <c r="AW277" i="1"/>
  <c r="AU250" i="1"/>
  <c r="AV250" i="1"/>
  <c r="AW250" i="1"/>
  <c r="AU169" i="1"/>
  <c r="AV448" i="1"/>
  <c r="AV443" i="1"/>
  <c r="AV438" i="1"/>
  <c r="AV433" i="1"/>
  <c r="AV428" i="1"/>
  <c r="AV423" i="1"/>
  <c r="AV415" i="1"/>
  <c r="AV400" i="1"/>
  <c r="AU397" i="1"/>
  <c r="AV376" i="1"/>
  <c r="AU368" i="1"/>
  <c r="AU363" i="1"/>
  <c r="AU358" i="1"/>
  <c r="AU343" i="1"/>
  <c r="AU338" i="1"/>
  <c r="AU333" i="1"/>
  <c r="AU282" i="1"/>
  <c r="AV282" i="1"/>
  <c r="AW282" i="1"/>
  <c r="AU239" i="1"/>
  <c r="AU228" i="1"/>
  <c r="AV228" i="1"/>
  <c r="AW228" i="1"/>
  <c r="AU208" i="1"/>
  <c r="AV208" i="1"/>
  <c r="AW208" i="1"/>
  <c r="AU164" i="1"/>
  <c r="AV164" i="1"/>
  <c r="AW164" i="1"/>
  <c r="AV397" i="1"/>
  <c r="AW397" i="1"/>
  <c r="AU394" i="1"/>
  <c r="AV394" i="1"/>
  <c r="AW394" i="1"/>
  <c r="AU387" i="1"/>
  <c r="AU353" i="1"/>
  <c r="AU348" i="1"/>
  <c r="AU317" i="1"/>
  <c r="AU287" i="1"/>
  <c r="AV287" i="1"/>
  <c r="AW287" i="1"/>
  <c r="AU276" i="1"/>
  <c r="AU182" i="1"/>
  <c r="AV387" i="1"/>
  <c r="AW387" i="1"/>
  <c r="AU322" i="1"/>
  <c r="AV322" i="1"/>
  <c r="AW322" i="1"/>
  <c r="AV317" i="1"/>
  <c r="AW317" i="1"/>
  <c r="AU312" i="1"/>
  <c r="AV312" i="1"/>
  <c r="AW312" i="1"/>
  <c r="AU307" i="1"/>
  <c r="AV307" i="1"/>
  <c r="AW307" i="1"/>
  <c r="AU302" i="1"/>
  <c r="AV302" i="1"/>
  <c r="AW302" i="1"/>
  <c r="AU297" i="1"/>
  <c r="AV297" i="1"/>
  <c r="AW297" i="1"/>
  <c r="AU292" i="1"/>
  <c r="AV292" i="1"/>
  <c r="AW292" i="1"/>
  <c r="AU233" i="1"/>
  <c r="AV233" i="1"/>
  <c r="AW233" i="1"/>
  <c r="AU218" i="1"/>
  <c r="AV218" i="1"/>
  <c r="AW218" i="1"/>
  <c r="AU207" i="1"/>
  <c r="AV207" i="1"/>
  <c r="AW207" i="1"/>
  <c r="AU186" i="1"/>
  <c r="AV186" i="1"/>
  <c r="AW186" i="1"/>
  <c r="AW460" i="1"/>
  <c r="AW455" i="1"/>
  <c r="AW450" i="1"/>
  <c r="AW445" i="1"/>
  <c r="AW440" i="1"/>
  <c r="AW435" i="1"/>
  <c r="AW430" i="1"/>
  <c r="AW425" i="1"/>
  <c r="AW420" i="1"/>
  <c r="AW396" i="1"/>
  <c r="AV367" i="1"/>
  <c r="AW367" i="1"/>
  <c r="AV362" i="1"/>
  <c r="AW362" i="1"/>
  <c r="AV357" i="1"/>
  <c r="AW357" i="1"/>
  <c r="AV342" i="1"/>
  <c r="AW342" i="1"/>
  <c r="AV337" i="1"/>
  <c r="AW337" i="1"/>
  <c r="AU332" i="1"/>
  <c r="AV327" i="1"/>
  <c r="AW327" i="1"/>
  <c r="AU286" i="1"/>
  <c r="AU227" i="1"/>
  <c r="AV227" i="1"/>
  <c r="AW227" i="1"/>
  <c r="AV440" i="1"/>
  <c r="AV435" i="1"/>
  <c r="AV430" i="1"/>
  <c r="AU409" i="1"/>
  <c r="AV409" i="1"/>
  <c r="AW409" i="1"/>
  <c r="AU379" i="1"/>
  <c r="AV379" i="1"/>
  <c r="AW379" i="1"/>
  <c r="AV352" i="1"/>
  <c r="AW352" i="1"/>
  <c r="AV332" i="1"/>
  <c r="AW332" i="1"/>
  <c r="AU238" i="1"/>
  <c r="AV238" i="1"/>
  <c r="AW238" i="1"/>
  <c r="AU217" i="1"/>
  <c r="AV217" i="1"/>
  <c r="AW217" i="1"/>
  <c r="AU197" i="1"/>
  <c r="AV197" i="1"/>
  <c r="AW197" i="1"/>
  <c r="AU177" i="1"/>
  <c r="AV177" i="1"/>
  <c r="AW177" i="1"/>
  <c r="AV393" i="1"/>
  <c r="AV386" i="1"/>
  <c r="AV371" i="1"/>
  <c r="AU352" i="1"/>
  <c r="AV347" i="1"/>
  <c r="AW347" i="1"/>
  <c r="AU232" i="1"/>
  <c r="AV232" i="1"/>
  <c r="AW232" i="1"/>
  <c r="AU226" i="1"/>
  <c r="AV226" i="1"/>
  <c r="AW226" i="1"/>
  <c r="AU212" i="1"/>
  <c r="AU191" i="1"/>
  <c r="AU243" i="1"/>
  <c r="AV243" i="1"/>
  <c r="AW243" i="1"/>
  <c r="AU206" i="1"/>
  <c r="AV206" i="1"/>
  <c r="AW206" i="1"/>
  <c r="AU172" i="1"/>
  <c r="AV172" i="1"/>
  <c r="AW172" i="1"/>
  <c r="AU162" i="1"/>
  <c r="AV162" i="1"/>
  <c r="AW162" i="1"/>
  <c r="AV402" i="1"/>
  <c r="AW402" i="1"/>
  <c r="AW371" i="1"/>
  <c r="AU366" i="1"/>
  <c r="AV366" i="1"/>
  <c r="AW366" i="1"/>
  <c r="AU361" i="1"/>
  <c r="AV361" i="1"/>
  <c r="AW361" i="1"/>
  <c r="AU356" i="1"/>
  <c r="AV356" i="1"/>
  <c r="AW356" i="1"/>
  <c r="AU346" i="1"/>
  <c r="AU341" i="1"/>
  <c r="AU336" i="1"/>
  <c r="AU254" i="1"/>
  <c r="AU237" i="1"/>
  <c r="AV237" i="1"/>
  <c r="AW237" i="1"/>
  <c r="AU231" i="1"/>
  <c r="AV231" i="1"/>
  <c r="AW231" i="1"/>
  <c r="AU196" i="1"/>
  <c r="AV196" i="1"/>
  <c r="AW196" i="1"/>
  <c r="AU167" i="1"/>
  <c r="AV167" i="1"/>
  <c r="AU402" i="1"/>
  <c r="AU351" i="1"/>
  <c r="AV351" i="1"/>
  <c r="AW351" i="1"/>
  <c r="AU248" i="1"/>
  <c r="AV248" i="1"/>
  <c r="AW248" i="1"/>
  <c r="AU176" i="1"/>
  <c r="AV176" i="1"/>
  <c r="AU161" i="1"/>
  <c r="AV161" i="1"/>
  <c r="AW161" i="1"/>
  <c r="AU414" i="1"/>
  <c r="AV414" i="1"/>
  <c r="AW414" i="1"/>
  <c r="AU399" i="1"/>
  <c r="AV399" i="1"/>
  <c r="AW399" i="1"/>
  <c r="AV382" i="1"/>
  <c r="AW382" i="1"/>
  <c r="AU264" i="1"/>
  <c r="AU242" i="1"/>
  <c r="AV242" i="1"/>
  <c r="AW242" i="1"/>
  <c r="AU236" i="1"/>
  <c r="AV236" i="1"/>
  <c r="AW236" i="1"/>
  <c r="AU225" i="1"/>
  <c r="AV225" i="1"/>
  <c r="AW225" i="1"/>
  <c r="AU216" i="1"/>
  <c r="AW176" i="1"/>
  <c r="AU269" i="1"/>
  <c r="AW479" i="1"/>
  <c r="AW474" i="1"/>
  <c r="AW469" i="1"/>
  <c r="AW464" i="1"/>
  <c r="AW459" i="1"/>
  <c r="AW454" i="1"/>
  <c r="AW449" i="1"/>
  <c r="AW444" i="1"/>
  <c r="AW439" i="1"/>
  <c r="AW434" i="1"/>
  <c r="AW429" i="1"/>
  <c r="AW424" i="1"/>
  <c r="AW416" i="1"/>
  <c r="AW401" i="1"/>
  <c r="AW395" i="1"/>
  <c r="AU392" i="1"/>
  <c r="AW381" i="1"/>
  <c r="AU374" i="1"/>
  <c r="AV374" i="1"/>
  <c r="AW374" i="1"/>
  <c r="AU274" i="1"/>
  <c r="AU253" i="1"/>
  <c r="AV253" i="1"/>
  <c r="AW253" i="1"/>
  <c r="AU247" i="1"/>
  <c r="AV247" i="1"/>
  <c r="AW247" i="1"/>
  <c r="AU241" i="1"/>
  <c r="AV241" i="1"/>
  <c r="AW241" i="1"/>
  <c r="AU230" i="1"/>
  <c r="AV230" i="1"/>
  <c r="AW230" i="1"/>
  <c r="AU189" i="1"/>
  <c r="AV189" i="1"/>
  <c r="AW189" i="1"/>
  <c r="AV479" i="1"/>
  <c r="AV474" i="1"/>
  <c r="AV469" i="1"/>
  <c r="AV464" i="1"/>
  <c r="AV459" i="1"/>
  <c r="AV454" i="1"/>
  <c r="AV449" i="1"/>
  <c r="AV444" i="1"/>
  <c r="AV439" i="1"/>
  <c r="AV434" i="1"/>
  <c r="AV429" i="1"/>
  <c r="AV424" i="1"/>
  <c r="AV416" i="1"/>
  <c r="AW413" i="1"/>
  <c r="AV401" i="1"/>
  <c r="AW398" i="1"/>
  <c r="AV395" i="1"/>
  <c r="AV392" i="1"/>
  <c r="AW392" i="1"/>
  <c r="AU389" i="1"/>
  <c r="AV389" i="1"/>
  <c r="AW389" i="1"/>
  <c r="AU279" i="1"/>
  <c r="AU258" i="1"/>
  <c r="AV258" i="1"/>
  <c r="AW258" i="1"/>
  <c r="AU166" i="1"/>
  <c r="AV413" i="1"/>
  <c r="AV398" i="1"/>
  <c r="AU284" i="1"/>
  <c r="AU263" i="1"/>
  <c r="AV263" i="1"/>
  <c r="AW263" i="1"/>
  <c r="AU246" i="1"/>
  <c r="AV246" i="1"/>
  <c r="AW246" i="1"/>
  <c r="AU235" i="1"/>
  <c r="AV235" i="1"/>
  <c r="AW235" i="1"/>
  <c r="AU419" i="1"/>
  <c r="AW419" i="1"/>
  <c r="AW410" i="1"/>
  <c r="AW391" i="1"/>
  <c r="AU268" i="1"/>
  <c r="AV268" i="1"/>
  <c r="AW268" i="1"/>
  <c r="AU252" i="1"/>
  <c r="AV252" i="1"/>
  <c r="AW252" i="1"/>
  <c r="AW446" i="1"/>
  <c r="AW441" i="1"/>
  <c r="AW436" i="1"/>
  <c r="AW431" i="1"/>
  <c r="AW426" i="1"/>
  <c r="AW421" i="1"/>
  <c r="AV410" i="1"/>
  <c r="AU407" i="1"/>
  <c r="AV391" i="1"/>
  <c r="AW388" i="1"/>
  <c r="AU373" i="1"/>
  <c r="AW373" i="1"/>
  <c r="AU324" i="1"/>
  <c r="AU319" i="1"/>
  <c r="AU314" i="1"/>
  <c r="AU309" i="1"/>
  <c r="AU304" i="1"/>
  <c r="AU299" i="1"/>
  <c r="AU294" i="1"/>
  <c r="AU273" i="1"/>
  <c r="AV273" i="1"/>
  <c r="AW273" i="1"/>
  <c r="AU257" i="1"/>
  <c r="AV257" i="1"/>
  <c r="AW257" i="1"/>
  <c r="AU240" i="1"/>
  <c r="AV240" i="1"/>
  <c r="AW240" i="1"/>
  <c r="AU220" i="1"/>
  <c r="AU199" i="1"/>
  <c r="AV199" i="1"/>
  <c r="AU159" i="1"/>
  <c r="AV407" i="1"/>
  <c r="AW407" i="1"/>
  <c r="AU404" i="1"/>
  <c r="AV404" i="1"/>
  <c r="AW404" i="1"/>
  <c r="AU369" i="1"/>
  <c r="AU364" i="1"/>
  <c r="AU359" i="1"/>
  <c r="AU329" i="1"/>
  <c r="AU278" i="1"/>
  <c r="AV278" i="1"/>
  <c r="AW278" i="1"/>
  <c r="AU262" i="1"/>
  <c r="AV262" i="1"/>
  <c r="AW262" i="1"/>
  <c r="AU251" i="1"/>
  <c r="AU214" i="1"/>
  <c r="AV214" i="1"/>
  <c r="AW214" i="1"/>
  <c r="AW221" i="1"/>
  <c r="AV213" i="1"/>
  <c r="AU202" i="1"/>
  <c r="AU179" i="1"/>
  <c r="AW173" i="1"/>
  <c r="AU128" i="1"/>
  <c r="AV128" i="1"/>
  <c r="AW128" i="1"/>
  <c r="AU84" i="1"/>
  <c r="AU71" i="1"/>
  <c r="AV71" i="1"/>
  <c r="AW71" i="1"/>
  <c r="AW346" i="1"/>
  <c r="AW341" i="1"/>
  <c r="AW336" i="1"/>
  <c r="AW331" i="1"/>
  <c r="AW326" i="1"/>
  <c r="AW321" i="1"/>
  <c r="AW316" i="1"/>
  <c r="AW311" i="1"/>
  <c r="AW306" i="1"/>
  <c r="AW301" i="1"/>
  <c r="AW296" i="1"/>
  <c r="AW291" i="1"/>
  <c r="AW286" i="1"/>
  <c r="AW281" i="1"/>
  <c r="AW276" i="1"/>
  <c r="AW271" i="1"/>
  <c r="AV221" i="1"/>
  <c r="AU205" i="1"/>
  <c r="AV205" i="1"/>
  <c r="AW205" i="1"/>
  <c r="AU185" i="1"/>
  <c r="AV185" i="1"/>
  <c r="AW185" i="1"/>
  <c r="AU113" i="1"/>
  <c r="AV113" i="1"/>
  <c r="AW113" i="1"/>
  <c r="AU108" i="1"/>
  <c r="AV108" i="1"/>
  <c r="AW108" i="1"/>
  <c r="AU88" i="1"/>
  <c r="AV88" i="1"/>
  <c r="AW88" i="1"/>
  <c r="AU36" i="1"/>
  <c r="AW36" i="1"/>
  <c r="AV346" i="1"/>
  <c r="AV341" i="1"/>
  <c r="AV336" i="1"/>
  <c r="AV331" i="1"/>
  <c r="AV326" i="1"/>
  <c r="AV321" i="1"/>
  <c r="AV316" i="1"/>
  <c r="AV311" i="1"/>
  <c r="AV306" i="1"/>
  <c r="AV301" i="1"/>
  <c r="AV296" i="1"/>
  <c r="AV291" i="1"/>
  <c r="AV286" i="1"/>
  <c r="AV281" i="1"/>
  <c r="AV276" i="1"/>
  <c r="AV271" i="1"/>
  <c r="AV266" i="1"/>
  <c r="AV261" i="1"/>
  <c r="AV256" i="1"/>
  <c r="AV251" i="1"/>
  <c r="AU148" i="1"/>
  <c r="AW148" i="1"/>
  <c r="AU144" i="1"/>
  <c r="AW144" i="1"/>
  <c r="AU136" i="1"/>
  <c r="AW136" i="1"/>
  <c r="AW127" i="1"/>
  <c r="AU123" i="1"/>
  <c r="AV123" i="1"/>
  <c r="AW123" i="1"/>
  <c r="AU53" i="1"/>
  <c r="AV53" i="1"/>
  <c r="AW53" i="1"/>
  <c r="AU49" i="1"/>
  <c r="AV49" i="1"/>
  <c r="AW49" i="1"/>
  <c r="AV36" i="1"/>
  <c r="AU170" i="1"/>
  <c r="AV170" i="1"/>
  <c r="AW170" i="1"/>
  <c r="AU140" i="1"/>
  <c r="AV140" i="1"/>
  <c r="AW140" i="1"/>
  <c r="AU118" i="1"/>
  <c r="AV118" i="1"/>
  <c r="AW118" i="1"/>
  <c r="AU103" i="1"/>
  <c r="AV103" i="1"/>
  <c r="AW103" i="1"/>
  <c r="AU66" i="1"/>
  <c r="AV66" i="1"/>
  <c r="AW66" i="1"/>
  <c r="AW204" i="1"/>
  <c r="AW184" i="1"/>
  <c r="AU155" i="1"/>
  <c r="AV155" i="1"/>
  <c r="AW155" i="1"/>
  <c r="AW147" i="1"/>
  <c r="AW122" i="1"/>
  <c r="AU83" i="1"/>
  <c r="AV83" i="1"/>
  <c r="AW83" i="1"/>
  <c r="AU31" i="1"/>
  <c r="AW31" i="1"/>
  <c r="AW368" i="1"/>
  <c r="AW363" i="1"/>
  <c r="AW358" i="1"/>
  <c r="AW353" i="1"/>
  <c r="AW348" i="1"/>
  <c r="AW343" i="1"/>
  <c r="AW338" i="1"/>
  <c r="AW333" i="1"/>
  <c r="AW328" i="1"/>
  <c r="AW323" i="1"/>
  <c r="AW318" i="1"/>
  <c r="AV210" i="1"/>
  <c r="AW210" i="1"/>
  <c r="AV204" i="1"/>
  <c r="AV184" i="1"/>
  <c r="AV147" i="1"/>
  <c r="AV122" i="1"/>
  <c r="AU112" i="1"/>
  <c r="AW112" i="1"/>
  <c r="AU107" i="1"/>
  <c r="AW107" i="1"/>
  <c r="AU91" i="1"/>
  <c r="AV91" i="1"/>
  <c r="AW91" i="1"/>
  <c r="AU48" i="1"/>
  <c r="AV48" i="1"/>
  <c r="AW48" i="1"/>
  <c r="AU44" i="1"/>
  <c r="AV44" i="1"/>
  <c r="AW44" i="1"/>
  <c r="AW212" i="1"/>
  <c r="AW201" i="1"/>
  <c r="AU190" i="1"/>
  <c r="AV190" i="1"/>
  <c r="AW190" i="1"/>
  <c r="AW169" i="1"/>
  <c r="AU61" i="1"/>
  <c r="AV61" i="1"/>
  <c r="AW61" i="1"/>
  <c r="AU151" i="1"/>
  <c r="AW151" i="1"/>
  <c r="AU143" i="1"/>
  <c r="AW143" i="1"/>
  <c r="AU139" i="1"/>
  <c r="AW139" i="1"/>
  <c r="AU135" i="1"/>
  <c r="AV135" i="1"/>
  <c r="AW135" i="1"/>
  <c r="AU117" i="1"/>
  <c r="AW117" i="1"/>
  <c r="AU78" i="1"/>
  <c r="AV78" i="1"/>
  <c r="AW78" i="1"/>
  <c r="AV215" i="1"/>
  <c r="AW215" i="1"/>
  <c r="AW209" i="1"/>
  <c r="AV198" i="1"/>
  <c r="AW192" i="1"/>
  <c r="AV166" i="1"/>
  <c r="AW163" i="1"/>
  <c r="AV157" i="1"/>
  <c r="AU111" i="1"/>
  <c r="AU106" i="1"/>
  <c r="AU43" i="1"/>
  <c r="AV43" i="1"/>
  <c r="AW43" i="1"/>
  <c r="AU39" i="1"/>
  <c r="AV39" i="1"/>
  <c r="AW39" i="1"/>
  <c r="AW375" i="1"/>
  <c r="AW370" i="1"/>
  <c r="AW365" i="1"/>
  <c r="AW360" i="1"/>
  <c r="AW290" i="1"/>
  <c r="AW285" i="1"/>
  <c r="AW280" i="1"/>
  <c r="AW275" i="1"/>
  <c r="AW270" i="1"/>
  <c r="AW265" i="1"/>
  <c r="AW260" i="1"/>
  <c r="AW255" i="1"/>
  <c r="AV209" i="1"/>
  <c r="AV192" i="1"/>
  <c r="AU175" i="1"/>
  <c r="AV175" i="1"/>
  <c r="AW175" i="1"/>
  <c r="AV163" i="1"/>
  <c r="AU154" i="1"/>
  <c r="AW154" i="1"/>
  <c r="AW142" i="1"/>
  <c r="AU126" i="1"/>
  <c r="AU98" i="1"/>
  <c r="AV98" i="1"/>
  <c r="AW98" i="1"/>
  <c r="AU56" i="1"/>
  <c r="AV56" i="1"/>
  <c r="AW56" i="1"/>
  <c r="AU130" i="1"/>
  <c r="AV130" i="1"/>
  <c r="AW130" i="1"/>
  <c r="AU116" i="1"/>
  <c r="AU73" i="1"/>
  <c r="AV73" i="1"/>
  <c r="AW73" i="1"/>
  <c r="AV69" i="1"/>
  <c r="AW69" i="1"/>
  <c r="AV220" i="1"/>
  <c r="AW220" i="1"/>
  <c r="AU195" i="1"/>
  <c r="AV195" i="1"/>
  <c r="AW195" i="1"/>
  <c r="AU160" i="1"/>
  <c r="AV160" i="1"/>
  <c r="AW160" i="1"/>
  <c r="AU134" i="1"/>
  <c r="AW134" i="1"/>
  <c r="AU110" i="1"/>
  <c r="AV110" i="1"/>
  <c r="AW110" i="1"/>
  <c r="AU86" i="1"/>
  <c r="AV86" i="1"/>
  <c r="AW86" i="1"/>
  <c r="AU38" i="1"/>
  <c r="AV38" i="1"/>
  <c r="AW38" i="1"/>
  <c r="AU34" i="1"/>
  <c r="AV34" i="1"/>
  <c r="AW34" i="1"/>
  <c r="AU150" i="1"/>
  <c r="AV150" i="1"/>
  <c r="AW150" i="1"/>
  <c r="AU138" i="1"/>
  <c r="AW138" i="1"/>
  <c r="AU64" i="1"/>
  <c r="AU51" i="1"/>
  <c r="AV51" i="1"/>
  <c r="AW51" i="1"/>
  <c r="AU146" i="1"/>
  <c r="AW146" i="1"/>
  <c r="AU105" i="1"/>
  <c r="AV105" i="1"/>
  <c r="AW105" i="1"/>
  <c r="AU68" i="1"/>
  <c r="AV68" i="1"/>
  <c r="AW68" i="1"/>
  <c r="AV64" i="1"/>
  <c r="AW64" i="1"/>
  <c r="AV412" i="1"/>
  <c r="AW219" i="1"/>
  <c r="AW211" i="1"/>
  <c r="AW194" i="1"/>
  <c r="AV171" i="1"/>
  <c r="AW159" i="1"/>
  <c r="AU153" i="1"/>
  <c r="AW153" i="1"/>
  <c r="AU125" i="1"/>
  <c r="AV125" i="1"/>
  <c r="AW125" i="1"/>
  <c r="AU115" i="1"/>
  <c r="AV115" i="1"/>
  <c r="AW115" i="1"/>
  <c r="AU101" i="1"/>
  <c r="AU81" i="1"/>
  <c r="AV81" i="1"/>
  <c r="AW81" i="1"/>
  <c r="AU33" i="1"/>
  <c r="AV33" i="1"/>
  <c r="AW33" i="1"/>
  <c r="AU180" i="1"/>
  <c r="AV180" i="1"/>
  <c r="AW180" i="1"/>
  <c r="AV159" i="1"/>
  <c r="AW156" i="1"/>
  <c r="AU133" i="1"/>
  <c r="AV133" i="1"/>
  <c r="AW133" i="1"/>
  <c r="AU93" i="1"/>
  <c r="AV93" i="1"/>
  <c r="AW93" i="1"/>
  <c r="AU46" i="1"/>
  <c r="AW46" i="1"/>
  <c r="AU200" i="1"/>
  <c r="AV200" i="1"/>
  <c r="AW200" i="1"/>
  <c r="AW191" i="1"/>
  <c r="AV156" i="1"/>
  <c r="AW152" i="1"/>
  <c r="AU120" i="1"/>
  <c r="AV120" i="1"/>
  <c r="AW120" i="1"/>
  <c r="AU63" i="1"/>
  <c r="AV63" i="1"/>
  <c r="AW63" i="1"/>
  <c r="AV59" i="1"/>
  <c r="AW59" i="1"/>
  <c r="AV46" i="1"/>
  <c r="AW369" i="1"/>
  <c r="AW364" i="1"/>
  <c r="AW359" i="1"/>
  <c r="AW354" i="1"/>
  <c r="AW349" i="1"/>
  <c r="AW344" i="1"/>
  <c r="AW339" i="1"/>
  <c r="AW334" i="1"/>
  <c r="AW329" i="1"/>
  <c r="AW324" i="1"/>
  <c r="AW319" i="1"/>
  <c r="AW314" i="1"/>
  <c r="AW309" i="1"/>
  <c r="AW304" i="1"/>
  <c r="AW299" i="1"/>
  <c r="AW294" i="1"/>
  <c r="AW289" i="1"/>
  <c r="AW284" i="1"/>
  <c r="AW279" i="1"/>
  <c r="AW274" i="1"/>
  <c r="AW269" i="1"/>
  <c r="AW264" i="1"/>
  <c r="AW259" i="1"/>
  <c r="AW254" i="1"/>
  <c r="AW249" i="1"/>
  <c r="AW244" i="1"/>
  <c r="AW239" i="1"/>
  <c r="AW234" i="1"/>
  <c r="AW229" i="1"/>
  <c r="AW224" i="1"/>
  <c r="AW216" i="1"/>
  <c r="AV191" i="1"/>
  <c r="AW188" i="1"/>
  <c r="AW182" i="1"/>
  <c r="AU165" i="1"/>
  <c r="AV165" i="1"/>
  <c r="AW165" i="1"/>
  <c r="AV152" i="1"/>
  <c r="AU149" i="1"/>
  <c r="AW149" i="1"/>
  <c r="AW132" i="1"/>
  <c r="AU114" i="1"/>
  <c r="AU76" i="1"/>
  <c r="AV76" i="1"/>
  <c r="AW76" i="1"/>
  <c r="AV369" i="1"/>
  <c r="AV364" i="1"/>
  <c r="AV359" i="1"/>
  <c r="AV354" i="1"/>
  <c r="AV349" i="1"/>
  <c r="AV344" i="1"/>
  <c r="AV339" i="1"/>
  <c r="AV334" i="1"/>
  <c r="AV329" i="1"/>
  <c r="AV324" i="1"/>
  <c r="AV319" i="1"/>
  <c r="AV314" i="1"/>
  <c r="AV309" i="1"/>
  <c r="AV304" i="1"/>
  <c r="AV299" i="1"/>
  <c r="AV294" i="1"/>
  <c r="AV289" i="1"/>
  <c r="AV284" i="1"/>
  <c r="AV279" i="1"/>
  <c r="AV274" i="1"/>
  <c r="AV269" i="1"/>
  <c r="AV264" i="1"/>
  <c r="AV259" i="1"/>
  <c r="AV254" i="1"/>
  <c r="AV249" i="1"/>
  <c r="AV244" i="1"/>
  <c r="AV239" i="1"/>
  <c r="AV234" i="1"/>
  <c r="AV229" i="1"/>
  <c r="AV224" i="1"/>
  <c r="AV216" i="1"/>
  <c r="AW202" i="1"/>
  <c r="AV188" i="1"/>
  <c r="AV182" i="1"/>
  <c r="AW179" i="1"/>
  <c r="AU145" i="1"/>
  <c r="AV145" i="1"/>
  <c r="AW145" i="1"/>
  <c r="AU141" i="1"/>
  <c r="AW141" i="1"/>
  <c r="AV132" i="1"/>
  <c r="AU124" i="1"/>
  <c r="AU54" i="1"/>
  <c r="AU41" i="1"/>
  <c r="AW41" i="1"/>
  <c r="AU119" i="1"/>
  <c r="AU100" i="1"/>
  <c r="AV100" i="1"/>
  <c r="AW100" i="1"/>
  <c r="AU58" i="1"/>
  <c r="AV58" i="1"/>
  <c r="AW58" i="1"/>
  <c r="AV54" i="1"/>
  <c r="AW54" i="1"/>
  <c r="AU23" i="1"/>
  <c r="AW23" i="1"/>
  <c r="AU19" i="1"/>
  <c r="AU4" i="1"/>
  <c r="AW4" i="1"/>
  <c r="AU11" i="1"/>
  <c r="AW11" i="1"/>
  <c r="AU26" i="1"/>
  <c r="AW26" i="1"/>
  <c r="AU15" i="1"/>
  <c r="AW15" i="1"/>
  <c r="AU7" i="1"/>
  <c r="AW7" i="1"/>
  <c r="AW29" i="1"/>
  <c r="AU22" i="1"/>
  <c r="AW22" i="1"/>
  <c r="AW129" i="1"/>
  <c r="AW124" i="1"/>
  <c r="AW119" i="1"/>
  <c r="AW114" i="1"/>
  <c r="AW109" i="1"/>
  <c r="AW104" i="1"/>
  <c r="AW99" i="1"/>
  <c r="AW94" i="1"/>
  <c r="AW89" i="1"/>
  <c r="AW84" i="1"/>
  <c r="AW79" i="1"/>
  <c r="AW74" i="1"/>
  <c r="AV29" i="1"/>
  <c r="AU3" i="1"/>
  <c r="AW3" i="1"/>
  <c r="AV25" i="1"/>
  <c r="AU18" i="1"/>
  <c r="AW18" i="1"/>
  <c r="AU10" i="1"/>
  <c r="AW10" i="1"/>
  <c r="AU14" i="1"/>
  <c r="AW14" i="1"/>
  <c r="AU6" i="1"/>
  <c r="AW6" i="1"/>
  <c r="AW131" i="1"/>
  <c r="AW126" i="1"/>
  <c r="AW121" i="1"/>
  <c r="AW116" i="1"/>
  <c r="AW111" i="1"/>
  <c r="AW106" i="1"/>
  <c r="AW101" i="1"/>
  <c r="AW96" i="1"/>
  <c r="AU21" i="1"/>
  <c r="AW21" i="1"/>
  <c r="AU2" i="1"/>
  <c r="AW2" i="1"/>
  <c r="AU17" i="1"/>
  <c r="AW17" i="1"/>
  <c r="AU28" i="1"/>
  <c r="AW28" i="1"/>
  <c r="AU13" i="1"/>
  <c r="AW13" i="1"/>
  <c r="AU9" i="1"/>
  <c r="AW9" i="1"/>
  <c r="AU5" i="1"/>
  <c r="AW5" i="1"/>
  <c r="AW24" i="1"/>
  <c r="AU20" i="1"/>
  <c r="AU16" i="1"/>
  <c r="AW16" i="1"/>
  <c r="AW95" i="1"/>
  <c r="AW90" i="1"/>
  <c r="AW85" i="1"/>
  <c r="AW80" i="1"/>
  <c r="AW75" i="1"/>
  <c r="AW70" i="1"/>
  <c r="AW65" i="1"/>
  <c r="AW60" i="1"/>
  <c r="AW55" i="1"/>
  <c r="AW50" i="1"/>
  <c r="AW45" i="1"/>
  <c r="AW40" i="1"/>
  <c r="AW35" i="1"/>
  <c r="AW30" i="1"/>
  <c r="AU27" i="1"/>
  <c r="AW27" i="1"/>
  <c r="AU12" i="1"/>
  <c r="AW12" i="1"/>
  <c r="AV4" i="1"/>
  <c r="AV95" i="1"/>
  <c r="AV90" i="1"/>
  <c r="AV85" i="1"/>
  <c r="AV80" i="1"/>
  <c r="AV75" i="1"/>
  <c r="AV70" i="1"/>
  <c r="AV65" i="1"/>
  <c r="AV60" i="1"/>
  <c r="AV55" i="1"/>
  <c r="AV50" i="1"/>
  <c r="AV45" i="1"/>
  <c r="AV40" i="1"/>
  <c r="AV35" i="1"/>
  <c r="AV30" i="1"/>
  <c r="AV23" i="1"/>
  <c r="AU8" i="1"/>
  <c r="AW8" i="1"/>
  <c r="AV19" i="1"/>
  <c r="AV15" i="1"/>
</calcChain>
</file>

<file path=xl/sharedStrings.xml><?xml version="1.0" encoding="utf-8"?>
<sst xmlns="http://schemas.openxmlformats.org/spreadsheetml/2006/main" count="16358" uniqueCount="9577">
  <si>
    <t>undefined</t>
  </si>
  <si>
    <t>['volatile odours', 'valuable adaptation', 'tracking cues', 'subsequently fly', 'prior experiences', 'locating cryptic', 'host faeces', 'fly upwind', 'females touch', 'even novel', 'evasive hosts', 'direct contact']</t>
  </si>
  <si>
    <t>Parasitic insects use chemical cues to locate their hosts, and prior experiences can modify their responses to these odours1-4. Females of the parasitic wasp Microplitis croceipes experienced by contact with host faeces, orient and fly upwind to odours from their hosts, larvae of the moth Heliothis zea5. We use flight tunnel studies to show that associative learning occurs during encounters with host faeces. When females touch the faeces with their antennae they learn to recognize and subsequently fly to various volatile odours, even novel and otherwise unattractive odours like vanilla, associated with the faeces. They link these volatile odours with a water extractable nonvolatile chemical in the faeces, evidently a host-specific recognition cue. The association of tracking cues with host by-products, without the need for direct contact with the host, is a valuable adaptation for locating cryptic and evasive hosts. ¬© 1988 Nature Publishing Group.</t>
  </si>
  <si>
    <t>257-259</t>
  </si>
  <si>
    <t>Journal</t>
  </si>
  <si>
    <t>Nature</t>
  </si>
  <si>
    <t>60103678-113224668;60103678</t>
  </si>
  <si>
    <t>23080517300;7004749571</t>
  </si>
  <si>
    <t>Lewis, W. J.;Tumlinson, J. H.</t>
  </si>
  <si>
    <t>United States;United States</t>
  </si>
  <si>
    <t>Gainesville;</t>
  </si>
  <si>
    <t>USDA Agricultural Research Service, Gainesville;TIFTON</t>
  </si>
  <si>
    <t>60103678;113224668</t>
  </si>
  <si>
    <t>Lewis W.</t>
  </si>
  <si>
    <t>Article</t>
  </si>
  <si>
    <t>ar</t>
  </si>
  <si>
    <t>Host detection by chemically mediated associative learning in a parasitic wasp</t>
  </si>
  <si>
    <t>10.1038/331257a0</t>
  </si>
  <si>
    <t>2-s2.0-0000260652</t>
  </si>
  <si>
    <t>n</t>
  </si>
  <si>
    <t>U.S. Department of Energy</t>
  </si>
  <si>
    <t>USDOE</t>
  </si>
  <si>
    <t>['¬© 1988', 'total abundance', 'three lhc', 'simple procedure', 'reaction centers', 'rc ii', 'range 70', 'pigment composition', 'lower chlorophyll', 'light cells', 'lhc ii', 'individual lhc', 'harvesting apparatus', 'green algae', 'examine changes', 'differential accumulation', 'detecting irradiance', 'dependent changes', 'corresponding light', 'cellular content', 'b content', 'antibodies raised', 'adaptive changes', 'acta 891', '32 kda', '31 kda', '30 %.', '215 ).', '2 ¬∑', '., bennett']</t>
  </si>
  <si>
    <t>(D. tertiolecta) | Light harvesting complex apoprotein | Light level | Reaction center</t>
  </si>
  <si>
    <t>The marine chlorophyte Dunaliella tertiolecta responds to increased growth irradiance (in the range 70-1900 Œºmol quanta¬∑m-2¬∑s-1) by decreasing its cellular content of reaction centers I and II by as much as 75% (Sukenik, A., Bennett, J. and Falkowski, P.G. (1987) Biochim. Biophys. Acta 891, 205-215). We have used Western blot techniques and antibodies raised against homologous pea proteins to examine changes in the concentration of the corresponding light-harvesting antenna complexes, LHC I and LHC II. Three LHC I apoproteins (22, 27.5 and 32 kDa) and four LHC II apoproteins (24.5, 28.5, 30 and 31 kDa) were detected. With increasing growth irradiance, the 22 and 27.5 kDa LHC I apoproteins and the 30 and 31 kDa LHC II apoproteins declined in parallel with RC I and RC II. In contrast, the 32 kDa LHC I apoprotein remained equally abundant per cell at all irradiances and the 28.5 kDa II apoprotein declined by only 30%. The fact that purified LHC II extracted from high-light cells (1200 Œºmol quanta¬∑m-2¬∑s-1) contained a lower chlorophyll (Chl) b content than LHC II purified from low-light cells (70 Œºmol quanta¬∑m-2¬∑s-1) suggests that the LHC II apoproteins differ in their capacity to bind Chl b. We conclude that photo-adaptive changes in pigment composition in D. tertiolecta are brought about not only by changes in the total abundance of LHC I and LHC II, but also by differential accumulation of individual LHC I and LHC II apoproteins. A simple procedure for detecting irradiance-dependent changes in the light-harvesting apparatus of other green algae is presented. ¬© 1988.</t>
  </si>
  <si>
    <t>206-215</t>
  </si>
  <si>
    <t>C</t>
  </si>
  <si>
    <t>BBA - Bioenergetics</t>
  </si>
  <si>
    <t>60006221;60006221;60006221</t>
  </si>
  <si>
    <t>57207605213;7404252335;7005554445</t>
  </si>
  <si>
    <t>Sukenik, Assaf;Bennett, John;Falkowski, Paul</t>
  </si>
  <si>
    <t>United States</t>
  </si>
  <si>
    <t>Upton</t>
  </si>
  <si>
    <t>Brookhaven National Laboratory</t>
  </si>
  <si>
    <t>Sukenik A.</t>
  </si>
  <si>
    <t>Changes in the abundance of individual apoproteins of light-harvesting chlorophyll a b-protein complexes of Photosystem I and II with growth irradiance in the marine chlorophyte Dunaliella tertiolecta</t>
  </si>
  <si>
    <t>10.1016/0005-2728(88)90157-0</t>
  </si>
  <si>
    <t>2-s2.0-0000525896</t>
  </si>
  <si>
    <t>['¬© 1988', 'wave detector', 'type antennas', 'sensitive weber', 'prototype gravitational', 'measured noise', 'light power', 'khz bandwidth', 'best sensitivity', 'astrophysical interest', 'arms 30', '6 khz', '3 km', '23 w']</t>
  </si>
  <si>
    <t>The prototype gravitational-wave detector at Garching is described: in a laser-illuminated Michelson interferometer having arms 30 m in length, a folded optical path of 3 km is realized. The origin, action, and magnitude of possible noise sources are given. The agreement between the expected and measured noise is good. For a band of astrophysical interest, extending from 1 to 6 kHz, the quantum shot noise corresponding to a light power of P=0.23 W is dominant. In terms of the dimensionless strain h the best sensitivity in a 1-kHz bandwidth is h=3√ó10-18, comparable to the most sensitive Weber-bar-type antennas. ¬© 1988 The American Physical Society.</t>
  </si>
  <si>
    <t>423-432</t>
  </si>
  <si>
    <t>Physical Review D</t>
  </si>
  <si>
    <t>60029010;60029010;60029010;60029010;60029010;60029010</t>
  </si>
  <si>
    <t>35227981500;7201388753;6507315405;35228243000;7801503124;6504170673</t>
  </si>
  <si>
    <t>Shoemaker, D.;Schilling, R.;Schnupp, L.;Winkler, W.;Maischberger, K.;RÃàdiger, A.</t>
  </si>
  <si>
    <t>Germany</t>
  </si>
  <si>
    <t>Garching bei Munchen</t>
  </si>
  <si>
    <t>Max Planck Institute of Quantum Optics</t>
  </si>
  <si>
    <t>Shoemaker D.</t>
  </si>
  <si>
    <t>Noise behavior of the Garching 30-meter prototype gravitational-wave detector</t>
  </si>
  <si>
    <t>10.1103/PhysRevD.38.423</t>
  </si>
  <si>
    <t>2-s2.0-0000760731</t>
  </si>
  <si>
    <t>['¬© 1988', 'waveguide feeds', 'wall permittivity', 'surface waves', 'rights reserved', 'reduced size', 'loaded representations', 'hard horns', 'gain increases', 'electrical engineers', 'crosspolar bandwidth', 'cluster feeds', 'circular symmetry', 'aperture efficiency']</t>
  </si>
  <si>
    <t>Antenna arrays | Antenna feeders | Antennas | Waveguide components</t>
  </si>
  <si>
    <t>Hard horns or waveguide feeds with circular symmetry have been studied with respect to gain (aperture efficiency) and crosspolarisation. The corrugated or strip-loaded representations of these feeds give almost identical radiation properties when surface waves are neglected. The contribution from the wall region increases the gain and crosspolar bandwidth of the feed. The gain increases and the crosspolar bandwidth decreases with increasing waveguide diameter and wall permittivity. The hard horns may be useful in cluster feeds and limited scan arrays due to reduced size and weight. ¬© 1988, The Institution of Electrical Engineers. All rights reserved.</t>
  </si>
  <si>
    <t>166-167</t>
  </si>
  <si>
    <t>Electronics Letters</t>
  </si>
  <si>
    <t>Lier, E.</t>
  </si>
  <si>
    <t>Norway</t>
  </si>
  <si>
    <t>Trondheim</t>
  </si>
  <si>
    <t>Norges Teknisk-Naturvitenskapelige Universitet</t>
  </si>
  <si>
    <t>Lier E.</t>
  </si>
  <si>
    <t>Hard Waveguide Feeds with Circular Symmetry for Aperture Efficiency Enhancement</t>
  </si>
  <si>
    <t>10.1049/el:19880110</t>
  </si>
  <si>
    <t>2-s2.0-0000819439</t>
  </si>
  <si>
    <t>['sample array', 'random amplitude', 'power levels', 'phase errors', 'optimized configuration', 'gain drop', 'five groups', 'array performance', 'aperture design', 'also studied', '36 columns', '14 rows']</t>
  </si>
  <si>
    <t>An aperture design for two-dimensional solid state phased arrays to transmit low sidelobes is described. A five-step amplitude distribution for the aperture was optimized by a gradient search method to achieve -36-dB peak sidelobe. The optimized configuration was applied to a sample array of 36 columns by 14 rows, with 400 modules divided into five groups of power levels. The array performance with the actual module lattice structure taken into account is discussed. Gain drop and sidelobe degradations due to random amplitude and phase errors are also studied. ¬© 1988 IEEE</t>
  </si>
  <si>
    <t>339-344</t>
  </si>
  <si>
    <t>0018926X</t>
  </si>
  <si>
    <t>IEEE Transactions on Antennas and Propagation</t>
  </si>
  <si>
    <t>Lee, J. J.</t>
  </si>
  <si>
    <t>Waltham</t>
  </si>
  <si>
    <t>Raytheon</t>
  </si>
  <si>
    <t>Lee J.J.</t>
  </si>
  <si>
    <t>Sidelobes Control of Solid-State Array Antennas</t>
  </si>
  <si>
    <t>10.1109/8.192115</t>
  </si>
  <si>
    <t>2-s2.0-0000838470</t>
  </si>
  <si>
    <t>['‚ äêzenith', 'turbulent contributions', 'power returned', 'power received', 'particularly intense', 'northern norway', 'measurements provide', 'grating lobes', 'copyright 1988', 'aspect sensitivity', 'additional beams', '5 mhz', '38 ¬∞']</t>
  </si>
  <si>
    <t>The mobile SOUSY VHF (53.5 MHz) radar, located near Andenes on the island of Andoya in Northern Norway, has been used to measure the aspect sensitivity of the very strong radar returns obtained from near the summer polar mesopause. This so‚Äêcalled Polar Mesopause Summer Echo (PMSE) exhibits substantial aspect sensitivity, with angular polar diagrams of the backscatter of 2‚Äê10¬∞ half‚Äêwidth for a two day average. During one three hour period, in which the power received in the antenna vertical beam was particularly intense, the grating lobes of the antenna polar diagram were utilized as additional beams, and the power returned at angles of 35 and 38¬∞ off‚Äêzenith was obtained. These measurements provide an estimate of the ratio of the specular to the turbulent contributions to the backscatter. Copyright 1988 by the American Geophysical Union.</t>
  </si>
  <si>
    <t>1259-1262</t>
  </si>
  <si>
    <t>Geophysical Research Letters</t>
  </si>
  <si>
    <t>60017695;60017695;60017695</t>
  </si>
  <si>
    <t>6602773292;7402194289;6603934466</t>
  </si>
  <si>
    <t>Czechowsky, Peter;Reid, Iain M.;R√ºster, R√ºdiger</t>
  </si>
  <si>
    <t>Gottingen</t>
  </si>
  <si>
    <t>Max Planck Institute for Solar System Research</t>
  </si>
  <si>
    <t>Czechowsky P.</t>
  </si>
  <si>
    <t>VHF radar measurements of the aspect sensitivity of the summer polar mesopause echoes over Andenes (69¬∞N,16¬∞E), Norway</t>
  </si>
  <si>
    <t>10.1029/GL015i011p01259</t>
  </si>
  <si>
    <t>2-s2.0-0000895396</t>
  </si>
  <si>
    <t>U.S. Department of Agriculture</t>
  </si>
  <si>
    <t>85-CRCR-1-1577</t>
  </si>
  <si>
    <t>USDA</t>
  </si>
  <si>
    <t>['¬© 1988', 'y11y11 suggest', 'y11y11 mutant', 'y11y11 chloroplasts', 'y11y11 ).', 'wild type', 'two photosystems', 'two mutants', 'two chl', 'thylakoid membranes', 'thylakoid membrane', 'soybean wild', 'slightly smaller', 'photosystem stoichiometry', 'intermediate stage', 'deficient mutants', 'balanced absorption', 'b molecules', 'antenna size', 'altered substantially', '250 chl', '210 chl', '150 chl', '120 chl']</t>
  </si>
  <si>
    <t>(Soybean chloroplast) | Chlorophyll antenna size | Light harvesting complex | Photosystem II heterogeneity | Photosystem stoichiometry</t>
  </si>
  <si>
    <t>The stoichiometry of photochemical reaction centers and the chlorophyll (Chl) antenna size of the photosystems is correlated in thylakoid membranes from soybean wild-type and two Chl-b-deficient mutants (y9y9 and Y11Y11). Thylakoids from mutant plants displayed two characteristic changes in the organization of the photosystems. (a) The light-harvesting Chl antenna of PS IIŒ± was lowered from about 250 Chl a + b in the wild type to about 150 Chl in y9y9, and 140 Chl molecules in the Y11y11 mutant. That of PS IIŒ≤ remained invariant at about 120 Chl a + b molecules in the wild type and y9y9 but was slightly smaller in the Y11y11. The antenna of PS I was lowered from 210 Chl a + b in the wild type to about 160-170 Chl molecules in the two mutants. (b) The photosystem stoichiometry was altered substantially from PS IIŒ±/PS IIŒ≤/PS I = 1.5:0.4:1.0 in the wild type, to 1.6:0.9:1.0 in the y9y9, and 1.6:1.2:1.0 in the Y11y11 chloroplasts. Accumulation of PS IIŒ≤ in the mutant thylakoids correlated with the degree of Chl b deficiency, suggesting that PS IIŒ≤ is an intermediate stage in the development of the mature PS II complex. Moreover, higher PS II/PS I ratios in the thylakoid membrane of y9y9 and Y11y11 suggest a response of the plant in countering the smaller antenna size of PS IIŒ± and establishing a balanced absorption of light by the two photosystems. ¬© 1988.</t>
  </si>
  <si>
    <t>130-137</t>
  </si>
  <si>
    <t>60025038;60025038</t>
  </si>
  <si>
    <t>7004537244;57203081985</t>
  </si>
  <si>
    <t>Ghirardi, Maria L.;Melis, Anastasios</t>
  </si>
  <si>
    <t>Berkeley</t>
  </si>
  <si>
    <t>University of California, Berkeley</t>
  </si>
  <si>
    <t>Ghirardi M.</t>
  </si>
  <si>
    <t>Chlorophyll b deficiency in soybean mutants. I. Effects on photosystem stoichiometry and chlorophyll antenna size</t>
  </si>
  <si>
    <t>10.1016/0005-2728(88)90147-8</t>
  </si>
  <si>
    <t>2-s2.0-0000922394</t>
  </si>
  <si>
    <t>['¬© 1988', 'vertical distribution', 'sufficient flexibility', 'readily examined', 'ray parameters', 'quite flexible', 'qps model', 'pulse length', 'parabolic segments', 'main advantage', 'magnetic field', 'ionospheric layers', 'ionosphere based', 'good description', 'f1 layer', 'f valley', 'empirical model', 'electron concentration', 'e layer', 'ccir models', 'backscatter signals', 'also derived']</t>
  </si>
  <si>
    <t>An empirical model of the vertical distribution of the electron concentration of the ionosphere based on quasi-parabolic segments is presented (QPS model). The model is quite flexible and any number of ionospheric layers, valleys and 'ledges' can be incorporated. Nevertheless, it has been found that options of an E layer, E-F valley, F1 layer and F2 layer provide models of sufficient flexibility to give a good description of true height electron concentration profiles determined from vertical incidence ionograms. In this instance, the basic input parameters required are the same as those used by the CCIR models. The QPS model's main advantage is that it can be used to obtain analytical solutions to ray parameters for propagation in spherically stratified ionospheres when the Earth's magnetic field is neglected. An expression for the power of radio pulses backscattered from the Earth's surface is also derived. This expression enables several effects, including those of the ionosphere, antennas and pulse length, to be readily examined. It is used, together with the QPS model, to illustrate the effects of the ionosphere and antennas on backscatter signals. ¬© 1988.</t>
  </si>
  <si>
    <t>251-262</t>
  </si>
  <si>
    <t>Journal of Atmospheric and Terrestrial Physics</t>
  </si>
  <si>
    <t>60006925;60019578</t>
  </si>
  <si>
    <t>24545701600;57207098435</t>
  </si>
  <si>
    <t>Dyson, P. L.;Bennett, J. A.</t>
  </si>
  <si>
    <t>Australia;Australia</t>
  </si>
  <si>
    <t>Melbourne;Melbourne</t>
  </si>
  <si>
    <t>Monash University;La Trobe University</t>
  </si>
  <si>
    <t>60019578;60006925</t>
  </si>
  <si>
    <t>Dyson P.L.</t>
  </si>
  <si>
    <t>A model of the vertical distribution of the electron concentration in the ionosphere and its application to oblique propagation studies</t>
  </si>
  <si>
    <t>10.1016/0021-9169(88)90074-8</t>
  </si>
  <si>
    <t>2-s2.0-0001308096</t>
  </si>
  <si>
    <t>['¬© 1988', 'system components', 'synaptic contacts', 'synaptic complexes', 'postembryonic development', 'neuronal organization', 'neuron projection', 'motor center', 'individual identifiability', 'identified glomeruli', 'hemimetabolous insects', 'glomeruli ),', 'glomerular levels', 'functional significance', 'distal segments', 'deutocerebral neurons', 'columnar organization', 'antennal sensilla', 'antennal mechanosensory', 'antennal lobe', 'alternative models', 'adult insects']</t>
  </si>
  <si>
    <t>Antenna | antennal lobe | deutocerebrum | glomeruli | olfaction | postembryonic development | sexual dimorphism</t>
  </si>
  <si>
    <t>The structure and postembryonic development of antennae and deutocerebrum in various insect orders are reviewed. First, the number and/or size of system components, i.e. antennal sensilla, neuroreceptors, deutocerebral neurons and synaptic complexes (glomeruli), are compared in adult insects. Second, the neuronal organization of the system is examined. Evidence of projection of the neuroreceptors from the 2 basal antennal segments (scape and pedicel) in the antennal mechanosensory and motor center and from the distal segments (flagellum) in the antennal lobe is discussed. Third, the types of cerebral neurons found in the antennal lobe are described. Fourth, all synaptic contacts between neurons in the antennal lobe take place in discrete glomeruli whose ultrastructure and neurotransmitters are examined. Evidence of individual identifiability of glomeruli is given. Fifth, various sexual dimorphisms present in the antenna and antennal lobe, related or not to sex pheromone perception, are described at sensillar, neuronal, and glomerular levels. Sixth, the postembryonic development of neurons and glomeruli is analyzed in holo- and hemimetabolous insects. In conclusion, the columnar organization of the system is emphasized, alternative models of antennal-neuron projection into glomeruli are considered, and the functional significance of identified glomeruli is discussed. ¬© 1988.</t>
  </si>
  <si>
    <t>243-294</t>
  </si>
  <si>
    <t>International Journal of Insect Morphology and Embryology</t>
  </si>
  <si>
    <t>Rospars, Jean Pierre</t>
  </si>
  <si>
    <t>France</t>
  </si>
  <si>
    <t>Versailles</t>
  </si>
  <si>
    <t>Centre de recherche √éle-de-France-Versailles - Grignon</t>
  </si>
  <si>
    <t>Rospars J.P.</t>
  </si>
  <si>
    <t>Structure and development of the insect antennodeutocerebral system</t>
  </si>
  <si>
    <t>0020-7322(88)90041-4</t>
  </si>
  <si>
    <t>10.1016/0020-7322(88)90041-4</t>
  </si>
  <si>
    <t>2-s2.0-0001320581</t>
  </si>
  <si>
    <t>['¬© 1988', 'soft surfaces', 'sectional shape', 'rights reserved', 'electrical engineers', 'common name', 'alternative surfaces']</t>
  </si>
  <si>
    <t>Antenna theory | Antennas | Electromagnetic field theory | EM waves</t>
  </si>
  <si>
    <t>The widely used transversely corrugated surfaces and other alternative surfaces having the same anisotropic surface impedance deserve a common name. Here it is proposed to call them soft surfaces by analogy with the soft surfaces in acoustics. In the same way artificially hard surfaces are defined. Cylindrical hard waveguides of any cross-sectional shape can support TEM waves. ¬© 1988, The Institution of Electrical Engineers. All rights reserved.</t>
  </si>
  <si>
    <t>168-170</t>
  </si>
  <si>
    <t>Kildal, P. S.</t>
  </si>
  <si>
    <t>Kildal P.</t>
  </si>
  <si>
    <t>Definition of Artificially Soft and Hard Surfaces for Electromagnetic Waves</t>
  </si>
  <si>
    <t>10.1049/el:19880112</t>
  </si>
  <si>
    <t>2-s2.0-0001331670</t>
  </si>
  <si>
    <t>['two kinds', 'time profile', 'three types', 'respective layers', 'rapid rise', 'picosecond time', 'outer surface', 'inner layer', 'individual pigments', 'fluorescence rise', 'excitation transfer', 'energy donor', 'emitted sequentially', 'dipole interaction', 'decay curves', 'cyanine dyes', 'chlorophyll system', 'artificial langmuir', '1 ns']</t>
  </si>
  <si>
    <t>The electronic excitation transfer via dipole-dipole interaction has been studied with two kinds of stacking multilayer architectures: a biological photosynthetic antenna and an artificial Langmuir-Blodgett (LB) film. The layer-to-layer sequential excitation transport was observed by means of a picosecond time-resolved fluorescence spectrophotometer. Commonly to the phycobilin-chlorophyll system of algae and the LB multilayers containing carbazole and three types of cyanine dyes as energy donor and acceptors, the fluorescence is emitted sequentially from respective layers during 0.5-1 ns, associated with the excitation transfer from the outer surface to the inner layer. The fluorescence rise and decay curves of individual pigments are characterized by a rapid rise in the acceptor but considerably slower decay in the donor. Such time profile of the sequential energy transport can be fitted to an equation of exp(-2kt1/2) type. ¬© 1988 American Chemical Society.</t>
  </si>
  <si>
    <t>5035-5044</t>
  </si>
  <si>
    <t>Journal of Physical Chemistry</t>
  </si>
  <si>
    <t>60033235-60014652;60033235;60033235-60014652;60028586;60028586;60028586</t>
  </si>
  <si>
    <t>24586425300;7006772993;35396822600;7202094233;7006461138;35462746400</t>
  </si>
  <si>
    <t>Yamazaki, Iwao;Tamai, Naoto;Yamazaki, Tomoko;Murakami, Akio;Mimuro, Mamoru;Fujita, Yoshihiko</t>
  </si>
  <si>
    <t>Japan;Japan;Japan</t>
  </si>
  <si>
    <t>Okazaki;Okazaki;Sapporo</t>
  </si>
  <si>
    <t>National Institutes of Natural Sciences - Institute for Molecular Science;National Institutes of Natural Sciences - National Institute for Basic Biology;Hokkaido University</t>
  </si>
  <si>
    <t>60033235;60028586;60014652</t>
  </si>
  <si>
    <t>Yamazaki I.</t>
  </si>
  <si>
    <t>Sequential excitation energy transport in stacking multilayers: Comparative study between photosynthetic antenna and Langmuir-Blodgett multilayers</t>
  </si>
  <si>
    <t>10.1021/j100328a041</t>
  </si>
  <si>
    <t>2-s2.0-0001391183</t>
  </si>
  <si>
    <t>['results indicate', 'methyl benzoate', 'male antennae', 'major component', 'l .)', 'female moths']</t>
  </si>
  <si>
    <t>The moth Cydia strobilella (L.) oviposits on flowers of the coniferous tree Picea abies (L.) Karst. Limonene, a major component of P. abies twig odours, elicited the highest EAG‚Äêresponses. Further, female antennae responded more strongly than male antennae to the flower compounds methyl salicylate and methyl benzoate. The results indicate that plant chemicals might be used by the female moths to find the flowers of their host for oviposition. Elektroantcnnogramm‚ÄêReaktion von Cydia strobilella (L.) (Lep., Tortricidac) auf Bl√ºten und Zweige von Picea abies (L.) Karst. Cydia strobilella legt ihre Eier in ehe Bl√ºte von Picea abies. Limonen, die Hauptgeruchskomponente der Fichtenzweige, ruft die h√∂chste EAG‚ÄêReaktion hervor. Des weiteren konnte festgestellt werden, da√ü weibliche Antennen st√§rker auf die Bl√ºtenkomponenten Methvl‚ÄêSahcylat und Mcthyl‚ÄêBenzoat reagieren. Die Ergebnisse deuten an, da√ü die Weibchen m√∂glicherweise die Bl√ºten des Wirtsbaumes mit Hilfe der Pflanzeninhaltsstoffe finden k√∂nnten. 1988 Blackwell Verlag GmbH</t>
  </si>
  <si>
    <t>314-316</t>
  </si>
  <si>
    <t>Journal of Applied Entomology</t>
  </si>
  <si>
    <t>January/December 1988</t>
  </si>
  <si>
    <t>60027152-60002014;60027152-60002014;60027152-60002014</t>
  </si>
  <si>
    <t>6602454604;24460022000;56424019000</t>
  </si>
  <si>
    <t>√ÖHman, I.;Wiersma, N.;Lindstr√∂m, M.</t>
  </si>
  <si>
    <t>Sweden;Sweden</t>
  </si>
  <si>
    <t>Uppsala;Stockholm</t>
  </si>
  <si>
    <t>Sveriges lantbruksuniversitet;The Royal Institute of Technology (KTH)</t>
  </si>
  <si>
    <t>60027152;60002014</t>
  </si>
  <si>
    <t>√ÖHman I.</t>
  </si>
  <si>
    <t>Electroantennogram responses in Cydia strobilella (L.) (Lep., Tortricidae) to flower and twig odours of its host Picea abies (L.) Karst.</t>
  </si>
  <si>
    <t>10.1111/j.1439-0418.1988.tb00192.x</t>
  </si>
  <si>
    <t>2-s2.0-0001483884</t>
  </si>
  <si>
    <t>['¬© 1988', 'usually oval', 'transduction process', 'structures along', 'simple method', 'sensitive dendrites', 'male antenna', 'length compared', 'large pheromone', 'fibre diameter', 'dendritic length', 'dendrite accompany', 'contrast illumination', 'chemical fixation', 'antheraea polyphemus', '5 œºm', '3 œºm', '1 œºm']</t>
  </si>
  <si>
    <t>Antenna | living dendrites | Lucifer yellow</t>
  </si>
  <si>
    <t>Variation in dendritic diameter giving a distinct nodal appearance is a feature of arthropod olfactory dendrites. The morphology of such nodes on the large pheromone-sensitive dendrites of the long olfactory hairs of the male antenna of the silkmoth, Antheraea polyphemus (Lepidoptera : Saturniidae) has been investigated at the light microscopical level using Lucifer yellow and osmium-gallate staining methods. A simple method for obtaining living dendrites for observation under phase-contrast illumination was developed. Large conspicuous nodes, usually oval in shape, about 1 Œºm in diameter and 3 Œºm in length compared to the axis-fibre diameter of about 0.5 Œºm, were demonstrated, which are not artifacts of chemical fixation. Movement of these structures along the dendritic length has been observed. This study has established a suitable cellular preparation as a prelude to determining whether morphologically observed changes in the dendrite accompany and play a role in receptor cell physiology in general or in the transduction process in particular. ¬© 1988.</t>
  </si>
  <si>
    <t>145-151</t>
  </si>
  <si>
    <t>Williams, J. L.D.</t>
  </si>
  <si>
    <t>Pocking</t>
  </si>
  <si>
    <t>Max Planck Institute for Ornithology</t>
  </si>
  <si>
    <t>Williams J.</t>
  </si>
  <si>
    <t>Nodes on the large pheromone-sensitive dendrites of olfactory hairs of the male silkmoth, Antheraea polyphemus (Cramer) (Lepidoptera : Saturniidae)</t>
  </si>
  <si>
    <t>0020-7322(88)90008-6</t>
  </si>
  <si>
    <t>10.1016/0020-7322(88)90008-6</t>
  </si>
  <si>
    <t>2-s2.0-0001540413</t>
  </si>
  <si>
    <t>['unsaturated alcohols', 'significantly greater', 'selective sensitivity', 'primary alcohols', 'male antennae', 'leaf volatiles', 'leaf odor', 'large degree', 'known volatiles', 'general green', 'foraging behavior', 'five functional', 'eag responses', 'compounds tested', 'aldehydes peaking', 'acids peaking', 'acetates peaking']</t>
  </si>
  <si>
    <t>Ceratitis capitata | Diptera | electroantennogram | electrophysiology | fruit volatiles | green-leaf volatiles | Mediterranean fruit fly | olfaction | plant volatiles | Tephritidae</t>
  </si>
  <si>
    <t>Electroantennograms (EAGs) were recorded from unmated, laboratory-reared, male and female Ceratitis capitata (medfly) in response to a range of C1 and C2 to C12 carbon chain-length aliphatic alcohols, aldehydes, acetates, and acids, and lactones, some of which are known volatiles from leaves and fruits. A large degree of EAG response uniformity between the sexes was observed, with only eight of the 70 compounds tested eliciting significantly larger amplitude EAG responses from female than male antennae. In general, for the five functional-group series tested, aldehydes and alcohols elicited greater responses than acetates, lactones, and acids. The unsaturated alcohols, aldehydes, acetates, and acids elicited equal or larger amplitude EAG responses than their comparable saturated compounds. For four of the functional-group series tested, the EAG response amplitude was significantly greater for a particular carbon chain length, with responsiveness to primary alcohols and aldehydes peaking at C6, acids peaking at C5-6, and acetates peaking at both C5 and C8. The EAG responses to both the 2- and 3-position monoenic alcohols peaked at C6 and C8, while the secondary alcohols peaked at C7. The greatest EAG responses of all compounds tested were elicited by monoenic C6 alcohols and aldehydes that are constituents of the "general green-leaf odor" that emanates from most plants. The potential adaptive benefit of selective sensitivity to green-leaf volatiles is discussed in regard to foraging behavior of medflies. ¬© 1988 Plenum Publishing Corporation.</t>
  </si>
  <si>
    <t>159-180</t>
  </si>
  <si>
    <t>Journal of Chemical Ecology</t>
  </si>
  <si>
    <t>60022600;60032280;100784566</t>
  </si>
  <si>
    <t>7102068858;7006157410;7102100454</t>
  </si>
  <si>
    <t>Light, Douglas M.;Jang, Eric B.;Dickens, Joseph C.</t>
  </si>
  <si>
    <t>United States;United States;United States</t>
  </si>
  <si>
    <t>Washington, D.C.;Albany;</t>
  </si>
  <si>
    <t>United States Department of Agriculture;USDA ARS Western Regional Research Center (WRRC);Boll Weevil Research Laboratory</t>
  </si>
  <si>
    <t>60032280;60022600;100784566</t>
  </si>
  <si>
    <t>Light D.</t>
  </si>
  <si>
    <t>Electroantennogram responses of the mediterranean fruit fly, Ceratitis capitata, to a spectrum of plant volatiles</t>
  </si>
  <si>
    <t>10.1007/BF01022539</t>
  </si>
  <si>
    <t>2-s2.0-0001738494</t>
  </si>
  <si>
    <t>['‚ üó', '¬© 1988', 'total number', 'sexual maturity', 'sexes tended', 'sexes increased', 'second antenna', 'rights reserved', 'population growth', 'maximum values', 'life stages', 'later stages', 'japanese society', 'intermolt period', 'higher temperatures', 'generally higher', 'flagellar segments', 'five temperatures', 'fisheries science', 'body length', 'average number', '8 mm', '5 individuals', '4th instar', '2mm ).', '11th instar', '10th instar', '0 days']</t>
  </si>
  <si>
    <t>The individual of population growth and breeding of the hyalid amphipod Hyale barbicornis were examined at five temperatures of 12, 16, 20, 24 and 28¬∞C in the laboratory. Males and females attained sexual maturity at the 10th instar (molted 9 times) and at the 11th instar (molted 10 times), respectively. The age and size at the time of sexual maturity in both sexes tended to decrease with increasing temperatures (√∞: 35.0-109.0 days, 5.9-7.8 mm; ‚Üó: 31.8-51.0 days, 6.8-7.2mm). The daily growth rate of body length was higher in males than in females at all life stages. From hatching to sexual maturity, the daily growth rate was generally higher than at later stages. The intermolt period was shorter at higher temperatures. Maximum values of the average number of broods and the total number of offsprings per female throughout the life were 6.0 at 20¬∞C and 67.5 individuals at 16¬∞C, respectively. The number of flagellar segments of the second antenna of all the individuals of both sexes increased by a segment per molt until the 4th instar (six segments). ¬© 1988, The Japanese Society of Fisheries Science. All rights reserved.</t>
  </si>
  <si>
    <t>39-43</t>
  </si>
  <si>
    <t>1349998X</t>
  </si>
  <si>
    <t>Nippon Suisan Gakkaishi (Japanese Edition)</t>
  </si>
  <si>
    <t>;101559437</t>
  </si>
  <si>
    <t>6603199988;7003921557</t>
  </si>
  <si>
    <t>Hiwatari, Takehiko;Kajihara, Takeshi</t>
  </si>
  <si>
    <t>Japan</t>
  </si>
  <si>
    <t>Tokyo</t>
  </si>
  <si>
    <t>Environmental Biology Research Center Co. Ltd.</t>
  </si>
  <si>
    <t>Hiwatari T.</t>
  </si>
  <si>
    <t>Experimental Studies on the Growth and Breeding of Hyale barbicornis (Amphipoda, Crustacea) at Different Temperatures</t>
  </si>
  <si>
    <t>10.2331/suisan.54.39</t>
  </si>
  <si>
    <t>2-s2.0-0001856830</t>
  </si>
  <si>
    <t>['two species', 'trihoplusia ni', 'trapping assays', 'thus believed', 'sensilla contains', 'second class', 'sbl gland', 'responsive exclusively', 'receptor neurons', 'pseudoplusia includens', 'powerful inhibitor', 'pheromone blend', 'one class', 'ol acetate', 'oh ).', 'minor components', 'minor component', 'male sbl', 'major component', 'isolation processes', 'integral role', 'individual components', 'fixed amounts', 'electrical activity', 'effective stimulus', 'earlier observations', 'difference observed', 'cabbage looper', 'another species', 'ac ),']</t>
  </si>
  <si>
    <t>electrophysiology | Noctuidae | olfactory receptor neurons | perception | pheromone | Plusiinae | Pseudoplusia includens | reproductive isolation | Trichoplusia ni</t>
  </si>
  <si>
    <t>The electrical activity of single olfactory receptor neurons in male soybean looper (SBL) Pseudoplusia includens (Walker) and cabbage looper (CL) Trihoplusia ni (H√ºbner) moths was evaluated in response to stimulation with fixed amounts of the individual components of their respective pheromone blends. In common with earlier observations in the CL, there are at least two classes of morphologically distinct pheromone sensitive sensilla on the antenna of male SBL, each of which contains two olfactory receptor neurons. In both species, one class of sensilla contains an olfactory receptor neuron sensitive to (Z)-7-dodecen-1-ol acetate (Z-7, 12:AC), the major component in each insect's blend, and a companion receptor neuron which is sensitive to (Z)-7-dodecen-1-ol (Z7,12: OH). In both species the second class of sensilla contains an olfactory receptor neuron which is sensitive to one of the minor components of the pheromone blend. (Z)-5-dodecen-1-ol acetate (Z-5,12:AC) is an effective stimulus in SBL, whereas (Z)-7-tetradecen-1-ol acetate (Z-7,14:AC) is an effective stimulus in CL. However, these two stimulatory compounds have been identified only in the female CL gland; neither has been found in the SBL gland. Thus, in contrast to the CL, which has receptor neurons which are responsive exclusively to conspecific pheromone components, the SBL has a class of receptor neurons which is responsive to a minor component of another species' pheromone blend. Field-trapping assays in which Z-5,12:AC is added to the SBL blend suggest that this single CL component is a powerful inhibitor of male SBL behavioral responses to conspecific pheromone blends. The difference observed in the specificity of the receptor neurons in this second class of sensilla are thus believed to play an integral role in the isolation processes that are maintained between these two species and may well account for the observed behavioral differences in their responses to heterospecific pheromone blends. ¬© 1988 Plenum Publishing Corporation.</t>
  </si>
  <si>
    <t>75-96</t>
  </si>
  <si>
    <t>Journal of Insect Behavior</t>
  </si>
  <si>
    <t>60000986;60000986;60013610</t>
  </si>
  <si>
    <t>7402445350;7103138825;7102406627</t>
  </si>
  <si>
    <t>Grant, Alan J.;O'Connell, Robert J.;Hammond, Abner M.</t>
  </si>
  <si>
    <t>Baton Rouge;Worcester</t>
  </si>
  <si>
    <t>LSU Agricultural Center;University of Massachusetts Medical School</t>
  </si>
  <si>
    <t>60013610;60000986</t>
  </si>
  <si>
    <t>Grant A.</t>
  </si>
  <si>
    <t>A comparative study of pheromone perception in two species of Noctuid moths</t>
  </si>
  <si>
    <t>10.1007/BF01052505</t>
  </si>
  <si>
    <t>2-s2.0-0001941147</t>
  </si>
  <si>
    <t>['√¢ les', 'virgin males', 'utilis √©', 'tr √®', 'specialist insect', 'sexual partners', 'sexual attractiveness', 'sex pheromone', 'phaseolus vulgaris', 'par contre', 'occurs earlier', 'male antennae', 'host plant', 'given seeds', 'elles n', 'different ages', 'chez les']</t>
  </si>
  <si>
    <t>Bruchidae | Bruchidae | electroantennograms | host plant | ph√©romone sexuelle | plante‚Äêh√¥te | reproductive regulation | r√©gulation de la reproduction | sex pheromone | √©lectroantennogrammes</t>
  </si>
  <si>
    <t>Odours of female Zabrotes subfasciatus Boh, elicit strong electroantennogram (EAG) responses in their sexual partners. Virgin female insects used in experiments were of different ages and given seeds, or not, of the host plant, Phaseolus vulgaris L. The odours of females which did not get host plant seeds, do not elicit EAG responses in virgin males, until they are at least 6 days old. On the other hand, the release of the sex pheromone as perceived by the male antennae, occurs earlier in the life of females when they are in contact with the host plant's seeds. This suggests that the sexual attractiveness of the females of this specialist insect is probably closely correlated with vitellogenesis. The latter is indeed highly dependent on host plant stimulation. R√©ponses √©lectroantennographiques de Zabrotes subfasciatus aux odeurs du partenaire sexuel Des EAG sont enregistr√©s chez les m√¢les de Zabrotes subfasciatus en r√©ponse √† l'odeur du partenaire sexuel. Les insectes femelles, utilis√©s dans les exp√©riences sont d'√¢ges diff√©rents, vierges et mis en pr√©sence ou non de graines de la plante‚Äêh√¥te, Phaseolus vulgaris. Les odeurs des femelles vierges mises en absence des graines n'√©voquent pas de r√©ponses √©lectroantennographiques chez les m√¢les vierges‚Äîtout au moins tant qu'elles n'ont pas atteint un √¢ge relativement avanc√© (6 jours environ). Par contre, le contact avec les graines de la plante‚Äêh√¥te favorise une √©mission plus pr√©coce de la ph√©ro‚Äêmone sexuelle per√ßue par les antennes des m√¢les. Ceci nous fait supposer que l'attractivit√© sexuelle des femelles est probablement corr√©l√©e √† la vitellogen√®se, elle‚Äêm√™me tr√®s d√©pendante de la stimulation par la plante‚Äêh√¥te chez cet insecte sp√©cialiste. 1988 The Netherlands Entomological Society</t>
  </si>
  <si>
    <t>49-53</t>
  </si>
  <si>
    <t>Entomologia Experimentalis et Applicata</t>
  </si>
  <si>
    <t>60032530;60032530</t>
  </si>
  <si>
    <t>6602352013;6603099985</t>
  </si>
  <si>
    <t>Pimbert, Michel;Pouzat, Jean</t>
  </si>
  <si>
    <t>Tours</t>
  </si>
  <si>
    <t>Universit√© de Tours</t>
  </si>
  <si>
    <t>Pimbert M.</t>
  </si>
  <si>
    <t>Electroantennogram responses of Zabrotes subfasciatus to odours of the sexual partner</t>
  </si>
  <si>
    <t>10.1111/j.1570-7458.1988.tb02281.x</t>
  </si>
  <si>
    <t>2-s2.0-0002125007</t>
  </si>
  <si>
    <t>['southern hemisphere2', 'similar speeds', 'radio maps', 'poor north', 'low declination', 'dramatic improvement', 'angular resolution', '5 ghz', '3c273 obtained', '2 ¬∞)', '1 parsecs']</t>
  </si>
  <si>
    <t>Radio maps of 3C273 obtained with very long baseline interferometry (VLBI) have been limited by low dynamic range and poor north-south resolution resulting from the low declination (2¬∞) of this quasar1. Dramatic improvement can now be achieved using larger arrays and antennas in the Southern Hemisphere2,3. A new VLBI map, made at 5 GHz with angular resolution and dynamic range unsurpassed at this frequency for this source, shows a narrow jet extending to a projected distance lproj‚àº125 h-;1 parsecs from the core. Superluminal motion exists out to at least lproj‚âà46h-1 parsecs. Successive superluminal components emerge from the core and appear to move on a fixed curved path with similar speeds of about 1 milliarcseconds per year. ¬© 1988 Nature Publishing Group.</t>
  </si>
  <si>
    <t>410-412</t>
  </si>
  <si>
    <t>60031581;60031581-60007328;60031581;60026053</t>
  </si>
  <si>
    <t>7004929291;55999022000;7405994388;7103038032</t>
  </si>
  <si>
    <t>Zensus, J. A.;B√•√•th, L. B.;Cohen, M. H.;Nicolson, G. D.</t>
  </si>
  <si>
    <t>United States;South Africa;Sweden</t>
  </si>
  <si>
    <t>Pasadena;Krugersdorp;Onsala</t>
  </si>
  <si>
    <t>California Institute of Technology;Hartebeesthoek Radio Astronomy Observatory;Onsala Space Observatory</t>
  </si>
  <si>
    <t>60031581;60026053;60007328</t>
  </si>
  <si>
    <t>Zensus J.</t>
  </si>
  <si>
    <t>The inner radio jet of 3C273</t>
  </si>
  <si>
    <t>10.1038/334410a0</t>
  </si>
  <si>
    <t>2-s2.0-0003180020</t>
  </si>
  <si>
    <t>Vetenskapsr√•det</t>
  </si>
  <si>
    <t>VR</t>
  </si>
  <si>
    <t>['¬© 1988', 'shorter values', 'several types', 'nanosecond resolution', 'intact fractions', 'flash absorption', 'data ).', 'biradical varies', '820 nm', '32 ns']</t>
  </si>
  <si>
    <t>Electron transfer | Flash absorption spectroscopy | Photosynthesis | Photosystem II | Radical pair</t>
  </si>
  <si>
    <t>Several types of photosynthetic membrane fraction enriched in the Photosystem II reaction center were studied by flash absorption at 820 nm, with nanosecond resolution, to determine the lifetime of the primary radical pair and the extent of its formation when secondary electron transfer is inhibited. It results that the biradical lifetime varies largely, with halftimes from 3 to 32 ns, the shorter values being obtained with the larger, presumably more intact fractions. The amount of biradical varies from 28% to 47% (or from 55% to 67% according to the interpretation of the data). ¬© 1988.</t>
  </si>
  <si>
    <t>91-96</t>
  </si>
  <si>
    <t>60019615;60019615;60019615</t>
  </si>
  <si>
    <t>7006190627;6603260408;57194975627</t>
  </si>
  <si>
    <t>Hansson, √ñrjan;Duranton, Jacques;Mathis, Paul</t>
  </si>
  <si>
    <t>Gif-sur-Yvette</t>
  </si>
  <si>
    <t>CEA Saclay</t>
  </si>
  <si>
    <t>Hansson O.</t>
  </si>
  <si>
    <t>Yield and lifetime of the primary radical pair in preparations of Photosystem II with different antenna size</t>
  </si>
  <si>
    <t>10.1016/0005-2728(88)90142-9</t>
  </si>
  <si>
    <t>2-s2.0-0005401841</t>
  </si>
  <si>
    <t>['¬© 1988', 'xanthophylls migrate', 'varying pattern', 'thylakoid membranes', 'synchronized cells', 'step separation', 'step procedure', 'results show', 'reaction centre', 'protein complexes', 'pigments arranged', 'pigment composition', 'new approach', 'life cycle', 'less mutant', 'improved method', 'improper binding', 'harvesting complex', 'free pigments', 'chlamydomonas reinhardii', 'chlamydomonas appears', 'antenna ppcs']</t>
  </si>
  <si>
    <t>Chl-b-deficient mutant pg 113 | Chlamydomonas reinhardii | Chlorella fusca | life cycle | Pigment composition | pigment-protein complexes.</t>
  </si>
  <si>
    <t>An improved method for the determination of pigments within pigment-protein complexes (PPCS) of thylakoid membranes is presented. It comprises (a) a fast high resolution SDS - polyacrylamide gel electrophoresis (SDS ‚â° sodium dodecylsulphate), (b) a new approach for the recovery of PPCs from the gel with an additional purification step and (c) a one-step separation of the chlorophylls and carotenoids by reversed-phase high performance liquid chromatography. This three-step procedure is applied to the analysis of thylakoid membranes derived from synchronized cells of the green alga Chlorella fusca, and to PPCs from Chlamydomonas reinhardii, parent strain 11/23f and the Chl-b-less mutant pg 113. The results show that a varying pattern of pigment-protein complexes exists during the life cycle in Chlorella and that there are changes in the ratio of pigments arranged in reaction centre and antenna PPCS. The pigment composition of Chlamydomonas appears to be identical with that of Chlorella; however, the pattern of PPCs is different. Thylakoids from the Chl-b-less mutant of Chlamydomonas reveal two distinct PPCs representing photosystems I and II, both enriched in Chl a and Œ≤-carotene. About 90% of the xanthophylls migrate as free pigments, indicating an improper binding of xanthophylls to the light-harvesting complex(es) within the mutant. ¬© 1988.</t>
  </si>
  <si>
    <t>475-491</t>
  </si>
  <si>
    <t>Journal of Photochemistry and Photobiology, B: Biology</t>
  </si>
  <si>
    <t>60008293;60008293;60008293</t>
  </si>
  <si>
    <t>6602072663;6603121440;7003617788</t>
  </si>
  <si>
    <t>Knoetzel, Juergen;Braumann, Thomas;Grimme, L. Horst</t>
  </si>
  <si>
    <t>Bremen</t>
  </si>
  <si>
    <t>Universit√§t Bremen</t>
  </si>
  <si>
    <t>Knoetzel J.</t>
  </si>
  <si>
    <t>Pigment-protein complexes of green algae: Improved methodological steps for the quantification of pigments in pigment-protein complexes derived from the green algae Chlorella and Chlamydomonas</t>
  </si>
  <si>
    <t>1011-1344(88)85009-7</t>
  </si>
  <si>
    <t>10.1016/1011-1344(88)85009-7</t>
  </si>
  <si>
    <t>2-s2.0-0006085997</t>
  </si>
  <si>
    <t>Council of Scientific and Industrial Research, India</t>
  </si>
  <si>
    <t>CSIR</t>
  </si>
  <si>
    <t>['¬© 1988', 'thus increasing', 'studies suggest', 'seeking stimulants', 'retention period', 'mass culture', 'intensified behaviour', 'infested leaves', 'increasing host', 'host search', 'host parasitisation', 'host contact', 'higher degree', 'extract exposure', 'extract concentration', 'areas intensely', 'aqueous extracts', 'aphidiid parasitoid', '200 aphid']</t>
  </si>
  <si>
    <t>Female Trioxys indicus, an aphidiid parasitoid of the pigeonpea aphid Aphis craccivora, responded to aqueous extracts of the host topically sprayed on to host-infested leaves by examining such areas intensely with their antennae. The host-extract application reduced the host search-time, thus increasing the probability of finding more hosts. By increasing the concentration of the host-extract on the host-patch, the frequencies of host contact, prick and oviposition behaviour increased significantly. Similarly, the retention period of the parasitoids with the hosts significantly increased which, when combined with their intensified behaviour, resulted in a higher degree of host parasitisation. The females parasitised 60% more hosts under host-extract exposure (200 aphid/ml) than with the control. Their area of discovery increased expotentially with increasing host-extract concentration. These studies suggest the value of using the host-extract in the mass culture of the parasitoid in the laboratory. The active ingredients functioning as host-seeking stimulants (kairomones) in the host-extract have yet to be investigated. ¬© 1988 A B Academic Publishers.</t>
  </si>
  <si>
    <t>169-176</t>
  </si>
  <si>
    <t>Biological Agriculture and Horticulture</t>
  </si>
  <si>
    <t>60006596;60006596</t>
  </si>
  <si>
    <t>24345272400;55496947600</t>
  </si>
  <si>
    <t>Srivastava, Mamta;Singh, Rajendra</t>
  </si>
  <si>
    <t>India</t>
  </si>
  <si>
    <t>Gorakhpur</t>
  </si>
  <si>
    <t>Deen Dayal Upadhyay Gorakhpur University India</t>
  </si>
  <si>
    <t>Srivastava M.</t>
  </si>
  <si>
    <t>Bionomics of trioxys ihdicus, an aphidiid parasitoid of aphis craccivora. 26. Impact of host extract on the oviposition response of the parasitoid</t>
  </si>
  <si>
    <t>10.1080/01448765.1988.9755138</t>
  </si>
  <si>
    <t>2-s2.0-0007344241</t>
  </si>
  <si>
    <t>['¬© 1988', 'wild genotype', 'type chloroplasts', 'two photosystems', 'two genotypes', 'slight changes', 'significantly higher', 'ratio ps', 'ps ii', 'protein complex', 'plastid suspensions', 'pigment associations', 'photosystem ii', 'photochemical characteristics', 'mutant plastids', 'mutant chloroplasts', 'marked decrease', 'macroganal structures', 'lhc ii', 'less mutant', 'including solubilization', 'important reduction', 'high lability', 'harvesting chlorophyll', 'fractions enriched', 'fold higher', 'fluorescence induction', 'digitonin followed', 'denaturating method', 'chlorophyll b', 'acyl lipids']</t>
  </si>
  <si>
    <t>(Barley mutant) | Chlorophyll-protein complex | Chloroplast ultrastructure | Electron transport | Photosystem II | Polar lipid</t>
  </si>
  <si>
    <t>Ultrastructural, biochemical and photochemical characteristics of chloroplasts from a natural chlorophyll b-less mutant of barley (Hordeum vulgare L.) have been investigated by comparing them to the wild genotype. Photosystem II (PS II) particles and fractions enriched in light-harvesting chlorophyll a b-protein complex (LHC II fractions), isolated from the two genotypes, have been studied. Mutant chloroplasts were characterized by the presence of macrograna and a 2-fold lower membrane density than in wild-type chloroplasts. In mutant plastids, gel electrophoresis showed a marked decrease in the 25 and 27 kDa polypeptides linked to LHC II and in the 24 kDa polypeptide assigned to Photosystem I (PS I) antennae. The use of a non-denaturating method, including solubilization of thylakoids by digitonin followed by electrophoresis in the presence of deoxycholate, as well as the analysis of LHC II fractions, confirmed the high lability of the protein-pigment associations of the PS II antenna in the mutant. Analysis of the kinetics of fluorescence induction of plastid suspensions from the two genotypes indicated an important reduction, both in size and number, of PS II antennae in the mutant. The amount of acyl lipids was 2-fold higher in mutant chloroplasts, but only slight changes were observed in their fatty acid content. Similar photosynthetic activities were noted in chloroplasts from the two genotypes, although the ratio PS I/PS II was significantly higher in the mutant. Formation of macroganal structures in chlorophyll b-less plastids suggests a reorganization of the intraplastidial lamellar system to optimize energy distribution between the two photosystems. ¬© 1988.</t>
  </si>
  <si>
    <t>97-106</t>
  </si>
  <si>
    <t>60008134;60008134;60008134;60008134</t>
  </si>
  <si>
    <t>24394805700;24392939200;6602537108;6505846660</t>
  </si>
  <si>
    <t>Ouijja, Abderrahman;Farineau, Nicole;Cantrel, Catherine;Guillot-Salomon, Th√©r√®se</t>
  </si>
  <si>
    <t>Paris</t>
  </si>
  <si>
    <t>CNRS Centre National de la Recherche Scientifique</t>
  </si>
  <si>
    <t>Ouijja A.</t>
  </si>
  <si>
    <t>Biochemical analysis and photosynthetic activity of chloroplasts and Photosystem II particles from a barley mutant lacking chlorophyll b</t>
  </si>
  <si>
    <t>10.1016/0005-2728(88)90143-0</t>
  </si>
  <si>
    <t>2-s2.0-0008331115</t>
  </si>
  <si>
    <t>['ventral surfaces', 'ventral apices', 'two ways', 'smooth scales', 'sequence ended', 'sensory function', 'say ).', 'relative position', 'obstructive matter', 'mosquitoes groom', 'hindleg groomng', 'grooming behaviors', 'grooming behavior', 'groomed structure', 'five sequences', 'decrease drag', 'clear sensilla', 'bilateral symmetry', 'anteroposterior axis', 'adult females']</t>
  </si>
  <si>
    <t>Aedes triseriatus | behavioral sequences | grooming | mosquitoes | multidimensional scaling | tibial combs</t>
  </si>
  <si>
    <t>Grooming behavior was studied in adult females of the mosquito Aedes triseriatus (Say). The grooming repertoire consisted of 12 different behaviors (accounting for bilateral symmetry) organized into five sequences. The proboscis and antennae were scraped by the forelegs, whereas the dorsal and ventral surfaces of the wings, and the forelegs, midlegs, hindlegs, and tip of the abdomen were scraped by the hindlegs. Each sequence ended with hindleg groomng. Tibial grooming combs were found on the ventral apices of the fore- and hind-tibiae but not on the mid-tibiae. A multidimensional scaling procedure grouped the grooming behaviors in two ways: (1) by the relative position of the groomed structure along the anteroposterior axis of the insect's body, and (2) by whether the groomed structure has a locomotory or sensory function. This suggests that mosquitoes groom both to clear sensilla of obstructive matter and to clean and smooth scales on legs and wings, possibly to decrease drag during flight. ¬© 1988 Plenum Publishing Corporation.</t>
  </si>
  <si>
    <t>97-109</t>
  </si>
  <si>
    <t>60021508;60021508</t>
  </si>
  <si>
    <t>7402985189;7006459245</t>
  </si>
  <si>
    <t>Walker, Edward D.;Archer, William E.</t>
  </si>
  <si>
    <t>Notre Dame</t>
  </si>
  <si>
    <t>University of Notre Dame</t>
  </si>
  <si>
    <t>Walker E.</t>
  </si>
  <si>
    <t>Sequential organization of grooming behaviors of the mosquito, Aedes triseriatus</t>
  </si>
  <si>
    <t>10.1007/BF01052506</t>
  </si>
  <si>
    <t>2-s2.0-0009239360</t>
  </si>
  <si>
    <t>18-19</t>
  </si>
  <si>
    <t>1559128X</t>
  </si>
  <si>
    <t>Applied Optics</t>
  </si>
  <si>
    <t>60032949;60032949</t>
  </si>
  <si>
    <t>6603276028;7005761602</t>
  </si>
  <si>
    <t>Kogler, Kent J.;Pastor, Rickey G.</t>
  </si>
  <si>
    <t>Chicago</t>
  </si>
  <si>
    <t>IIT Research Institute</t>
  </si>
  <si>
    <t>Kogler K.</t>
  </si>
  <si>
    <t>Infrared filters fabricated from submicron loop antenna arrays</t>
  </si>
  <si>
    <t>10.1364/AO.27.00018</t>
  </si>
  <si>
    <t>2-s2.0-0009506882</t>
  </si>
  <si>
    <t>['radiation field', 'radiated beam', 'power application', 'parabolic ylinder', 'original paper', 'opticalreflector antenna', 'numerical resultsshowthat', 'normal rays', 'image source', 'geometrical optics', 'francis group', 'far zone', 'also presented', '1975 ),']</t>
  </si>
  <si>
    <t>We propose a method to calculate theradiation characteristics of a quasi-opticalreflector antenna for whispering gallery mode called Vlasov‚Äôs antenna. Correction of the shape of the reflector, which was a parabolic ylinder in the original paper by Vlasov et al.(1975), is performed using wave-normal rays. The radiation field is calculated by means o an image source which is obtained with the geometrical optics. Some numerical resultsshowthat the radiated beam is gaussian-like in far zone. A scheme of high-power application (500kW, 106¬∑4GHz, TE12,2) to a beam transmission system is also presented. ¬© 1988 Taylor &amp; Francis Group, LLC.</t>
  </si>
  <si>
    <t>725-732</t>
  </si>
  <si>
    <t>International Journal of Electronics</t>
  </si>
  <si>
    <t>60023147;60011001;60011001</t>
  </si>
  <si>
    <t>7202475139;56944206600;56293616300</t>
  </si>
  <si>
    <t>Wada, Osami;Hashimoto, Masanori;Nakajima, Masamitsu</t>
  </si>
  <si>
    <t>Japan;Japan</t>
  </si>
  <si>
    <t>Okayama;Kyoto</t>
  </si>
  <si>
    <t>Okayama University;Kyoto University</t>
  </si>
  <si>
    <t>60023147;60011001</t>
  </si>
  <si>
    <t>Wada O.</t>
  </si>
  <si>
    <t>Calculation of radiation from a quasi-optical reflector antenna for whispering gallery mode</t>
  </si>
  <si>
    <t>10.1080/00207218808945270</t>
  </si>
  <si>
    <t>2-s2.0-0009850720</t>
  </si>
  <si>
    <t>['‚ àº2', 'sulfur protein', 'ps resolution', 'polarization decays', 'neighbor chromophores', 'mean lifetimes', 'long times', 'individual nearest', 'four wavelengths', 'chromophores rather', '681 nm', '6 ps']</t>
  </si>
  <si>
    <t>The polarized photobleaching recovery of PSI-60 particles enriched in iron-sulfur protein and P700 was monitored with ‚àº2-ps resolution at 665, 670, 675, and 681 nm. Considerable residual anisotropy appears at long times, proving that local ordering exists in the Chl a-protein core antenna of PSI-60. At these four wavelengths, the polarization decays with mean lifetimes between 2.9 and 6.6 ps. This slow time scale suggests that the depolarization accompanies electronic excitation transport between clusters of Chl a chromophores rather than between individual nearest-neighbor chromophores. ¬© 1988 American Chemical Society.</t>
  </si>
  <si>
    <t>6121-6124</t>
  </si>
  <si>
    <t>60008023;60008023;60008023</t>
  </si>
  <si>
    <t>6602911490;15076191000;57193129444</t>
  </si>
  <si>
    <t>Causgrove, Timothy P.;Yang, Shumei;Struve, Walter S.</t>
  </si>
  <si>
    <t>Ames</t>
  </si>
  <si>
    <t>Ames Laboratory</t>
  </si>
  <si>
    <t>Causgrove T.</t>
  </si>
  <si>
    <t>Electronic excitation transport in core antennae of enriched photosystem I particles from spinach chloroplasts</t>
  </si>
  <si>
    <t>10.1021/j100332a054</t>
  </si>
  <si>
    <t>2-s2.0-0011338339</t>
  </si>
  <si>
    <t>289-297</t>
  </si>
  <si>
    <t>Psyche (New York)</t>
  </si>
  <si>
    <t>Richard Shaw, Scott</t>
  </si>
  <si>
    <t>Cambridge</t>
  </si>
  <si>
    <t>Harvard University</t>
  </si>
  <si>
    <t>Richard Shaw S.</t>
  </si>
  <si>
    <t>A New Mexican Genus and Species of Dinocampini with Serrate Antennae (Hymenoptera: Braconidae: Euphorinae)</t>
  </si>
  <si>
    <t>10.1155/1988/98545</t>
  </si>
  <si>
    <t>2-s2.0-0011808860</t>
  </si>
  <si>
    <t>['used rather', 'uniformly illuminates', 'two dimensions', 'synthesis using', 'simplex formulation', 'method begins', 'lawson synthesis', 'iterative methods', 'desired region', 'computer efficient', 'composing functions']</t>
  </si>
  <si>
    <t>Satellite phased array antennas for direct broadcast applications require a relatively wide irregularly shaped sector beam in two dimensions. A new pattern synthesis procedure has been developed to obtain the antenna excitations required to create a beam which uniformly illuminates a desired region and minimizes the maximum sidelobe level. The method begins with the composing functions from Woodward-Lawson synthesis. By fixing the position of these functions, a simplex formulation can be used rather than iterative methods. The simplex formulation is more computer efficient because the algorithm is guaranteed to converge. Examples of synthesis using this procedure are given. ¬© 1988 IEEE</t>
  </si>
  <si>
    <t>345-348</t>
  </si>
  <si>
    <t>60102562;60102562</t>
  </si>
  <si>
    <t>7103311439;7004484815</t>
  </si>
  <si>
    <t>Richie, James E.;Kritikos, Haralambos N.</t>
  </si>
  <si>
    <t>Philadelphia</t>
  </si>
  <si>
    <t>School of Engineering and Applied Science</t>
  </si>
  <si>
    <t>Richie J.E.</t>
  </si>
  <si>
    <t>Linear Program Synthesis for Direct Broadcast Satellite Phased Arrays</t>
  </si>
  <si>
    <t>10.1109/8.192116</t>
  </si>
  <si>
    <t>2-s2.0-0013238470</t>
  </si>
  <si>
    <t>['usually complementary', 'two methods', 'surface description', 'spectral point', 'second derivative', 'search procedure', 'returns data', 'rapidly since', 'often required', 'nonuniform grid', 'local methods', 'geometrical theory', 'first derivative', 'discussed herein', 'contain noise']</t>
  </si>
  <si>
    <t>It is often required to find ‚Äúsmooth‚Äù analytic representations for antenna reflector surfaces which are prescribed only by discretized data obtained by various synthesis methods. Frequently, the data are distributed in a nonuniform grid and contain noise. The ‚Äúsmoothness‚Äù required is to the first derivative for physical optics diffraction analysis and to the second derivative for geometrical theory of diffraction (GTD) analysis. Furthermore, the GTD analysis approach requires a surface description which returns data very rapidly since a search procedure is used to find the spectral point of reflection. Two methods of interpolation, the global and the local methods, are discussed herein. They each have advantages and disadvantages-usually complementary. These characteristics are discussed and examples are presented. ¬© 1988 IEEE</t>
  </si>
  <si>
    <t>441-444</t>
  </si>
  <si>
    <t>60009037;60009037;60009037;60009037</t>
  </si>
  <si>
    <t>7003293983;7003977774;7102110120;35613310900</t>
  </si>
  <si>
    <t>Galindo-Israel, Victor;Imbriale, William A.;Rahmat-Samii, Yahya;Veruttipong, Thavath</t>
  </si>
  <si>
    <t>Pasadena</t>
  </si>
  <si>
    <t>Jet Propulsion Laboratory</t>
  </si>
  <si>
    <t>Galindo-Israel V.</t>
  </si>
  <si>
    <t>Interpolation Methods for Shaped Reflector Analysis</t>
  </si>
  <si>
    <t>10.1109/8.192128</t>
  </si>
  <si>
    <t>2-s2.0-0013533201</t>
  </si>
  <si>
    <t>European Molecular Biology Organization</t>
  </si>
  <si>
    <t>EMBO</t>
  </si>
  <si>
    <t>['¬© 1988', 'wave transitions', 'wave component', 'spectral properties', 'separate complexes', 'room temperature', 'relevant gene', 'recombinant strains', 'optical inhomogeneity', 'membrane plane', 'may reflect', 'main transitions', 'longer wavelength', 'lipid environment', 'linear dichroism', 'intact membranes', 'intact membrane', 'increased overlap', 'following complementation', 'donor emission', 'detergent solubilization', 'antenna system', 'antenna mutants', 'also observable', 'acceptor absorbance', 'absorption spectra']</t>
  </si>
  <si>
    <t>(Rb. sphaeroides) | Bacterial photosynthesis | Circular dichroism | Fluorescence polarization | Light harvesting complex | Linear dichroism</t>
  </si>
  <si>
    <t>Intact membranes of antenna mutants of Rhodobacter sphaeroides obtained by chemical mutagenesis containing only the B800-850 or the B875 reaction center complex were used to study the spectral properties of these antenna complexes separately in vivo. Wild-type spectral characteristics were restored to each mutant, following complementation by the relevant gene. It is shown that the absorption spectra of recombinant strains and of wild-type Rhodobacter sphaeroides can be analyzed in terms of those of the separate complexes as observed in the mutants. Distinct differences occur between the spectra of the antenna complexes isolated by means of detergent solubilization of the membrane and those of the mutants. Measurements of absorption and flash-induced absorption difference spectra and of linear dichroism and fluorescence polarization spectra at low temperature indicate that in the intact membrane the previously characterized bacteriochlorophyll Qy absorption bands near 800, 850 and 875 nm display an optical inhomogeneity and that they all contain a relatively weak transition at longer wavelength, the orientation of which is more parallel to the membrane plane than the orientation of the main transitions. Rapid and efficient energy transfer to the long-wave component (BChl870) in the B800-850 complex could be demonstrated. Some of the long-wave transitions are also observable at room temperature. They may reflect the mode of aggregation of the complexes in their lipid environment and, by increased overlap between donor emission and acceptor absorbance, serve to facilitate energy transfer within the antenna system. ¬© 1988.</t>
  </si>
  <si>
    <t>179-188</t>
  </si>
  <si>
    <t>60003878;60015150;60008734;60003878;60003878</t>
  </si>
  <si>
    <t>7801620289;13105070700;35599806700;24393824300;7004456032</t>
  </si>
  <si>
    <t>van Dorssen, R. J.;Hunter, C. N.;van Grondelle, R.;Korenhof, A. H.;Amesz, J.</t>
  </si>
  <si>
    <t>United Kingdom;Netherlands;Netherlands</t>
  </si>
  <si>
    <t>London;Amsterdam;Leiden</t>
  </si>
  <si>
    <t>Imperial College London;Vrije Universiteit Amsterdam;Sterrewacht Leiden</t>
  </si>
  <si>
    <t>60015150;60008734;60003878</t>
  </si>
  <si>
    <t>van Dorssen R.</t>
  </si>
  <si>
    <t>Spectroscopic properties of antenna complexes of Rhodobacter sphaeroides in vivo</t>
  </si>
  <si>
    <t>10.1016/0005-2728(88)90154-5</t>
  </si>
  <si>
    <t>2-s2.0-0013557659</t>
  </si>
  <si>
    <t>['¬© 1988', 'wavenumber spectrometer', 'wave antenna', 'tm modes', 'standard solution', 'receiver antenna', 'radiation pattern', 'oversized waveguides', 'modes propagating', 'mode selectivity', 'measured signals', 'high directivity', 'francis group', 'discrete modes', 'directional coupler', 'device inherently', 'broad spectrum']</t>
  </si>
  <si>
    <t>The problem of measuring a broad spectrum of discrete modes in oversized waveguides is discussed. An analysis of the standard solution, the directional coupler, shows that the measured signals can be ambiguous in mode selectivity and directivity. Therefore we have developed an instrument, the wavenumber spectrometer, where this problem of ambiguity is avoided. The principle of this new instrument ensures extremely high directivity and allows the measurement of all TE and TM modes with the same instrument. Furthermore, the device inherently has a large frequency bandwidth. This wavenumber spectrometer consists of a leaky-wave antenna structure in the wall of the waveguide and of a movable receiver antenna with high directivity. From the radiation pattern of the leaky-wave antenna, as measured by the receiver antenna, the spectrum of the modes propagating in the waveguide is deduced. ¬© 1988, Taylor and Francis Group, LLC.</t>
  </si>
  <si>
    <t>60015815;60015815</t>
  </si>
  <si>
    <t>56260231500;16538107200</t>
  </si>
  <si>
    <t>Kasparek, W.;M√ºller, G. A.</t>
  </si>
  <si>
    <t>Stuttgart</t>
  </si>
  <si>
    <t>Universit√§t Stuttgart</t>
  </si>
  <si>
    <t>Kasparek W.</t>
  </si>
  <si>
    <t>The wavenumber spectrometer‚Äîan alternative to the directional coupler for multimode analysis in oversized waveguides</t>
  </si>
  <si>
    <t>10.1080/00207218808962780</t>
  </si>
  <si>
    <t>2-s2.0-0022560792</t>
  </si>
  <si>
    <t>['¬© 1988', 'w .)', 'virgo cluster', 'supernovae explosions', 'scientific objectives', 'rome group', 'resonant antenna', 'possibly emitted', 'november 1985', 'monochromatic g', 'gravitational wave', 'final goal', 'fast pulsars', 'cryogenic antenna', 'bursts emitted', 'briefly reviewed', 'aluminum cylinder', '2 k', '1 k']</t>
  </si>
  <si>
    <t>The scientific objectives of the gravitational wave (g.w.) experiment of the Rome group are briefly reviewed: (a) detection of g.w. bursts emitted during supernovae explosions in the Virgo cluster, and (b) detection of monochromatic g.w. possibly emitted by fast pulsars. The interaction of a g.w. burst with a resonant antenna is considered. It is shown that in order to observe the supernovae in the Virgo cluster the resonant antenna should detect a Fourier transform value H(ŒΩR) of the metric tensor perturbation H(t) of the order of: H(ŒΩR) ‚àº 3 √ó 10-24/Hz at the antenna resonance frequency ŒΩR ‚àº 900 Hz. The Rome group has installed a cryogenic antenna at CERN that has started to operate from November 1985. It consists of an aluminum cylinder, 3 m long, weighing 2270 kg, cooled to 4.2 K and equipped with a resonant capacitive transducer and a dc SQUID amplifier. The present sensitivity expressed in terms of the minimum detectable value of H(ŒΩR) is Hmin(ŒΩR) ‚àº 9 √ó 10-22Hz-1. In order to reach the final goal it is necessary to cool the antenna than 0.1 K and to shield it from cosmic ray muons. ¬© 1988.</t>
  </si>
  <si>
    <t>221-228</t>
  </si>
  <si>
    <t>Nuclear Inst. and Methods in Physics Research, A</t>
  </si>
  <si>
    <t>60032350-60021660</t>
  </si>
  <si>
    <t>Pizzella, G.</t>
  </si>
  <si>
    <t>Italy;Italy</t>
  </si>
  <si>
    <t>Rome;Rome</t>
  </si>
  <si>
    <t>Sapienza Universit√† di Roma;Istituto Nazionale di Fisica Nucleare - INFN</t>
  </si>
  <si>
    <t>60032350;60021660</t>
  </si>
  <si>
    <t>Pizzella G.</t>
  </si>
  <si>
    <t>The gravitational wave experiment of the Rome group</t>
  </si>
  <si>
    <t>016890028891039X</t>
  </si>
  <si>
    <t>10.1016/0168-9002(88)91039-X</t>
  </si>
  <si>
    <t>2-s2.0-0022561056</t>
  </si>
  <si>
    <t>['¬© 1988', 'living leaves', 'giseng lha', 'first studied']</t>
  </si>
  <si>
    <t>We first studied the quasi-resonance Raman scattering of Giseng LHA in living leaves. Possible molecular arrangement of LHA was proposed. ¬© 1988.</t>
  </si>
  <si>
    <t>223-224</t>
  </si>
  <si>
    <t>40-41</t>
  </si>
  <si>
    <t>Journal of Luminescence</t>
  </si>
  <si>
    <t>60004828;60004828;60004828</t>
  </si>
  <si>
    <t>7403436715;7405259491;55742544300</t>
  </si>
  <si>
    <t>Tang, Shuyan;Liu, Lixia;Wang, Jingxiu</t>
  </si>
  <si>
    <t>China</t>
  </si>
  <si>
    <t>Changchun</t>
  </si>
  <si>
    <t>Changchun Institute of Optics Fine Mechanics and Physics Chinese Academy of Sciences</t>
  </si>
  <si>
    <t>Tang S.</t>
  </si>
  <si>
    <t>Raman scattering spectra of panax ginseng chloroplasts and living leaves</t>
  </si>
  <si>
    <t>10.1016/0022-2313(88)90165-2</t>
  </si>
  <si>
    <t>2-s2.0-0023291102</t>
  </si>
  <si>
    <t>['¬© 1988', 'type kinetics', 'transfer efficiency', 'stacking layers', 'sequential transfer', 'ps time', 'kinetic behaviors', 'biological antenna']</t>
  </si>
  <si>
    <t>Sequential excitation energy transfer between stacking layers has been studied with a ps time- resolved fluorescence spectrophotometer. Kinetic behaviors are compared between biological antenna and artificial LB multilayer. The sequential transfer can be reproduced with exp(-2kt 1 2) type kinetics. Distribution of chromophores is responsible for the transfer efficiency. ¬© 1988.</t>
  </si>
  <si>
    <t>47-50</t>
  </si>
  <si>
    <t>60033235;60033235;60033235</t>
  </si>
  <si>
    <t>24586425300;7006772993;35396822600</t>
  </si>
  <si>
    <t>Yamazaki, Iwao;Tamai, Naoto;Yamazaki, Tomoko</t>
  </si>
  <si>
    <t>Okazaki</t>
  </si>
  <si>
    <t>National Institutes of Natural Sciences - Institute for Molecular Science</t>
  </si>
  <si>
    <t>A comparative study on ultrafast photonic energy transport in biological antenna and artificial multilayers</t>
  </si>
  <si>
    <t>10.1016/0022-2313(88)90095-6</t>
  </si>
  <si>
    <t>2-s2.0-0023291343</t>
  </si>
  <si>
    <t>['serving edmonton', 'reradiated field', 'radio signals', 'power lines', 'power line', 'current flow', 'computer model', 'broadcast antenna']</t>
  </si>
  <si>
    <t>Scattering and reradiation of radio signals by power lines, which causes undesired changes in broadcast antenna patterns, is discussed, using as an example station CHFA, serving Edmonton, Alberta. The computer model of a power line is presented, and it is shown how it can be used to detune the line, i. e. , to suppress the current flow that is induced on the towers by the broadcast antenna which reduces the reradiated field.</t>
  </si>
  <si>
    <t>IEEE Potentials</t>
  </si>
  <si>
    <t>Feb</t>
  </si>
  <si>
    <t>60033154;60033154</t>
  </si>
  <si>
    <t>7006097946;6701413096</t>
  </si>
  <si>
    <t>Trueman, C. W.;Kubina, S. J.</t>
  </si>
  <si>
    <t>Canada</t>
  </si>
  <si>
    <t>Montreal</t>
  </si>
  <si>
    <t>Concordia University</t>
  </si>
  <si>
    <t>Trueman C.W.</t>
  </si>
  <si>
    <t>POWER LINES: BROADCASTING'S PROBLEM CHILD.</t>
  </si>
  <si>
    <t>2-s2.0-0023291542</t>
  </si>
  <si>
    <t>['well site', 'various speeds', 'two subnetworks', 'transmit data', 'small 4', 'receiving terminal', 'receiving antenna', 'receive antenna', 'properly aiming', 'near denver', 'logging truck', 'large 30', 'graphics playback', 'five pieces', 'electronics module', 'easily assembled', 'digital data', 'data center', 'automatically transcribed', 'antenna elevation', 'acquire synchronization', '496 kbs', '15 minutes']</t>
  </si>
  <si>
    <t>The overall system consists of two subnetworks. A well site-to-hub subnetwork consists of the link from the well site to a large receiving station, the hub, near Denver, Colo. At the well site, a small 4-ft (1. 2-m) Ku band transmitter antenna transmits a fairly weak signal via the satellite to the large 30-ft (9-m) receiving antenna at the hub. Once at the hub, the data then is automatically transcribed into a format (either a graphics playback or digital data) and is transmitted via telephone lines to the operator's receiving terminal. The well site unit consists of a 4-ft (1. 2-m) transmit-receive antenna and an electronics module which fits in the logging truck. The well site antenna is transportable, consisting of five pieces and can be easily assembled or disassembled in 10 to 15 minutes. Once assembled, the antenna elevation and azimuth are calculated by the software in the logging truck for properly aiming the antenna to acquire synchronization with the satellite. The well site unit can transmit data at various speeds with a maximum of 496 Kbs, providing fast transfer of data from the well site to the hub or to the data center.</t>
  </si>
  <si>
    <t>Petroleum Engineer International</t>
  </si>
  <si>
    <t>125348636;125348636</t>
  </si>
  <si>
    <t>7801383148;6603719247</t>
  </si>
  <si>
    <t>Linger, Daniel B.;Dill, Paul H.</t>
  </si>
  <si>
    <t>Forest Oil Corp</t>
  </si>
  <si>
    <t>Linger D.B.</t>
  </si>
  <si>
    <t>SATELLITE TECHNOLOGY APPLIED AT THE WELL SITE.</t>
  </si>
  <si>
    <t>2-s2.0-0023669856</t>
  </si>
  <si>
    <t>['waveguide structure', 'vertical shear', 'various types', 'type inhomogeneity', 'two lines', 'transmission coefficient', 'three types', 'parallel shift', 'one line', 'often encountered', 'millimeter band', 'low losses', 'inhomogeneities occurring', 'horizontal shear', 'fabrication simplicity', 'e .,', 'csl ).', 'crucial problem', 'angular shear']</t>
  </si>
  <si>
    <t>The selection of a waveguide structure, optimum from the viewpoint of acceptble overall size, low losses and fabrication simplicity, is a crucial problem in the millimeter band. One promising line is the cylindrical slot line (CSL). Among the various types of inhomogeneities occurring at the junction of two lines, a shear [or displacement] type inhomogeneity is often encountered, resulting from a parallel shift of one line with respect to the other and a collinearity of the axes of the lines. Three types of shears were considered: a horizontal shear, vertical shear, as well as an angular shear, i.e., a mismatch in the edges of the slot of the line when the CSL is coaxial. Our investigations involved measuring the transmission coefficient in a CSL with and without an inhomogeneity.</t>
  </si>
  <si>
    <t>151-154</t>
  </si>
  <si>
    <t>Soviet journal of communications technology &amp; electronics</t>
  </si>
  <si>
    <t>;</t>
  </si>
  <si>
    <t>57197159573;7005559067</t>
  </si>
  <si>
    <t>Kovalenko, A. G.;Shestopalov, V. P.</t>
  </si>
  <si>
    <t>Kovalenko A.</t>
  </si>
  <si>
    <t>Effect of a shear-type inhomogeneity on losses in a cylindrical slot line</t>
  </si>
  <si>
    <t>2-s2.0-0023670729</t>
  </si>
  <si>
    <t>['wideband antenna', 'telescopic delta', 'stable structure', 'resonant length', 'loop antennas', 'loop antenna', 'fed either', 'aluminum tube', '900 mhz']</t>
  </si>
  <si>
    <t>Compared to the circular and the square-loop antennas, the delta-loop antenna has better mechanical strength and a more stable structure. The delta-loop antenna is made up of three equilateral arms and can be fed either at the apex or at the centre. A telescopic delta-loop antenna of aluminum tube was constructed and its resonant length at 900 MHz was determined. Impedance measurements made at 900 MHz suggested that a delta-loop antenna is a wideband antenna.</t>
  </si>
  <si>
    <t>82-88</t>
  </si>
  <si>
    <t>West Indian journal of engineering</t>
  </si>
  <si>
    <t>60071706;60071706;60071706</t>
  </si>
  <si>
    <t>6506138053;6504400238;7003805967</t>
  </si>
  <si>
    <t>Tripathi Narain, Jagat;Nyakombo, J. O.;Bett, J. K.A.</t>
  </si>
  <si>
    <t>Trinidad and Tobago</t>
  </si>
  <si>
    <t>St Augustine</t>
  </si>
  <si>
    <t>The University of the West Indies, St. Augustine Campus</t>
  </si>
  <si>
    <t>Tripathi Narain J.</t>
  </si>
  <si>
    <t>Impedance measurements on a delta-loop antenna at 900 MHz</t>
  </si>
  <si>
    <t>2-s2.0-0023670731</t>
  </si>
  <si>
    <t>['stationary functionals', 'several percent', 'ritz method', 'rectangular irises', 'numerical results', 'measured values', 'field distribution', 'experimental measurements', 'equivalent admittance', 'different permittivities', 'conducting screen']</t>
  </si>
  <si>
    <t>An analysis and results of experimental measurements are presented for arrays and rectangular irises in a conducting screen, placed at the boundary between planar dielectric layers with different permittivities. Equations are derived for the equivalent admittance of arrays and irises. These equations are stationary functionals with respect to the field distribution on the irises. Numerical results are obtained by the Ritz method. The disagreement between the computed and measured values is of the order of several percent.</t>
  </si>
  <si>
    <t>57-64</t>
  </si>
  <si>
    <t>;;;</t>
  </si>
  <si>
    <t>6506618035;7005950428;7003289846;6506856833</t>
  </si>
  <si>
    <t>Barskiy, I. V.;Vendik, O. G.;Mironenko, I. G.;Khizha, G. S.</t>
  </si>
  <si>
    <t>Barskiy I.</t>
  </si>
  <si>
    <t>Equivalent admittance of irises in a conducting screen and of an array of conducting strips, placed at the boundary between dielectric layers</t>
  </si>
  <si>
    <t>2-s2.0-0023670741</t>
  </si>
  <si>
    <t>['yig ),', 'vectors k', 'thin films', 'shorting plunger', 'shorted core', 'receiver antenna', 'propagating along', 'matching role', 'magnetizing field', 'magnetic pin', 'film width', 'film edges', 'field h', 'exciting msw', 'excitation antenna', 'coaxial cable', 'actually analogous', '7 mm']</t>
  </si>
  <si>
    <t>The possibility of using a magnetic pin to match the antenna, exciting MSW in thin films of yttrium iron garnet (YIG), is investigated in this paper. The excitation antenna, in the form of the shorted core of a 50-Œºm diameter coaxial cable, was placed at the center of a tangentially magnetized film perpendicularly to the magnetizing field and backward volume magnetostatic waves (BVMSW) were excited with vectors k and -k, propagating along the field H in the direction of the film edges. A receiver antenna, also in the form of the shorted core of a coaxial cable, was placed at one of the edges. The single-crystal YIG film was 10 Œºm thick, the distance between antennas was 7 mm, and the film width was 7 mm. The results presented attest to the fact that the magnetic pin is actually analogous in its matching role to a shorting plunger in a waveguide.</t>
  </si>
  <si>
    <t>159-160</t>
  </si>
  <si>
    <t>;;</t>
  </si>
  <si>
    <t>6507234420;35466469000;6602420378</t>
  </si>
  <si>
    <t>Krutsenko, I. V.;Melkov, G. A.;Ukhanov, S. A.</t>
  </si>
  <si>
    <t>Krutsenko I.</t>
  </si>
  <si>
    <t>Effect of magnetic pin on excitation of magnetostatic waves in thin ferromagnetic films</t>
  </si>
  <si>
    <t>2-s2.0-0023670860</t>
  </si>
  <si>
    <t>['useful signal', 'signals arriving', 'signal source', 'separated antennas', 'delay time', 'bearing determination']</t>
  </si>
  <si>
    <t>A method, based on an evaluation of the delay time between signals arriving at separated antennas, is used for solving a number of problems when it is necessary to determine the bearing or coordinates of a signal source in addition to detecting the signal. The most widely used method of evaluating the delay is to find the cross correlation function of the signals being processed. However, this algorithm is invariant to whether the useful signal is Gaussian or non-Gaussian. The possibility is considered of using a fourth-order joint cumulant function for the detection and bearing determination of non-Gaussian signal sources in the presence of stationary Gaussian interference. It is assumed that reception is done at separated antennas, just as for the cross correlation approach.</t>
  </si>
  <si>
    <t>163-165</t>
  </si>
  <si>
    <t>7005824460;6507098342</t>
  </si>
  <si>
    <t>Kochetkov, V. A.;Siz'min, A. A.</t>
  </si>
  <si>
    <t>Kochetkov V.</t>
  </si>
  <si>
    <t>Receiver for detection of nongaussian signals</t>
  </si>
  <si>
    <t>2-s2.0-0023670918</t>
  </si>
  <si>
    <t>['surface s0', 'specific case', 'resonant sheet', 'numerical examples', 'internal boundary', 'external field', 'dimensional case', 'determined directly', 'arbitrary boundary']</t>
  </si>
  <si>
    <t>A method is proposed for calculating the internal boundary of a resonant sheet from its known external boundary, its transparency and the external field that matches a given radiation pattern. Numerical examples are given. The problem is solved for the two-dimensional case. We examine the case of an arbitrary boundary S and assume that the external field which forms the required radiation pattern is known. For a more specific case (S is a circle and the transparency is constant) the surface S0 is determined directly from the given radiation pattern.</t>
  </si>
  <si>
    <t>44-49</t>
  </si>
  <si>
    <t>6507066954;6603901427;7801333308;57211415348</t>
  </si>
  <si>
    <t>Bolotova, I. P.;Voytovich, N. N.;Rovenchak, A. I.;Semenyuk, Yu V.</t>
  </si>
  <si>
    <t>Bolotova I.</t>
  </si>
  <si>
    <t>Calculation of the internal boundary of a resonant antenna from a known external boundary and the distribution of its transparency</t>
  </si>
  <si>
    <t>2-s2.0-0023670958</t>
  </si>
  <si>
    <t>['water vapor', 'sea level', 'brightness temperatures', 'absorption coefficients', '3 cm', '2 cm']</t>
  </si>
  <si>
    <t>The results of measurements of the brightness temperatures of the atmosphere at wavelengths of 1.38, 2.08, 3.9 and 8.2 cm, obtained on the RATAN-600 radio telescope located at a height of 970 m above sea level, are discussed. The absorption in oxygen and water vapor is separated from measurements of the absorption coefficients for different absolute humidities. The efficiency of the antenna at wavelengths of 13 and 31.3 cm is determined from known brightness temperatures of the troposphere.</t>
  </si>
  <si>
    <t>117-124</t>
  </si>
  <si>
    <t>6507785926;6603473722</t>
  </si>
  <si>
    <t>Mayorova, Ye K.;Trushkin, S. A.</t>
  </si>
  <si>
    <t>Mayorova Y.</t>
  </si>
  <si>
    <t>Use of the method of vertical atmospheric profiles on Ratan-600</t>
  </si>
  <si>
    <t>2-s2.0-0023670981</t>
  </si>
  <si>
    <t>['vibration characteristics', 'vibration analysis', 'slender substructures', 'rights reserved', 'repetitive geometry', 'reduce significantly', 'promising alternative', 'periodic structures', 'often encountered', 'often arise', 'numerical difficulties', 'method presented', 'good agreement', 'element methods', 'earlier experiments', 'dynamic analysis', 'cyclic symmetry', 'computations necessary', 'allow comparison', '11 segments']</t>
  </si>
  <si>
    <t>A transfer matrix method is applied to the free-vibration analysis of a series of cable-stiffened hoop platforms, which are often encountered as subassemblies in large space antennas. The method takes advantage of the cyclic symmetry of the structures to reduce significantly the amount of computations necessary to determine natural frequencies and the associated mode shapes. Numerical difficulties, which often arise in transfer matrix analyses of periodic structures, are not encountered with the method presented. Free-vibration characteristics are calculated for equilateral hoop assemblies with from 5 to 11 segments. Properties are chosen to allow comparison with the earlier experiments and calculations of Belvin, and good agreement is shown for that specific, hexagonal hoop platform. Running time comparisons indicate that the transfer matrix approach provides a promising alternative to finite-element methods for the dynamic analysis of spacecraft structures characterized by slender substructures and repetitive geometry. ¬© American Institute of Aeronautics and Astronautics, Inc., 1988, All rights reserved.</t>
  </si>
  <si>
    <t>45-52</t>
  </si>
  <si>
    <t>Journal of Spacecraft and Rockets</t>
  </si>
  <si>
    <t>60025534;60025534</t>
  </si>
  <si>
    <t>6603339478;7006135495</t>
  </si>
  <si>
    <t>Zaretzky, C. L.;Loewy, R. G.</t>
  </si>
  <si>
    <t>Troy</t>
  </si>
  <si>
    <t>Rensselaer Polytechnic Institute</t>
  </si>
  <si>
    <t>Zaretzky C.</t>
  </si>
  <si>
    <t>Transfer matrix analysis of cable-stiffened hoop platforms</t>
  </si>
  <si>
    <t>10.2514/3.25986</t>
  </si>
  <si>
    <t>2-s2.0-0023670988</t>
  </si>
  <si>
    <t>National Aeronautics and Space Administration</t>
  </si>
  <si>
    <t>NAS8-32807</t>
  </si>
  <si>
    <t>NASA</t>
  </si>
  <si>
    <t>['sts 51f', 'scan limits', 'rights reserved', 'results indicate', 'remain inside', 'r 0', 'payloads taken', 'may encounter', 'main beam', 'detailed measurements', 'design guideline', 'deployable systems', 'cargo elements', 'band radar', 'absolute accuracy', '2 v', '2 db']</t>
  </si>
  <si>
    <t>Detailed measurements of the electric field strength associated with the Ku-band radar and S-band communication link were made by the Plasma Diagnostics Package (PDP) on STS 51F. These measurements were made while the PDP was attached to the Remote Manipulation System arm and again while the PDP was released as a subsatellite. The results indicate that cargo elements that remain inside of the scan limits of the radar should experience fields less than 2 V/m and that elements that may encounter the main beam can use 300 V/m as a design guideline with adequate safety margin. S-band fields tended to be several dB lower than worst case predictions. Safe design practice indicates that an electric field E = 100/r 0 in meters) should be used as a guideline for deployable systems. S-band electric fields within the cargo bay envelope should be &lt; 2 V/m even with edge diffraction effects and reflections from other payloads taken into account. The absolute accuracy of these measurements is ~ 2 dB. ¬© American Institute of Aeronautics and Astronautics, Inc., 1988, All rights reserved.</t>
  </si>
  <si>
    <t>81-87</t>
  </si>
  <si>
    <t>60024324;60029575</t>
  </si>
  <si>
    <t>57203122692;7003388377</t>
  </si>
  <si>
    <t>Murphy, G. B.;Cutler, W. D.</t>
  </si>
  <si>
    <t>El Segundo;Iowa City</t>
  </si>
  <si>
    <t>Aerospace Corporation, USA;University of Iowa</t>
  </si>
  <si>
    <t>60029575;60024324</t>
  </si>
  <si>
    <t>Murphy G.</t>
  </si>
  <si>
    <t>Orbiter environment at S- and K&lt;inf&gt;u&lt;/inf&gt;-band frequencies</t>
  </si>
  <si>
    <t>10.2514/3.25992</t>
  </si>
  <si>
    <t>2-s2.0-0023671062</t>
  </si>
  <si>
    <t>['wave oscillations', 'time dependence', 'radiation pattern', 'gaussian system', 'edge wave', 'asymptotic expressions', 'angular frequency', 'analyzed analytically']</t>
  </si>
  <si>
    <t>Asymptotic expressions are derived for an electromagnetic edge wave scattered in the neighborhood of an infinitely small element of the edge of an ideally conducting wedge. The radiation pattern of such an edge wave is analyzed analytically and numerically. We employ a Gaussian system of units and assume a time dependence of the form exp(-iwt), where w is the angular frequency of the wave oscillations and t is the time.</t>
  </si>
  <si>
    <t>17-26</t>
  </si>
  <si>
    <t>6507824576;6701570199;7004157703</t>
  </si>
  <si>
    <t>Butorin, D. I.;Martynov, N. A.;Ufimtsev, P. Ya</t>
  </si>
  <si>
    <t>Butorin D.</t>
  </si>
  <si>
    <t>Asymptotic expressions for the elementary edge wave</t>
  </si>
  <si>
    <t>2-s2.0-0023671071</t>
  </si>
  <si>
    <t>['traditional processing', 'strong signals', 'spatial methods', 'resolution capability', 'ranked process', 'ranked detectors', 'noise immunity', 'interfernce ratio', 'certain conditions', 'arrival time', 'antenna elements', 'analytical expressions']</t>
  </si>
  <si>
    <t>The noise immunity and resolution capability of ranked detectors at the outputs of antenna elements are investigated. analytical expressions are obtained for the signal/interfernce ratio and three-dimensional uncertainty functions (direction, frequency, arrival time of signal) of the ranked process for temporal and spatial methods of ranking. It is shown that in the case of weak signals ranked processing under certain conditions is close to traditional processing in terms of its noise immunity and resolution capability, while for strong signals some degradation of the selectivepropertiesof ranked processing is seen.</t>
  </si>
  <si>
    <t>69-77</t>
  </si>
  <si>
    <t>6603223498;6603299561;6507269678</t>
  </si>
  <si>
    <t>Kalyuzhnyy, A. Ya;Krasnyy, L. G.;Khavilo, V. I.</t>
  </si>
  <si>
    <t>Kalyuzhnyy A.</t>
  </si>
  <si>
    <t>Noise immunity and resolution capability of ranked detectors at the outputs of antenna elements</t>
  </si>
  <si>
    <t>2-s2.0-0023671112</t>
  </si>
  <si>
    <t>['three orientations', 'magnetostatic waves', 'exact solution']</t>
  </si>
  <si>
    <t>The radiation of magnetostatic waves from a strip antenna placed in a ferrite-filled planar waveguide is discussed. The exact solution of the nonuniform magnetostatic equations is used to compute the antenna radiation resistance per unit length for three orientations of the external magnetizing field: perpendicular to the waveguide, parallel to the waveguide and the antenna, and parallel to the waveguide and perpendicular to the antenna.</t>
  </si>
  <si>
    <t>34-37</t>
  </si>
  <si>
    <t>Karapetyan, G. G.</t>
  </si>
  <si>
    <t>Karapetyan G.</t>
  </si>
  <si>
    <t>Radiation of magnetostatic waves in a planar waveguide</t>
  </si>
  <si>
    <t>2-s2.0-0023671123</t>
  </si>
  <si>
    <t>['styrofoam float', 'several factors', 'sar different', 'sar calculation', 'rectangular horn', 'medium within', 'medium contained', 'long axis', 'heterogeneity present', 'factors include', 'exposure studies', 'exposure flask', 'exposed flasks', 'distance beneath', 'chemical gradients', 'cell suspension', 'attached monolayer', 'antenna horn']</t>
  </si>
  <si>
    <t>A circulating water bath exposure system has been designed for in vitro radiofrequency radiation (RFR) exposure studies in the 915 to 2450 MHz range. A Styrofoam float, in which 10 T-25 plastic tissue culture flasks are embedded, is rotated at approximately 20 rpm in a Plexiglas water bath at a distance beneath a rectangular horn. The continuous circular rotation of the flasks is designed to "average out" the heterogeneity present in stationary flask exposures. The rotation also serves to prevent the establishment of chemical gradients in the medium within the flasks. Several factors have been demonstrated to affect the specific absorption rate (SAR) measured in the medium in the exposed flasks. These factors include: 1) the position of the exposure flasks relative to the long axis of the antenna horn; 2) whether the flasks are exposed while stationary or in rotation; 3) the volume of the medium contained in the flask; and 4) the depth in the medium in the flask at which temperatures for SAR calculation are measured. The presence of cells in the exposure flask (as attached monolayer or cell suspension) did not result in an SAR different from that measured in the same volume of medium without cells present.</t>
  </si>
  <si>
    <t>23-30</t>
  </si>
  <si>
    <t>Physiological chemistry and physics and medical NMR</t>
  </si>
  <si>
    <t>60018573;60018573;60018573;60018573</t>
  </si>
  <si>
    <t>36857559600;57225258156;57207082338;7006470960</t>
  </si>
  <si>
    <t>Meltz, M. L.;Eagan, P.;Harris, C. R.;Erwin, D. N.</t>
  </si>
  <si>
    <t>San Antonio</t>
  </si>
  <si>
    <t>University of Texas Health Science Center at San Antonio</t>
  </si>
  <si>
    <t>Meltz M.L.</t>
  </si>
  <si>
    <t>Dosimetry considerations in far field microwave exposure of mammalian cells.</t>
  </si>
  <si>
    <t>2-s2.0-0023675807</t>
  </si>
  <si>
    <t>['tissue adjacent', 'thermal profiles', 'thermal field', 'temperature distributions', 'square array', 'six monkeys', 'single antenna', 'significantly enlarged', 'providing uniform', 'outer diameters', 'minimal reduction', 'hyperthermic field', 'generated without', 'general anesthesia', 'effective method', 'dramatically flattened', 'coupled system', 'cooling system', 'clinical use', 'brain tissue', 'area maintained', 'accurate heating', '6 cm', '5 mm', '4 antennae', '2 cm', '0 mm']</t>
  </si>
  <si>
    <t>Hyperthermia has emerged as an adjunct to other forms of brain tumor therapy. Interstitial microwave irradiation is an effective method of inducing localized brain hyperthermia. One of the problems with this technique, however, is the overheating of tissue adjacent to the antenna. In this study, a cooling system for the interstitial microwave antenna was developed for the purpose of providing uniform and accurate heating by the elimination of overheating. The ability to generate more uniform hyperthermic fields was evaluated in normal monkey brains. Six monkeys under general anesthesia and controlled respiration underwent parietooccipital craniectomies 4 x 4 cm in size. The antenna cooling system was constructed of a silicone tube 5.0 mm in outer diameters. Silicone-coated interstitial microwave antennae 1.5 mm in diameter were used. A single antenna or a square array (1.6 cm on a side) of 4 antennae was inserted into the brain with the coupled system to a depth of 2 cm. The brain tissue was heated by 2450-MHz microwave irradiation. Temperature distributions were mapped using nonperturbing thermocouples. These thermal profiles were compared with those generated without the cooling system. In the experiments with the single antenna, the antenna cooling system eliminated the overheating and rapid radial falloff in temperature, without a reduction of the hyperthermic field. In the four-antennae experiments using the cooling system, the thermal field was dramatically flattened with minimal reduction in size; however, the area maintained at a therapeutic temperature range (42-45¬∞C) was significantly enlarged by the cooling system. This cooling system enables more uniform and accurate heating with the interstitial microwave antennae and may be applied for clinical use.</t>
  </si>
  <si>
    <t>189-195</t>
  </si>
  <si>
    <t>0148396X</t>
  </si>
  <si>
    <t>Neurosurgery</t>
  </si>
  <si>
    <t>60022154;60022154;60022154;60022154;60022154;60022154;60022154;60022154</t>
  </si>
  <si>
    <t>56243220100;57217544546;7202404933;55197257100;7403584147;7601609251;7201372685;55592847100</t>
  </si>
  <si>
    <t>Moriyama, E.;Matsumi, N.;Shiraishi, T.;Tamiya, T.;Satoh, T.;Matsumoto, K.;Furuta, T.;Nishimoto, A.</t>
  </si>
  <si>
    <t>Okayama</t>
  </si>
  <si>
    <t>Okayama University Medical School</t>
  </si>
  <si>
    <t>Moriyama E.</t>
  </si>
  <si>
    <t>Hyperthermia for brain tumors: Improved delivery with a new cooling system</t>
  </si>
  <si>
    <t>10.1227/00006123-198808000-00011</t>
  </si>
  <si>
    <t>2-s2.0-0023676051</t>
  </si>
  <si>
    <t>['water phantoms', 'transmission line', 'tissue volume', 'tissue resistivity', 'tissue electrodes', 'skin following', 'saline phantoms', 'rights reserved', 'reflectance thermometer', 'phase angle', 'localized heating', 'intended application', 'implant procedure', 'external r', 'external antenna', 'deep site', 'cylindrical pins', 'coupled across', 'conventional r', 'controlled effectively', 'complete implantation', 'clinical hyperthermia', 'also tested']</t>
  </si>
  <si>
    <t>Complex impedance | Hyperthermia | Implant | Interstitial | Thermometry</t>
  </si>
  <si>
    <t>Tests have been performed in saline phantoms on a 6.78 MHz hyperthermia applicator designed for complete implantation; no conductors would penetrate the skin following the implant procedure. Energy is coupled across the skin from an external to an internal loop antenna; the latter is connected by transmission line to conventional r.f. tissue electrodes which are typically either parallel plates or arrays of cylindrical pins. In phantoms the technique produces deep, localized heating at a selected site without significant heating at the 'subdermal' receiving antenna near the surface. In addition, the hyperthermia applicator may have potential as an indicator of temperature for the tissue volume at the deep site, since complex impedance at the external antenna is a function of tissue resistivity/temperature at the electrodes. Specifically, temperature at the deep site can be controlled effectively by regulation of the phase angle between voltage and current at the external antenna. A separate passive implantable electromagnetic-reflectance thermometer, energized by external electromagnetic fields, has been designed. This device, also tested in gel and water phantoms, is energized and interrogated by external r.f. fields and tracks a thermocouple to within ¬±01¬∞C over the range of interest in clinical hyperthermia. The intended application for these devices is repeated, long-term hyperthermic treatment and thermometry of deep-seated malignant tumours following a single invasive procedure. ¬© 1988 Informa UK Ltd All rights reserved: reproduction in whole or part not permitted.</t>
  </si>
  <si>
    <t>617-625</t>
  </si>
  <si>
    <t>International Journal of Hyperthermia</t>
  </si>
  <si>
    <t>60006164;60006164</t>
  </si>
  <si>
    <t>7003436737;7101648654</t>
  </si>
  <si>
    <t>Doss, James D.;Mccabe, Charles W.</t>
  </si>
  <si>
    <t>Los Alamos</t>
  </si>
  <si>
    <t>Los Alamos National Laboratory</t>
  </si>
  <si>
    <t>Doss J.</t>
  </si>
  <si>
    <t>Total implants for hyperthermia application and thermometry</t>
  </si>
  <si>
    <t>10.3109/02656738809012401</t>
  </si>
  <si>
    <t>2-s2.0-0023679046</t>
  </si>
  <si>
    <t>['urban area', 'public exposure', 'paulo city', 'paper summarizes', 'main objective', 'ground level', 'francis group', 'field intensities', 'eight series', 'building roof', 'associated level', '336 œºw', '1 w']</t>
  </si>
  <si>
    <t>This paper summarizes the results of eight series of radiofrequency field intensity measurements carried out by CETESB in the urban area of S√£o Paulo City. The main objective in conducting these measurements was to obtain some information about the field intensities which can be produced by VHF broadcast antennas and the associated level of public exposure to such radiations. The power densities derived from electric field intensity measurements varied from 1 W.cm‚Äê2 on ground level, to 336 ŒºW.cm‚Äê2 at a building roof under FM and TV transmission tower. ¬© 1988 Taylor &amp; Francis Group, LLC.</t>
  </si>
  <si>
    <t>1313-1316</t>
  </si>
  <si>
    <t>Environmental Technology Letters</t>
  </si>
  <si>
    <t>109346244;109346244;109346244</t>
  </si>
  <si>
    <t>57011640500;6506875981;57199009396</t>
  </si>
  <si>
    <t>Filho, A. Alessio;Lamparelli, C. C.;Hernandez, J. G.</t>
  </si>
  <si>
    <t>Brazil</t>
  </si>
  <si>
    <t>Sao Paulo</t>
  </si>
  <si>
    <t>CETESB</t>
  </si>
  <si>
    <t>Filho A.</t>
  </si>
  <si>
    <t>Radiofrequency radiation in Sao Paulo City (Brazil)</t>
  </si>
  <si>
    <t>10.1080/09593338809384695</t>
  </si>
  <si>
    <t>2-s2.0-0023692535</t>
  </si>
  <si>
    <t>['¬© 1988', 'years hyperthermia', 'tumor tissue', 'tumor cells', 'treated group', 'tissue around', 'ten days', 'temperature around', 'statistically significant', 'single treatment', 'single application', 'rights reserved', 'radiofrequency current', 'pathological findings', 'one rat', 'morphological changes', 'microwave antenna', 'microscopic examination', 'lymphocytes within', 'long survivors', 'large cavity', 'large areas', 'intracerebral implantation', 'intercellular spaces', 'immunohistochemical study', 'highly encouraging', 'ferromagnetic seed', 'control group', 'cancer therapy', 'brain tumors', 'brain tumor', 'authors developed', '30 minutes', '29 days', '20 days', '01 ).']</t>
  </si>
  <si>
    <t>brain neoplasms | hyperthermia</t>
  </si>
  <si>
    <t>During the past few years hyperthermia as cancer therapy has been studied with great en thusiasm, both clinically and experimentally. Some investigators have used a microwave antenna or radiofrequency current for hyperthermia of malignant brain tumors, but with these methods it is difficult to treat only the tumor without damaging normal brain tissue. The authors developed a system by which hyperthermia can be applied locally via an plant. Brain tumors were induced in rats by intracerebral implantation of T9 gliosarcoma cells (106 cells). Ten days after inoculation, a ferromagnetic seed was implanted in the tumor and a single application of hyperthermia was delivered. The temperature around the implant was maintained at 45.5¬±0.3¬∞C for 30 minutes. The effect of a single treatment was assessed in terms of length of survival and morphological changes in the tumor. The average survival time of the control group (n=23) was 20 days, whereas that of the treated group (n=27) was 29 days. The difference was statistically significant (p&lt;0.01). The pathological findings were as follows: 1) Immediately after hyperthermia, the tissue around the implant was necrotic, the intercellular spaces were enlarged, and the vessels were dilated. 2) In the long survivors, there were large areas of necrosis and accumulation of lymphocytes within the tumor tissue. 3) In one rat that survived, a large cavity was found where the tumor had been, and no tumor cells were detected on microscopic examination. 4) Immunohistochemical study with rat T cell mono clonal antibody demonstrated diffuse distribution of T lymphocytes within the tumor tissue. T lymphocyte subpopulations included helper and suppressor/cytotoxic T cells. These results are highly encouraging in terms of the potential for hyperthermia in the treatment of brain tumor. ¬© 1988, The Japan Neurosurgical Society. All rights reserved.</t>
  </si>
  <si>
    <t>761-766</t>
  </si>
  <si>
    <t>Neurologia Medico-Chirurgica</t>
  </si>
  <si>
    <t>60000264;60000264;60000264;60000264;60000264;105941402;60003573;60024751;60000264</t>
  </si>
  <si>
    <t>55500682300;7408539876;55425926800;24788655000;55726709200;7005917529;35561229400;57198901686;57028853400</t>
  </si>
  <si>
    <t>Tanaka, Takayuki;Kobayashi, Tatsuya;Hattori, Kazuyoshi;Takahashi, Tatsuo;Ito, Masafumi;Kageyama, Naoki;Kida, Yoshihisa;Ikeda, Tetsuo;Matsui, Masaaki</t>
  </si>
  <si>
    <t>Japan;Japan;Japan;Japan</t>
  </si>
  <si>
    <t>Nagoya;Komaki;Nagoya;Kishiwada</t>
  </si>
  <si>
    <t>Nagoya Institute of Technology;Komaki City Hospital;Nagoya University;Kishiwada City Hospital</t>
  </si>
  <si>
    <t>60024751;60003573;60000264;105941402</t>
  </si>
  <si>
    <t>Tanaka T.</t>
  </si>
  <si>
    <t>Treatment of Experimental Rat Brain Tumors by Magnetic Induction Hyperthermia using a Ferromagnetic Implant with a Low Curie Point</t>
  </si>
  <si>
    <t>10.2176/nmc.28.761</t>
  </si>
  <si>
    <t>2-s2.0-0023693009</t>
  </si>
  <si>
    <t>['¬© 1988', 'wind blowing', 'wake behind', 'vertical profile', 'two higher', 'turbulence structure', 'turbulence intensity', 'turbulence instruments', 'turbine towards', 'turbine characteristics', 'three levels', 'three antennae', 'tala kites', 'several distances', 'rotor diameter', 'range 2d', 'powerful tool', 'lower frequencies', 'general level', 'general agreement', 'flat country', 'field experiment', 'downwind distances', 'detailed data', 'decreased energy', '004 hz']</t>
  </si>
  <si>
    <t>Wind power | wind turbine wakes</t>
  </si>
  <si>
    <t>The wake behind the 2 MW wind turbine situated on flat country at N√§sudden, Sweden has been mapped in a field experiment where several measuring techniques were employed. A high resolution sodar appeared to be a very powerful tool which enabled detailed studies of both mean and turbulence wake profiles to be carried out. Measurements with this system were made with three antennae in three different modes of operation and at several distances in the range 2D-3.6D from the turbine (D being the rotor diameter, 75 m). Additional detailed data were obtained with turbulence instruments at three levels at a 145 m tower, situated 3D downwind, during conditions with the wind blowing from the turbine towards the tower. Finally good quality data of the centre line velocity deficit and of the longitudinal turbulence intensity were obtained with Tala kites at distances of up to 10.5D. The measurements show good agreement with data on the thrust coefficient derived from turbine characteristics. The centre line velocity deficit was found to vary with distance as x-1.1, in general agreement with wind tunnel simulations, but the constant of proportionality was found to be about 40% lower than in those simulations. Detailed data on the turbulence structure in the wake have been obtained. For downwind distances of a few diameters, the vertical profile of turbulence intensity is found to resemble the corresponding profiles found in the laboratory, with two sharp peaks at about rotor radius distance from the centre. The general level of turbulence intensity as an average at the centre of the wake is found to be about a factor of two higher than found in wind tunnel simulations. Turbulence spectra measured in the wake with the sodar and with tower mounted instruments show significantly increased fluctuation levels for frequencies above about 0.004 Hz and decreased energy at lower frequencies. ¬© 1988.</t>
  </si>
  <si>
    <t>803-820</t>
  </si>
  <si>
    <t>Atmospheric Environment (1967)</t>
  </si>
  <si>
    <t>;60028900;60011619;60028900;</t>
  </si>
  <si>
    <t>7003687981;21033312800;7006506461;7005520046;57209057193</t>
  </si>
  <si>
    <t>H√∂gstr√∂m, U.;Asimakopoulos, D. N.;Kambezidis, H.;Helmis, C. G.;Smedman, A.</t>
  </si>
  <si>
    <t>Greece;Greece</t>
  </si>
  <si>
    <t>Athens;Athens</t>
  </si>
  <si>
    <t>National and Kapodistrian University of Athens;National Observatory of Athens</t>
  </si>
  <si>
    <t>60028900;60011619</t>
  </si>
  <si>
    <t>H√∂gstr√∂m U.</t>
  </si>
  <si>
    <t>A field study of the wake behind a 2 MW wind turbine</t>
  </si>
  <si>
    <t>10.1016/0004-6981(88)90020-0</t>
  </si>
  <si>
    <t>2-s2.0-0023703786</t>
  </si>
  <si>
    <t>National Institutes of Health</t>
  </si>
  <si>
    <t>R01CA037245</t>
  </si>
  <si>
    <t>NIH</t>
  </si>
  <si>
    <t>['treatment region', 'transient temperatures', 'thermal conduction', 'thermal clearance', 'sufficient condition', 'single time', 'sar values', 'sar ).', 'rights reserved', 'little ability', 'inhomogeneous model', 'homogeneous model', 'generally poor', 'estimated parameters', 'dimensional time', 'curve resulted', 'computer simulations', 'blood flow', 'assigned within']</t>
  </si>
  <si>
    <t>Blood flow | Hyperthermia | Power deposition | Thermal clearance | Tumour model</t>
  </si>
  <si>
    <t>A two-dimensional time-dependent finite element model was developed to evaluate thermal techniques for estimating blood flow and specific absorption rate (SAR). In these computer simulations, homogeneously and nonhomogeneously perfused tumour models were heated by a 915 MHz interstitial microwave antenna array. Representative blood flow values were assigned within the tumour, and the applied SAR distribution was based on a previously developed antenna theory. SAR values were estimated from the power-on transient temperatures, and blood flow values were estimated from thermal clearance data after power was discontinued. These estimated parameters were then compared to the known 'true' blood flow and SAR values throughout the treatment region. SAR values could be predicted with reasonable accuracy throughout most of the heated region independent of local blood flow. For a homogeneous model, thermal clearance was found to yield reasonably accurate blood flow estimates at high perfusion rates and less accurate estimates at lower perfusion rates. However, for the inhomogeneous model, the blood perfusion estimates were generally poor, and an average blood flow value for the tumour was obtained with little ability to resolve the differences in perfusion between regions. Using temperatures observed early in the cool-down curve resulted in improved spatial resolution, but increased the contribution of thermal conduction to the blood flow estimates. A single time-constant exponential thermal decay curve was found to be a necessary but not sufficient condition for reliable blood flow estimates using this technique. ¬© 1988 Informa UK Ltd All rights reserved: reproduction in whole or part not permitted.</t>
  </si>
  <si>
    <t>571-592</t>
  </si>
  <si>
    <t>60030443;60030443;60030443;60030443</t>
  </si>
  <si>
    <t>7403531361;6602167161;7404235921;7005534211</t>
  </si>
  <si>
    <t>Wong, Terence Z.;Mechling, Joyce A.;Jones, Ellen L.;Strohbehn, John W.</t>
  </si>
  <si>
    <t>Hanover</t>
  </si>
  <si>
    <t>Thayer School of Engineering at Dartmouth</t>
  </si>
  <si>
    <t>Wong T.</t>
  </si>
  <si>
    <t>Transient finite element analysis of thermal methods used to estimate SAR and blood flow in homogeneously and nonhomogeneously perfused tumour models</t>
  </si>
  <si>
    <t>10.3109/02656738809012398</t>
  </si>
  <si>
    <t>2-s2.0-0023706596</t>
  </si>
  <si>
    <t>['view radio', 'takes advantage', 'noise ratio', 'n ).', 'improved signal', 'images obtained', 'field sensitivity', 'encompassing antenna', 'antenna volume', '50 patients']</t>
  </si>
  <si>
    <t>Limited-field-of-view radio-frequency receiver antennas provide improved near-field sensitivity for magnetic resonance imaging by decreasing the antenna volume. The Helmholtz-type surface coil, consisting of two flat rings, is an organ-encompassing antenna that takes advantage of this principle to yield an improved signal-to-noise ratio (S/N). The coil was tested in a group of 50 patients and 16 healthy volunteers. Images obtained with the Helmholtz coil demonstrated quantitatively superior S/N of 2.2-fold or greater than that of comparison body coil images, as well as qualitatively superior anatomic resolution.</t>
  </si>
  <si>
    <t>564-566</t>
  </si>
  <si>
    <t>Radiology</t>
  </si>
  <si>
    <t>60006263;60006263;60006263;60006263</t>
  </si>
  <si>
    <t>6603856902;7006066426;57204717125;35412493300</t>
  </si>
  <si>
    <t>Reiman, T. H.;Heiken, J. P.;Totty, W. G.;Lee, J. K.T.</t>
  </si>
  <si>
    <t>St. Louis</t>
  </si>
  <si>
    <t>Washington University School of Medicine in St. Louis, Mallinckrodt Institute of Radiology</t>
  </si>
  <si>
    <t>Reiman T.</t>
  </si>
  <si>
    <t>Clinical MR imaging with a Helmholtz-type surface coil</t>
  </si>
  <si>
    <t>10.1148/radiology.169.2.3175008</t>
  </si>
  <si>
    <t>2-s2.0-0023732730</t>
  </si>
  <si>
    <t>A65020</t>
  </si>
  <si>
    <t>['¬© 1988', 'satisfactorily solved', 'required accuracy', 'previous solutions', 'posed problem', 'numerical solution', 'model describes', 'main theme', 'initially ill', 'explicit finite', 'difference scheme']</t>
  </si>
  <si>
    <t>A mixed-type (hyperbolic, parabolic, elliptic) partial differential equation, which results from a model of a towed cylindrical acoustic antenna in the ocean, has been solved by combining the techniques of the method of lines and the numerical ordinary differential equation method. The model describes the transverse dynamic motion of a zero bending rigidity cylinder in an axial viscous stream. This initially ill-posed problem was satisfactorily solved by the above approach. The efficiency of this numerical solution has been improved over previous solutions. Discussions of these improvements are the main theme of this paper which presents an explicit finite-difference scheme; the improvements increase computation speed while maintaining the required accuracy. The improvements are discussed both theoretically and computationally with respect to consistency, stability and convergence. The results of a numerical test example are given. ¬© 1988.</t>
  </si>
  <si>
    <t>75-85</t>
  </si>
  <si>
    <t>Mathematical and Computer Modelling</t>
  </si>
  <si>
    <t>60019947;60019947</t>
  </si>
  <si>
    <t>56229700900;7406666521</t>
  </si>
  <si>
    <t>Kennedy, R. K.;Lee, D.</t>
  </si>
  <si>
    <t>New London</t>
  </si>
  <si>
    <t>US Naval Underwater Systems Center</t>
  </si>
  <si>
    <t>Kennedy R.</t>
  </si>
  <si>
    <t>A finite-difference solution to a mixed-type partial differential equation: An ocean dynamic motion model</t>
  </si>
  <si>
    <t>0895-7177(88)90069-6</t>
  </si>
  <si>
    <t>10.1016/0895-7177(88)90069-6</t>
  </si>
  <si>
    <t>2-s2.0-0023740352</t>
  </si>
  <si>
    <t>['tissue perfusion', 'temperature measurement', 'temperature distributions', 'rights reserved', 'primary source', 'plastic catheter', 'measured temperatures', 'measured temperature', 'improved control', 'heating distal', 'error appears', 'directly proportional', 'design evaluated', 'complex environment', 'antenna within', 'antenna junction']</t>
  </si>
  <si>
    <t>Interstitial hyperthermia | Microwave antennas | Thermometry</t>
  </si>
  <si>
    <t>Temperature measurement from within microwave interstitial antennas is a promising new development for hyperthermia. These antennas could enable the development of multipoint temperature regulation, leading to improved control of temperature distributions and therefore more effective hyperthermia treatments. In the complex environment of an antenna within a plastic catheter, measured temperatures were found to differ from the estimated local tissue temperature by up to 8¬∞C. In the design evaluated in this report the primary source of this error appears to be self-heating distal to the antenna junction, particularly in the outer copper conductor. The magnitude of self-heating is directly proportional to applied microwave power. Catheter wall thickness, tissue perfusion, and longitudinal temperature gradient also influence the measured temperature. ¬© 1988 Informa UK Ltd All rights reserved: reproduction in whole or part not permitted.</t>
  </si>
  <si>
    <t>593-607</t>
  </si>
  <si>
    <t>60015183;60015183;60015183;60015183</t>
  </si>
  <si>
    <t>7006549540;7007051442;7003599942;7006372174</t>
  </si>
  <si>
    <t>Astrahan, M. A.;Luxton, G.;Sapozink, M. D.;Petrovich, Z.</t>
  </si>
  <si>
    <t>Los Angeles</t>
  </si>
  <si>
    <t>Keck School of Medicine of USC</t>
  </si>
  <si>
    <t>Astrahan M.A.</t>
  </si>
  <si>
    <t>The accuracy of temperature measurement from within an interstitial microwave antenna</t>
  </si>
  <si>
    <t>10.3109/02656738809012399</t>
  </si>
  <si>
    <t>2-s2.0-0023749557</t>
  </si>
  <si>
    <t>K08HL001166</t>
  </si>
  <si>
    <t>['¬© 1988', 'untreated tumors', 'results support', 'pi t1s', 'pi t1', 'paramagnetic properties', 'oxygen breathing', 'oxygen alone', 'obtained using', 'metabolic rate', 'mcaiv ).', 'mammary carcinomas', 'irradiated tumors', 'inorganic phosphate', 'increased proportion', 'fsaii ),', 'foot dorsum', 'dna synthesis', 'breathe 100', 'atpase reaction', 'anoxic tumor', '93 sec', '78 sec', '73 sec', '70 sec', '62 sec', '37 sec', '300 mm3', '30 min', '18 sec', '14 sec']</t>
  </si>
  <si>
    <t>DNA synthesis | Magnetic Resonance Spectroscopy (MRS) | Metabolism | Mouse | Neoplasm | NMR | Oxygen | Phosphorus-31 | Radiation therapy | Spin-lattice relaxation</t>
  </si>
  <si>
    <t>31P MRS longitudinal relaxation times (T1) were determined for C3H murine fibrosarcomas (FSaII), and mammary carcinomas (MCaIV). Tumors were implanted in the foot dorsum, and were 100-300 mm3 in volume. T1s were repeated after the animal was allowed to breathe 100% oxygen for 30 min and then again 36-48 hr following 30 Gy. The spectrum were obtained using an 8.5 T spectrometer with a 8 cm bore and a 1.4 cm single turn antenna coil. The 31P relaxation times for untreated tumors in air breathing animals were: 3.78 sec for phosphomonoesters, 4.37 sec for inorganic phosphate (Pi), 2.73 sec for phosphocreatine, 1.37 sec for Œ≥ATP, 1.14 sec for Œ±ATP, and 1.18 sec for Œ≤ATP. The Pi T1s were 4.37 and 4.70 sec in control and irradiated tumors in air breathing animals. Respiration of oxygen for 30 min reduced the T1s to 3.02 and 2.62 sec in control and irradiated tumors respectively. The Pi T1 of an anoxic tumor, determined on an in situ tumor 60 min after death was 5.93 sec. The oxygen breathing induced decrease in the T1 of Pi is unlikely to have been caused by the paramagnetic properties of oxygen alone, and suggests a component of increased magnetization transfer secondary to the ATPase reaction. Oxygen breathing following 30 Gy, resulted in a decreased growth time (800 mm3 endpoint) and an increased proportion of cells in S-phase. These results support the hypothesis that the decrease in Pi T1 measured with oxygen breathing is a measure of tumor oxygen tension and metabolic rate, and suggests that T1 measurement may indirectly predict tumor growth rate and DNA synthesis. ¬© 1988.</t>
  </si>
  <si>
    <t>1185-1195</t>
  </si>
  <si>
    <t>International Journal of Radiation Oncology, Biology, Physics</t>
  </si>
  <si>
    <t>60029929;60029929;60113392;60029929;60029929;60113392;60113392;60029929</t>
  </si>
  <si>
    <t>7005586708;16449069000;6602653378;6701575750;16690373900;35553442600;57216599109;7103291860</t>
  </si>
  <si>
    <t>Okunieff, Paul;Ramsay, Jonathan;Tokuhiro, Tadashi;Hitzig, Bernard M.;Rummeny, Ernst;McFarland, Eric;Neuringer, Leo J.;Suit, Herman</t>
  </si>
  <si>
    <t>Cambridge;Boston</t>
  </si>
  <si>
    <t>Francis Bitter Magnet Laboratory;Massachusetts General Hospital</t>
  </si>
  <si>
    <t>60113392;60029929</t>
  </si>
  <si>
    <t>Okunieff P.</t>
  </si>
  <si>
    <t>Estimation of tumor oxygenation and metabolic rate using &lt;sup&gt;31&lt;/sup&gt;P MRS: Correlation of longitudinal relaxation with tumor growth rate and dna synthesis</t>
  </si>
  <si>
    <t>0360-3016(88)90397-5</t>
  </si>
  <si>
    <t>10.1016/0360-3016(88)90397-5</t>
  </si>
  <si>
    <t>2-s2.0-0023759876</t>
  </si>
  <si>
    <t>['wind profiler', 'properly included', 'much smaller', 'measured routinely', 'large errors', 'independent measurements', 'horizontal winds', 'horizontal nonuniformity', 'horizontal inhomogeneity', 'fall speeds', 'detect conditions', 'clear air', 'attributed largely', '405 mhz', '1 ms', '1 ).']</t>
  </si>
  <si>
    <t>Horizontal winds in the presence of precipitation were measured routinely with a UHF (405 MHz) Wind Profiler. The profiler had five beam pointing positions so independent measurements of horizontal winds could be compared to determine relative accuracy and precision. Large precipitation fall speeds are shown to cause very large errors (on the order of tens of metres per second) in the horizontal wind estimates when those fall speeds are not properly included in the estimates. But when the precipitation fall speeds are properly included, the errors are much smaller (2-m s-1), approaching those of clear air (1 ms-1). The decrease in the precision in precipitation is attributed largely to horizontal nonuniformity in precipitation from one antenna beam to another. A 4 or 5 beam profiler can detect conditions of horizontal inhomogeneity by virtue of its ability to make independent measurements of the winds from horizontally separated scattering volumes.</t>
  </si>
  <si>
    <t>450-465</t>
  </si>
  <si>
    <t>3 , Jun. 1988</t>
  </si>
  <si>
    <t>J. ATMOS. &amp; OCEANIC TECHNOL.</t>
  </si>
  <si>
    <t>;;;;;;;</t>
  </si>
  <si>
    <t>6602472568;7401436950;7004520527;7005591218;7202893638;7102927205;7005807606;7103184162</t>
  </si>
  <si>
    <t>Wuertz, D. B.;Weber, B. L.;Strauch, R. G.;Frisch, A. S.;Little, C. G.;Merritt, D. A.;Moran, K. P.;Welsh, D. C.</t>
  </si>
  <si>
    <t>Wuertz D.B.</t>
  </si>
  <si>
    <t>Effects of precipitation on UHF wind profiler measurements.</t>
  </si>
  <si>
    <t>10.1175/1520-0426(1988)005&lt;0450:eopouw&gt;2.0.co;2</t>
  </si>
  <si>
    <t>2-s2.0-0023770475</t>
  </si>
  <si>
    <t>['short baselines', 'multipath interference', 'mathematical model', 'immediate vicinity', 'discusses errors', 'conducting material']</t>
  </si>
  <si>
    <t>Discusses errors in GPS carrier phase observations resulting from multipath interference. A mathematical model for multipath induced carrier phase errors is derived. It is shown that multipath can be monitored over short baselines by analyzing dual frequency measurements. Two related experiments are reported. The first example demonstrates that extreme multipath interference can render useless GPS observations for precise positioning applications. The 2nd example shows the danger of occurrence of long periodic multipath errors caused by conducting material in the immediate vicinity of the receiver antenna.-from Authors</t>
  </si>
  <si>
    <t>172-179</t>
  </si>
  <si>
    <t>0140427X</t>
  </si>
  <si>
    <t>Map Collector</t>
  </si>
  <si>
    <t>60017962;60017962</t>
  </si>
  <si>
    <t>55201949900;6701620368</t>
  </si>
  <si>
    <t>Georgiadou, Y.;Kleusberg, A.</t>
  </si>
  <si>
    <t>Ottawa</t>
  </si>
  <si>
    <t>Geological Survey of Canada</t>
  </si>
  <si>
    <t>Georgiadou Y.</t>
  </si>
  <si>
    <t>On carrier signal multipath effects in relative GPS positioning.</t>
  </si>
  <si>
    <t>2-s2.0-0023774865</t>
  </si>
  <si>
    <t>P01CA013525</t>
  </si>
  <si>
    <t>['¬© 1988', 'turn density', 'treatment volume', 'terminal portion', 'strongly affected', 'single half', 'sharp falloff', 'seated tissues', 'outer conductor', 'muscle tissue', 'minimal requirement', 'miniature semi', 'marked shift', 'localized heating', 'insertion depth', 'inner conductor', 'improved localization', 'homogeneous phantom', 'heating pattern', 'directions axially', 'dipole antennas', 'coil element', 'antenna tip', 'antenna showed', '35 turn', '1 4']</t>
  </si>
  <si>
    <t>Hyperthermia | Interstitial hyperthermia | Microwave antenna | Thermal dosimetry</t>
  </si>
  <si>
    <t>An implantable 915 MHz helical coil antenna was developed for improved localization and control of interstitial microwave hyperthermia. The radiating element consisted of a fine wire coil wound back over the inner conductor of a miniature semi-rigid coaxial cable in place of the terminal portion of outer conductor. The power deposition profiles from single helical coil antennas were studied both in homogeneous phantom and in muscle tissue in vivo and compared to those of single half-wavelength linear dipole antennas. The effects of variable coil length, turn density, and antenna insertion depth in tissue were characterized. The helical coil antennas produced a well-localized heating pattern with a sharp falloff of temperature in both directions axially from the coil element. One of the best heating patterns was obtained with a 35 turn, 35 mm long helical coil element which was separated from the antenna feedline outer conductor by a 1 mm gap (HCS-35(1)/36). This antenna showed a marked shift of the effectively heated volume toward the antenna tip and essentially no dependence of the heating pattern on insertion depth. In contrast, the axial power deposition profiles of dipole antennas were strongly affected by insertion depth and exhibited an inadequately heated area at the antenna tip even with 1 4- 3 4 wavelength insertion. Thermal distribution studies showed that the single helical coil microwave antenna provided more predictable, well-localized heating of deep-seated tissues, with minimal requirement for over-implanting of the treatment volume. ¬© 1988.</t>
  </si>
  <si>
    <t>1209-1218</t>
  </si>
  <si>
    <t>60023691-60031970;60023691-60031970;60023691-60031970</t>
  </si>
  <si>
    <t>57216311476;7005772755;7006300930</t>
  </si>
  <si>
    <t>Satoh, Toru;Stauffer, Paul R.;Fike, John R.</t>
  </si>
  <si>
    <t>San Francisco;San Francisco</t>
  </si>
  <si>
    <t>UCSF School of Medicine;University of California, San Francisco</t>
  </si>
  <si>
    <t>60031970;60023691</t>
  </si>
  <si>
    <t>Satoh T.</t>
  </si>
  <si>
    <t>Thermal distribution studies of helical coil microwave antennas for interstitial hyperthermia</t>
  </si>
  <si>
    <t>10.1016/0360-3016(88)90206-4</t>
  </si>
  <si>
    <t>2-s2.0-0023792233</t>
  </si>
  <si>
    <t>National Cancer Institute</t>
  </si>
  <si>
    <t>NCI</t>
  </si>
  <si>
    <t>['symmetrical around', 'specific depths', 'single antenna', 'scalp ),', 'results indicated', 'relatively uniform', 'one week', 'normal brain', 'minimal variation', 'lower temperature', 'induced using', 'implanted sterotactically', 'hyperthermia treatment', 'heating patterns', 'heat lesions', 'heat insult', 'extracerebral tissues', 'excessive heating', 'dipole antenna', 'cm lenght', 'brain surface', 'antenna tip', 'antenna seems']</t>
  </si>
  <si>
    <t>A helical coil 2450-MHz microwave antenna was used to induce interstitial hyperthermia in normal dog brain. The HCS-10(1)/11 antenna consisted of a miniature semirigid coaxial cable around which a fine wire coil with 10 turns per 1-cm lenght was wound. A single antenna and two or three temperature probes were implanted sterotactically, and the temperature distributions surrounding the antenna were measured and compared to those induced using a dipole antenna. The helical coil antenna produced well-localized temperature distributions at depths that were symmetrical around the coil and that extended to the antenna tip. There was minimal variation of the heating patterns with insertion depth using the HCS-10(1)/11 antenna and no excessive heating of extracerebral tissues. In contrast, 2450-MHz dipole antennas induced temperatures of 43 to 46¬∞C at the brain surface and extracerebral tissues (skull, muscle, and scalp), with a relatively uniform but lower temperature in the targeted brain volume. One week after hyperthermia treatment, the thermal lesions induced by the helical coil antenna were visualized using computed tomography. The heating patterns correlated well with the location of the heat lesions and were reproducible among animals. The results indicated that the helical coil antenna could be used to induce localized hyperthermia at specific depths in normal brain without inducing unacceptable heating of the brain surface or extracerebral tissues. Consequently, this antenna seems to be suitable for studying the response of normal brain after a heat insult and may be effective in the application of interstitial microwave brain hyperthermia for malignant brain tumors.</t>
  </si>
  <si>
    <t>564-569</t>
  </si>
  <si>
    <t>60023691;60023691;60023691;60023691;60023691</t>
  </si>
  <si>
    <t>57216311476;6506460690;7005772755;35408019300;7006300930</t>
  </si>
  <si>
    <t>Satoh, T.;Seilhan, T. M.;Stauffer, P. R.;Sneed, P. K.;Fike, J. R.</t>
  </si>
  <si>
    <t>San Francisco</t>
  </si>
  <si>
    <t>University of California, San Francisco</t>
  </si>
  <si>
    <t>Interstitial helical coil microwave antenna for experimental brain hyperthermia</t>
  </si>
  <si>
    <t>10.1227/00006123-198811000-00004</t>
  </si>
  <si>
    <t>2-s2.0-0023798544</t>
  </si>
  <si>
    <t>['particular demands', 'major applications', 'hydrographic surveying', 'fix system', '48 ghz']</t>
  </si>
  <si>
    <t>The MICRO-FIX system, developed by Racal Marine Systems Ltd. for positioning and automatic data collection and processing, has major applications in hydrographic surveying and dredging. The microwave system operates at 5.48 Ghz and transmits a modulated pulse via a circularly polarized antenna. The application of the system to the particular demands of dredging are discussed.</t>
  </si>
  <si>
    <t>21-24</t>
  </si>
  <si>
    <t>5 , May 1988</t>
  </si>
  <si>
    <t>WORLD DREDGING &amp; MAR. CONSTR.</t>
  </si>
  <si>
    <t>Job, D. L.</t>
  </si>
  <si>
    <t>Job D.</t>
  </si>
  <si>
    <t>Hydrographic surveying &amp; dredging control: recent advances.</t>
  </si>
  <si>
    <t>2-s2.0-0023799129</t>
  </si>
  <si>
    <t>279-282</t>
  </si>
  <si>
    <t>Progress in clinical and biological research</t>
  </si>
  <si>
    <t>Yam, R.</t>
  </si>
  <si>
    <t>Israel</t>
  </si>
  <si>
    <t>Tel Aviv-Yafo</t>
  </si>
  <si>
    <t>Tel Aviv University</t>
  </si>
  <si>
    <t>Yam R.</t>
  </si>
  <si>
    <t>Surface carboxyls as a collecting antenna for protons.</t>
  </si>
  <si>
    <t>2-s2.0-0023804622</t>
  </si>
  <si>
    <t>['wind speeds', 'weather forecasting', 'reflectorized balloon', 'radar method', 'possible constraints', 'otherwise dedicated', 'natural tracers', 'method represents', 'measuring winds', 'incremental cost', 'fair weather', 'doppler radars', 'doppler radar', 'directions estimated', 'define winds', 'data used', 'data processing', 'computer programs', 'balloon rises', 'balloon launch', 'antenna control', 'acquisition procedures']</t>
  </si>
  <si>
    <t>Computer programs for antenna control and data processing were prepared and interfacing was fabricated to enable the Doppler radar at Norman, Oklahoma, to track a reflectorized balloon and define winds in the layer through which the balloon rises. Differences between wind speeds and directions estimated by this radar and by radiosonde were about 1/2 m s-1 and 4DEGREES. Given a network of Doppler radars such as projected by the NEXRAD (Next Generation Weather Radar) program, the incremental cost of hardware for measuring winds by this radar method is small. Subject to refinement of balloon launch and acquisition procedures, and consideration of other possible constraints, the method represents and opportunity to collect wind data by radar during periods of fair weather when natural tracers are weak or absent and the radars are not otherwise dedicated. Winds so acquired could expand the base of data used in weather forecasting.</t>
  </si>
  <si>
    <t>442-449</t>
  </si>
  <si>
    <t>7006640608;6602978441;24534204500</t>
  </si>
  <si>
    <t>Zrnic, D. S.;Sirmans, D.;Kessler, E.</t>
  </si>
  <si>
    <t>Zrnic D.S.</t>
  </si>
  <si>
    <t>Determination of winds from balloon tracking with a Doppler weather radar.</t>
  </si>
  <si>
    <t>10.1175/1520-0426(1988)005&lt;0442:dowfbt&gt;2.0.co;2</t>
  </si>
  <si>
    <t>2-s2.0-0023815764</t>
  </si>
  <si>
    <t>National Science Foundation</t>
  </si>
  <si>
    <t>NSF</t>
  </si>
  <si>
    <t>['¬© 1988', 'would allow', 'vacuolated due', 'type larvae', 'relevant genes', 'readily cloned', 'phenotypes caused', 'paper describes', 'normal rate', 'mutant ovaries', 'mutagenesis procedure', 'morphologically normal', 'metamorphosing larvae', 'lipid droplets', 'larval brain', 'form puparia', 'following paper', 'differentiate poorly', 'awdb3 mutation', 'awd gene', 'awd );', 'autonomous manner', 'antenna discs', 'abnormal morphology', '12 genes']</t>
  </si>
  <si>
    <t>In order to recover mutations affecting imaginal discs in a way which would allow the relevant genes to be readily cloned, a hybrid dysgenic screen was performed for mutations causing late larval/early pupal lethality. This paper describes that mutagenesis procedure and the phenotypes caused by the mutations that were recovered. Of 81 late larval/pupal lethal mutations that were recovered, 20 cause imaginal disc defects. These 20 mutations define 12 different genes. This paper also includes a description of the developmental defects caused by a mutation in one of those 12 genes which we have named abnormal wing discs (awd); the following paper (C. Dearolf, N. Tripoulas, J. Biggs, and A. Shearn, 1988, Dev. Biol. 129, 169-178) describes the cloning of the awd gene and an analysis of its pattern of transcription. awdb3 homozygotes develop at a normal rate until the end of the second larval instar, when their rate of development is reduced. After an extended third larval instar, they form puparia and die. Mutant wing discs have an abnormal morphology and extensive cell death. These abnormal wing discs, and also the leg and eye-antenna discs which appear to be morphologically normal, differentiate poorly or not at all when injected into metamorphosing larvae. Analysis of genetic mosaics indicates that the awdb3 mutation is expressed in a cell-autonomous manner in wing, leg, and eye-antenna discs. The larval brain and proventriculus in awdb3 homozygous third-instar larvae appear to be vacuolated due to the accumulation of lipid droplets. Mutant ovaries are unable to develop when injected into wild-type larvae, although mutant germ cells are capable of producing normal eggs. ¬© 1988.</t>
  </si>
  <si>
    <t>159-168</t>
  </si>
  <si>
    <t>Developmental Biology</t>
  </si>
  <si>
    <t>60005248;60005248;60005248</t>
  </si>
  <si>
    <t>7004162307;6601967106;7004253986</t>
  </si>
  <si>
    <t>Dearolf, Charles R.;Hersperger, Evelyn;Shearn, Allen</t>
  </si>
  <si>
    <t>Baltimore</t>
  </si>
  <si>
    <t>Johns Hopkins University</t>
  </si>
  <si>
    <t>Dearolf C.</t>
  </si>
  <si>
    <t>Developmental consequences of awd&lt;sup&gt;b3&lt;/sup&gt;, a cell-autonomous lethal mutation of Drosophila induced by hybrid dysgenesis</t>
  </si>
  <si>
    <t>10.1016/0012-1606(88)90170-4</t>
  </si>
  <si>
    <t>2-s2.0-0023820539</t>
  </si>
  <si>
    <t>['would occur', 'worst case', 'sun glitter', 'summer solstice', 'simulations taking', 'rim darkening', 'reflectance radiance', 'radiometric characteristics', 'percentage ratios', 'path radiance', 'noise ratios', 'minimum albedo', 'max radiances', 'launch data', 'landsat mss', 'influences due', 'influence caused', 'francis group', 'brightness temperature', 'board mos', 'atmospheric effects', 'antenna rotation', 'antenna pattern', '60 08', '130 70']</t>
  </si>
  <si>
    <t>Radiometric characteristics of the sensors on board MOS-1 were assessed using pre-launch data and simulations taking into account sea surface conditions, influences due to Sun glitter, atmospheric effects, etc. Consequently, it was found that the following are noticeable: (I) MIN/MAX radiances and signal-to-noise ratios at the radiances of MESSR are almost the same as those of Landsat MSS. (2) A 7 per cent influence caused by Sun glitter, in terms of the equivalent glitter reflectivity, is estimated for the worst case. This would occur at the summer solstice, at 11 00 hours Local Mean Time and with an ocean wind speed of 7 m/s, (3) The percentage ratios of reflectance radiance to path radiance for MESSR-1 to-4 are, respectively, 60 08, 95-29, 130 70 and 267.63 per cent. These ratios would result from a ground cover target with minimum albedo in the summer under hazy atmospheric conditions. (4) A 9 per cent influence caused by Sun glitter, in terms of the equivalent glitter reflectivity, is estimated for VTIR-1 in the worst case. This would occur at the summer solstice, at 11 00 hours Local Mean Time and an ocean wind speed of 7 m/s. The influences due to Sun glitter for VT1R-2 to 4 are negligible. (5) A 38 per cent of influence caused by rim darkening is estimated for VTIR in the worst case. This would occur at the maximum viewing angle, in the summer, under a hazy atmospheric condition. (6) A 2.8 per cent influence on brightness temperature, caused by polarization change due to antenna rotation for the MSR, is estimated. (7) A 12.8 per cent influence on brightness temperature, caused by the side lobe effect for the MSR, is estimated for the case in which a land-ocean boundary coincides with the trough between the main and the first side lobe on the antenna pattern. ¬© 1988 Taylor &amp; Francis Group, LLC.</t>
  </si>
  <si>
    <t>International Journal of Remote Sensing</t>
  </si>
  <si>
    <t>Ara, Kohei</t>
  </si>
  <si>
    <t>Chofu</t>
  </si>
  <si>
    <t>Japan Aerospace Exploration Agency</t>
  </si>
  <si>
    <t>Ara K.</t>
  </si>
  <si>
    <t>Preliminary assessment of radiometric accuracies for MOS-1 sensors</t>
  </si>
  <si>
    <t>10.1080/01431168808954833</t>
  </si>
  <si>
    <t>2-s2.0-0023822997</t>
  </si>
  <si>
    <t>['target depolarization', 'strong like', 'side lobes', 'resolution cell', 'provide information', 'proper specification', 'previous research', 'polarized feed', 'polarized cross', 'polarization isolation', 'one associated', 'measurements made', 'measurement antenna', 'inadequate isolation', 'image different', 'francis group', 'extensively investigated', 'especially depolarized', 'errors induced', 'doppler systems', 'depolarized measurements', 'antenna bandwidth']</t>
  </si>
  <si>
    <t>The effects of target depolarization in measurements made by stationary microwave systems have been extensively investigated. The use of depolarized measurements can provide information not available in the like-polarized measurement alone. Depolarized measurements acquired by non-Doppler systems were susceptible to errors induced by the measurement antenna. We extend this previous research to non-stationary (Doppler) systems. In both stationary and Doppler systems, adequate antenna polarization isolation is required to allow high quality polarization (especially depolarized) measurements to be acquired. In the synthetic aperture radar (SAR) systems the effect of azimuth ambiguities caused by the pulse repetition frequency (prf) of the system must also be incorporated in the analysis. Normally the effects of PRF can be filtered by the azimuth spectrum processor, however when measuring the weak depolarized cross-section in the presence of the strong like-polarized cross-section the polarization isolation in the side lobes of the aliased azimuth spectrum may become significant. Inadequate isolation can cause a like-polarized feed through return to exist in the depolarized measurement channel at a position in the image different from the resolution cell in question. The complexity of the SAR introduces two feed-through problems, one associated with the main processing beamwidth (azimuth Doppler bandwidth) and the other associated with the aliased function coupling into the main processing bandwidth. Stationary systems must only be concerned with the former; however, both can be controlled with proper specification of the antenna bandwidth and its side lobes. ¬© 1988 Taylor &amp; Francis Group, LLC.</t>
  </si>
  <si>
    <t>527-542</t>
  </si>
  <si>
    <t>60003467;60003467</t>
  </si>
  <si>
    <t>6507706038;7101834198</t>
  </si>
  <si>
    <t>Lukert, D. H.;Blanchard, A. J.</t>
  </si>
  <si>
    <t>Arlington</t>
  </si>
  <si>
    <t>The University of Texas at Arlington</t>
  </si>
  <si>
    <t>Lukert D.</t>
  </si>
  <si>
    <t>Azimuth depolarization ambiguities in Synthetic Aperture Radar</t>
  </si>
  <si>
    <t>10.1080/01431168808954873</t>
  </si>
  <si>
    <t>2-s2.0-0023823024</t>
  </si>
  <si>
    <t>['two orbits', 'track position', 'track displacement', 'track direction', 'theory indicates', 'substantially increases', 'stretching one', 'sponding pixels', 'skew gave', 'phase differences', 'phase difference', 'overlaid pixel', 'orbit separation', 'one orbit', 'one antenna', 'involved imaging', 'increased linearly', 'given pixel', 'francis group', 'finding altitudes', 'experimental data', 'exactly parallel', 'derived exactly', 'crossing point', 'complicated way', 'baseline increased', 'backward compared', 'b data', 'azimuth processing', 'azimuth distance', 'available sir', 'antenna interferometer', 'altitude information', 'altimetry information']</t>
  </si>
  <si>
    <t>In a conventional imaging radar interferometer, two receiving antennas separated slightly in the cross-track direction view the same scene and altimetry information is deduced from the phase differences between the corre-sponding pixels in each image. It is possible to perform the same measurements with only one antenna by making two images of the scene on two separate passes; for SIR-B this involved imaging on two separate orbits. If the two orbits are parallel and separated in the cross-track direction, altitude information is derived exactly as in the two-antenna interferometer and the baseline is determined by the orbit separation. For the available SIR-B data, however, the orbits were skewed, which substantially increases the difficulty of finding altitudes. Since the orbits were not exactly parallel, the antenna on one orbit was pointed slightly forward or backward compared to the other; this was compensated for in the azimuth processing. Furthermore, the skew gave the images a cross-track displacement that increased linearly with azimuth distance, which was removed by resampling and stretching one of the images. Because of the skewing, the baseline increased with distance from the crossing point and theory indicates that altitude variation appears as a change in the along-track position of a given pixel. This is borne out in the experimental data which is then used to construct a coarse altitude map. Additionally, the phase difference of each overlaid pixel is related to the altitude in a complicated way. An algorithm was developed to invert this relationship, the results of which were then used to construct a more refined altitude map. ¬© 1988 Taylor &amp; Francis Group, LLC.</t>
  </si>
  <si>
    <t>857-872</t>
  </si>
  <si>
    <t>60009037;60009037</t>
  </si>
  <si>
    <t>57025176200;57025035900</t>
  </si>
  <si>
    <t>Gabriel1, Andrew K.;Goldstein1, Richard M.</t>
  </si>
  <si>
    <t>Gabriel1 A.</t>
  </si>
  <si>
    <t>Crossed orbit interferometry: Theory and experimental results from SIR-B</t>
  </si>
  <si>
    <t>10.1080/01431168808954901</t>
  </si>
  <si>
    <t>2-s2.0-0023823082</t>
  </si>
  <si>
    <t>['vertical pattern', 'suitably flat', 'slightly wider', 'previously reported', 'one section', 'method used', 'francis group', 'b antenna', 'b ).', 'antenna pattern', '9 ¬∞']</t>
  </si>
  <si>
    <t>Determination of the antenna pattern is important for a spaceborne Synthetic Aperture Radar such as Shuttle Imaging Radar-B (SIR-B). For SIR-B the antenna was so large that apart from one section, no complete pattern could be measured on the ground. Attempts were made to measure the pattern while the shuttle was in space by using ground receivers and active radar calibrators. The method used and described here is a supplement to these measurements. The vertical pattern of an antenna can be extracted from radar signals returned from regions whose scattering coefficients versus incidence angle characteristics are suitably flat and uniform. The method used here shows that the main vertical lobe of the SIR-B antenna is slightly wider than previously reported (6.9¬∞ at 3dB points versus 6.2¬∞ used in radiometric corrections). ¬© 1988 Taylor &amp; Francis Group, LLC.</t>
  </si>
  <si>
    <t>839-847</t>
  </si>
  <si>
    <t>60032121;60032121</t>
  </si>
  <si>
    <t>35592956700;6603717990</t>
  </si>
  <si>
    <t>Moore, Richard K.;Hemmat, Mehrzad</t>
  </si>
  <si>
    <t>Lawrence</t>
  </si>
  <si>
    <t>University of Kansas Center for Research</t>
  </si>
  <si>
    <t>Moore R.</t>
  </si>
  <si>
    <t>Determination of the vertical pattern of the SIR-B antenna</t>
  </si>
  <si>
    <t>10.1080/01431168808954899</t>
  </si>
  <si>
    <t>2-s2.0-0023823083</t>
  </si>
  <si>
    <t>['second flight', 'rf breakdown', 'resultant effect', 'paper analyses', 'francis group', 'digital synthetic', 'calibration accuracy', 'aperture radar', 'also presented']</t>
  </si>
  <si>
    <t>The second flight of the NASA Spaceborne Imaging Radar (SIR-B) collected nearly 8 hours of digital synthetic-aperture radar (SAR) data of the Earth's surface. This paper analyses the performance of the SAR to determine the accuracy of the relative radiometric calibration of these data. Procedures are presented for deriving accuracy estimates as well as limitations under which these estimates are valid. The impact on calibration of an RF breakdown in the primary antenna feed system cable is evaluated. An analysis of the platform stability based on the SAR echo data is also presented in conjunction with its resultant effect on the calibration accuracy. Finally, numerical error bounds are derived with guidelines on their utilization. ¬© 1988 Taylor &amp; Francis Group, LLC.</t>
  </si>
  <si>
    <t>891-906</t>
  </si>
  <si>
    <t>7203069877;57124641700</t>
  </si>
  <si>
    <t>Wall, Stephen D.;Curlander, John C.</t>
  </si>
  <si>
    <t>Wall S.</t>
  </si>
  <si>
    <t>Radiometric calibration analysis of SIR-B imagery</t>
  </si>
  <si>
    <t>10.1080/01431168808954903</t>
  </si>
  <si>
    <t>2-s2.0-0023823087</t>
  </si>
  <si>
    <t>['viewed stereoscopically', 'topographic mapping', 'tm image', 'tm coverage', 'target correlation', 'reference plane', 'pixel resolution', 'many areas', 'francis group', 'crudely calculated']</t>
  </si>
  <si>
    <t>Shuttle Imaging Radar-B (SIR-B) and Landsat Thematic Mapper (TM) images can be viewed stereoscopically if the illumination geometries arc compatible. To create the stereoscopic effect points must be coregistered. Simplified stereophotogrammetric equations permit the height of an object above a reference plane to be crudely calculated from the target offset toward the SIR-B radar antenna with reference to its position on a TM image. Precision is limited by pixel resolution and target correlation. Future spaceborne imaging radar missions will offer the potential for topographic mapping in many areas where TM coverage is available. ¬© 1988 Taylor &amp; Francis Group, LLC.</t>
  </si>
  <si>
    <t>1023-1038</t>
  </si>
  <si>
    <t>60007776;60007776;60019499</t>
  </si>
  <si>
    <t>7202067693;7003796315;56332025900</t>
  </si>
  <si>
    <t>Bloom, Arthur L.;Fielding, Eric J.;Fu, Xiu Yen</t>
  </si>
  <si>
    <t>China;United States</t>
  </si>
  <si>
    <t>Beijing;Ithaca</t>
  </si>
  <si>
    <t>Chinese Academy of Sciences;Cornell University</t>
  </si>
  <si>
    <t>60019499;60007776</t>
  </si>
  <si>
    <t>Bloom A.</t>
  </si>
  <si>
    <t>A demonstration of stereophotogrammetry with combined SIR-B and landsat TM images</t>
  </si>
  <si>
    <t>10.1080/01431168808954911</t>
  </si>
  <si>
    <t>2-s2.0-0023823093</t>
  </si>
  <si>
    <t>['vacuum environment', 'small lightweight', 'paper outlines', 'main reflector', 'individually driven', 'controlled mechanically', 'approximately 1', 'aperture diameter']</t>
  </si>
  <si>
    <t>In a multi-beam satellite communications system, the on-board antenna reflectors must be individually driven and controlled mechanically. This paper outlines the design of a small lightweight on-board antenna pointing mechanism (APM) that takes into account satellite launching conditions and the thermal-vacuum environment of space. This APM can drive a main reflector with an aperture diameter of approximately 1 or 1. 5 meters loaded in a one-ton class communications satellite with an accuracy on the order of 10** minus **3 degrees.</t>
  </si>
  <si>
    <t>109-114</t>
  </si>
  <si>
    <t>Reports of the Electrical Communication Laboratory</t>
  </si>
  <si>
    <t>60025555;60025555;60025555</t>
  </si>
  <si>
    <t>57217955977;7203085836;56021726700</t>
  </si>
  <si>
    <t>Tsukada, Eiichi;Kuroda, Hisao;Miyake, Shojiro</t>
  </si>
  <si>
    <t>Nippon Telegraph and Telephone Corporation</t>
  </si>
  <si>
    <t>Tsukada E.</t>
  </si>
  <si>
    <t>ON-BOARD ANTENNA POINTING MECHANISM FOR MULTI-BEAM COMMUNICATIONS SATELLITE.</t>
  </si>
  <si>
    <t>2-s2.0-0023824474</t>
  </si>
  <si>
    <t>['temporal position', 'temporal discrimination', 'statistical modeling', 'radiation pattern', 'pulse packet', 'processor used', 'envelope determined']</t>
  </si>
  <si>
    <t>A time discrimination algorithm is proposed for determining the temporal position of a pulse packet with an envelope determined by the radiation pattern of two antiphase antennas with partially overlapping radiation patterns. The discrimination and fluctuation characteristics obtained by statistical modeling are given. We examine a processor used to process a single pulse packet by means of temporal discrimination. The measurements are made in the presence of wideband fluctuating noise.</t>
  </si>
  <si>
    <t>57-60</t>
  </si>
  <si>
    <t>Telecommunications and Radio Engineering (English translation of Elektrosvyaz and Radiotekhnika)</t>
  </si>
  <si>
    <t>Fedosova, A. I.</t>
  </si>
  <si>
    <t>Fedosova A.</t>
  </si>
  <si>
    <t>Temporal discrimination of pulse packets</t>
  </si>
  <si>
    <t>2-s2.0-0023824625</t>
  </si>
  <si>
    <t>['weighting factors', 'spatial spectrum', 'separate processing', 'radiation pattern', 'main lobe', 'computer modeling', 'aperture array', 'algorithm solves', 'algorithm efficiency']</t>
  </si>
  <si>
    <t>A quasi-optimum processing algorithm is obtained by analyzing the spatial spectrum of the weighting factors of optimum spatial signal processing in the modules of a large-aperture array. This algorithm solves the problem of separate processing of interference signals received through the main lobe and sidelobes of the radiation pattern of the modules. The algorithm efficiency is evaluated by computer modeling.</t>
  </si>
  <si>
    <t>65-68</t>
  </si>
  <si>
    <t>6603712016;7003568179;6507368735;57193753071</t>
  </si>
  <si>
    <t>Manzhos, V. N.;Kokin, V. N.;Kamchatnyy, N. I.;Belov, A. A.</t>
  </si>
  <si>
    <t>Manzhos V.</t>
  </si>
  <si>
    <t>Quasi-optimum spatial signal processing in an adaptive large-aperture array</t>
  </si>
  <si>
    <t>2-s2.0-0023824627</t>
  </si>
  <si>
    <t>['radiation pattern', 'phase distribution', 'near axial', 'minimum influence', 'metal screen', 'impedance surface', 'finite size']</t>
  </si>
  <si>
    <t>A new amplitude distribution is proposed that enables increased directivity to be obtained for near-axial radiation compared with a uniform amplitude distribution. The amplitude-phase distribution is simple in form and can be realized by means of an impedance surface. The purpose of the paper is to estimate the influence of the finite size of a metal screen on the radiation pattern and to propose a distribution that will produce increased gain of the antenna for near axial-radiation where the screen has the minimum influence on the gain.</t>
  </si>
  <si>
    <t>99-101</t>
  </si>
  <si>
    <t>7801669215;55403248800;6506003495</t>
  </si>
  <si>
    <t>Kocherzhevskiy, V. G.;Lazarov, N. A.;Shkvarin, V. V.</t>
  </si>
  <si>
    <t>Kocherzhevskiy V.</t>
  </si>
  <si>
    <t>Increased directivity in traveling-wave antennas which radiate close to the axis</t>
  </si>
  <si>
    <t>2-s2.0-0023824673</t>
  </si>
  <si>
    <t>['various methods', 'useful signals', 'unified system', 'receiving channels', 'processing algorithms', 'potential attenuation', 'efficient organization', 'computing expenditure', 'compensated channels']</t>
  </si>
  <si>
    <t>Various methods are considered for protecting a set of receiving channels for a unified system of compensated channels. Processing algorithms which prevent the potential attenuation of useful signals are derived. The efficient organization of an adaptive processing procedure which makes it possible to reduce the hardware and computing expenditure is discussed.</t>
  </si>
  <si>
    <t>36069382700;7003568179;6701650166;7004166735</t>
  </si>
  <si>
    <t>Lekhovitskiy, D. I.;Kokin, V. N.;Rakov, I. D.;Sverdlov, V. G.</t>
  </si>
  <si>
    <t>Lekhovitskiy D.</t>
  </si>
  <si>
    <t>Features of the protection of receivers with a phased antenna array using system compensation</t>
  </si>
  <si>
    <t>2-s2.0-0023824681</t>
  </si>
  <si>
    <t>['waveguide surface', 'thick coaxial', 'matching strip', 'integral equations', 'fed dipole', 'examined using', 'dipole surface', 'dipole antenna']</t>
  </si>
  <si>
    <t>The problem of exciting a thick coaxial-waveguide-fed dipole is examined using the method of integral equations. A number of models of a dipole antenna that are comparable in terms of the maximum electric field along the dipole surface and the waveguide surface as well as the width of the matching strip are examined.</t>
  </si>
  <si>
    <t>78-81</t>
  </si>
  <si>
    <t>7003307241;7102267393;6602947343</t>
  </si>
  <si>
    <t>Vasil'yev, Ye N.;Krasnov, A. A.;Seregina, A. R.</t>
  </si>
  <si>
    <t>Vasil'yev Y.</t>
  </si>
  <si>
    <t>Electric strength of a coaxial-waveguide-fed dipole antenna</t>
  </si>
  <si>
    <t>2-s2.0-0023824698</t>
  </si>
  <si>
    <t>['statistical characteristics', 'signal envelopes', 'quantitative estimates', 'fluctuation statistics', 'finite dimensions', 'antenna output']</t>
  </si>
  <si>
    <t>The influence of the finite dimensions of the aperture of separated receiving antennas on the statistical characteristics of signal envelopes and phases as well as the difference of the envelopes and the difference of the phase of the signals is investigated for the case of tropospheric radio wave propagation. Quantitative estimates of the fluctuation statistics of the signal envelopes and phases at the antenna output are derived.</t>
  </si>
  <si>
    <t>71-75</t>
  </si>
  <si>
    <t>Fortes, V. B.</t>
  </si>
  <si>
    <t>Fortes V.</t>
  </si>
  <si>
    <t>Influence of the finite dimensions of receiving antennas on the signal fluctuation characteristics for tropospheric radio wave propagation</t>
  </si>
  <si>
    <t>2-s2.0-0023824715</t>
  </si>
  <si>
    <t>['multipath effects', 'mobile satellites', 'major effort', 'fdma ).', 'efficient modulation', 'cdma ),', 'capable system', 'analysis presents', 'absorbing doppler']</t>
  </si>
  <si>
    <t>CDMA | FDMA | Mobile communications</t>
  </si>
  <si>
    <t>At present a major effort is under way to define the most efficient modulation/multiple access system in mobile satellite communication. Where the emphasis is on digital voice modulation, the proposed multiple access methods almost always imply frequency division multiple access (FDMA). This analysis presents a comparison between FDMA and code division multiple access (CDMA), for the operation of both multiple access methods in the mobile satellite communication environment. The mobile satellites under consideration use multiple‚Äêbeam or scan‚Äêbeam antennas and employ frequency reuse of the allocated L‚Äêband frequency spectrum. As CDMA is better at absorbing Doppler and multipath effects, and permits higher rate coding, in general (practical considerations aside) it appears to be the more capable system. Copyright ¬© 1988 John Wiley &amp; Sons, Ltd.</t>
  </si>
  <si>
    <t>29-39</t>
  </si>
  <si>
    <t>International Journal of Satellite Communications</t>
  </si>
  <si>
    <t>January/March 1988</t>
  </si>
  <si>
    <t>Johannsen, Klaus G.</t>
  </si>
  <si>
    <t>Johannsen K.</t>
  </si>
  <si>
    <t>CDMA versus FDMA channel capacity in mobile satellite communication</t>
  </si>
  <si>
    <t>10.1002/sat.4600060106</t>
  </si>
  <si>
    <t>2-s2.0-0023824720</t>
  </si>
  <si>
    <t>['¬© 1988', 'rights reserved', 'possible ways', 'possible applications', 'normal incidence', 'higher frequency', 'electromagnetic window', 'electrical engineers', 'briefly mentioned', 'also capable']</t>
  </si>
  <si>
    <t>Antenna arrays | Antennas | Microstrip</t>
  </si>
  <si>
    <t>The dichroic microstrip antenna concept is further exploited to create a microstrip antenna array which is also capable of functioning as an electromagnetic window at a higher frequency. Experiments on a planar structure comprised of an expanded polystyrene foam substrate, sandwiched between printed mesh conductors, demonstrate the feasibility for normal incidence. Possible ways of developing the technique further and possible applications are briefly mentioned. ¬© 1988, The Institution of Electrical Engineers. All rights reserved.</t>
  </si>
  <si>
    <t>96-97</t>
  </si>
  <si>
    <t>60009658;60009658</t>
  </si>
  <si>
    <t>6602536785;7403018268</t>
  </si>
  <si>
    <t>Andrasic, G.;James, J. R.</t>
  </si>
  <si>
    <t>United Kingdom</t>
  </si>
  <si>
    <t>Swindon</t>
  </si>
  <si>
    <t>Defence College of Management and Technology</t>
  </si>
  <si>
    <t>Andrasic G.</t>
  </si>
  <si>
    <t>Microstrip window array</t>
  </si>
  <si>
    <t>10.1049/el:19880063</t>
  </si>
  <si>
    <t>2-s2.0-0023825437</t>
  </si>
  <si>
    <t>['¬© 1988', 'rights reserved', 'original proposition', 'modified form', 'misell algorithm', 'electrical engineers', 'different form']</t>
  </si>
  <si>
    <t>Antennas | Phase retrieval</t>
  </si>
  <si>
    <t>A modified form of the Misell algorithm has recently been suggested which makes the original proposition a viable practical alternative for phaseless antenna metrology. In the letter a different form for the modified Misell algorithm is suggested using diffraction filters. ¬© 1988, The Institution of Electrical Engineers. All rights reserved.</t>
  </si>
  <si>
    <t>132-133</t>
  </si>
  <si>
    <t>Sali, S.</t>
  </si>
  <si>
    <t>Sheffield</t>
  </si>
  <si>
    <t>The University of Sheffield</t>
  </si>
  <si>
    <t>Sali S.</t>
  </si>
  <si>
    <t>Phase-Retrieval Technique For Antenna Metrology</t>
  </si>
  <si>
    <t>10.1049/el:19880088</t>
  </si>
  <si>
    <t>2-s2.0-0023825438</t>
  </si>
  <si>
    <t>['wiley company', 'waveguide junction', 'treated identically', 'transmission coefficients', 'transmission coefficient', 'steady value', 'radiation power', 'radiation mode', 'paper calculates', 'orthogonal relation', 'obtained immediately', 'iterative approximation', 'inc .,', 'generally speaking', 'field distributions', 'converged simultaneously', 'connected concentrically', 'calculated numerically', 'approximation formula', 'analytical method']</t>
  </si>
  <si>
    <t>This paper calculates the reflection and transmission coefficient at a discontinuity in rectangular dielectric waveguides. At the discontinuity, waveguides of two different sizes are connected concentrically. Generally speaking, radiation modes generated at the discontinuity in open waveguides make analysis difficult. Here, double Fourier transformation is applied to field distributions at the discontinuity so that a guided and radiation mode can be treated identically. Since the reflection and transmission coefficient can not be obtained immediately by solving the boundary condition equations at the discontinuity, a ratio of electric and magnetic field intensities of the radiation mode is introduced and converged to constant by an iterative approximation. This approximation formula is derived from an orthogonal relation between the guided and radiation mode. If this ratio is converged to a steady value, the reflection and transmission coefficients are converged simultaneously. In addition, the reflection, transmission and radiation power at the discontinuity are calculated numerically. These results are compared with those obtained from the mode matching method which is useful when the discontinuity is so small. The theory in this paper is advantageous in analyzing the discontinuity at a waveguide junction. The analytical method is applicable to an off‚Äêaxial junction of the waveguide and the analysis of a rectangular dielectric rod antenna. Copyright ¬© 1988 Wiley Periodicals, Inc., A Wiley Company</t>
  </si>
  <si>
    <t>72-80</t>
  </si>
  <si>
    <t>8756663X</t>
  </si>
  <si>
    <t>Electronics and Communications in Japan (Part II: Electronics)</t>
  </si>
  <si>
    <t>60010742;60010742</t>
  </si>
  <si>
    <t>6604050420;57190921379</t>
  </si>
  <si>
    <t>Tomabechi, Yoshiro;Matsumura, J. P.Kazuhito</t>
  </si>
  <si>
    <t>Utsunomiya</t>
  </si>
  <si>
    <t>Utsunomiya University</t>
  </si>
  <si>
    <t>Tomabechi Y.</t>
  </si>
  <si>
    <t>Analysis of reflection and transmission characteristics of step discontinuity in rectangular dielectric waveguides</t>
  </si>
  <si>
    <t>10.1002/ecjb.4420710108</t>
  </si>
  <si>
    <t>2-s2.0-0023825439</t>
  </si>
  <si>
    <t>Langley Research Center</t>
  </si>
  <si>
    <t>LaRC</t>
  </si>
  <si>
    <t>['¬© 1988', 'using invertibility', 'transverse deflections', 'tip body', 'space vehicle', 'simulation results', 'rigid one', 'parameter uncertainty', 'order subsystems', 'nonlinear inversion', 'moment actuators', 'loop system', 'flexible dynamics', 'end body', 'elastic dynamics', 'control law', 'configuration based', 'attitude angles', 'also allows']</t>
  </si>
  <si>
    <t>We present a control law for three-axis rotational maneuvers of a spacecraft (orbiter)-beam-tip body (antenna or a reflector) configuration based on nonlinear inversion and modal velocity feedback. Using invertibility and functional reproducibility results, a decoupling attitude control law is presented such that in the closed-loop system the attitude angles of the spacecraft are independently controlled using the control moments acting on the space vehicle. This controller asymptotically decouples the flexible dynamics from the rigid one and also allows the decomposition of the elastic dynamics into two subsystems representing the transverse deflections of the beam in two orthogonal planes. These low-order subsystems are used for derivation of a modal velocity feedback stabilizer using the force and moment actuators at the end body. Simulation results are presented to show that in the closed-loop system attitude control and elastic mode stabilization are accomplished in spite of the parameter uncertainty and disturbance torque input in the system. ¬© 1988.</t>
  </si>
  <si>
    <t>Acta Astronautica</t>
  </si>
  <si>
    <t>Singh, Sahjendra N.</t>
  </si>
  <si>
    <t>Reno</t>
  </si>
  <si>
    <t>University of Nevada, Reno</t>
  </si>
  <si>
    <t>Singh S.N.</t>
  </si>
  <si>
    <t>Flexible spacecraft maneuver: Inverse attitude control and modal stabilization</t>
  </si>
  <si>
    <t>10.1016/0094-5765(88)90122-1</t>
  </si>
  <si>
    <t>2-s2.0-0023826464</t>
  </si>
  <si>
    <t>['stay insulators', 'static discharges', 'simple coils', 'rf voltages', 'radiation pattern', 'new method', 'mutual influences', 'cheaper insulators']</t>
  </si>
  <si>
    <t>Static discharges on stay insulators of broadcast tower antennas can be eliminated by simple coils. Thus only relatively small rf voltages are left on the insulators, so that smaller and cheaper insulators can be used. A new method for evaluation of these rf voltages at insulators is presented, which can be used for the design of the insulators. The method is based on analyzing the antenna and its stays as an integral wire structure. Mutual influences of the insulators, as well as influences of the stays on the antenna input impedance and radiation pattern are taken into account.</t>
  </si>
  <si>
    <t>33-36</t>
  </si>
  <si>
    <t>Journal of the Institution of Electronic and Radio Engineers</t>
  </si>
  <si>
    <t>Jan-Feb</t>
  </si>
  <si>
    <t>60068815;60068815</t>
  </si>
  <si>
    <t>6603332849;7005436133</t>
  </si>
  <si>
    <t>Surutka, J. V.;Djordjevic, A. R.</t>
  </si>
  <si>
    <t>Serbia</t>
  </si>
  <si>
    <t>Belgrade</t>
  </si>
  <si>
    <t>University of Belgrade</t>
  </si>
  <si>
    <t>Surutka J.</t>
  </si>
  <si>
    <t>NOVEL APPROACH TO THE DESIGN OF INSULATORS IN MF TOWER BROADCAST ANTENNA STAYS.</t>
  </si>
  <si>
    <t>10.1049/jiere.1988.0005</t>
  </si>
  <si>
    <t>2-s2.0-0023827630</t>
  </si>
  <si>
    <t>['yig film', 'theoretical study', 'present theory', 'potential applications', 'paper presents', 'microstrip current', 'insertion loss', 'frequency region', 'finite width']</t>
  </si>
  <si>
    <t>This paper presents an experimental and theoretical study of the insertion loss of magnetostatic surface wave delay line. The magneto-static surface waves are excited by single microstrip transducer and propagate in a delay line consisting of conductor-dielectric-YIG-GGG. The effect of nonuniformity in microstrip current and the effect of finite width of YIG film are included in the theory. It is seen that an undesired notch seen in the insertion loss response of the surface wave delay line in the low-frequency region of the band can be explained by the present theory, which includes the finite width of the YIG film. Magnetostatic wave delay lines have potential applications in microwave signal processing and phased array antennas in the 1‚Äì20 GHz frequency range. ¬© 1988 IEEE</t>
  </si>
  <si>
    <t>132-136</t>
  </si>
  <si>
    <t>IEEE Transactions on Microwave Theory and Techniques</t>
  </si>
  <si>
    <t>60026415-60003467</t>
  </si>
  <si>
    <t>Bajpai, Shyam N.</t>
  </si>
  <si>
    <t>Stony Brook;Arlington</t>
  </si>
  <si>
    <t>Stony Brook University;The University of Texas at Arlington</t>
  </si>
  <si>
    <t>60026415;60003467</t>
  </si>
  <si>
    <t>Bajpai S.N.</t>
  </si>
  <si>
    <t>Insertion Loss of Magnetostatic Surface Wave Delay Lines</t>
  </si>
  <si>
    <t>10.1109/22.3492</t>
  </si>
  <si>
    <t>2-s2.0-0023827804</t>
  </si>
  <si>
    <t>['system performance', 'system capacity', 'saving due', 'many advantages', 'implemented using', 'bpsk data', 'antenna size', '600 bit']</t>
  </si>
  <si>
    <t>Experimental digital receivers for application in vehicle-mounted mobile satellite terminals are described. The receivers, operating with BPSK data at 200 and 600 bit/s are implemented using a general purpose programmable digital signal processor (DSP) chip. For a low bit rate system, the many advantages of a DSP chip realization, such as linearity, stability, reproducibility of responses, adaptability and flexibility far outweigh any limitations. As a result the DSP implementation exhibits 1-2 dB superior performance over similar simple conventional analogue demodulators. In a satellite mobile communication system the saving due to a 1-2 dB improvement in system performance is significant and translates into an increase in system capacity, a decrease in satellite power requirements, or a decrease in antenna size.</t>
  </si>
  <si>
    <t>47-52</t>
  </si>
  <si>
    <t>ATR. Australian telecommunication research</t>
  </si>
  <si>
    <t>Johnson, A. B.</t>
  </si>
  <si>
    <t>Australia</t>
  </si>
  <si>
    <t>Telecom Australia Research Lab</t>
  </si>
  <si>
    <t>Johnson A.</t>
  </si>
  <si>
    <t>DIGITAL SIGNAL PROCESSING (DSP) CHIP IMPLEMENTATION OF A LOW BIT RATE DEMODULATOR.</t>
  </si>
  <si>
    <t>2-s2.0-0023827859</t>
  </si>
  <si>
    <t>['three orders', 'sidelobe reduction', 'modifications show', 'coaxial collinear']</t>
  </si>
  <si>
    <t>A method of modifying quasibroadside arrays of coaxial collinear (COCO) antennas in order to significantly reduce horizontal sidelobe levels is discussed. Tests made prior to and after these modifications show a sidelobe reduction of more than three orders of magnitude. ¬© 1988 IEEE</t>
  </si>
  <si>
    <t>139-141</t>
  </si>
  <si>
    <t>60027716;60027716;60027716;60000221</t>
  </si>
  <si>
    <t>7006241919;7005490049;55675223053;7005395123</t>
  </si>
  <si>
    <t>Balsley, Ben B.;Ecklund, Warner L.;Carter, David A.;Riddle, Anthony C.</t>
  </si>
  <si>
    <t>Washington, D.C.;Boulder</t>
  </si>
  <si>
    <t>National Oceanic and Atmospheric Administration;University of Colorado Boulder</t>
  </si>
  <si>
    <t>60027716;60000221</t>
  </si>
  <si>
    <t>Balsley B.B.</t>
  </si>
  <si>
    <t>A Note on Reducing the Horizontal Sidelobes of Near-Vertically Directed COCO Arrays</t>
  </si>
  <si>
    <t>10.1109/8.1085</t>
  </si>
  <si>
    <t>2-s2.0-0023827908</t>
  </si>
  <si>
    <t>F29601-84-C-0042</t>
  </si>
  <si>
    <t>29-35</t>
  </si>
  <si>
    <t>1532527X</t>
  </si>
  <si>
    <t>Electromagnetics</t>
  </si>
  <si>
    <t>60028156;60102562</t>
  </si>
  <si>
    <t>57213070608;7005850584</t>
  </si>
  <si>
    <t>Zuffada, C.;Engheta, N.</t>
  </si>
  <si>
    <t>Philadelphia;Bloomfield</t>
  </si>
  <si>
    <t>School of Engineering and Applied Science;Kaman Aerospace Corporation</t>
  </si>
  <si>
    <t>60102562;60028156</t>
  </si>
  <si>
    <t>Zuffada C.</t>
  </si>
  <si>
    <t>Field uniformity criteria for the design of a two-wire EMP simulator</t>
  </si>
  <si>
    <t>10.1080/02726348808908203</t>
  </si>
  <si>
    <t>2-s2.0-0023827939</t>
  </si>
  <si>
    <t>['¬© taylor', 'various cases', 'unconstrained maximization', 'two types', 'two functionals', 'square arrays', 'rectangular grid', 'rayleigh quotient', 'projection matrix', 'peak directivity', 'paper deals', 'main beam', 'linear arrays', 'isotropic sources', 'francis group', 'form solution', 'corresponding eigenvector', 'biggest eigenvalue', 'baklanov transformation', 'array may', 'antennas treated', 'also compared']</t>
  </si>
  <si>
    <t>This paper deals with a technique for the optimization of peak directivity under side lobe level constraints. The antennas treated are rectangular grid arrays of isotropic sources. The directivity of such an array may be expressed as a ratio of two functionals, called the Rayleigh quotient. By means of the projection matrix, the constrained maximization problem is transformed into the problem of an unconstrained maximization of a normalized quadratic function. A closed-form solution for the optimum peak directivity and the corresponding current distribution are found by solving for the biggest eigenvalue and the corresponding eigenvector in the generalized eigenvalue problem. Two types of arrays are considered. First, for linear arrays, the peak, directivity in the main beam is optimized under side lobe level constraints. Second, for square arrays with a rectangular grid, with the array pattern generated via the Baklanov transformation, a technique for optimizing the peak directivity under desired ring side lobe level constraints is developed. Peak directivity values from the various cases are also compared. ¬© Taylor &amp; Francis Group, LLC.</t>
  </si>
  <si>
    <t>51-70</t>
  </si>
  <si>
    <t>Kim, Y. U.</t>
  </si>
  <si>
    <t>University of California, Los Angeles</t>
  </si>
  <si>
    <t>Kim Y.</t>
  </si>
  <si>
    <t>Peak directivity optimization under side lobe level constraints in antenna arrays</t>
  </si>
  <si>
    <t>10.1080/02726348808908205</t>
  </si>
  <si>
    <t>2-s2.0-0023828323</t>
  </si>
  <si>
    <t>['temperature rise', 'specified level', 'reduce television', 'paper reports', 'measured value', 'internal equipment', 'hard copy', 'feeder vswr', 'constantly measures', 'audiovideo combiner']</t>
  </si>
  <si>
    <t>This paper reports on the development of SAMDAS (Sumitomo Antenna Maintenance Data Acquisition System), a system which constantly measures and monitors the antenna and feeder VSWR, DCR, and temperature rise in the internal feeder system, audiovideo combiner and other internal equipment; indicates the problem and outputs a signal to reduce television or stop the television or fm transmission power when the monitored levels exceed the specified level; and prints the measured value on hard copy and a 5. 25 inch floppy disk for storage.</t>
  </si>
  <si>
    <t>125-132</t>
  </si>
  <si>
    <t>Sumitomo Electric Technical Review</t>
  </si>
  <si>
    <t>;;;;;</t>
  </si>
  <si>
    <t>7101691068;56241107800;7201944546;7006455753;56306385400;7004109073</t>
  </si>
  <si>
    <t>Kotani, Hiroyuki;Ono, Yoshinori;Hatano, Tetsuo;Isono, Tomoaki;Saito, Tamao;Ooishi, Takeshi</t>
  </si>
  <si>
    <t>Kotani H.</t>
  </si>
  <si>
    <t>DEVELOPMENT OF A MONITORING SYSTEM (SAMDAS) FOR ANTENNA SYSTEMS.</t>
  </si>
  <si>
    <t>2-s2.0-0023828345</t>
  </si>
  <si>
    <t>['vulvar papillae', 'vaginal teeth', 'spatial sequence', 'sensilla trichodea', 'rostral membrane', 'posterior abdomen', 'lateral plate', 'intimately associated', 'homeotic structures', 'homeotic structure', 'heads selected', 'genital structures', 'general regions', 'clasper teeth', 'antennal structures', 'anal plate']</t>
  </si>
  <si>
    <t>Bithorax-complex mutant | Drosophila | Homeosis | Morphology | Tumorous-head</t>
  </si>
  <si>
    <t>Transformations of tumorous-head Drosophila melanogaster were examined in order to investigate whether head structures were replaced by specific abdominal structures. Heads selected for the presence of genital structures were analyzed in detail. Female abnormalities included any combination of vaginal teeth, vulvar papillae, sensilla trichodea, abdominal tergites 6 (T6), 7 (T7), 8 (T8) and anal plate. Anal plate was observed in the prefrons and rostral membrane, while all other genital structures were intimately associated with modified shingle cuticle. Male abnormalities included transformation of antennal structures to penis, clasper teeth, lateral plate, anal plate and eye to T6. The distribution of each type of homeotic structure was confined to general regions of the eye-antenna, with no precise dividing lines between them. However, the spatial sequence of homeotic structures in the eye-antenna was generally the same as the sequence of the same structures in the posterior abdomen. ¬© 1988 Springer-Verlag.</t>
  </si>
  <si>
    <t>40-48</t>
  </si>
  <si>
    <t>1432041X</t>
  </si>
  <si>
    <t>0930035X</t>
  </si>
  <si>
    <t>Roux's Archives of Developmental Biology</t>
  </si>
  <si>
    <t>60022144;60022144</t>
  </si>
  <si>
    <t>7201509177;7404183772</t>
  </si>
  <si>
    <t>Kuhn, David T.;Cook, Julia L.</t>
  </si>
  <si>
    <t>Orlando</t>
  </si>
  <si>
    <t>University of Central Florida</t>
  </si>
  <si>
    <t>Kuhn D.T.</t>
  </si>
  <si>
    <t>The type and location of homeotic transformations in the tumorous-head mutant of Drosophila melanogaster</t>
  </si>
  <si>
    <t>10.1007/BF00376040</t>
  </si>
  <si>
    <t>2-s2.0-0023829876</t>
  </si>
  <si>
    <t>['paper describes', 'obtained using', 'large number', 'large capacity', 'general aviation', 'deployable antenna', 'contiguous u', 'commercial aviation', 'aircraft requires']</t>
  </si>
  <si>
    <t>This paper describes a conceptual system design for a satellite-based aeronautical safety communications system capable of serving both general aviation (GA) aircraft and commercial aviation (CA) aircraft in the contiguous U.S. (CONUS) in the mid-1990s. Serving such a large number of aircraft requires a large system capacity. This paper describes how a large capacity can be obtained using a 15-m deployable antenna on board a high-power commercial communications satellite expected to be available in the mid-1990 time frame. ¬© 1988 IEEE</t>
  </si>
  <si>
    <t>IEEE Aerospace and Electronic Systems Magazine</t>
  </si>
  <si>
    <t>Sue, M. K.</t>
  </si>
  <si>
    <t>Sue M.K.</t>
  </si>
  <si>
    <t>A High-Capacity Aeronautical Mobile Satellite System</t>
  </si>
  <si>
    <t>10.1109/62.842</t>
  </si>
  <si>
    <t>2-s2.0-0023833456</t>
  </si>
  <si>
    <t>['satellite communication', 'radiation patterns', 'measured values', 'h pattern', 'excellent agreement', 'developing e', 'cross polarizations', 'computed value']</t>
  </si>
  <si>
    <t>The radiation patterns for the corrugated wave guide connected to an antenna have been calculated using Maxwell's Equations. Developed and measured values of principal and cross polarizations of the radiation patterns are compared with the computed value and found in excellent agreement with the measured values. The study is useful in developing E-H pattern for satellite communication.</t>
  </si>
  <si>
    <t>15-19</t>
  </si>
  <si>
    <t>Mehran University research journal of engineering and technology</t>
  </si>
  <si>
    <t>Khushk, Muhammed Maroof</t>
  </si>
  <si>
    <t>Univ of Sind</t>
  </si>
  <si>
    <t>Khushk M.</t>
  </si>
  <si>
    <t>DEVELOPMENT OF E-H PATTERN FOR THE DESIGN OF ANTENNA IN THE RANGE OF GIGA HERTZ.</t>
  </si>
  <si>
    <t>2-s2.0-0023834343</t>
  </si>
  <si>
    <t>['radar arrays', 'lower bounds', 'improved upper']</t>
  </si>
  <si>
    <t>Improved upper and lower bounds for the size of radar arrays are presented. ¬© 1988 IEEE</t>
  </si>
  <si>
    <t>164-167</t>
  </si>
  <si>
    <t>IEEE Transactions on Information Theory</t>
  </si>
  <si>
    <t>60032882;60032882</t>
  </si>
  <si>
    <t>7003752581;6507422847</t>
  </si>
  <si>
    <t>Blokhuis, A.;Tiersma, H. J.</t>
  </si>
  <si>
    <t>Netherlands</t>
  </si>
  <si>
    <t>Eindhoven</t>
  </si>
  <si>
    <t>Technische Universiteit Eindhoven</t>
  </si>
  <si>
    <t>Blokhuis A.</t>
  </si>
  <si>
    <t>Bounds for the Size of Radar Arrays</t>
  </si>
  <si>
    <t>10.1109/18.2621</t>
  </si>
  <si>
    <t>2-s2.0-0023834589</t>
  </si>
  <si>
    <t>U.S. Department of Health and Human Services</t>
  </si>
  <si>
    <t>ROl CA-393 14</t>
  </si>
  <si>
    <t>HHS</t>
  </si>
  <si>
    <t>['¬© 1988', 'two types', 'temperature measured', 'temperature gradients', 'study evaluated', 'single antenna', 'sar measurements', 'sar distribution', 'sar ),', 'rapidly distal', 'rapid decrease', 'power radially', 'power generated', 'phantoms paralleled', 'phantoms could', 'highest along', 'equivalent phantoms', 'central axis', 'array periphery', 'approximately 50', 'antennas must', 'antenna nodes', 'antenna array', 'adequately plan', '5 cm']</t>
  </si>
  <si>
    <t>Hyperthermia | Interstitial microwave | Phantoms</t>
  </si>
  <si>
    <t>To adequately plan and administer localized hyperthermia with interstitial microwave antennas, the thermal distribution patterns generated by such antennas must be characterized. This study evaluated the performance of single node 915 MHz antennas operating either alone or as a 2 cm square array of four parallel antennas using both muscle-equivalent phantoms and canine thigh muscle. Two types of measurements were compared. Specific absorption rate (SAR), where temperature increases resulting from short duration microwave pulses were used to define power distribution, and temperature gradients during simulated hyperthermia treatments. SAR measurements in phantoms were comparable to those obtained in non-perfused canine muscle demonstrating the usefulness of the phantom for these measurements. For a single antenna there was a rapid decrease in power radially which resulted in a steep thermal gradient at distances within 0.5 cm. However, the power generated by a four-antenna array was highest along its central axis and declined to approximately 50% near the antennas at the array periphery. Along the central axis of the array power decreased most rapidly distal to the antenna nodes. The distribution of temperature measured during simulated hyperthermia treatments in phantoms paralleled the SAR distribution and was comparable to the temperature gradient observed in perfused canine muscle, suggesting that phantoms could be used to predict temperature distributions in resting muscle tissue. ¬© 1988.</t>
  </si>
  <si>
    <t>127-137</t>
  </si>
  <si>
    <t>60017412;60017412;60017412;60017412;60017412;60017412;60017412</t>
  </si>
  <si>
    <t>7003404727;6603711444;6506764443;7005922444;7101917231;6506379688;7003833067</t>
  </si>
  <si>
    <t>Denman, David L.;Elson, Howard R.;Cooper Lewis, G.;Breneman, John C.;Clausen, Cathy L.;Dine, Jeff;Aron, Bernard S.</t>
  </si>
  <si>
    <t>Cincinnati</t>
  </si>
  <si>
    <t>University of Cincinnati College of Medicine</t>
  </si>
  <si>
    <t>Denman D.L.</t>
  </si>
  <si>
    <t>The distribution of power and heat produced by interstitial microwave antenna arrays: I. Comparative phantom and canine studies</t>
  </si>
  <si>
    <t>0360-3016(88)90060-0</t>
  </si>
  <si>
    <t>10.1016/0360-3016(88)90060-0</t>
  </si>
  <si>
    <t>2-s2.0-0023839708</t>
  </si>
  <si>
    <t>['wild type', 'specific folds', 'partially autonomous', 'null alleles', 'normal morphogenesis', 'expressed zygotically', 'cells destined', 'adult appendages']</t>
  </si>
  <si>
    <t>Appendages | Drosophila | Morphogenesis</t>
  </si>
  <si>
    <t>The phenotype of rotund (rn) null alleles is described, and compared to wild type. The mutants are expressed zygotically and cause position specific defects in certain imaginal discs (antenna, legs, wing, haltere and proboscis) and their corresponding adult derivatives. In the discs, specific folds are absent in rn mutants compared to wild type. Clonal analysis shows that the rn+ gene is partially autonomous in its expression in cells destined to form certain distal parts of the adult appendages. The results are consistent with the idea that the rn+ gene is required for normal morphogenesis of specific distal parts of the adult appendages. ¬© 1988 Springer-Verlag.</t>
  </si>
  <si>
    <t>19-26</t>
  </si>
  <si>
    <t>60008134;60008134</t>
  </si>
  <si>
    <t>55986984200;6507826465</t>
  </si>
  <si>
    <t>Kerridge, Stephen;Thomas-Cavallin, Mich√®le</t>
  </si>
  <si>
    <t>Kerridge S.</t>
  </si>
  <si>
    <t>Appendage morphogenesis in Drosophila: a developmental study of the rotund (rn) gene</t>
  </si>
  <si>
    <t>10.1007/BF00376037</t>
  </si>
  <si>
    <t>2-s2.0-0023841455</t>
  </si>
  <si>
    <t>['simple feed', 'several years', 'reflector concept', 'design principles', 'coverage patterns', 'antennas described']</t>
  </si>
  <si>
    <t>The need for antennas for local network radio has been foreseen for several years, and prompted the development of a family of antennas to fulfil several different functions. Practicality has been paramount; the antennas have had to be cheap, reliable, effective in transmission, and to use spectrum efficiently. The antennas described are all based on the simple feed-plus-reflector concept, but provide a variety of coverage patterns - pencil, omnidirectional-, fan- and multiple-beams. Whilst the design principles are classical, recent new developments in calculating electromagnetic scattering, and synthesis of irregular shaped reflectors, have been exploited.</t>
  </si>
  <si>
    <t>31-42</t>
  </si>
  <si>
    <t>British Telecom technology journal</t>
  </si>
  <si>
    <t>Butcher, M. E.</t>
  </si>
  <si>
    <t>Butcher M.</t>
  </si>
  <si>
    <t>ANTENNAS FOR LOCAL NETWORK RADIO.</t>
  </si>
  <si>
    <t>2-s2.0-0023842281</t>
  </si>
  <si>
    <t>['wiley company', 'omnidirectional antennas', 'multipath fading', 'mobile communication', 'measured data', 'large problem', 'inc .,', 'greatly degraded', 'directive antenna', 'detailed analysis', 'correlation characteristics', 'basic condition', 'antenna pattern']</t>
  </si>
  <si>
    <t>The performance of mobile communication is greatly degraded by the multipath fading which is a large problem in future digital mobile communication. We made a detailed analysis of the urban propagation characteristics and found that use of a directive antenna in a mobile station reduces the fading by the effect of antenna pattern itself. We suggested that excellent diversity branches can be realized by combining more than one directive antenna. This paper discusses first the basic condition for the antenna pattern diversity branches. Correlation characteristics are examined by measurement of 2‚Äê and 4‚Äêbranches. The reduction of the fading is estimated by computer simulation based on the measured data. It is shown as a result that a 4‚Äêbranch antenna pattern diversity system has excellent characteristics compared with the space diversity system composed of omnidirectional antennas. Copyright ¬© 1988 Wiley Periodicals, Inc., A Wiley Company</t>
  </si>
  <si>
    <t>95-105</t>
  </si>
  <si>
    <t>Electronics and Communications in Japan (Part I: Communications)</t>
  </si>
  <si>
    <t>60011001;60011001;60011001</t>
  </si>
  <si>
    <t>7005235088;55455371200;7406244729</t>
  </si>
  <si>
    <t>Ikegami, Fumio;Takeuchi, Tsutomu;Yoshida, Susumu</t>
  </si>
  <si>
    <t>Kyoto</t>
  </si>
  <si>
    <t>Kyoto University</t>
  </si>
  <si>
    <t>Ikegami F.</t>
  </si>
  <si>
    <t>Characteristics of antenna pattern diversity branches in urban mobile radio</t>
  </si>
  <si>
    <t>10.1002/ecja.4410710111</t>
  </si>
  <si>
    <t>2-s2.0-0023842333</t>
  </si>
  <si>
    <t>ECS 835 2325</t>
  </si>
  <si>
    <t>['various feeds', 'three methods', 'radiometric method', 'gain method', 'experimental results', 'element series', 'antenna efficiency']</t>
  </si>
  <si>
    <t>Three methods for the measurement of antenna efficiency are evaluated: 1) the Wheeler cap method, 2) the radiometric method, and 3) the directivity/gain method. Each of these methods was used to measure the efficiency of four different printed antennas (three microstrip patches with various feeds, and an eight-element series-fed microstrip array). These methods and the experimental results which were obtained are discussed. ¬© 1988 IEEE</t>
  </si>
  <si>
    <t>136-139</t>
  </si>
  <si>
    <t>60014313;60014313</t>
  </si>
  <si>
    <t>7006061921;7102639866</t>
  </si>
  <si>
    <t>Pozar, David M.;Kaufman, Barry</t>
  </si>
  <si>
    <t>Amherst MA</t>
  </si>
  <si>
    <t>University of Massachusetts Amherst</t>
  </si>
  <si>
    <t>Pozar D.M.</t>
  </si>
  <si>
    <t>Comparison of Three Methods for the Measurement of Printed Antenna Efficiency</t>
  </si>
  <si>
    <t>10.1109/8.1084</t>
  </si>
  <si>
    <t>2-s2.0-0023843054</t>
  </si>
  <si>
    <t>['special case', 'small cone', 'important case', 'flat sector', 'elliptic cone', 'electric field']</t>
  </si>
  <si>
    <t>The singularity of the electric field, proportional to Rr-1, is investigated for a very sharp, perfectly conducting cone of arbitrary cross section. It follows that, in the limit of a very small cone, the exponent v tends to zero in proportion with the inverse of the logarithm of the maximum opening angle. Results are shown for the circular and elliptic cone, with the flat sector as a special case, and for the pyramid with n equal faces. An expression, valid for arbitrary opening angles, is presented in the important case of a flat sector. ¬© 1988 IEEE</t>
  </si>
  <si>
    <t>152-155</t>
  </si>
  <si>
    <t>Smedt, Ronald De</t>
  </si>
  <si>
    <t>Murray</t>
  </si>
  <si>
    <t>Nokia Bell Labs</t>
  </si>
  <si>
    <t>Smedt R.D.</t>
  </si>
  <si>
    <t>Electric Singularity Near the Tip of a Sharp Cone</t>
  </si>
  <si>
    <t>10.1109/8.1089</t>
  </si>
  <si>
    <t>2-s2.0-0023843055</t>
  </si>
  <si>
    <t>['œ ±', 'wiley company', 'whispering gallery', 'sufficiently larger', 'sphere radius', 'several studies', 'pole contribution', 'paper provides', 'paper describes', 'observation points', 'numerical difficulty', 'main beam', 'kœ ±', 'integral multiple', 'integral expressions', 'included due', 'inc .,', 'field expression', 'expression derived', 'electromagnetic problems', 'electromagnetic field', 'electric field', 'dome antenna', 'continuous spectrum', 'conducting sphere', 'concave side']</t>
  </si>
  <si>
    <t>The dome antenna has been proposed for high‚Äêspeed scanning of the main beam of the antenna in a wide‚Äêangle range. For the design of the dome antenna, an analysis for the electromagnetic field in the concave side of the conducting sphere is indispensable. In connection with this problem, several studies have been reported on the cylindrical concave surface. However, no report is available to date on the electromagnetic field for a practical concave conducting sphere for which both the source and the observation points are removed from the boundary. This paper describes the results of analysis for this type of electromagnetic problems. First, the integral expressions for the electric field are obtained in the form of a sum of Whispering Gallery (WG) modes and a continuous spectrum. In the derivation of the field expression, spurious diffracted waves are included due to a hypothetical conical absorber, and these waves are eliminated. A scheme is implemented in which the pole contribution of the wavenumbe in the zenith angle Œ∏ so that the numerical difficulty is removed. Actual numerical calculations have been performed and the validity and range of applicability have been studied for the expression. It is found that the expression derived in this paper provides a valid field solution for the case where kŒ± (k is the wavenumber and Œ± is the sphere radius) is sufficiently larger than unity and is an integral multiple of œÄ/2. Copyright ¬© 1988 Wiley Periodicals, Inc., A Wiley Company</t>
  </si>
  <si>
    <t>50-60</t>
  </si>
  <si>
    <t>60008435;60008435;60008435;60011107</t>
  </si>
  <si>
    <t>35598806700;7404540549;57190925706;57190923291</t>
  </si>
  <si>
    <t>Sawaya, Kunio;Maeda, Tadahiko;Members, Saburo Adachi,;Member, Yasuto Mushiake,</t>
  </si>
  <si>
    <t>Sendai;Sendai</t>
  </si>
  <si>
    <t>Tohoku Institute of Technology;Tohoku University</t>
  </si>
  <si>
    <t>60011107;60008435</t>
  </si>
  <si>
    <t>Sawaya K.</t>
  </si>
  <si>
    <t>Electromagnetic fields excited by an electric dipole located over a conducting concave spherical surface</t>
  </si>
  <si>
    <t>10.1002/ecjb.4420710106</t>
  </si>
  <si>
    <t>2-s2.0-0023843354</t>
  </si>
  <si>
    <t>Air Force Office of Scientific Research</t>
  </si>
  <si>
    <t>F49620-86-C-0045</t>
  </si>
  <si>
    <t>AFOSR</t>
  </si>
  <si>
    <t>['mode characteristics', 'local oscillator', 'duroid substrate', 'coupled slotlines', 'circuit using', '10 substrate']</t>
  </si>
  <si>
    <t>A quasi-optical receiver front end applicable to both micro- wave and millimeter-wave receiver arrays is presented. Two planar MIC quasi-optical receiver circuit designs that integrate a coupled slot antenna, a Schottky diode balanced mixer, and a local oscillator on the same substrate are described. The even-mode/odd-mode characteristics of the coupled slotlines are used to achieve intrinsic RF/LO and RF/IF isolation. To demonstrate circuit feasibility, X-band scaled models of the circuit using a Gunn diode oscillator on an Epsilam-10 substrate, and a MESFET local oscillator on a R/T duroid substrate were built and tested. Results of these tests are included. ¬© 1988 IEEE</t>
  </si>
  <si>
    <t>80-85</t>
  </si>
  <si>
    <t>60013372-60107350;60013372</t>
  </si>
  <si>
    <t>7003389437;57208460042</t>
  </si>
  <si>
    <t>Hwang, Vincent D.;Itoh, Tatsuo</t>
  </si>
  <si>
    <t>Japan;United States</t>
  </si>
  <si>
    <t>Kadoma;Austin</t>
  </si>
  <si>
    <t>Panasonic Corporation;The University of Texas at Austin</t>
  </si>
  <si>
    <t>60107350;60013372</t>
  </si>
  <si>
    <t>Hwang V.D.</t>
  </si>
  <si>
    <t>Quasi-Optical Integrated Antenna and Receiver Front End</t>
  </si>
  <si>
    <t>10.1109/22.3484</t>
  </si>
  <si>
    <t>2-s2.0-0023843801</t>
  </si>
  <si>
    <t>['¬© 1988', 'rights reserved', 'open resonators', 'microstrip antennas', 'free regime', 'electrical engineers', 'correct use']</t>
  </si>
  <si>
    <t>Antennas | Microstrip | Resonators | Spectral analysis</t>
  </si>
  <si>
    <t>The correct use of the spectral domain approach for open resonators in the free regime is discussed. An application to microstrip antennas is presented. ¬© 1988, The Institution of Electrical Engineers. All rights reserved.</t>
  </si>
  <si>
    <t>105-106</t>
  </si>
  <si>
    <t>100560416;100560416;100560416;108267278;60023289</t>
  </si>
  <si>
    <t>6507362749;57194926611;7202044329;57224236072;57194932673</t>
  </si>
  <si>
    <t>Assailly, S.;Terret, D.;Daniel, J. P.;Besnier, G.;Roudot, J. Mosig B.</t>
  </si>
  <si>
    <t>Switzerland;France;France</t>
  </si>
  <si>
    <t>;Rennes;Rennes</t>
  </si>
  <si>
    <t>√âcoles polytechniques f√©d√©rales;Uni-versit√© de Rennes 1;UA 834 CNRS Universita</t>
  </si>
  <si>
    <t>60023289;108267278;100560416</t>
  </si>
  <si>
    <t>Assailly S.</t>
  </si>
  <si>
    <t>Spectral Domain Approach Applied To Open Resonators: Application To Microstrip Antennas</t>
  </si>
  <si>
    <t>10.1049/el:19880069</t>
  </si>
  <si>
    <t>2-s2.0-0023844002</t>
  </si>
  <si>
    <t>['wind shear', 'wind measurements', 'thin layers', 'possible methods', 'observed tendency', 'observations performed', 'mu radar', 'mst radars', 'model results', 'intense turbulence', 'effect may', 'doppler technique', 'copyright 1988', 'atmosphere introduces']</t>
  </si>
  <si>
    <t>It has recently been suggested that the observed tendency for intense turbulence to occur in thin layers in the atmosphere introduces an error in horizontal wind measurements with MST radars, even in the absence of wind shear. This effect, called the finite range volume effect, is a consequence of the tilted pulse volume when using the Doppler technique. A model is shown which illustrates that this effect may be very important in MST radar measurements when wide antenna beam widths are used. These model results are supported by observations performed with the MU radar in Japan, where wind measurements with different beam widths have been performed. The impact of these measurements on MST radar design and possible methods to minimize the error are discussed. Copyright 1988 by the American Geophysical Union.</t>
  </si>
  <si>
    <t>83-94</t>
  </si>
  <si>
    <t>1944799X</t>
  </si>
  <si>
    <t>Radio Science</t>
  </si>
  <si>
    <t>January-February 1988</t>
  </si>
  <si>
    <t>;;;;</t>
  </si>
  <si>
    <t>7202957110;55398698300;35433785500;7403584142;35425453600</t>
  </si>
  <si>
    <t>May, Peter Thomas;Fukao, Shoichiro;Tsuda, Toshitaka;Sato, Toru;Kato, Susumu</t>
  </si>
  <si>
    <t>May P.T.</t>
  </si>
  <si>
    <t>The effect of thin scattering layers on the determination of wind by Doppler radars</t>
  </si>
  <si>
    <t>10.1029/RS023i001p00083</t>
  </si>
  <si>
    <t>2-s2.0-0023844011</t>
  </si>
  <si>
    <t>['repeating 255', 'reduced power', 'phase modulated', 'noise ratios', 'manual null', 'input signal', 'increased range', 'hz carrier', 'coherent integration', 'accurate automated']</t>
  </si>
  <si>
    <t>A post-disaster signaling system was demonstrated from mine to surface, using through-the-earth electromagnetic propagation of a 1950-Hz carrier, phase modulated by a repeating 255-bit maximal length sequence. Coherent integration up to 4.46 min allowed output pulse detection on a CRT at input signal-to-noise ratios down to ‚Äì30 dB, which is about 30 dB less than required for the present pulse transmitter system. The new system offers vastly increased reliability along with some combination of increased range, signal-processing delay time, smaller transmitter antennae, and reduced power. It avoids the (present) manual signal search period and permits more accurate automated or manual null-seeking emitter location. After location, it can be used with pulse position modulation (PPM) for communication. It should also be valuable for measurements to determine geological properties. ¬© 1988 IEEE</t>
  </si>
  <si>
    <t>204-211</t>
  </si>
  <si>
    <t>IEEE Transactions on Industry Applications</t>
  </si>
  <si>
    <t>March/April 1988</t>
  </si>
  <si>
    <t>60025778;60025778;60025778</t>
  </si>
  <si>
    <t>7006305635;6602125339;6603929046</t>
  </si>
  <si>
    <t>Metzger, Kurt;Ristenbatt, Marlin P.;Holland-Moritz, Ervin</t>
  </si>
  <si>
    <t>Ann Arbor</t>
  </si>
  <si>
    <t>University of Michigan, Ann Arbor</t>
  </si>
  <si>
    <t>Metzger K.</t>
  </si>
  <si>
    <t>A New Post-Disaster Mine Communication System</t>
  </si>
  <si>
    <t>10.1109/28.2857</t>
  </si>
  <si>
    <t>2-s2.0-0023844301</t>
  </si>
  <si>
    <t>['wiley company', 'wave propagation', 'urban areas', 'tall buildings', 'road works', 'road surrounded', 'receiving antennas', 'much smaller', 'mobile telecommunications', 'located lower', 'increasing demand', 'inc .,', 'higher frequencies', 'groove structure', 'groove dimensions']</t>
  </si>
  <si>
    <t>In mobile telecommunications in urban areas, a very small zone system within a few kilometers is adopted to meet an increasing demand. Hence, wave propagation must be investigated in such a situation where transmission and receiving antennas are located lower than buildings. Wave propagation has been studied in a groove structure which simulates a road surrounded by tall buildings to geometrical optics approximation. The result was compared to the microwave simulation experiment with dipole and rectangular horn antennas. Theoretical predictions agreed with observations. At higher frequencies, the wave attenuation became smaller, where the wavelength is much smaller than the groove dimensions and the groove or a road works as a waveguide. Copyright ¬© 1988 Wiley Periodicals, Inc., A Wiley Company</t>
  </si>
  <si>
    <t>116-121</t>
  </si>
  <si>
    <t>60022313;60022313;60022313</t>
  </si>
  <si>
    <t>7404476613;7003501820;7406014437</t>
  </si>
  <si>
    <t>Yamaguchi, Yoshio;Ohtaki, Yukio;Abe, Takeo</t>
  </si>
  <si>
    <t>Niigata</t>
  </si>
  <si>
    <t>Niigata University</t>
  </si>
  <si>
    <t>Yamaguchi Y.</t>
  </si>
  <si>
    <t>Propagation characteristics of electromagnetic waves in groove guides</t>
  </si>
  <si>
    <t>10.1002/ecja.4410710113</t>
  </si>
  <si>
    <t>2-s2.0-0023844361</t>
  </si>
  <si>
    <t>['principal polarizations', 'periodic array', 'incident wave', 'electromagnetic waves']</t>
  </si>
  <si>
    <t>Scattering of electromagnetic waves from a dielectric slab loaded with a periodic array of perfectly conducting strips is analyzed by a mode matching technique. The variation of energy of significant scattered modes with various structure parameters is presented for both principal polarizations of the incident wave. ¬© 1988 IEEE</t>
  </si>
  <si>
    <t>147-151</t>
  </si>
  <si>
    <t>Kalhor, Hassan A.</t>
  </si>
  <si>
    <t>New Paltz</t>
  </si>
  <si>
    <t>SUNY New Paltz</t>
  </si>
  <si>
    <t>Kalhor H.A.</t>
  </si>
  <si>
    <t>Electromagnetic Scattering by a Dielectric Slab Loaded with a Periodic Array of Strips Over a Ground Plane</t>
  </si>
  <si>
    <t>10.1109/8.1088</t>
  </si>
  <si>
    <t>2-s2.0-0023844720</t>
  </si>
  <si>
    <t>Nol-CM-17522</t>
  </si>
  <si>
    <t>['ultrasound techniques', 'treatment discomfort', 'toxicity appeared', 'superficial tumors', 'superficial sites', 'sites dominated', 'site dominated', 'selected cases', 'rights reserved', 'poorly tolerated', 'pelvic sites', 'interstitial techniques', 'interstitial radiofrequency', 'holds promise', 'especially common', 'effective heating', 'deeper sites', 'deep tumors', 'best results', 'best produced', 'also dominated', '203 patients']</t>
  </si>
  <si>
    <t>Annular array | Hyperthermia | Interstitial | Magnetic function | Microwaves</t>
  </si>
  <si>
    <t>Two-hundred and fifteen independent sites in 203 patients were treated with hyperthermia at the University of Arizona from 10/81 through 3/86 under the auspices of this contract. In the head and neck, a site dominated by superficial tumors, air-coupled and water-coupled microwave applicators yielded the best results. Similarly in the thorax, also dominated by superficial tumors, water-coupled microwave applicators were best. In the abdomen and pelvis, sites dominated by deep tumors, only interstitial radiofrequency (RF) heating, an invasive technique useful only in selected cases, was capable of consistently producing therapeutic temperatures. Toxicity appeared to be site-related, and treatment discomfort was especially common in abdominal and pelvic sites. In conclusion, while superficial sites were readily heated using propagative electromagnetic devices, these devices were ineffective and poorly tolerated at deeper sites. Effective deep hyperthermia was best produced with interstitial techniques, and further development of these techniques using RF electrodes, implantable microwave antennas and thermoregulating ferromagnetic seeds, as well as scanned, focussed-ultrasound techniques, holds promise for effective heating of deep visceral sites. ¬© 1988 Informa UK Ltd All rights reserved: reproduction in whole or part not permitted.</t>
  </si>
  <si>
    <t>39-51</t>
  </si>
  <si>
    <t>60020301;60020301-60010065;60020301;60020301;60020301</t>
  </si>
  <si>
    <t>7003791596;7004653255;7007049525;7103404360;7006825368</t>
  </si>
  <si>
    <t>Shimm, David S.;Cetas, Thomas C.;Oleson, James R.;Cassady, J. Robert;Sim, Dalice A.</t>
  </si>
  <si>
    <t>Tucson;Tucson</t>
  </si>
  <si>
    <t>University of Arizona Cancer Center;The University of Arizona</t>
  </si>
  <si>
    <t>60020301;60010065</t>
  </si>
  <si>
    <t>Shimm D.</t>
  </si>
  <si>
    <t>Institutional reports: Clinical evaluation of hyperthermia equipment: The university of arizona institutional report for the NCI hyperthermia equipment evaluation contract</t>
  </si>
  <si>
    <t>10.3109/02656738809032048</t>
  </si>
  <si>
    <t>2-s2.0-0023845120</t>
  </si>
  <si>
    <t>['œºmole p', '¬© 1988', 'tryptic fragment', 'trypsin fragment', 'superfine ).', 'subsequent characterizations', 'sialic acid', 'sephadex g', 'sb6 antiserum', 'purified p', 'pregnancy urine', 'potential marker', 'normal metabolite', 'nonreducing conditions', 'neither p', 'gel filtration', 'galactose residues', 'endocrine society', 'core sugars', 'core molecules', 'core fucose', 'core binds', 'core ).', 'carbohydrate nature', 'carbohydrate composition', 'bound p', 'bound material', 'binding site', 'assayed chemically', 'agarosebound lectins', ')- sepharose']</t>
  </si>
  <si>
    <t>Pregnancy urine contains large quantities of hCG, free Œ≤-subunit, free a-subunit, and a population of fragments of Œ≤-subunit known as Œ≤-core. This Œ≤-core population, which can account for as much as 70% of the total Œ≤-immunoreactivity in pregnancy urine, is of interest as both a normal metabolite of pregnancy and a potential marker for malignancy. We have purified the Œ≤-core fragment from pregnancy urine (Pcore) and have characterized it with respect to size and carbohydrate composition. P-Core was purified by chromatography on Sephadex G-100, Concanavalin A (Con A)-Sepharose, DEAESephacel, and Sephadex G-75 (superfine). The purified P-core has an apparent mol wt of 17,500 and 17,000, as determined by gel filtration on Sephadex G-75 (superfine) and sodium dodecyl sulfate-polyacrylamide gel electrophoresis under nonreducing conditions, respectively. The sialic acid content of P-core was assayed chemically and was less than 0.07 Œºmol sialic acid/Œºmole P-core. For comparison to P-core, we have prepared a trypsin fragment of Œ≤-subunit that retains the Œ≤-core immunological determinant recognized by SB6 antiserum and lacks the carboxy-terminal immunological determinant. We have designated this Œ≤-core molecule as T-core (tryptic fragment of Œ≤-subunit) to distinguish it from the Œ≤-core molecule that we have purified from pregnancy urine (i.e. P-core). Most of the P-core and Tcore molecules bind to Con A (84% and 86%, respectively). The Con A-bound material was used for subsequent characterizations. Neither P-core nor T-core binds to DEAE using conditions under which intact hCGŒ≤ binds to DEAE. A variety of agarosebound lectins were used to further investigate the carbohydrate nature of the Con A-bound P-core and T-core molecules. The lectin binding data indicate that the antennae on P-core do not contain appreciable sialic acid or galactose, in contrast to the antennae on T-core, which contain both. We conclude that Pcore, the naturally occurring Œ≤-core fragment in pregnancy, has been processed to a form in which nearly all of the sialic acid and galactose residues are removed, but the Con A-binding site (consisting of the core sugars) and most of the core fucose are retained. ¬© 1988 by The Endocrine Society.</t>
  </si>
  <si>
    <t>173-180</t>
  </si>
  <si>
    <t>Endocrinology</t>
  </si>
  <si>
    <t>60017777;60017777;60017777;60017777</t>
  </si>
  <si>
    <t>7004356571;7006331521;6603732326;7006401320</t>
  </si>
  <si>
    <t>Blithe, Diana L.;Akar, Antoine H.;Wehmann, Robert E.;Nisula, Bruce C.</t>
  </si>
  <si>
    <t>Bethesda</t>
  </si>
  <si>
    <t>National Institute of Child Health and Human Development (NICHD)</t>
  </si>
  <si>
    <t>Blithe D.</t>
  </si>
  <si>
    <t>Purification of Œ≤-core fragment from pregnancy urine and demonstration that its carbohydrate moieties differ from those of native human chorionic gonadotropin-Œ≤</t>
  </si>
  <si>
    <t>10.1210/endo-122-1-173</t>
  </si>
  <si>
    <t>2-s2.0-0023845725</t>
  </si>
  <si>
    <t>['two slot', 'two half', 'transverse electric', 'slot axis', 'power transmitted', 'one half', 'narrow slots', 'moment solution', 'functional dependence', 'electromagnetic coupling']</t>
  </si>
  <si>
    <t>The problem of electromagnetic coupling between two half- space regions separated by two slot-perforated parallel conducting planes is investigated. A general moment solution for the problem is obtained. This moment solution is then specialized to the case of narrow slots and to a TE (transverse electric to the slot axis) excitation. Attention is given to the power transmitted from one half-space to the other through the slots and to its functional dependence on various problem parameters involved. ¬© 1988 IEEE</t>
  </si>
  <si>
    <t>44-52</t>
  </si>
  <si>
    <t>Leviatan, Yehuda</t>
  </si>
  <si>
    <t>Haifa</t>
  </si>
  <si>
    <t>Technion - Israel Institute of Technology</t>
  </si>
  <si>
    <t>Leviatan Y.</t>
  </si>
  <si>
    <t>Electromagnetic Coupling between two Half-Space Regions Separated by two Slot-Perforated Parallel Conducting Screens</t>
  </si>
  <si>
    <t>10.1109/22.3480</t>
  </si>
  <si>
    <t>2-s2.0-0023847474</t>
  </si>
  <si>
    <t>['system capacity', 'spectral efficiency', 'satisfactorily incorporated', 'require resolution', 'paper describes', 'omnidirectional types', 'new antenna', 'hopping code', 'far proposed', 'cylindrical array', 'broad sector', 'access system', '30 times']</t>
  </si>
  <si>
    <t>Present day cellular mobile systems, and those so far proposed for the future, conventionally employ base station antennas having omnidirectional or broad sector-beam radiation patterns. The paper describes a proposed alternative multiple narrow beam antenna, which in comparison to the conventional types offers large increases in system capacity or spectral efficiency. For example, for a 900 MHz fast-frequency-hopping code-division-multiple-access system, initial estimates show that the new antenna in the form of a cylindrical array of 3. 5 metres diameter would provide a capacity of over 30 times that achievable with omnidirectional types. The paper also includes a discussion of some of the issues which require resolution before a new antenna of the type proposed could be realized and satisfactorily incorporated into any of the various possible future system architectures.</t>
  </si>
  <si>
    <t>53-60</t>
  </si>
  <si>
    <t>60021095;60021095;60021095</t>
  </si>
  <si>
    <t>7202338079;7402129340;6506430583</t>
  </si>
  <si>
    <t>Davies, W. S.;Lang, R. J.;Vinnal, E.</t>
  </si>
  <si>
    <t>Davies W.</t>
  </si>
  <si>
    <t>PROPOSED ADVANCED BASE STATION ANTENNAS FOR FUTURE CELLULAR MOBILE RADIO SYSTEMS.</t>
  </si>
  <si>
    <t>2-s2.0-0023847525</t>
  </si>
  <si>
    <t>['¬© 1988', 'simulation results', 'shape control', 'rights reserved', 'prescribed shape', 'mechanical engineers', 'japan society', 'inclined angles', 'gravitational force', 'experimental results', 'deflected due', 'control algorithm', 'continuous model', 'beam using']</t>
  </si>
  <si>
    <t>Application of Control | Flexible Structures | Parameter Identification | Repeating Shape Control | Shape Control Algorithm</t>
  </si>
  <si>
    <t>In this report, a control algorithm is proposed for the shape control of large scale flexible structures such as a lens in a large scale telescope, an antenna, and others. As the a large scale flexible structure is deflected due to the gravitational force when inclined, it needs shape control to keep a prescribed shape. Some simulation results are shown for inclined angles of a beam using a continuous model. Some experimental results are shown by applying the static repeating control algorithm to a flexible experimental model. ¬© 1988, The Japan Society of Mechanical Engineers. All rights reserved.</t>
  </si>
  <si>
    <t>195-200</t>
  </si>
  <si>
    <t>Transactions of the Japan Society of Mechanical Engineers Series C</t>
  </si>
  <si>
    <t>36037263500;7004253028;7005801186</t>
  </si>
  <si>
    <t>Fukuda, Toshio;Hosokai, Hidemi;Yajima, Nobuyuki</t>
  </si>
  <si>
    <t>Fukuda T.</t>
  </si>
  <si>
    <t>Shape Control of Large Scale Flexible Structures: (1st Report, Modeling and Static Repeating Shape Control in a One Dimensional Model)</t>
  </si>
  <si>
    <t>10.1299/kikaic.54.195</t>
  </si>
  <si>
    <t>2-s2.0-0023849008</t>
  </si>
  <si>
    <t>['reflector efficiency', 'polar level', 'numerically evaluated', 'matched feed', 'large difference', 'feed tilt', 'asymmetric mode', 'also indicated']</t>
  </si>
  <si>
    <t>The large difference between the dominant sidelobe levels in the asymmetric and symmetric plane radiation patterns of the short focal length offset paraboloids is minimized by illuminating the reflector with a prime-focus tilted matched feed. The amplitude of the asymmetric mode (TE21) component in the matched feed is numerically evaluated for achieving an optimum peak cross-polar level. Effect of the feed tilt on the reflector efficiency is also indicated. ¬© 1988 IEEE</t>
  </si>
  <si>
    <t>141-144</t>
  </si>
  <si>
    <t>60009697;60009697</t>
  </si>
  <si>
    <t>7401617703;8092251400</t>
  </si>
  <si>
    <t>Prasad, K. M.;Shafai, Lotfollah</t>
  </si>
  <si>
    <t>Winnipeg</t>
  </si>
  <si>
    <t>University of Manitoba</t>
  </si>
  <si>
    <t>Prasad K.M.</t>
  </si>
  <si>
    <t>Improving the Symmetry of Radiation Patterns for Offset Reflectors Illuminated by Matched Feeds</t>
  </si>
  <si>
    <t>10.1109/8.1086</t>
  </si>
  <si>
    <t>2-s2.0-0023849110</t>
  </si>
  <si>
    <t>['well explained', 'systematic error', 'spectral width', 'simultaneously located', 'ranges even', 'present investigation', 'one degree', 'noticeable error', 'negligibly small', 'horizontal wind', 'error appears', 'echo power', 'echo intensity', 'copyright 1988', 'adjacent ranges']</t>
  </si>
  <si>
    <t>A finite range volume effect causes a systematic error in MST/ST radar wind measurement when a thin turbulent layer is simultaneously located in several adjacent range volumes. This error appears as a false vertical shear of horizontal wind or as a false temporal wind variation at some ranges even if the ambient wind field is uniform with height and does not change at all. Also, because of this effect the observed Doppler power spectrum becomes asymmetric, and a noticeable error is induced in estimation of echo power, mean Doppler velocity, and spectral width. The present investigation will show that these errors are well explained by a simple numerical model which is made to simulate an actual observational situation. The observed wind velocity is more reliable at ranges where the echo intensity is relatively larger compared with adjacent ranges. The finite range volume effect is negligibly small for weak ambient wind velocities less than approximately 10 ms‚àí1 and/or for an antenna beam width less than one degree. Copyright 1988 by the American Geophysical Union.</t>
  </si>
  <si>
    <t>74-82</t>
  </si>
  <si>
    <t>;;;;;;</t>
  </si>
  <si>
    <t>55398698300;7202428671;7402952086;7202957110;7403584142;35433785500;35425453600</t>
  </si>
  <si>
    <t>Fukao, Shoichiro;Inaba, Motoyuki;Kimura, Iwane;May, Peter T.;Sato, Toru;Tsuda, Toshitaka;Kato, Susumu</t>
  </si>
  <si>
    <t>Fukao S.</t>
  </si>
  <si>
    <t>A systematic error in MST/ST radar wind measurement induced by a finite range volume effect: 2. Numerical considerations</t>
  </si>
  <si>
    <t>10.1029/RS023i001p00074</t>
  </si>
  <si>
    <t>2-s2.0-0023849966</t>
  </si>
  <si>
    <t>KWF Kankerbestrijding</t>
  </si>
  <si>
    <t>DCS</t>
  </si>
  <si>
    <t>['¬© 1988', 'well established', 'type r', 'two modalities', 'tumor cells', 'tissue destruction', 'study showed', 'solid tumors', 'rij rats', 'proper sequence', 'previous work', 'preferentially retained', 'potentiating effects', 'photosensitizing drugs', 'photofrin ii', 'photodynamic therapy', 'pdt combined', 'pdt alone', 'new line', 'malignant tumors', 'major effects', 'known technique', 'kg ).', 'interstitial pdt', 'interstitial hyperthermia', 'injected intravenously', 'ht alone', 'high rate', 'heat could', 'fundamental effects', 'flexible catheters', 'external irradiation', 'either light', 'dose rate', 'dose level', 'dose leads', 'cure rate', 'containing tissue', 'combined modality', 'combined effects', 'clinical studies', 'average diameter', 'augmented cytotoxicity', 'appropriate wavelength', 'animal experiments', 'active component', '900 joule', '90 days', '625 nm', '5 mg', '48 hrs', '2 cm', '10 mg']</t>
  </si>
  <si>
    <t>Hyperthermia | Interstitial | Photodynamic therapy</t>
  </si>
  <si>
    <t>Photodynamic therapy (PDT) involves the activation of photosensitizing drugs by light of appropriate wavelength. The photosensitive agent Hematoporphyrin Derivative (HPD) appears to be preferentially retained in malignant tumors; irradiation of HPD-containing tissue by light of appropriate wavelength (625 nm) and dose leads to (tumor) tissue destruction. The aim of this study is to achieve maximum tumor control probability with minimum normal tissue photosensitivity. In previous work from our laboratory it has been demonstrated that PDT has its fundamental effects on the tumor and normal tissue microcirculation. As it is well established that hyperthermia (HT) has its major effects in less well vascularized areas of the tumor, the combined modality of HT and PDT might prove to be advantageous. Moreover, suppression of sublethal damage repair by HT has been observed. To overcome the problem of poor light penetration into tissues and the high rate of recurrences following PDT with external irradiation, the combined effects of interstitial PDT with interstitial hyperthermia in a new line of animal experiments were studied in our laboratory. An experimental murine tumor (Rhabdomyosarcoma, type R-1) was transplanted in WAG/Rij rats and, after reaching an average diameter of 2 cm, the active component of HPD, that is Photofrin II, was injected intravenously in different dose schedules (5 mg/kg, 10 mg/kg). After 24 or 48 hrs the tumors were implanted with four flexible catheters, through which either light or heat could be applied. Light was obtained from an Argon-Dye laser system tuned to a wavelength of 625 nm at a dose rate of 75-100 mW per fiber to a dose level of 900 Joule from four linear light applicators. Heat (44¬∞C/30‚Ä≤) was delivered by four 27 MHz radiofrequency antennas. Dose response relationships for PDT alone, HT alone and PDT combined with HT were established with cure as endpoint. This study showed that these two modalities, in the proper sequence and spacing, result in an augmented cytotoxicity on the tumor cells in vivo. With the combined modality treatment a cure rate of 41% (90 days) was obtained. As the implantation of flexible catheters is a well-known technique in radiation therapy practice, the potentiating effects of interstitial HT combined with interstitial PDT in solid tumors is very promising and clinical studies are warranted. ¬© 1988.</t>
  </si>
  <si>
    <t>139-145</t>
  </si>
  <si>
    <t>60070149;60070149;60070149;60070149;60070149;60070149</t>
  </si>
  <si>
    <t>7004847720;7801449065;6602975149;7003709752;7004141026;7006181720</t>
  </si>
  <si>
    <t>Levendag, Peter C.;Marijnissen, Hans P.A.;De Ru, Vera J.;Versteeg, Jeanne A.C.;Van Rhoon, G. C.;Star, Willem M.</t>
  </si>
  <si>
    <t>Rotterdam</t>
  </si>
  <si>
    <t>Rotterdam Radio-Therapeutic Institute</t>
  </si>
  <si>
    <t>Levendag P.</t>
  </si>
  <si>
    <t>Interaction of interstitial photodynamic therapy and interstitial hyperthermia in a rat rhabdomyosarcoma-A pilot study</t>
  </si>
  <si>
    <t>0360-3016(88)90061-2</t>
  </si>
  <si>
    <t>10.1016/0360-3016(88)90061-2</t>
  </si>
  <si>
    <t>2-s2.0-0023851613</t>
  </si>
  <si>
    <t>['wiley company', 'small size', 'small ships', 'small fisherboats', 'shipborne antennas', 'ship motions', 'pitching amplitudes', 'light weight', 'inc .,', 'important role', 'gives rise', 'experimental results', 'control method', 'control limit', 'communication satellite', 'become smaller', 'az mount', 'az axis', 'avoiding twisting', 'assure pointing', 'antenna mount']</t>
  </si>
  <si>
    <t>Development of small marine antennas has a very important role in the maritime satellite communications with small ships, especially for Japan which has a relatively large number of small fisherboats. As the satellites become larger in size in the future, the shipborne antennas will tend to become smaller. We propose a control method for the antenna mount against ship motions to assure pointing the communication satellite. The two‚Äêaxis EL/AZ mount has a light weight and a small size, which gives rise to a large pointing error when the satellite is near the zenith or when the AZ axis is near the control limit for avoiding twisting the cables. We have developed an algorithm to reduce the pointing errors within the pitching amplitudes of the ship. The principle and the experimental results of this system are described. Copyright ¬© 1988 Wiley Periodicals, Inc., A Wiley Company</t>
  </si>
  <si>
    <t>106-115</t>
  </si>
  <si>
    <t>60021208;60021208;117293235</t>
  </si>
  <si>
    <t>7005154210;7102618328;7004723803</t>
  </si>
  <si>
    <t>Shiokawa, Takayasu;Karasawa, Yoshio;Yuki, Hironori</t>
  </si>
  <si>
    <t>Tokyo;Kimitsu</t>
  </si>
  <si>
    <t>KDDI Corporation;Telecommunications Satellite Corporation of Japan</t>
  </si>
  <si>
    <t>60021208;117293235</t>
  </si>
  <si>
    <t>Shiokawa T.</t>
  </si>
  <si>
    <t>Reduction method of pointing error of E&lt;inf&gt;l&lt;/inf&gt;/A&lt;inf&gt;Z&lt;/inf&gt; mount for maritime satellite communications</t>
  </si>
  <si>
    <t>10.1002/ecja.4410710112</t>
  </si>
  <si>
    <t>2-s2.0-0023852835</t>
  </si>
  <si>
    <t>National Eye Institute</t>
  </si>
  <si>
    <t>R01EY006511</t>
  </si>
  <si>
    <t>NEI</t>
  </si>
  <si>
    <t>['third antibody', 'specific orcs', 'specific olfactory', 'specific antibody', 'specific antibodies', 'sexually dimorphic', 'sexual dimorphism', 'several cell', 'secreted antibodies', 'second mab', 'screening procedure', 'preferring antibody', 'osas ).', 'olfactory system', 'mpa appears', 'mosa immunoreactivity', 'molecularly distinct', 'molecular differences', 'microscopic studies', 'microscopic immunocytochemistry', 'mechanoreceptor cells', 'male olfactory', 'mabs exemplifying', 'intermediate filaments', 'initial segments', 'extracted separately', 'elements common', 'electron micrographs', 'distal segments', 'different patterns', 'cns neurons', 'class showed', 'cell membrane', 'cell bodies', 'bundled together', 'axonal transport', 'axon terminals', 'assayed immunocytochemically', 'antigen recognized', 'antibody demonstrates', 'antennal nerve', 'antennal lobe', 'also recognizes', '3 classes', '2 fusions', '000 da']</t>
  </si>
  <si>
    <t>The olfactory system of the moth Manduca sexta is sexually dimorphic. Male moths possess a male-specific olfactory 'subsystem,' comprising olfactory receptor cells (ORCs) and CNS neurons and synaptic areas associated with the detection of female sex pheromones, in addition to elements common to males and females. In order to explore the molecular differences between cells that subserve the sexual dimorphism and odor-specificity of components of the olfactory system, we generated monoclonal antibodies (Mabs) against tissue of the olfactory system of the moth. In 2 fusions, we screened 1105 hybridoma lines and obtained 272 lines that secreted antibodies against Manduca nervous tissue, as assayed immunocytochemically on sections of the primary olfactory center (the antennal lobe) in the brain of Manduca. We describe here 3 classes of Mabs exemplifying the several cell-type-specific antibodies obtained through the screening procedure. Seven hybridoma lines secrete antibodies that specifically recognize cell bodies, axons, and initial segments of dendrites of many or all ORCs of both males and females (classified as olfactory-specific antibodies, OSAs). Electron-microscopic studies of 2 of the Mabs in this class showed that they recognize antigens associated with the cell membrane and that the immunoreactive ORC axons are bundled together in fascicles in the antennal nerve. On immunoblots, one of the OSA Mabs recognizes 3 distinct protein bands of apparant M,s 42,000, 59,000, and 66,000 Da. When tissue samples enriched in either receptor cell bodies, dendrites, and initial segments of axons or in distal segments of axons and their terminals and synapses were extracted separately, different patterns of bands were detected - 42,000 and 59,000 Da bands from cell bodies and initial segments of axons and dendrites, and 42,000 and 66,000 Da bands from distal segments of axons and their terminals - suggesting that the 59,000 Da protein is modified to the 66,000 Da protein during axonal transport. The second Mab we describe here, the male olfactory-specific antibody (MOSA), selectively recognizes the sexually dimorphic ORCs that are present only in males. The antigen recognized by this antibody is found in cell bodies, dendrites, axons, and axon terminals. By electron-microscopic immunocytochemistry, the MOSA immunoreactivity is found in the cytoplasm and appears not to be associated with particular subcellular organelles. This antibody demonstrates that male-specific ORCs are molecularly distinct from other types of ORCs. The third antibody, the mechanosensory-preferring antibody (MPA), recognizes the mechanosensory receptor cells of the antenna but not the ORCs; it also recognizes some other cells in the CNS. In electron micrographs, MPA appears to bind to intermediate filaments in mechanoreceptor cells.</t>
  </si>
  <si>
    <t>296-307</t>
  </si>
  <si>
    <t>Journal of Neuroscience</t>
  </si>
  <si>
    <t>60030162;60030162;60030162;60030162</t>
  </si>
  <si>
    <t>7006758058;57204301689;55617615300;7102653635</t>
  </si>
  <si>
    <t>Hishinuma, A.;Hockfield, S.;McKay, R.;Hildebrand, J. G.</t>
  </si>
  <si>
    <t>New York</t>
  </si>
  <si>
    <t>Columbia University</t>
  </si>
  <si>
    <t>Hishinuma A.</t>
  </si>
  <si>
    <t>Monoclonal antibodies reveal cell-type-specific antigens in the sexually dimorphic olfactory system of Manduca sexta. I. Generation of monoclonal antibodies and patial characterization of the antigens</t>
  </si>
  <si>
    <t>10.1523/jneurosci.08-01-00296.1988</t>
  </si>
  <si>
    <t>2-s2.0-0023853077</t>
  </si>
  <si>
    <t>['special attention', 'solved using', 'power deposition', 'power deposited', 'microstrip antenna', 'matching technique', 'integral equation', 'fields inside', 'electric green', 'edge conditions', 'correct modeling', 'coaxial feed']</t>
  </si>
  <si>
    <t>The power deposited by a microstrip antenna into a layered biological structure is investigated. The solution is based on an integral equation for the surface current density on the antenna and on an electric Green's dyadic for the fields inside a planar stratified medium. The integral equation is solved using the method of moments in conjunction with the point-matching technique. The modeling of the surface current takes the edge conditions into account. Special attention is devoted to a correct modeling of the excitation of the antenna by a coaxial feed. The numerical results focus on the power deposition as a function of depth. ¬© 1988 IEEE</t>
  </si>
  <si>
    <t>126-131</t>
  </si>
  <si>
    <t>Beyne, Luc</t>
  </si>
  <si>
    <t>Belgium</t>
  </si>
  <si>
    <t>Ghent</t>
  </si>
  <si>
    <t>Universiteit Gent</t>
  </si>
  <si>
    <t>Beyne L.</t>
  </si>
  <si>
    <t>Power Deposition of a Microstrip Applicator Radiating into a Layered Biological Structure</t>
  </si>
  <si>
    <t>10.1109/22.3491</t>
  </si>
  <si>
    <t>2-s2.0-0023854593</t>
  </si>
  <si>
    <t>['two dimensions', 'third algorithm', 'relative accuracy', 'radio emitter', 'provide information', 'phase noise', 'found using', 'direction finding']</t>
  </si>
  <si>
    <t>The direction of arrival of a radio emitter can be found using a multiple element antenna as an interferometer. In this paper, a three element equilateral triangle antenna has been considered, and three direction finding algorithms suitable for implementation on a computer are derived. Two of these algorithms are suitable for direction finding in two dimensions, while the third algorithm is suitable for three dimensional direction finding. Simulations have been used to provide information about the relative computational speed and to determine the relative accuracy of the algorithms in the presence of phase noise.</t>
  </si>
  <si>
    <t>61-69</t>
  </si>
  <si>
    <t>100326470;100326470</t>
  </si>
  <si>
    <t>7005684185;7402770720</t>
  </si>
  <si>
    <t>Quick, A. G.;Gill, M. C.</t>
  </si>
  <si>
    <t>Adelaide</t>
  </si>
  <si>
    <t>Electronics Research Lab</t>
  </si>
  <si>
    <t>Quick A.</t>
  </si>
  <si>
    <t>ALGORITHMS OF THREE ANTENNA INTERFEROMETRIC DIRECTION FINDERS.</t>
  </si>
  <si>
    <t>2-s2.0-0023854643</t>
  </si>
  <si>
    <t>['protected antennas', 'lightning strokes', 'design stage', 'another however']</t>
  </si>
  <si>
    <t>Because of their nature, antennas are exposed to wind and weather. Therefore the effects of lightning strokes, whether occurring directly to a system or in its vicinity, have to be considered at the design stage and protective measures taken, which may vary considerably from one antenna type to another however. LEMP (Lightning Electromagnetic Pulse) protected antennas are considered.</t>
  </si>
  <si>
    <t>News from Rohde &amp; Schwarz</t>
  </si>
  <si>
    <t>Stark, Axel</t>
  </si>
  <si>
    <t>Stark A.</t>
  </si>
  <si>
    <t>EMP-PROTECTED ANTENNAS.</t>
  </si>
  <si>
    <t>2-s2.0-0023855851</t>
  </si>
  <si>
    <t>Naval Air Systems Command</t>
  </si>
  <si>
    <t>N00014-78-C-0049</t>
  </si>
  <si>
    <t>NAVAIR</t>
  </si>
  <si>
    <t>['time samples', 'taps equal', 'tapped delay', 'taking fft', 'simply weighting', 'sampled signals', 'processing behind', 'output signal', 'often considered', 'nulling bandwidth', 'noise ratio', 'line processing', 'line array', 'improvement results', 'element signal', 'bandwidth performance', 'adaptive arrays', 'adaptive array']</t>
  </si>
  <si>
    <t>The use of fast Fourier transform (FFT) processing behind the elements in adaptive arrays is often considered as a means of improving the nulling bandwidth of such arrays. However, it is shown here that the output signal-to-interference-plus-noise ratio (SINR) obtained from an adaptive array with FFT's behind the elements is identical to that of an equivalent adaptive array with tapped delay-line processing. The equivalent tapped delay-line array has the same number of taps in each delay-line as the number of time samples in the FFT's, and has a delay between taps equal to the delay between samples in the FFT's. Thus, while the bandwidth performance of an adaptive array can be improved by using time delayed samples of each element signal, no further improvement results from taking FFT's of these sampled signals. The same bandwidth performance is obtained by simply weighting and combining the time domain samples directly. ¬© 1988 IEEE</t>
  </si>
  <si>
    <t>15-26</t>
  </si>
  <si>
    <t>Compton, R. T.</t>
  </si>
  <si>
    <t>Columbus</t>
  </si>
  <si>
    <t>The Ohio State University</t>
  </si>
  <si>
    <t>Compton R.T.</t>
  </si>
  <si>
    <t>The Relationship Between Tapped Delay-Line and FFT Processing in Adaptive Arrays</t>
  </si>
  <si>
    <t>10.1109/8.1070</t>
  </si>
  <si>
    <t>2-s2.0-0023859623</t>
  </si>
  <si>
    <t>['test station', 'test procedures', 'students completed', 'course instructor', 'computer control']</t>
  </si>
  <si>
    <t>An automated antenna test station for use in the electronic communications laboratory in the Electronics Engineering Technology program at Brigham Young University is described. The test station was installed and calibrated, and software for computer control of test procedures was written by a team of students in the class under advisement of the course instructor. The students completed the design and test of a log periodic antenna in the course of the test station implementation.</t>
  </si>
  <si>
    <t>28-30</t>
  </si>
  <si>
    <t>CoED</t>
  </si>
  <si>
    <t>60006832;60006832;60006832;60006832</t>
  </si>
  <si>
    <t>7103061401;6603834979;6506911632;7103264638</t>
  </si>
  <si>
    <t>Owen, Earl F.;Braithwaite, Kent;Buttars, David B.;Erdman, James R.</t>
  </si>
  <si>
    <t>Provo</t>
  </si>
  <si>
    <t>Brigham Young University</t>
  </si>
  <si>
    <t>Owen E.</t>
  </si>
  <si>
    <t>STUDENT ANTENNA EXPERIMENT USING COMPUTER AIDED DESIGN AND TEST.</t>
  </si>
  <si>
    <t>2-s2.0-0023860541</t>
  </si>
  <si>
    <t>U.S. Air Force</t>
  </si>
  <si>
    <t>LS90I348060F</t>
  </si>
  <si>
    <t>USAF</t>
  </si>
  <si>
    <t>['uniformly tensioned', 'two sets', 'system consists', 'simulated noise', 'residual systems', 'membrane inside', 'indirect regulation', 'foot gold', 'electrodes serve', 'direct regulation', 'capacitive sensors', 'beneficial source']</t>
  </si>
  <si>
    <t>The experimental computer control of a two-dimensional hyperbolic system is described. The system consists of a 5-foot gold-coated rubber membrane mounted on a circular cylindrical drum. Seven electrodes reside on a command surface located behind the membrane inside the drum. These electrodes serve as capacitive sensors and electrostatic force actuators of transverse membrane deflection. The membrane is modeled as flat, isotropic, and uniformly tensioned. Controllers regulating membrane deflection are designed using aggregation and design procedures based upon sensor and actuator influence functions. The resulting control laws are implemented on a minicomputer in two sets of experiments. The first set studies modal pole placement and direct regulation of simulated modal noise. The second set investigates the indirect regulation of simulated noise in a residual mode via spillover at different synthesized spillover levels. The experimental study shows that spillover can be made a beneficial source of damping in residual systems. ¬© 1988 IEEE</t>
  </si>
  <si>
    <t>79-87</t>
  </si>
  <si>
    <t>IEEE Transactions on Automatic Control</t>
  </si>
  <si>
    <t>60027550;60022195;60022195;60021211</t>
  </si>
  <si>
    <t>7005965300;7402866860;7005165148;55462714600</t>
  </si>
  <si>
    <t>Yam, Yeung;Lang, Jeffrey H.;Staelin, David H.;Johnson, Timothy L.</t>
  </si>
  <si>
    <t>Los Angeles;Cambridge;Niskayuna</t>
  </si>
  <si>
    <t>University of California, Los Angeles;Massachusetts Institute of Technology;GE Global Research</t>
  </si>
  <si>
    <t>60027550;60022195;60021211</t>
  </si>
  <si>
    <t>Yam Y.</t>
  </si>
  <si>
    <t>The Experimental Computer Control of a Two-Dimensional Hyperbolic System</t>
  </si>
  <si>
    <t>10.1109/9.363</t>
  </si>
  <si>
    <t>2-s2.0-0023861919</t>
  </si>
  <si>
    <t>['wet basis', 'rubber tapper', 'prime factor', 'omega sensor', 'moisture content', 'microstrip sensors', 'horn antennas', '5 percent']</t>
  </si>
  <si>
    <t>The application of microstrip sensors for determination of moisture content or total solid content (t. s. c) in hevea rubber content is described. The sensors with characteristic impedances 93- OMEGA (on polyguide substrate), 50- OMEGA (on polyguide) and 50- OMEGA (on RT-Duroid) have been tested. The accuracy and reproducibility of 93- OMEGA sensor are at a level of 0. 5 percent (compared with Standard Gravimetric Method) and 0. 7 percent moisture content (wet basis) respectively. This performance is better than the previous technique using twin-horn antennas. With this accuracy, rapidity, ease of operation and compactness, this method has been found to be satisfactory for use in the field where t. s. c. determination is a prime factor in payment to the rubber tapper.</t>
  </si>
  <si>
    <t>45-51</t>
  </si>
  <si>
    <t>Journal of Microwave Power and Electromagnetic Energy</t>
  </si>
  <si>
    <t>Khalid, K.</t>
  </si>
  <si>
    <t>Malaysia</t>
  </si>
  <si>
    <t>Malays</t>
  </si>
  <si>
    <t>Technological University of Malaysia</t>
  </si>
  <si>
    <t>Khalid K.</t>
  </si>
  <si>
    <t>APPLICATION OF MICROSTRIP SENSORS FOR DETERMINTION OF MOISTURE CONTENT IN HEVEA RUBBER LATEX.</t>
  </si>
  <si>
    <t>10.1080/08327823.1988.11688036</t>
  </si>
  <si>
    <t>2-s2.0-0023861948</t>
  </si>
  <si>
    <t>['two weights', 'two taps', 'taps used', 'taps affect', 'tapped delay', 'noise ratio', 'line behind', 'intertap delay', 'delays less', 'delays larger', 'continuous wave', 'bandwidth performance', 'b result', '4t90 b']</t>
  </si>
  <si>
    <t>The bandwidth performance of a two-element adaptive array with a tapped delay-line behind each element is examined. It is shown how the number of taps and the delay between taps affect the bandwidth performance of the array. It is shown that an array with two weights and one delay behind each element yields optimal performance (equal to that obtained with continuous wave (CW) interference) for any value of intertap delay between zero and T90 /B, where T90 is a quarter wavelength delay and B is the fractional signal bandwidth. Delays less than T90 yield optimal performance but result in large array weights. Delays larger than T90 /B yield suboptimal signal-to-interference-plus-noise ratio (SINR) when each element has only two weights. For delays between T90 /B and 4T90 B, the performance is suboptimal with only two taps but approaches the optimal if more taps are added to each element. Delays larger than 4T90 /B result in suboptimal performance regardless of the number of taps used. ¬© 1988 IEEE</t>
  </si>
  <si>
    <t>The Bandwidth Performance of a Two-Element Adaptive Array with Tapped Delay-Line Processing</t>
  </si>
  <si>
    <t>10.1109/8.1069</t>
  </si>
  <si>
    <t>2-s2.0-0023862026</t>
  </si>
  <si>
    <t>['sum beamforming', 'specific example', 'sidelobe level', 'shaded delay', 'sensor spacings', 'peak response', 'omnidirectional sensors', 'noise ratio', 'linear array', 'isotropic noise', 'functional requirements', 'frequency dependence', 'design equations', 'derive relationships', 'derive equations', 'asymptotic theory', 'array properties', 'amplitude shadings']</t>
  </si>
  <si>
    <t>The problem of BroadBanding a linear array of omnidirectional sensors is addressed. Attention is restricted to the case of shaded delay-and-sum beamforming and BroadBanding is defined to mean that the beam pattern function has little or no frequency dependence of peak response, main lobe width, plateau sidelobe level and clean sweep width. The asymptotic theory of unequally spaced arrays is used to derive relationships between beam pattern properties and array properties; these relationships are used to translate beam pattern requirements into functional requirements on sensor spacings and amplitude shadings; and, the functional requirements are then used to derive a BroadBand array design. In addition to the design equations, the asymptotic theory is used to derive equations for main lobe level, sidelobe level, beamwidth and signal-to-noise ratio (SNR) gain in isotropic noise. A specific example is presented to clarify the concepts and verify that the design procedure actually works. ¬© 1988 IEEE</t>
  </si>
  <si>
    <t>27-33</t>
  </si>
  <si>
    <t>60021378;60021378</t>
  </si>
  <si>
    <t>6603045863;6603646334</t>
  </si>
  <si>
    <t>Doles, John H.;Benedict, Frank D.</t>
  </si>
  <si>
    <t>Doles J.H.</t>
  </si>
  <si>
    <t>BroadBand Array Design Using the Asymptotic Theory of Unequally Spaced Arrays</t>
  </si>
  <si>
    <t>10.1109/8.1071</t>
  </si>
  <si>
    <t>2-s2.0-0023862027</t>
  </si>
  <si>
    <t>['¬© 1988', 'surface accuracy', 'structural tests', 'rms ).', 'meter antenna', 'important elements', 'future missions', 'engineering tests', 'electromagnetic performance', '6 ghz', '26 7']</t>
  </si>
  <si>
    <t>This paper presents technical results obtained during the development and engineering tests of a 15-Meter Hoop Column deployable antenna system. Important elements of the 15-meter antenna program were the structural tests and the characterization of the surface accuracy of the deployed mesh surface. In addition, overall system performance of the 15-meter antenna was obtained during radio frequency tests conducted in the Martin Marietta Near Field Test Laboratory in Denver, Colorado. The near field tests verified the electromagnetic performance of the structure which exhibited a parabolic surface accuracy of 0.061 in (RMS). Radio frequency tests were conducted at 2.27, 4.26 7.73 and 11.6 GHZ. The experimental and analytical results obtained through the 15-meter antenna program will provide new technology for the application of large space antennas for future missions. ¬© 1988.</t>
  </si>
  <si>
    <t>60000854;60000854;60000854</t>
  </si>
  <si>
    <t>7401889474;7401639390;6701768109</t>
  </si>
  <si>
    <t>Campbell, G.;Bailey, M. C.;Belvin, W. K.</t>
  </si>
  <si>
    <t>Hampton</t>
  </si>
  <si>
    <t>NASA Langley Research Center</t>
  </si>
  <si>
    <t>Campbell G.</t>
  </si>
  <si>
    <t>The development of the 15-meter hoop column deployable antenna system with final structural and electromagnetic performance results</t>
  </si>
  <si>
    <t>10.1016/0094-5765(88)90130-0</t>
  </si>
  <si>
    <t>2-s2.0-0023862283</t>
  </si>
  <si>
    <t>['study resulted', 'space limitations', 'secondary reflectors', 'requirements related', 'primary reflectors', 'polarization requirement', 'physical insights', 'parametric study', 'often either', 'negligible cross', 'mechanical considerations', 'large number', 'geometrical considerations', 'equations derived', 'defining parameters', 'constraints related', 'antenna designer']</t>
  </si>
  <si>
    <t>A parametric study of the constraints related to Gregorian/ Cassegrain offset reflectors having negligible cross polarization has been undertaken with the aid of new design equations linking the defining parameters of the primary reflectors to those of the secondary reflectors. This study resulted in the mapping of a very large number of Gregorian/ Cassegrain offset reflectors having negligible cross polarization. It is expected that this undertaking will aid the antenna designer who often either has to upgrade existing systems or meet the negligible Cross-Polarization requirement as well as requirements related to space limitations, costs and electrical/mechanical considerations. The domains of definition of the equations derived here have been deduced from geometrical considerations. Physical insights into the above constraints have been presented. ¬© 1988 IEEE</t>
  </si>
  <si>
    <t>144-147</t>
  </si>
  <si>
    <t>Fourikis, N.</t>
  </si>
  <si>
    <t>Edinburgh</t>
  </si>
  <si>
    <t>Defence Science and Technology Group</t>
  </si>
  <si>
    <t>Fourikis N.</t>
  </si>
  <si>
    <t>A Parametric Study of the Constraints Related to Gregorian/Cassegrain Offset Reflectors Having Negligible Cross Polarization</t>
  </si>
  <si>
    <t>10.1109/8.1087</t>
  </si>
  <si>
    <t>2-s2.0-0023863386</t>
  </si>
  <si>
    <t>['transmitter power', 'strong enough', 'receiver noise', 'received carrier', "profit ',", 'noise ratio', 'information modulated', 'increased distance', 'exact signal', 'detection signal', 'basic requirement']</t>
  </si>
  <si>
    <t>For any radio communication link, the basic requirement is that the received carrier is strong enough to recover the information modulated on it. The exact signal to noise ratio needed depends on the type of modulation and the design of the demodulator. It is very useful to be able to calculate the carrier, or pre-detection signal-to-noise ratio from parameters such as transmitter power and receiver antenna gain. This technique is called a link budget calculation - a budget, because the various parameters represent gains and losses. Increasing antenna size and transmitter power are 'gains' or 'profit', while increased distance and receiver noise are losses. The aim of the calculation is to find out if a system is good enough without going to the expense of building it.</t>
  </si>
  <si>
    <t>Electronics &amp; wireless world</t>
  </si>
  <si>
    <t>Christieson, M. L.</t>
  </si>
  <si>
    <t>Crowborough</t>
  </si>
  <si>
    <t>Feedback Instruments</t>
  </si>
  <si>
    <t>Christieson M.</t>
  </si>
  <si>
    <t>RADIO FREQUENCY LINK BUDGETS.</t>
  </si>
  <si>
    <t>2-s2.0-0023863445</t>
  </si>
  <si>
    <t>['¬© 1988', 'rights reserved', 'monitoring detectors', 'main beam', 'feedback control', 'electrical engineers', 'accurate control']</t>
  </si>
  <si>
    <t>Adaptive systems and control | Antenna arrays | Microwave circuits and systems | Microwave power transmission</t>
  </si>
  <si>
    <t>An adaptively controlled transmitting antenna array system is proposed for use in microwave energy transmission between spacecraft. Monitoring detectors are used for feedback control of both main beam and sidelobe. Computer simulation shows the possibility of accurate control for the main beam and a sidelobe. ¬© 1988, The Institution of Electrical Engineers. All rights reserved.</t>
  </si>
  <si>
    <t>87-89</t>
  </si>
  <si>
    <t>60031701;60031701</t>
  </si>
  <si>
    <t>6506066334;35576883400</t>
  </si>
  <si>
    <t>Komoyama, K.;Yokoshima, I.</t>
  </si>
  <si>
    <t>Tsukuba</t>
  </si>
  <si>
    <t>Electrotechnical Laboratory</t>
  </si>
  <si>
    <t>Komoyama K.</t>
  </si>
  <si>
    <t>Proposal of Adaptively controlled Transmitting Array for Microwave Power Transmission in Space</t>
  </si>
  <si>
    <t>10.1049/el:19880057</t>
  </si>
  <si>
    <t>2-s2.0-0023863591</t>
  </si>
  <si>
    <t>['¬© 1988', 'wave polarisers', 'two quarter', 'transmission loss', 'total length', 'system consisting', 'rights reserved', 'return loss', 'requirement cannot', 'required isolation', 'polariser system', 'polarisation alignment', 'orthomode transducer', 'new type', 'letter reports', 'feed horn', 'existing polarisers', 'entire range', 'electrical engineers', '5 ghz', '35 db', '25 db', '14 0', '112 ).', '015 db']</t>
  </si>
  <si>
    <t>Antennas | Polarisation | Satellite links | Telecommunications</t>
  </si>
  <si>
    <t>The letter reports on a system consisting of two quarter-wave polarisers in tandem for polarisation alignment of linearly polarised satellite signals. The signal can be received with the correct polarisation simply by rotating the polariser which is closest to the feed horn. The required isolation in the frequency bands 10-95-12-75GHZ (Rx) and 14 0-14-5 GHz (Tx) is 35 dB on the axis for the total antenna system consisting of reflectors, horn, polariser system and orthomode transducer. This requirement cannot be met when existing polarisers are used and when a ¬±90¬∞ rotation is required. By using a new type of polariser, 38 dB isolation has been measured for the polariser system over the entire frequency band and over the entire range of rotation, with transmission loss below 015 dB and return loss below -25 dB (VSWR &gt; 112). The total length of the system is approximately 300 mm. ¬© 1988, The Institution of Electrical Engineers. All rights reserved.</t>
  </si>
  <si>
    <t>125-126</t>
  </si>
  <si>
    <t>60013141;60013141</t>
  </si>
  <si>
    <t>55884538900;6506232260</t>
  </si>
  <si>
    <t>Lier, E.;Schaug-Pettersen, T.</t>
  </si>
  <si>
    <t>Extremely Wideband Waveguide Polariser System For Polarisation Alignment</t>
  </si>
  <si>
    <t>10.1049/el:19880083</t>
  </si>
  <si>
    <t>2-s2.0-0023865714</t>
  </si>
  <si>
    <t>['two classes', 'stains male', 'specific antibody', 'sexclusively sex', 'pupal molt', 'postembryonic development', 'particular functions', 'particular antigens', 'osa ),', 'olfactory system', 'olfactory sensilla', 'olfactory functions', 'mosa staining', 'mosa antigen', 'mosa ),', 'manduca sexta', 'male olfactory', 'investigation reported', 'instar larva', 'generate orcs', 'first detectable', 'final maturation', 'female larvae', 'epithelial cells', 'electroantennogram responses', 'elaborate axons', 'early event', 'correlation suggests', 'assessed immunocytochemically', 'antennal epithelium', 'antennal disks', 'adult development']</t>
  </si>
  <si>
    <t>Two classes of monoclonal antibodies specific to the olfactory system of Manduca sexta have been isolated: the olfactory-specific antibody (OSA), which specifically recognizes many or all olfactory receptor cells (ORCs) in both males and females, and the male olfactory-specific antibody (MOSA), which stains male-specific receptor cells (principally or sexclusively sex-pheromone receptors present only in antennae of males; Hishinuma et al., 1988). In the investigation reported here, we examined the expression of the antigens during postembryonic development in order to correlate the presence of particular antigens with the status of differentiation of the ORCs or with their acquisition of particular functions. As assessed immunocytochemically, the OSA recognizes certain epithelial cells in the antennal imaginal disk of the fifth-instar larva. Later, during the first 70 hr of adult development, when differentiative cell divisions are occurring in the antennal epithelium to generate ORCs and the other cells that make up olfactory sensilla, no cells are stained. Immediately after this period of mitoses, the OSA immunoreactivity reappears exclusively in the ORCs, which begin to elaborate axons as an early event in their differentiation. On immunoblots, the OSA recognizes specific sets of molecules (distinguished on the basis of their apparent molecular weights): 53,000 and 59,000 Da antigens in the disk epithelial cells in the last-instar larva; 53,000, 59,000, and 66,000 Da antigens in the ORCs from 15 to 60% of metamorphic adult development; and 42,000, 59,000, and 66,000 Da antigens in the ORCs from 60 to 100% of adult development. The MOSA also recognizes a subset of the epithelial cells in the antennal disks in male and female larvae. After disappearing at the pupal molt, MOSA staining is not detected again in the epithelium of the developing male antenna until late in metamorphosis, when electroantennogram responses to female sex pheromones are first detectable. This correlation suggests that the MOSA antigen is expressed during the final maturation of the male-specific receptor cells and may be involved in some way in the olfactory functions of those cells, particularly in the detection of the female sex pheromones.</t>
  </si>
  <si>
    <t>308-315</t>
  </si>
  <si>
    <t>Monoclonal antibodies reveal cell-type-specific antigens in the sexually dimorphic olfactory system of Manduca sexta. II. Expression of antigens during postembryonic development</t>
  </si>
  <si>
    <t>10.1523/jneurosci.08-01-00308.1988</t>
  </si>
  <si>
    <t>2-s2.0-0023867656</t>
  </si>
  <si>
    <t>Office of Naval Research</t>
  </si>
  <si>
    <t>N00014-86-K-0094</t>
  </si>
  <si>
    <t>ONR</t>
  </si>
  <si>
    <t>['variance estimates', 'three methods', 'squared error', 'spatial correlation', 'space spanned', 'source signals', 'snapshot vectors', 'received data', 'proposed technique', 'partial structure', 'noise ratios', 'moving slowly', 'matrix xm', 'matrix x', 'limited aperture', 'formula omitted', 'failure rates', 'element array', 'eigenvector decomposition', 'different signal', 'confidence intervals']</t>
  </si>
  <si>
    <t>High-resolution bearing estimation with arrays of limited aperture is often accomplished using the eigenvalue-eigenvector decomposition of the spatial correlation matrix of the received data. The bearing estimation problem is formulated as a matrix approximation problem. The columns of a matrix X are formed by the snapshot vectors from an N-element array. The matrix X is then approximated by a matrix XM in the least square sense. The rank as well as the partial structure of the space spanned by the columns of [formula Omitted]XM are prespecified. After XM is computed, the bearings of the sources and, consequently, the spatial correlation of the source signals can be estimated. The performance of the proposed technique is then compared with two existing methods by simulation. The comparison has been done in terms of bias, mean-squared error, failure rates, and confidence intervals for the mean and the variance estimates for the three methods at different signal-to-noise ratios. When the sources are moving slowly and the number of snapshot vectors available for processing is large, a simple online adaptive algorithm is suggested. ¬© 1988 IEEE</t>
  </si>
  <si>
    <t>34-44</t>
  </si>
  <si>
    <t>60010806;60018306</t>
  </si>
  <si>
    <t>7006294903;7402249080</t>
  </si>
  <si>
    <t>Kumaresan, Ramdas;Shaw, Arnab K.</t>
  </si>
  <si>
    <t>Dayton;Kingston</t>
  </si>
  <si>
    <t>Wright State University;University of Rhode Island</t>
  </si>
  <si>
    <t>60018306;60010806</t>
  </si>
  <si>
    <t>Kumaresan R.</t>
  </si>
  <si>
    <t>Superresolution by Structured Matrix Approximation</t>
  </si>
  <si>
    <t>10.1109/8.1072</t>
  </si>
  <si>
    <t>2-s2.0-0023868148</t>
  </si>
  <si>
    <t>['zero values', 'suitable patterns', 'pattern specified', 'pattern exhibits', 'paper discusses', 'high intensity', 'factors governing', 'boresight region', 'antenna cuff', 'antenna aperture', 'also taper', 'also demonstrated']</t>
  </si>
  <si>
    <t>The paper discusses the numerical results obtained for the acoustic source fields designed for certain specified polar fields of the echosonde antenna used for remote sensing applications of the lower boundary layer of the Earth. It is shown that the source distributions synthesized from arbitrary patterns prescribed not only exhibit maximum intensities at the boresight region of the antenna aperture, but also taper to zero values at the edge of the antenna cuff. It is also demonstrated that if the pattern specified is characterized by an extremely narrow beamwidth, the source field synthesized from such a pattern exhibits a high intensity or singularity at the edge of the antenna aperture. Factors governing the specifications of suitable patterns that can produce optimum designs are elucidated.</t>
  </si>
  <si>
    <t>85-94</t>
  </si>
  <si>
    <t>Acustica</t>
  </si>
  <si>
    <t>Adekola, S. A.</t>
  </si>
  <si>
    <t>Nigeria</t>
  </si>
  <si>
    <t>Lagos</t>
  </si>
  <si>
    <t>University of Lagos</t>
  </si>
  <si>
    <t>Adekola S.</t>
  </si>
  <si>
    <t>DESIGN OF SYNTHESIZED CIRCULAR ECHOSONDE-SOURCES II. NUMERICAL RESULTS.</t>
  </si>
  <si>
    <t>2-s2.0-0023868965</t>
  </si>
  <si>
    <t>['various length', 'ultrastructural distribution', 'two n', 'subcellular distribution', 'strongly expressed', 'possible congruence', 'polydisperse nature', 'phosphate receptor', 'myeloid cells', 'molecule comprises', 'mannose 6', 'malignant lymphomas', 'lines bjab', 'kda species', 'intracellular vesicles', 'human serum', 'hmy2 consists', 'expressed antigen', 'electrophoretic pattern', 'derived leukemias', 'cell surface', 'cd37 antigen', 'carbohydrate moiety', 'b cell', 'approximately 40', 'antigen ranges', '64 kda', '52 kda']</t>
  </si>
  <si>
    <t>The human B lymphocyte-associated CD37 antigen (gp40-52) has been characterized by the monoclonal antibody HD28. The CD37 antigen is strongly expressed on surface immunoglobulin positive B lymphocytes and weakly on a subpopulation of T lymphocytes and myeloid cells. The total molecular mass of the antigen ranges from approximately 40 to 52 kDa in B cell-derived leukemias and malignant lymphomas as well as in normal and anti-Œº/B cell growth factor-activated tonsillar B cells. The polydisperse nature of the electrophoretic pattern of the CD37 antigen was found to be due to a microheterogeneity in its carbohydrate moiety. Biochemical analysis showed that the CD37 antigen derived from B cell-lines BJAB and LICR-LON-HMy2 consists of a single chain protein core of approximately 25 kDa to which two N-linked, complex carbohydrate antennae of various length are bound. The glycosylation of the molecule comprises about 50% of the total molecular mass. The molecule does not contain O-linked carbohydrate chains. In contrast, the non-Hodgkin's lymphoma cell line, OCI.LY1, which is growth-dependent on human serum, carries a CD37 antigen with an additional carbohydrate chain resulting in a total molecular mass of approximately 40 to 64 kDa. At the electron microscopy level, this cell surface-expressed antigen was found to be associated with intracellular vesicles. The subcellular distribution of the CD37 antigen may reflect a function of this antigen both at the cell surface and in the cytoplasm. We found that, both due to its peculiar biochemical structure and its ultrastructural distribution, the CD37 antigen closely resembles the 46-kDa species of the mannose 6-phosphate receptor. The implications of this possible congruence for the function of the CD37 antigen are discussed.</t>
  </si>
  <si>
    <t>905-914</t>
  </si>
  <si>
    <t>Journal of Immunology</t>
  </si>
  <si>
    <t>60016908;60016908;60016908;60016908</t>
  </si>
  <si>
    <t>56247655600;55941862600;7401849432;35509323600</t>
  </si>
  <si>
    <t>Schwartz-Albiez, R.;Dorken, B.;Hofmann, W.;Moldenhauer, G.</t>
  </si>
  <si>
    <t>Heidelberg</t>
  </si>
  <si>
    <t>Universit√§t Heidelberg</t>
  </si>
  <si>
    <t>Schwartz-Albiez R.</t>
  </si>
  <si>
    <t>The B cell-associated CD37 antigen (gp40-52). Structure and subcellular expression of an extensively glycosylated glycoprotein</t>
  </si>
  <si>
    <t>2-s2.0-0023870925</t>
  </si>
  <si>
    <t>['¬© 1988', 'vivo experiments', 'uniform heating', 'type r', 'tumor cells', 'thereby minimizing', 'subsequently implanted', 'study showed', 'rij rats', 'response relationships', 'reflected power', 'proper sequence', 'phantom studies', 'pdt followed', 'pdt alone', 'pdt ).', 'paper deals', 'optimal temperatures', 'main focus', 'interstitial hyperthermia', 'inserted length', 'injected intravenously', 'infrared thermography', 'ht alone', 'heat could', 'haematoporphyrin derivative', 'frequency wires', 'equivalent phantom', 'either light', 'dose rate', 'cure rate', 'average diameter', 'augmented cytotoxicity', 'active component', '900 j', '625 nm', '27 mhz', '20 %.', '2 cm']</t>
  </si>
  <si>
    <t>27 MHz | Hyperthermia | Interstitial | Photodynamic therapy</t>
  </si>
  <si>
    <t>This paper deals with the interaction of interstitial hyperthermia (HT) and interstitial photodynamic therapy (PDT). Its main focus, however, is on a newly developed heating system; phantom studies as well as temperature-response data obtained from the in vivo experiments are presented. Heat was delivered by thin, flexible wire antennas operating at a frequency of 27 MHz. Measurements in muscle-equivalent phantom with infrared thermography were performed. Uniform heating over the inserted length of the antenna was obtained and impedance matching appears possible by simple variable air coils, thereby minimizing the reflected power to less than 20%. Light was obtained from an Argon-Dye laser system tuned to a wavelength of 625 nm at a dose rate of 75-100 mW per fiber to a total incident dose of 900 J from four linear light applicators. An experimental murine tumor (Rhabdomyosarcoma, type R-1) was transplanted in WAG/Rij rats and, after reaching an average diameter of 2 cm, the active component of haematoporphyrin derivative (HPD), Photofrin II, was injected intravenously. The tumors were subsequently implanted with four flexible catheters, through which either light or heat could be applied. Dose-response relationships for PDT alone, HT alone and PDT followed by HT were established with cure as endpoint. The animal experiments showed that with the use of low-frequency wires a good localized heat distribution in the tumors can be obtained. Moreover, this study showed that PDT and HT, in the proper sequence and only when optimal temperatures are reached, result in an augmented cytotoxicity on the tumor cells in vivo; i.e. a cure rate of 41% was obtained. ¬© 1988.</t>
  </si>
  <si>
    <t>161-168</t>
  </si>
  <si>
    <t>Radiotherapy and Oncology</t>
  </si>
  <si>
    <t>60070149;60070149;60070149;60019984;60070149;60070149;60070149;60070149;60019984;60070149</t>
  </si>
  <si>
    <t>7004847720;7202862242;6507449122;6602975149;22993712600;7006181720;7201501173;7004141026;6602156513;7005839276</t>
  </si>
  <si>
    <t>Levendag, Peter C.;Visser, Andries G.;van Mierlo, Ineke J.M.;de Ru, Vera J.;Marijnissen, Johannes P.A.;Star, Wim M.;van den Berg, Ad P.;van Rhoon, Gerard C.;Hermens, Anton F.;van Putten, Wim L.J.</t>
  </si>
  <si>
    <t>Netherlands;Netherlands</t>
  </si>
  <si>
    <t>Rotterdam;The Hague</t>
  </si>
  <si>
    <t>Rotterdam Radio-Therapeutic Institute;Nederlandse Organisatie voor toegepast natuurwetenschappelijk onderzoek- TNO</t>
  </si>
  <si>
    <t>60070149;60019984</t>
  </si>
  <si>
    <t>Interstitial hyperthermia using 27 MHz wire antennas and interstitial photodynamic therapy in a rat rhabdomyosarcoma: Phantom and animal studies</t>
  </si>
  <si>
    <t>0167-8140(88)90252-6</t>
  </si>
  <si>
    <t>10.1016/0167-8140(88)90252-6</t>
  </si>
  <si>
    <t>2-s2.0-0023876545</t>
  </si>
  <si>
    <t>['wiley company', 'transmission lines', 'resonate properly', 'nmr imaging', 'inc .,', 'higher frequencies', 'head antennas', '64 mhz']</t>
  </si>
  <si>
    <t>The classic whole‚Äêbody or head antennas for NMR imaging do not resonate properly at higher frequencies. The high‚Äêfrequency antenna presented is constructed from segments of transmission lines and is treated as a distributed parameter system. It has an RF magnetic response similar to that of the classic saddle‚Äêshaped antenna, has low exposed impedance to avoid dielectric losses in the patient, and does not disturb the magnetic field gradients. The implementation of a whole‚Äêbody antenna for 64 MHz is described and tested. ¬© 1988 Academic Press, Inc. Copyright ¬© 1988 Wiley‚ÄêLiss, Inc., A Wiley Company</t>
  </si>
  <si>
    <t>247-252</t>
  </si>
  <si>
    <t>Magnetic Resonance in Medicine</t>
  </si>
  <si>
    <t>Sergiadis, George</t>
  </si>
  <si>
    <t>Greece</t>
  </si>
  <si>
    <t>Thessaloniki</t>
  </si>
  <si>
    <t>Aristotle University of Thessaloniki</t>
  </si>
  <si>
    <t>Sergiadis G.</t>
  </si>
  <si>
    <t>A simple high‚Äêfrequency antenna for NMR imaging</t>
  </si>
  <si>
    <t>10.1002/mrm.1910060302</t>
  </si>
  <si>
    <t>2-s2.0-0023879885</t>
  </si>
  <si>
    <t>['wiley company', 'vivo spectroscopy', 'surface coil', 'reference point', 'inc .,', 'experimental results', 'easily constructed', 'complementary equations', 'assist researchers', 'also included', '26 mhz']</t>
  </si>
  <si>
    <t>A split‚Äêconductor circular parallel‚Äêplate resonator with one end shorted to ground can be used to one's advantage as a surface coil for NMR imaging experiments. It can be easily constructed by a printed‚Äêcircuit method and possesses a relatively high loaded Q with negligible frequency detuning. From the proposed equivalent circuit, an equation was derived that relates the self‚Äêresonance frequency of the resonator to the split distance measured from a reference point. An example of a 101‚Äêmm‚Äêdiameter surface coil operating at 26 MHz for 34P in vivo spectroscopy is given to illustrate the concordance between calculated and experimental results. Complementary equations and formulas are also included to assist researchers in designing their own antennas to meet specific requirements. ¬© 1988 Academic Press, Inc. Copyright ¬© 1988 Wiley‚ÄêLiss, Inc., A Wiley Company</t>
  </si>
  <si>
    <t>353-358</t>
  </si>
  <si>
    <t>60101845;60101845;60013430</t>
  </si>
  <si>
    <t>6603285052;24530433100;7003996043</t>
  </si>
  <si>
    <t>Gonord, P.;Kan, S.;Leroy‚ÄêWillig, A.</t>
  </si>
  <si>
    <t>France;France</t>
  </si>
  <si>
    <t>Orsay;Le Kremlin-Bicetre</t>
  </si>
  <si>
    <t>Institut d'√âlectronique Fondamentale, Orsay;Hopital de Bicetre</t>
  </si>
  <si>
    <t>60101845;60013430</t>
  </si>
  <si>
    <t>Gonord P.</t>
  </si>
  <si>
    <t>Parallel‚Äêplate split‚Äêconductor surface coil: Analysis and design</t>
  </si>
  <si>
    <t>10.1002/mrm.1910060313</t>
  </si>
  <si>
    <t>2-s2.0-0023879887</t>
  </si>
  <si>
    <t>['¬© 1988', 'three scaled', 'quadrature waves', 'present design', 'good agreement', 'experimentally tested', 'cylindrical symmetry', 'current control', 'certain number', '500 khz']</t>
  </si>
  <si>
    <t>Antenna | Radiofrequency coil</t>
  </si>
  <si>
    <t>Conditions for generation of polarized RF fields in cylindrical symmetry by high order coils are presented. Whole body NMR transmitters utilizing this principle would require a current control on a certain number of loops. In the present design this is obtained by feeding each loop by an appropriate linear combination of two in quadrature waves. The development has been experimentally tested by three scaled down experimental prototypes operated at 500 kHz and a good agreement has been found. ¬© 1988.</t>
  </si>
  <si>
    <t>249-254</t>
  </si>
  <si>
    <t>0730725X</t>
  </si>
  <si>
    <t>Magnetic Resonance Imaging</t>
  </si>
  <si>
    <t>May 1988/June 1988</t>
  </si>
  <si>
    <t>60018783;60018783;60018783</t>
  </si>
  <si>
    <t>56188069800;7005683650;35407369300</t>
  </si>
  <si>
    <t>Sotgiu, A.;Gualtieri, G.;Passariello, R.</t>
  </si>
  <si>
    <t>Italy</t>
  </si>
  <si>
    <t>L'Aquila</t>
  </si>
  <si>
    <t>Universit√† degli Studi dell'Aquila</t>
  </si>
  <si>
    <t>Sotgiu A.</t>
  </si>
  <si>
    <t>Highly homogeneous circularly polarized RF field for whole body NMR imaging</t>
  </si>
  <si>
    <t>0730-725X(88)90398-0</t>
  </si>
  <si>
    <t>10.1016/0730-725X(88)90398-0</t>
  </si>
  <si>
    <t>2-s2.0-0023888220</t>
  </si>
  <si>
    <t>Connecticut State Emergency Response Commission</t>
  </si>
  <si>
    <t>SERC</t>
  </si>
  <si>
    <t>['type media', 'temperature measurement', 'temperature measured', 'technique via', 'rights reserved', 'results suggest', 'receiving characteristics', 'radiometric probe', 'radiometric data', 'radiometer probe', 'radiating antenna', 'microwave radiometry', 'lossy media', 'layered tissue', 'field patterns', 'field pattern', 'efficient algorithm', 'dielectric layering']</t>
  </si>
  <si>
    <t>Hyperthermia | Microwave thermography | Radiometry | Temperature measurements | Tissue layers</t>
  </si>
  <si>
    <t>Non-invasive thermal imaging and temperature measurement by microwave radiometry has been investigated for medical diagnostic applications and monitoring hyperthermia treatment of cancer, in the context of heterogeneous body structure. The temperature measured by a radiometer is a function of the emission and propagation of microwaves in tissue and the receiving characteristics of the radiometric probe. Propagation of microwaves in lossy media was analysed by a spectral diffraction approach. Extension of this technique via a cascade transmission line model provides an efficient algorithm for predicting the field patterns of aperture antennas contacting multi-layered tissue. A coherent radiative transfer analysis was used to relate the field pattern of a radiating antenna to its receiving characteristics when used as a radiometer probe, leading to a method for simulating radiometric data. Measurements and simulations were used to assess the effect of overlying fat layers upon radiometer response to temperature hot spots in muscle-type media. Results suggest that dielectric layering in tissue greatly influences measured temperatures and should be accounted for in the interpretation of radiometric data. ¬© 1988 Informa UK Ltd All rights reserved: reproduction in whole or part not permitted.</t>
  </si>
  <si>
    <t>427-435</t>
  </si>
  <si>
    <t>60018736;60018736;60001881;60001881</t>
  </si>
  <si>
    <t>7101995292;57196541494;7403369332;6603846307</t>
  </si>
  <si>
    <t>Hawley, M. S.;Conway, J.;Anderson, A. P.;Cudd, P. A.</t>
  </si>
  <si>
    <t>United Kingdom;United Kingdom</t>
  </si>
  <si>
    <t>Sheffield;Sheffield</t>
  </si>
  <si>
    <t>Weston Park Cancer Centre;The University of Sheffield</t>
  </si>
  <si>
    <t>60018736;60001881</t>
  </si>
  <si>
    <t>Hawley M.S.</t>
  </si>
  <si>
    <t>The influence of tissue layering on microwave thermographic measurements</t>
  </si>
  <si>
    <t>10.3109/02656738809016495</t>
  </si>
  <si>
    <t>2-s2.0-0023890416</t>
  </si>
  <si>
    <t>['young embryos', 'western analysis', 'well buffered', 'ubiquitous expression', 'thoracic segments', 'successive transformations', 'shock promoter', 'segmental identity', 'pupal stage', 'proper development', 'one another', 'older embryos', 'occiput towards', 'leg transformations', 'leg identity', 'leg formation', 'larval lethality', 'larval development', 'inducible promoter', 'including failure', 'homeotic transformations', 'homeotic genes', 'heat shocks', 'head involution', 'germband retraction', 'generally lethal', 'extra denticles', 'effects throughout', 'ectopic expression', 'downstream genes', 'dorsal surface', 'developmental programmes', 'corresponding leg', 'clear transformations', 'cause antenna', 'artificially using', 'antennapedia protein', 'antennapedia gene', 'antennal disc', 'also discussed']</t>
  </si>
  <si>
    <t>Segmental identity in Drosophila is controlled by the activities of the homeotic genes. One such gene is Antennapedia, which is required for the proper development of the thoracic segments. Alteration of Antennapedia expression either in mutants, or artificially using an inducible promoter, can lead to alterations of segmental identity. In this report, we present the consequences of ectopic expression of the Antennapedia gene under the control of a heat-shock promoter, at distinct stages throughout Drosophila development. In young embryos, up to the stage of germband retraction, the ubiquitous expression of the Antennapedia protein causes a range of effects throughout the embryo, including failure of head involution, induction of extra denticles on the dorsal surface of the head and disruption of the prothoracic denticle belts. In older embryos, it results in larval lethality. Heat shocks during larval development can lead to defects in leg formation, but no alterations in leg identity have been observed. However, clear transformations of head towards second (meso-) thoracic segment can be induced in early third instar larvae. There is a distal-to-proximal temporal response to ectopic Antennapedia expression in the antennal disc, as evidenced by successive transformations of the arista, third antennal segment, second antennal segment and occiput towards their corresponding leg and dorsal thoracic structures. Overproduction of Antennapedia protein during the pupal stage is generally lethal. Comparison of the homeotic transformations in, and Western analysis of, different lines suggests that a relatively large amount of Antennapedia protein is required to cause antenna-to-leg transformations, and further argues that, in general, developmental programmes in the insect are well buffered against the effects of ectopic homeotic gene expression. Immunodetection of Scr and Antp protein also allows us to interpret the results in light of the hypothesis that the various selector genes compete with one another to control not only their own expression, but also that of downstream genes. The role of Antennapedia in imaginal disc determination is also discussed.</t>
  </si>
  <si>
    <t>657-675</t>
  </si>
  <si>
    <t>Development</t>
  </si>
  <si>
    <t>57214302015;57203032471</t>
  </si>
  <si>
    <t>Gibson, G.;Gehring, W. J.</t>
  </si>
  <si>
    <t>Gibson G.</t>
  </si>
  <si>
    <t>Head and thoracic transformations caused by ectopic expression of Antennapedia during Drosophila development</t>
  </si>
  <si>
    <t>2-s2.0-0023892067</t>
  </si>
  <si>
    <t>DCB-8608164</t>
  </si>
  <si>
    <t>['¬© 1988', 'ventral ganglion', 'subesophageal region', 'small patch', 'scr expression', 'protein product', 'narrow band', 'monoclonal antibody', 'labial discs', 'haltere discs', 'expression vary', 'expressing cells', 'binds specifically', 'antenna disc', 'also observed', 'adepithelial cells']</t>
  </si>
  <si>
    <t>We have generated a monoclonal antibody that binds specifically to the protein product of the homeotic Sex combs reduced (Scr) gene of Drosophila, and have mapped the patterns of Scr expression in late third instar larvae. Virtually the entire prothoracic leg imaginal disc expresses the gene, although the levels of expression vary in different disc regions. This heterogeneity does not reflect the compartmental domains defined by engrailed gene expression. Expression is also observed in the cells of the humeral and labial discs, and there is a small patch of Scr-expressing cells in the antenna disc. The gene is expressed in adepithelial cells of the three thoracic leg discs, but not in the wing or haltere discs. In the central nervous system, Scr expression is confined to a narrow band of cells in the subesophageal region of the ventral ganglion. The results are discussed with respect to the known genetic requirements for Scr+ function. ¬© 1988.</t>
  </si>
  <si>
    <t>113-118</t>
  </si>
  <si>
    <t>60010065;60010065</t>
  </si>
  <si>
    <t>36796372100;36740788700</t>
  </si>
  <si>
    <t>Glicksman, Marcie A.;Brower, Danny L.</t>
  </si>
  <si>
    <t>Tucson</t>
  </si>
  <si>
    <t>The University of Arizona</t>
  </si>
  <si>
    <t>Glicksman M.</t>
  </si>
  <si>
    <t>Expression of the Sex combs reduced protein in Drosophila larvae</t>
  </si>
  <si>
    <t>10.1016/0012-1606(88)90193-5</t>
  </si>
  <si>
    <t>2-s2.0-0023894244</t>
  </si>
  <si>
    <t>['‚ àí2', 'value established', 'uhf transmissions', 'type vhf', 'tv antennas', 'site verified', 'roughly 40', 'rigorous computations', 'radio antennas', 'high frequency', 'frequency modulated', 'fm radio', 'dipole array', 'braodcasting antennas', '4 kw', '20 kw', '10 kw']</t>
  </si>
  <si>
    <t>A simple and easy-to-use model based on more rigorous computations was formulated for the prediction of power density levels in front of dipole array-type VHF (very high frequency) and UHF (ultra high frequency) braodcasting antennas. Measurements on site verified the usefulness of the model. The distance at which the power density begins to exceed 10 W m‚àí2 - the value established by standards as a limit-is roughly 40 m for UHF-TV antennas, 30 m for FM (frequency modulated) radio antennas and IS m for VHF-TV antennas. Typical average input powers of antennas are 20 kW, 4 kW and 10 kW for FM radio, VHF-TV and UHF transmissions, respectively. ¬© 1988 Health Physics Society.</t>
  </si>
  <si>
    <t>533-543</t>
  </si>
  <si>
    <t>Health Physics</t>
  </si>
  <si>
    <t>Jokela, Kari</t>
  </si>
  <si>
    <t>Finland</t>
  </si>
  <si>
    <t>Helsinki</t>
  </si>
  <si>
    <t>STUK - Radiation and Nuclear Safety Authority</t>
  </si>
  <si>
    <t>Jokela K.</t>
  </si>
  <si>
    <t>Theoretical and measured power density in front of vhf/uhf broadcasting antennas</t>
  </si>
  <si>
    <t>10.1097/00004032-198805000-00005</t>
  </si>
  <si>
    <t>2-s2.0-0023897794</t>
  </si>
  <si>
    <t>National Institute of Diabetes and Digestive and Kidney Diseases</t>
  </si>
  <si>
    <t>R37DK015070</t>
  </si>
  <si>
    <t>NIDDK</t>
  </si>
  <si>
    <t>['¬© 1988', 'vivo degradation', 'using data', 'two conditions', 'trimannosyl core', 'third trimester', 'tbg molecules', 'tbg levels', 'tbg increases', 'tbg excess', 'tbg ),', 'study subjects', 'single group', 'since oligosaccharides', 'significantly differ', 'significant elevations', 'serum tbg', 'serum samples', 'peak b', 'oligosaccharide structure', 'oligosaccharide modification', 'normal subjects', 'normal ).', 'likely mechanism', 'likely cause', 'l ),', 'isoelectric focusing', 'index correlated', 'increased sites', 'increased proportions', 'ief mobility', 'ief bands', 'ief ).', 'four n', 'fluorouracil treatment', 'endocrine society', 'eight subjects', 'dependent microheterogeneity', 'densitometry measurements', 'cathodal bands', 'bound tbg', 'binding globulin', 'anodal shift', 'acute hepatitis', '8 women', '8 mg', '41 %,', '40 %),', '3 women', '3 mg', '3 days', '20 normal', '0 mg', '(% peak']</t>
  </si>
  <si>
    <t>T4-binding globulin (TBG), a glycoprotein with four N-glycosyl complex oligosaccharide chains, exhibits sialic acid-dependent microheterogeneity on isoelectric focusing (IEF). Increasing the sialic acid content of TBG increases its anodal IEF mobility and decreases its rate of in vivo degradation, a mechanism for the elevation of serum TBG levels in pregnancy. In this study, the structure of oligosaccharides in TBG from subjects with various conditions associated with TBG excess was determined by measuring the proportion that bound to Concanavalin-A (Con-A). Since oligosaccharides with three or more branches (antennae) attached to the trimannosyl core are excluded from binding to Con-A, the percentage of serum TBG not bound to Con-A (% peak A) represented the portion of TBG molecules with three or more antennae in all oligosaccharide chains interacting with Con-A. Peak A contained the most anodal IEF bands, while the Con-A-bound TBG (peak B) contained the cathodal bands. Serum samples from 10 normal men and 10 premenopausal women did not significantly differ in terms of TBG levels, % peak A, or IEF mobility and were combined as a single group (normal). Eight subjects with elevated serum TBG levels due to inherited TBG excess [62.0 ¬± 10.1 (¬±SD) mg/L] or 2 receiving 5-fluorouracil treatment (26.2 and 31.3 mg/L) compared to 20 normal (14.7 ¬± 3.3 mg/L) had % peak A values and IEF mobility similar to those in normal subjects. On the other hand, high serum TBG levels in 8 women during the third trimester of pregnancy (39.2 ¬± 5.3 mg/L), 2 women taking oral contraceptives (25.7 and 27.0 mg/L), and 3 women with acute hepatitis (34.8 ¬± 4.8 mg/L) were associated with significant elevations of % peak A values (5.68 ¬± 1.73%, 3.31% and 2.41%, and 3.25 ¬± 0.78%, respectively) compared to those in normal subjects (1.33 ¬± 0.40%), as well as increased anodal mobility on IEF. Treatment of a man for 3 days with ethinyl estradiol produced similar changes. Using data from densitometry measurements of IEF bands of TBG, the degree of anodal shift was quantitated (anodal index). This index correlated with the % peak A (r = 0.92) in all study subjects. We conclude that increased sites for sialylation, resulting from the increased proportions of triantennary oligosaccharide chains, account for the increased anodal mobility of TBG in hyperestrogenemia and hepatitis. Thus, in these two conditions, a reduced TBG degradation rate resulting from oligosaccharide modification is the likely mechanism of increased serum TBG levels. The lack of change in % peak A values or IEF mobility of TBG from subjects with inherited TBG excess and patients receiving 5-fluorouracil therapy suggests that increased TBG synthesis, rather than changes in oligosaccharide structure or composition, is the likely cause of their elevated serum TBG levels. ¬© 1988 by The Endocrine Society.</t>
  </si>
  <si>
    <t>1037-1043</t>
  </si>
  <si>
    <t>0021972X</t>
  </si>
  <si>
    <t>Journal of Clinical Endocrinology and Metabolism</t>
  </si>
  <si>
    <t>60029278;60029278</t>
  </si>
  <si>
    <t>35512941500;7102379231</t>
  </si>
  <si>
    <t>Ain, Kenneth B.;Refetoff, Samuel</t>
  </si>
  <si>
    <t>The University of Chicago</t>
  </si>
  <si>
    <t>Ain K.</t>
  </si>
  <si>
    <t>Relationship of oligosaccharide modification to the cause of serum thyroxine-binding globulin excess</t>
  </si>
  <si>
    <t>10.1210/jcem-66-5-1037</t>
  </si>
  <si>
    <t>2-s2.0-0023898068</t>
  </si>
  <si>
    <t>['¬© 1988', 'tbg synthesized', 'tbg synthesis', 'tbg added', 'serum t4', 'serum obtained', 'results support', 'range found', 'pregnant women', 'pregnancy serum', 'phenol red', 'oligosaccharide structure', 'neoplastic tissues', 'larger number', 'isoelectric focusing', 'immunoreactive tbg', 'ief ).', 'humans increases', 'heat denaturation', 'fold increase', 'experiments showing', 'excluded material', 'estrogen effect', 'endocrine society', 'effect could', 'cultures responded', 'clearance rate', 'binding globulin', 'apolipoprotein cm', 'anodal shift', 'anodal mobility', 'albumin synthesis', '9 %).', '4 days']</t>
  </si>
  <si>
    <t>Hyperestrogenemia in humans increases both the concentration of serum T4-binding globulin (TBG) by 2- to 3-fold and the proportion having anodal mobility on isoelectric focusing (IEF). As TBG is synthesized in the liver, we studied the effect of estrogen on TBG synthesis, secretion, and degradation by cultured human hepatocarcinoma cells (Hep G2). Œ≤-Estradiol in concentrations in the range found in pregnancy (10-7 m) had no effect on the accumulation of immunoreactive TBG in medium over 4 days. The absence of fetal calf serum or phenol red did not alter these findings. The amount of [35S]TBG accumulated 6 h after addition of [35S]methionine was not influenced by exposure to estrogen or to serum obtained from pregnant women. However, 10-5 m Œ≤-estradiol suppressed TBG more severely than albumin synthesis (34% vs. 9%). The lack of an estrogen effect on TBG synthesis and secretion was supported by experiments showing no effect of estrogen on the disappearance of TBG added to the medium or the accumulation of cytoplasmic TBG mRNA. The same cultures responded to estrogen by a 10-fold increase in nuclear estrogen receptor binding sites and a 2-fold increase in apolipoprotein CM.As TBG in serum, the rate of heat denaturation was not altered in TBG synthesized by Hep G2 cells in the presence of estrogen. In contrast to the effect on TBG in serum, in Hep G2 cells estrogen did not produce an anodal shift on IEF, or increased its proportion not bound to Concanavalin A, nor reduced its clearance rate when injected into rats. However, even untreated Hep G2 cells synthesized TBG with a larger number of anodal IEF bands and proportion of Concanavalin A excluded material than TBG in pregnancy serum.Results support our hypothesis, based on analysis of TBG in pregnancy, that estrogen-induced serum TBG elevation may not be mediated through an increase in synthesis. The failure to observe estrogen induced changes in oligosaccharide structure does not exclude estrogen responsivity of Hep G2 cells. Such effect could be masked by the marked constitutive increase in number of oligosaccharide chain antennae typical in this and other neoplastic tissues. ¬© 1988 by The Endocrine Society.</t>
  </si>
  <si>
    <t>313-323</t>
  </si>
  <si>
    <t>Molecular Endocrinology</t>
  </si>
  <si>
    <t>60029278;60029278;60029278;60029278</t>
  </si>
  <si>
    <t>35512941500;7102379231;57191495830;7402473520</t>
  </si>
  <si>
    <t>Ain, Kenneth B.;Refetoff, Samuel;Same, David H.;Murata, Yoshiharu</t>
  </si>
  <si>
    <t>Effect of estrogen on the synthesis and secretion of thyroxine-binding globulin by a human hepatoma cell line, hep G2</t>
  </si>
  <si>
    <t>10.1210/mend-2-4-313</t>
  </si>
  <si>
    <t>2-s2.0-0023911844</t>
  </si>
  <si>
    <t>National Institute of General Medical Sciences</t>
  </si>
  <si>
    <t>R01GM010374</t>
  </si>
  <si>
    <t>NIGMS</t>
  </si>
  <si>
    <t>['‚ äêglycans', 'wiley blackwell', 'various types', 'two antennae', 'three species', 'sialic acid', 'rights reserved', 'porcine plasminogen', 'partially sialylated', 'one another', 'neugc ).', 'mainly neuac', 'human plasminogen', 'fucosylation patterns', 'disialylated form', 'different plasminogens', 'carbohydrate moiety', 'bovine counterpart', 'also present']</t>
  </si>
  <si>
    <t>The structures of the N‚Äêand O‚Äêglycans of human, bovine and porcine plasminogen were determined by 500‚ÄêMHz 1H‚ÄêNMR spectroscopy. The N‚Äêglycans of all three species proved to be of the N‚Äêacetyllactosamine type differing from one another with respect to the sialylation and fucosylation patterns. In the N‚Äêglycan of human plasminogen the two antennae are sialylated with N‚Äêacetylneuraminic acid (NeuAc), whereas in the bovine counterpart both branches carry significant amounts of N‚Äêglycolylneuraminic acid (NeuGc). In porcine plasminogen the sialic acid is mainly NeuAc; the ManŒ±1‚Üí6 branch, however, is only partially sialylated. In addition, the porcine N‚Äêglycan is fucosylated to about 80% in Œ±1‚Üí6 linkage to the GlcNAc‚Äê1 residue. The O‚Äêglycans of the three species possess an identical GalŒ≤1‚Üí3GalNAc core which is Œ±2‚Üí3 sialylated with NeuAc at Gal. The disialylated form, which is also present in all three species, has an additional NeuAc residue in Œ±2‚Üí6 linkage to GalNAc. Mono‚Äêand disialylated forms occur in different molar ratios in the different plasminogens: 80:20 in human, 70:30 in bovine and 50:50 in porcine. This study on the carbohydrate moiety of these three plasminogens reveals species specificity in terms of various types of microheterogeneities. Copyright ¬© 1988, Wiley Blackwell. All rights reserved</t>
  </si>
  <si>
    <t>57-63</t>
  </si>
  <si>
    <t>European Journal of Biochemistry</t>
  </si>
  <si>
    <t>60020486;60020486;60020486;60006385;60007989;60007989;60007989;60007989</t>
  </si>
  <si>
    <t>57217709152;57200744316;6603932238;7201753459;56008514800;7003741811;7006107403;35473444200</t>
  </si>
  <si>
    <t>MARTI, Thomas;SCHALLER, Johann;RICKLI, Egon E.;SCHMID, Karl;KAMERLING, Johannis P.;GERWIG, Gerrit J.;van HALBEEK, Herman;VLIEGENTHART, Johannes F.G.</t>
  </si>
  <si>
    <t>Switzerland;Netherlands;United States</t>
  </si>
  <si>
    <t>Bern;Utrecht;Boston</t>
  </si>
  <si>
    <t>University of Bern;Utrecht University;Boston University School of Medicine</t>
  </si>
  <si>
    <t>60020486;60007989;60006385</t>
  </si>
  <si>
    <t>MARTI T.</t>
  </si>
  <si>
    <t>The N‚Äêand O‚Äêlinked carbohydrate chains of human, bovine and porcine plasminogen: Species specificity in relation to sialylation and fucosylation patterns</t>
  </si>
  <si>
    <t>10.1111/j.1432-1033.1988.tb13966.x</t>
  </si>
  <si>
    <t>2-s2.0-0023918239</t>
  </si>
  <si>
    <t>['unavoidable 0', 'terminal portion', 'sharp falloff', 'seated tumours', 'rights reserved', 'region surrounding', 'quantitative parameters', 'phantom models', 'outer conductor', 'muscle tissue', 'miniature semi', 'maximum sar', 'interstitial hyperthermia', 'insertion depth', 'inner conductor', 'improved localization', 'helical coil', 'heating characteristics', 'directions axially', 'coil element', 'antennas produced', 'antenna tip', '10 ).']</t>
  </si>
  <si>
    <t>An implantable helical coil microwave antenna has been developed for improved localization and control of interstitial hyperthermia for deep-seated tumours. A helical coil structure was employed as an extension of the inner conductor at the terminal portion of a miniature semi-rigid coaxial cable. The antennas were constructed with three different connection configurations of the helical coil to the feedline, and with several coil turn densities during the optimization of heating characteristics. In order to compare relative antenna heating performance, a set of quantitative parameters was introduced. Power deposition profiles of 2450 MHz helical coil antennas were studied in both phantom models and muscle tissue in vivo, and compared to those of commonly used dipole antennas. Optimal antenna performance was obtained with a 10-turn per 1 cm helical coil connected to the inner conductor at the tip and separated from the outer conductor by a 0.1 cm gap (HCS-10). These antennas produced a well-localized heating pattern with a sharp falloff of temperature in both directions axially from the coil element. For half-wavelength insertion depths, the effective heating length (50 per cent of maximum SAR) of HCS-10 antennas matched that of standard dipole antennas, but was shifted down towards the tip. For shorter and deeper antenna insertion depths the HCS-10 heating pattern remained similarly localized to the region surrounding the helical coil with minimal cold zone at the tip. In contrast, the dipole antenna heating pattern changed significantly depending on insertion depth, with an unavoidable 0.2-0.7 cm cold region at the antenna tip and elevated surface temperatures for short insertion depths. ¬© 1988 Informa UK Ltd All rights reserved: reproduction in whole or part not permitted.</t>
  </si>
  <si>
    <t>497-512</t>
  </si>
  <si>
    <t>60031970;60031970</t>
  </si>
  <si>
    <t>57216311476;7005772755</t>
  </si>
  <si>
    <t>Satoh, Toru;Stauffer, Paul R.</t>
  </si>
  <si>
    <t>UCSF School of Medicine</t>
  </si>
  <si>
    <t>Implantable helical coil microwave antenna for interstitial hyperthermia</t>
  </si>
  <si>
    <t>10.3109/02656738809027694</t>
  </si>
  <si>
    <t>2-s2.0-0023926896</t>
  </si>
  <si>
    <t>DCB-8608164a</t>
  </si>
  <si>
    <t>['¬© 1988', 'ubx also', 'ubx ).', 'small groups', 'single disc', 'scr proteins', 'scr genes', 'protein products', 'particularly striking', 'new locations', 'mutant larvae', 'mesothoracic leg', 'leg discs', 'late development', 'increased levels', 'imaginal discs', 'homeotic gene', 'expressed ectopically', 'esc mutations', 'ectopic expression', 'drosophila larvae', 'differential effects', 'antp protein', 'antenna disc', 'adult esc']</t>
  </si>
  <si>
    <t>Using monoclonal antibodies specific for their protein products, the expression of the Ubx, Antp, and Scr genes was examined in imaginal discs and central nervous systems of esc- Drosophila larvae. In esc- mutants, both the Ubx and Scr proteins are expressed at increased levels or in new locations in the leg discs. Ubx also is expressed in new locations in the posterior wing disc and in small groups of cells in the antenna disc. The Antp protein is expressed ectopically in the eye-antenna disc; however, obvious abnormal expression of Antp was not found in the thoracic imaginal discs. Particularly striking is the fact that a single disc, such as the mesothoracic leg, can show increased expression of both a more "anterior" homeotic gene (Scr) and a more "posterior" gene (Ubx). Ectopic expression of Ubx and Antp, but not of Scr, is seen in the central nervous system of mutant larvae. These results are discussed with respect to the adult esc- phenotype and the differential effects of esc mutations on early and late development. ¬© 1988.</t>
  </si>
  <si>
    <t>219-227</t>
  </si>
  <si>
    <t>Misregulation of homeotic gene expression in Drosophila larvae resulting from mutations at the extra sex combs locus</t>
  </si>
  <si>
    <t>10.1016/0012-1606(88)90132-7</t>
  </si>
  <si>
    <t>2-s2.0-0023931592</t>
  </si>
  <si>
    <t>Associazione Italiana per la Ricerca sul Cancro</t>
  </si>
  <si>
    <t>AIRC</t>
  </si>
  <si>
    <t>['vaginal apex', 'thermally sealed', 'teflon rings', 'technical construction', 'salvage treatments', 'rights reserved', 'promising method', 'positive mould', 'plaster mould', 'perturbing probes', 'particularly useful', 'inserted within', 'infrared thermography', 'hyperthermia seems', 'heat patterns', 'heat moulding', 'external part', 'dose irradiation', 'challenging problem', 'cellulose acetate']</t>
  </si>
  <si>
    <t>Cervical recurrence | Individualized applicators | Intracavitary hyperthermia</t>
  </si>
  <si>
    <t>Patients who have inoperable or previously irradiated cervical recurrences, especially if very confined and alone, pose a challenging problem to the clinician. Low-dose irradiation and hyperthermia seems to be a promising method for salvage treatments in previously treated patients. In order to heat the vaginal apex, individualized prototype applicators utilizing commercial microwave antennas were constructed and tested in muscle equivalent phantom. The technical construction of vaginal applicators followed Pierquin's procedure for gynaecological brachytherapy moulds: (1) a true negative vaginal print in alginate was made; (2) a positive mould in plaster of Paris was then constructed; (3) a negative vaginal print was produced in plaster of Paris and (4) heat moulding of a 0.1 cm thick sheet of cellulose acetate on the plaster mould was accomplished. Interstitial microwave antennas were inserted within the applicator and kept in place using silk wires or Teflon rings. The external part of the applicator was thermally sealed and protected with silicone. This was particularly useful in cases where an inner cooling system was required. Heat patterns in tissue equivalent phantom materials were determined using non-perturbing probes and infrared thermography. An illustrative clinical case is described. ¬© 1988 Informa UK Ltd All rights reserved: reproduction in whole or part not permitted.</t>
  </si>
  <si>
    <t>457-466</t>
  </si>
  <si>
    <t>100426642;100426642;60011451</t>
  </si>
  <si>
    <t>7003984247;7006878226;6602147868</t>
  </si>
  <si>
    <t>Valdagni, R.;Amichetti, M.;Cristoforetti, L.</t>
  </si>
  <si>
    <t>Povo;Trento</t>
  </si>
  <si>
    <t>Istituto Trentino di Cultura-Centro per la Ricerca Scientifica e Tecnologica;Centro Oncologico</t>
  </si>
  <si>
    <t>60011451;100426642</t>
  </si>
  <si>
    <t>Valdagni R.</t>
  </si>
  <si>
    <t>Intracavitary hyperthermia: Construction and heat patterns of individualized vaginal prototype applicators</t>
  </si>
  <si>
    <t>10.3109/02656738809027691</t>
  </si>
  <si>
    <t>2-s2.0-0023938428</t>
  </si>
  <si>
    <t>['work demonstrates', 'vivo across', 'surface topology', 'spx spectra', 'spx ),', 'spheroplast surface', 'similar peaks', 'signal detected', 'serrs technique', 'serrs effect', 'schematic model', 'rhodospirillum rubrum', 'results indicate', 'prevent detection', 'pigmented membranes', 'photosynthetic bacterium', 'periplasmic side', 'membrane ).', 'large differences', 'greatly enhanced', 'f24 strain', 'cytoplasmic side', 'asymmetric distribution', 'ag electrode', 'adsorbed onto', '2 nm', '1005 cm']</t>
  </si>
  <si>
    <t>Resonance Raman scattering by the carotenoid, spirilloxanthin (Spx), in a suspension of chromatophores (cytoplasmic side out) isolated from the photosynthetic bacterium, Rhodospirillum rubrum, is greatly enhanced when the membranes are adsorbed onto the surface of an anodized Ag electrode. The phenomenon is the basis for surface-enhanced resonance Raman scattering (SERRS) spectroscopy. The Spx SERRS peaks observed were at 1505-1510, 1150-1155, and 1000-1005 cm-1 with laser excitation wavelengths ranging between 457.9 and 568.2 nm. Similar peaks were not observed with spheroplasts (periplasmic side out) isolated from the same species. The difference in signal detected in chromatophores and spheroplasts is not due to differences in membrane surface charge, presence of residual cell wall on the spheroplast surface, lack of adhesion of spheroplasts to metals, or large differences in pigment content per unit membrane area. Instead, the results indicate an asymmetric distribution of Spx in vivo across the membrane (i.e. it is located on the cytoplasmic side of the membrane). The results also demonstrate that the SERRS effect is extremely distance sensitive, and the thickness of a single bacterial membrane (separating the Ag electrode from the carotenoid) is sufficient to prevent detection of Spx spectra. Studies of chromatophores from the F24 strain (a reaction centerless mutant) have pinpointed B880 antenna complex as the source of the Spx SERRS spectra, and a schematic model of the minimal structural unit of B880 is presented. This work demonstrates the potential of the SERRS technique as a probe for surface topology of pigmented membranes.</t>
  </si>
  <si>
    <t>4374-4380</t>
  </si>
  <si>
    <t>Journal of Biological Chemistry</t>
  </si>
  <si>
    <t>60030451;60030451;60030451;60030451</t>
  </si>
  <si>
    <t>56259745200;7402085282;7005381485;7006117632</t>
  </si>
  <si>
    <t>Picorel, R.;Holt, R. E.;Cotton, T. M.;Seibert, M.</t>
  </si>
  <si>
    <t>Golden</t>
  </si>
  <si>
    <t>National Renewable Energy Laboratory</t>
  </si>
  <si>
    <t>Picorel R.</t>
  </si>
  <si>
    <t>Surface-enhanced resonance Raman scattering spectroscopy of bacterial photosynthetic membranes. The carotenoid of Rhodospirillum rubrum</t>
  </si>
  <si>
    <t>2-s2.0-0023939333</t>
  </si>
  <si>
    <t>P01GM033205</t>
  </si>
  <si>
    <t>['type flies', 'type animals', 'thoracic ganglia', 'temporal pattern', 'spatial expression', 'several strains', 'rna extracted', 'pupal stage', 'prothoracic gland', 'period gene', 'per beta', 'optic lobes', 'nervous system', 'malpighian tubules', 'late embryos', 'including antennae', 'galactosidase positive', 'galactosidase activity', 'fusion gene', 'drosophila melanogaster', 'corpora allata', 'central brain']</t>
  </si>
  <si>
    <t>The temporal and spatial expression of the period gene of Drosophila melanogaster has been analyzed by examining the expression of a per beta-galactosidase fusion gene in transformants and by in situ hybridization experiments with wild-type flies. Several strains of Drosophila melanogaster, transformed with the fusion gene, have been generated. The gene is active in mid-late embryos in the midline of the nervous system. Thereafter, beta-galactosidase activity is undetectable until the pupal stage when the prothoracic gland-corpora allata and the optic lobes are beta-galactosidase positive. In adults a surprisingly large number of tissues stain positively, including antennae, proboscis, eyes, optic lobes, cells of the central brain, cells of the thoracic ganglia, gut, Malpighian tubules, and ovarian follicle cells. The temporal pattern of expression agrees well with previous estimates made from developmental Northern blots with RNA extracted from wild-type animals. We suggest that many of the tissues that express the per gene contain their own intrinsic oscillator activity.</t>
  </si>
  <si>
    <t>228-238</t>
  </si>
  <si>
    <t>Genes &amp; development</t>
  </si>
  <si>
    <t>60016247;60016247;60016247;60016247;60016247</t>
  </si>
  <si>
    <t>57219288016;7005343468;56292424300;7407379623;7102160821</t>
  </si>
  <si>
    <t>Liu, X.;Lorenz, L.;Yu, Q. N.;Hall, J. C.;Rosbash, M.</t>
  </si>
  <si>
    <t>Brandeis University</t>
  </si>
  <si>
    <t>Liu X.</t>
  </si>
  <si>
    <t>Spatial and temporal expression of the period gene in Drosophila melanogaster.</t>
  </si>
  <si>
    <t>10.1101/gad.2.2.228</t>
  </si>
  <si>
    <t>2-s2.0-0023954478</t>
  </si>
  <si>
    <t>['thin single', 'sided elements', 'sided dipole', 'much larger', 'microstrip analysis', 'like substrates', 'flat arrays', 'feeding technique', 'experimental comparison', 'available gains']</t>
  </si>
  <si>
    <t>A feeding technique for double-sided printed dipoles enabling the realization of flat arrays on foam-like substrates with bandwidths up to 25% is presented. An experimental comparison with thin single-layer microstrip arrays shows that the available gains are equal, while the bandwidths for the double-sided dipole are much larger. A modification of microstrip analysis, presented in this work, provides useful design data for the double-sided elements.</t>
  </si>
  <si>
    <t>54-59</t>
  </si>
  <si>
    <t>0950107X</t>
  </si>
  <si>
    <t>IEE Proceedings H: Microwaves, Antennas and Propagation</t>
  </si>
  <si>
    <t>60017563;60017563;60017563</t>
  </si>
  <si>
    <t>7202294701;23032510000;7004481850</t>
  </si>
  <si>
    <t>Levine, E.;Shtrikman, S.;Treves, D.</t>
  </si>
  <si>
    <t>Rehovot</t>
  </si>
  <si>
    <t>Weizmann Institute of Science Israel</t>
  </si>
  <si>
    <t>Levine E.</t>
  </si>
  <si>
    <t>DOUBLE-SIDED PRINTED ARRAYS WITH LARGE BANDWIDTH.</t>
  </si>
  <si>
    <t>10.1049/ip-h-2.1988.0010</t>
  </si>
  <si>
    <t>2-s2.0-0023961013</t>
  </si>
  <si>
    <t>['monopulse antennas', 'experimental results', 'adaptive weights', 'adaptive nulling']</t>
  </si>
  <si>
    <t>A method for phase-only adaptive nulling in monopulse antennas is presented, using a gradient search algorithm. The array's beam steering phase shifters double as the adaptive weights. Both computed and experimental results are presented. ¬© 1988 IEEE</t>
  </si>
  <si>
    <t>202-208</t>
  </si>
  <si>
    <t>Haupt, Randy L.</t>
  </si>
  <si>
    <t>Hanscom AFB</t>
  </si>
  <si>
    <t>Haupt R.L.</t>
  </si>
  <si>
    <t>Adaptive Nulling in Monopulse Antennas</t>
  </si>
  <si>
    <t>10.1109/8.1097</t>
  </si>
  <si>
    <t>2-s2.0-0023961338</t>
  </si>
  <si>
    <t>['sidelobe region', 'sidelobe level', 'relative efficiencies', 'planar arrays', 'optimum phases', 'optimum patterns', 'logarithmic function', 'large arrays', 'equispaced elements', 'element phases', 'element excitations', 'data suggest', 'computationally impractical', 'characteristics similar', 'array size']</t>
  </si>
  <si>
    <t>Minimization of the maximum sidelobe level for a given array geometry by phase-only adjustment of the element excitations is considered. Optimum phases are obtained by using a numerical search procedure to minimize the expression for the pattern sidelobe level with respect to the element phases, and results for both linear and planar arrays of equispaced elements are presented. Data suggest that optimum sidelobe level is a logarithmic function of array size, and optimum patterns have relative efficiencies that are typically somewhat greater than for comparable amplitude tapered arrays. An analytic synthesis algorithm is presented for use on very large arrays for which the numerical search technique for the minimization of the sidelobe level is computationally impractical. This method produces patterns with characteristics similar to arrays synthesized using the numerical search method, i.e., relatively uniform angular distribution of energy in the sidelobe region, and generally decreasing maximum sidelobe level as the array size is increased. ¬© 1988 IEEE</t>
  </si>
  <si>
    <t>191-201</t>
  </si>
  <si>
    <t>60026175;60025488</t>
  </si>
  <si>
    <t>57205920023;7103082601</t>
  </si>
  <si>
    <t>Deford, John F.;Gandhi, Om P.</t>
  </si>
  <si>
    <t>Livermore;Salt Lake City</t>
  </si>
  <si>
    <t>Lawrence Livermore National Laboratory;The University of Utah</t>
  </si>
  <si>
    <t>Deford J.F.</t>
  </si>
  <si>
    <t>Phase-Only Synthesis of Minimum Peak Sidelobe Patterns for Linear and Planar Arrays</t>
  </si>
  <si>
    <t>10.1109/8.1096</t>
  </si>
  <si>
    <t>2-s2.0-0023961385</t>
  </si>
  <si>
    <t>['thereby deteriorate', 'strut blockage', 'sidelobe levels', 'radiation characteristics', 'feed system', 'efficiency reduction', 'design curves', 'analytical study']</t>
  </si>
  <si>
    <t>In a symmetrical reflector antenna the feed system and its support struts block the aperture and thereby deteriorate the radiation characteristics. Simple design curves are presented for the efficiency reduction, the sidelobe levels, and the cross polarization caused by strut blockage. The results are obtained from an analytical study that includes the induced field ratio (IFR) of the struts. The most significant IFR values for struts with circular cross section are calculated and plotted in a way that makes them easy to use as design curves. The use of the design curves is demonstrated. ¬© 1988 IEEE</t>
  </si>
  <si>
    <t>182-190</t>
  </si>
  <si>
    <t>60013141;60013141;60013141</t>
  </si>
  <si>
    <t>7101988263;7201962730;7003766305</t>
  </si>
  <si>
    <t>Kildal, Per Simon;Olsen, Erik;Aas, Jon Anders</t>
  </si>
  <si>
    <t>Kildal P.S.</t>
  </si>
  <si>
    <t>Losses, Sidelobes, and Cross Polarization Caused by Feed-Support Struts in Reflector Antennas: Design Curves</t>
  </si>
  <si>
    <t>10.1109/8.1095</t>
  </si>
  <si>
    <t>2-s2.0-0023961455</t>
  </si>
  <si>
    <t>['tradeoff curves', 'theoretical analysis', 'phase patterns', 'phase center', 'multimode excitation', 'frequency dispersion', 'feed horn', 'farfield patterns', 'design optimization', 'also presented']</t>
  </si>
  <si>
    <t>The design of a multimode feed horn for use in a monopulse feed system is summarized. Theoretical analysis of the feed horn is presented, and FarField patterns are computed. Both amplitude and phase patterns have been obtained and compared with measurements. The phase center of the feed horn is discussed in relation to the multimode excitation and the frequency dispersion. It is shown that the phase center location moves as the mode content changes. Some tradeoff curves are also presented for design optimization. ¬© 1988 IEEE</t>
  </si>
  <si>
    <t>171-181</t>
  </si>
  <si>
    <t>60005304;60005304</t>
  </si>
  <si>
    <t>7501503817;7102122144</t>
  </si>
  <si>
    <t>Lee, Kuan Min;Chu, Ruey Shi</t>
  </si>
  <si>
    <t>Lee K.M.</t>
  </si>
  <si>
    <t>Design and Analysis of a Multimode Feed Horn for a Monopulse Feed</t>
  </si>
  <si>
    <t>10.1109/8.1094</t>
  </si>
  <si>
    <t>2-s2.0-0023962185</t>
  </si>
  <si>
    <t>['validity assessed', 'theoretical development', 'numerical calculations', 'length cylinder', 'finite length', 'dielectric cylinder']</t>
  </si>
  <si>
    <t>The dyadic scattering amplitude for a planar electromagnetic wave incident upon a dielectric cylinder of finite length and circular cross section is determined under the assumption that the internal fields induced within the finite-length cylinder can be approximated by those within an infinite-length cylinder. The theoretical development is complemented by numerical calculations and its validity assessed by comparison with experiment. ¬© 1988 IEEE</t>
  </si>
  <si>
    <t>303-307</t>
  </si>
  <si>
    <t>60005803;100456355</t>
  </si>
  <si>
    <t>7005822795;7402385067</t>
  </si>
  <si>
    <t>Seker, Selim S.;Schneider, Allan</t>
  </si>
  <si>
    <t>Turkey;United States</t>
  </si>
  <si>
    <t>Bebek;Arlington</t>
  </si>
  <si>
    <t>Boƒüazi√ßi √úniversitesi;CyberCom Corp</t>
  </si>
  <si>
    <t>Seker S.S.</t>
  </si>
  <si>
    <t>Electromagnetic Scattering from a Dielectric Cylinder of Finite Length</t>
  </si>
  <si>
    <t>10.1109/8.1109</t>
  </si>
  <si>
    <t>2-s2.0-0023962187</t>
  </si>
  <si>
    <t>['synthesized field', 'plane wave', 'maximum frequency', 'interior region', 'identical results', 'frequency scanning', 'element weightings', 'circular array', 'also presented', 'also possible']</t>
  </si>
  <si>
    <t>antenna | array | Plane-wave synthesis | uniform plane wave</t>
  </si>
  <si>
    <t>We analyze a circular array of electric line sources for generating a uniform plane wave in the interior region of the array. Identical results for the synthesized element weightings are obtained using matrix inversion or a Fourier series technique. A physical optics approximation for the element weightings is also presented, but it yields a much poorer result for the synthesized field. The angle of arrival of the plane wave can be scanned by recalculating the element weightings, and the quality of the field is maintained. Frequency scanning is also possible, but the number of array elements limits the maximum frequency. ¬© 1988 IEEE</t>
  </si>
  <si>
    <t>1558187X</t>
  </si>
  <si>
    <t>IEEE Transactions on Electromagnetic Compatibility</t>
  </si>
  <si>
    <t>Hill, David A.</t>
  </si>
  <si>
    <t>Gaithersburg</t>
  </si>
  <si>
    <t>National Institute of Standards and Technology</t>
  </si>
  <si>
    <t>Hill D.A.</t>
  </si>
  <si>
    <t>A Circular Array for Plane-Wave Synthesis</t>
  </si>
  <si>
    <t>10.1109/15.19881</t>
  </si>
  <si>
    <t>2-s2.0-0023962214</t>
  </si>
  <si>
    <t>['transmitting antennas', 'receiving antennas', 'photoconducting antennas', 'integrated photoconductors', 'frequency spectra', 'damaged silicon', '2 thz', '100 ghz']</t>
  </si>
  <si>
    <t>Photoconducting antennas have been demonstrated which are capable of generating and coherently detecting subpicosecond electrical pulses. These antennas, when illuminated with femtosecond optical pulses, radiate electrical pulses which have frequency spectra that extend from &lt; 100 GHz to &gt; 2 THz. Microscopic dipoles measuring 50, 100, and 200 ¬µm have been fabricated and tested. Integrated photoconductors of radiation-damaged silicon-on-sapphire were used both for impulsive current excitation of the transmitting antennas as well as for gating the receiving antennas. ¬© 1988 IEEE</t>
  </si>
  <si>
    <t>255-260</t>
  </si>
  <si>
    <t>IEEE Journal of Quantum Electronics</t>
  </si>
  <si>
    <t>60021378;60021378;60030162</t>
  </si>
  <si>
    <t>57214269177;7003905455;7006058277</t>
  </si>
  <si>
    <t>Smith, Peter R.;Auston, David H.;Nuss, Martin C.</t>
  </si>
  <si>
    <t>New York;Murray</t>
  </si>
  <si>
    <t>Columbia University;Nokia Bell Labs</t>
  </si>
  <si>
    <t>60030162;60021378</t>
  </si>
  <si>
    <t>Smith P.R.</t>
  </si>
  <si>
    <t>Subpicosecond Photoconducting Dipole Antennas</t>
  </si>
  <si>
    <t>10.1109/3.121</t>
  </si>
  <si>
    <t>2-s2.0-0023962273</t>
  </si>
  <si>
    <t>['special emphasis', 'recent advances', 'novel types', 'ferrite disc', 'array antennas', 'also discussed']</t>
  </si>
  <si>
    <t>The requirements for circulators for use in combination with microwave and millimeter-wave integrated circuits are reviewed, with special emphasis on modules for phased-array antennas. Recent advances in broadbanding and in miniaturization are summarized. Novel types of circulators that are fabricated by attaching a ferrite disc and a suitable coupling structure to the surface of a dielectric or semiconductor substrate (‚Äúquasi-monolithic‚Äù integration) are described. Methods for achieving complete monolithic integration are also discussed. ¬© 1988 IEEE</t>
  </si>
  <si>
    <t>188-200</t>
  </si>
  <si>
    <t>Proceedings of the IEEE</t>
  </si>
  <si>
    <t>Schloemann, Ernst F.</t>
  </si>
  <si>
    <t>Schloemann E.</t>
  </si>
  <si>
    <t>Circulators for Microwave and Millimeter-Wave Integrated Circuits</t>
  </si>
  <si>
    <t>10.1109/5.4394</t>
  </si>
  <si>
    <t>2-s2.0-0023962698</t>
  </si>
  <si>
    <t>Army Research Office</t>
  </si>
  <si>
    <t>DAAG 03-83-k-0090</t>
  </si>
  <si>
    <t>ARO</t>
  </si>
  <si>
    <t>['surface wave', 'substrate effects', 'slotline transition', 'slot fed', 'related transitions', 'moments solution', 'microstrip line', 'microstrip discontinuities', 'mic design']</t>
  </si>
  <si>
    <t>An analysis of microstrip to slotline transition is presented The method of moments is applied to the coupled integral equations. In the formulation, the Green‚Äôs function for the grounded dielectric substrate, which takes into account all the radiation, surface wave, and substrate effects, is used. Meanwhile, all the mutual coupling effects are included in the method of moments solution. Certain related structures, such as slotline and microstrip discontinuities, a slot fed by a microstrip line, and a printed strip dipole fed by a slotline, can also be solved with this analysis. The present approach may find applications to other related transitions in MIC design. ¬© 1988 IEEE</t>
  </si>
  <si>
    <t>286-293</t>
  </si>
  <si>
    <t>60027550;60027550</t>
  </si>
  <si>
    <t>7406565241;56838943000</t>
  </si>
  <si>
    <t>Yang, Hung Yu;Alexpoulos, Nicolaos G.</t>
  </si>
  <si>
    <t>Yang H.</t>
  </si>
  <si>
    <t>A Dynamic Model for Microstrip-Slotline Transition and Related Structures</t>
  </si>
  <si>
    <t>10.1109/22.3517</t>
  </si>
  <si>
    <t>2-s2.0-0023962955</t>
  </si>
  <si>
    <t>51-63</t>
  </si>
  <si>
    <t>IEEE Communications Magazine</t>
  </si>
  <si>
    <t>56837958100;55501328700;6508390111</t>
  </si>
  <si>
    <t>Un, S. H.;Lee, T. C.;Gardina, M. F.</t>
  </si>
  <si>
    <t>Un S.</t>
  </si>
  <si>
    <t>Diversity Protections for Digital Radio-Summary of Ten-Year Experiments and Studies</t>
  </si>
  <si>
    <t>10.1109/35.430</t>
  </si>
  <si>
    <t>2-s2.0-0023962967</t>
  </si>
  <si>
    <t>['¬© 1988', 'various depths', 'thin spacers', 'thickness resolution', 'saline ice', 'phase information', 'performance criteria', 'parametric effect', 'optimal orientation', 'limited loss', 'higher frequencies', 'electromagnetic ranging', 'controlled conditions', 'better penetration', 'also investigated']</t>
  </si>
  <si>
    <t>Experiments were conducted on artificial saline ice to assess the capability of Step Frequency Radar in determining the thickness of saline ice. Electromagnetic ranging of saline ice is difficult because of high transmission loss at higher frequencies. The Step Frequency Radar which emphasizes the use of the phase information can alleviate this difficulty by lowering its frequency for better penetration at the cost of limited loss in resolution and accuracy. Slabs of saline ice produced under controlled conditions were stacked up with thin spacers in between and a step frequency radar was used to determine the location of an aluminum sheet inserted at various depths in the stack. Experiments were repeated to study the parametric effect of the salinity, thickness and inhomogeneity of the ice on the performance criteria of the radar, which included the thickness resolution, the depth of penetration and the optimal orientation of the antennas. The zooming offsetting capability of the radar was also investigated. ¬© 1988.</t>
  </si>
  <si>
    <t>23-32</t>
  </si>
  <si>
    <t>0165232X</t>
  </si>
  <si>
    <t>Cold Regions Science and Technology</t>
  </si>
  <si>
    <t>60016849;60016849;60016849;60000673;60010833</t>
  </si>
  <si>
    <t>36921920100;35884167700;55478281100;7007011844;6506856343</t>
  </si>
  <si>
    <t>Iizuka, K.;Freundorfer, A.;Wilson, D.;Tsang, G.;Haras, W.</t>
  </si>
  <si>
    <t>Canada;Canada;Canada</t>
  </si>
  <si>
    <t>Toronto;Ottawa;Gatineau</t>
  </si>
  <si>
    <t>University of Toronto;Fisheries and Oceans Canada;Environment Canada</t>
  </si>
  <si>
    <t>60016849;60010833;60000673</t>
  </si>
  <si>
    <t>Iizuka K.</t>
  </si>
  <si>
    <t>Measurement of saline ice thickness using a step frequency radar</t>
  </si>
  <si>
    <t>0165-232X(88)90034-1</t>
  </si>
  <si>
    <t>10.1016/0165-232X(88)90034-1</t>
  </si>
  <si>
    <t>2-s2.0-0023963035</t>
  </si>
  <si>
    <t>['¬© 1987', 'volume extremized', 'specified symmetry', 'singlet optical', 'results obtained', 'refraction n0', 'assumed given', 'approximately twice', 'analytical procedure']</t>
  </si>
  <si>
    <t>geometrical optics | microwave and sonar antennas | nonlinear partial differential equations | Numerical minimization</t>
  </si>
  <si>
    <t>An improved mixed numerical and analytical procedure for solving the problem of determining the surfaces I and I‚Ä≤ of a three-dimensional, aperture or volume extremized and ellipticized, bifocal, nonspherical, singlet optical, radar or sonar lens antenna defined by a system of four nonlinear partial differential equations with specified symmetry and boundary conditions subject to a minimizing side condition on the antenna focal length, of f-number, is presented. The index of refraction n0, the maximum lens diameter 2b0 and the bifocal off-axis angle œà0 are assumed given. The results obtained are of approximately twice the accuracy of those computed in part I. ¬© 1987.</t>
  </si>
  <si>
    <t>213-222</t>
  </si>
  <si>
    <t>Journal of Computational and Applied Mathematics</t>
  </si>
  <si>
    <t>60018431;60013346</t>
  </si>
  <si>
    <t>54887160900;6603941561</t>
  </si>
  <si>
    <t>Sternberg, Robert L.;Grafton, Robert B.</t>
  </si>
  <si>
    <t>Arlington;Alexandria</t>
  </si>
  <si>
    <t>Office of Naval Research;National Science Foundation</t>
  </si>
  <si>
    <t>Sternberg R.</t>
  </si>
  <si>
    <t>On a numerical minimization problem for a new class of nonlinear partial differential equations arising in nonspherical geometrical optics and beamforming lenticular antennas II</t>
  </si>
  <si>
    <t>0377-0427(88)90269-5</t>
  </si>
  <si>
    <t>10.1016/0377-0427(88)90269-5</t>
  </si>
  <si>
    <t>2-s2.0-0023963337</t>
  </si>
  <si>
    <t>F19628-80-C-0150</t>
  </si>
  <si>
    <t>['systems utilization', 'semiconductor technology', 'second area', 'saw ),', 'pulse storage', 'microwave frequencies', 'many functions', 'magnetostatic wave', 'first area', 'ew systems', 'essential function', 'effectively performed', 'digital competitors', 'device characteristics', 'delay lines', 'compressive receivers', 'beam steering', 'analog devices']</t>
  </si>
  <si>
    <t>Analog signal processing performs an essential function in many current radar and EW systems. However, because of advances in semiconductor technology, many functions which were more effectively performed by analog devices, e.g., Surface Acoustic Waves (SAW), will in the future be digital. The main performance advantage that analog devices have over their digital competitors is the ability to operate with wide instantaneous bandwidths and moderately high dynamic ranges at microwave frequencies. Here applications of magnetostatic wave (MSW) devices which capitalize on these advantages will be reviewed. The first area is broadband microwave receivers which includes frequency channelizers, dispersive delay lines for compressive receivers, delay lines for pulse storage, and frequency selective limiters. The second area is beam steering of phased array antennas by variable time delay. In both cases, the MSW device approaches and applications are discussed with emphasis on the device characteristics and their systems utilization. Where possible, comparisons with other analog signal processing approaches are given. ¬© 1988 IEEE</t>
  </si>
  <si>
    <t>159-170</t>
  </si>
  <si>
    <t>Adam, J. D.</t>
  </si>
  <si>
    <t>Pittsburgh</t>
  </si>
  <si>
    <t>Westinghouse Electric Company</t>
  </si>
  <si>
    <t>Adam J.</t>
  </si>
  <si>
    <t>Analog Signal Processing with Microwave Magnetics</t>
  </si>
  <si>
    <t>10.1109/5.4392</t>
  </si>
  <si>
    <t>2-s2.0-0023963368</t>
  </si>
  <si>
    <t>Natural Sciences and Engineering Research Council of Canada</t>
  </si>
  <si>
    <t>NSERC</t>
  </si>
  <si>
    <t>['tm32 mode', 'tm12 mode', 'structures reported', 'performed using', 'outer periphery', 'good agreement', 'found theoretically', 'circular polarization', 'annular ring', 'also found']</t>
  </si>
  <si>
    <t>Circular polarization is achieved by separating two degenerate orthogonal modes in an annular ring patch antenna, by using an ear at the outer periphery. The analysis of such a structure is performed using the generalized transmission line model. It is found theoretically that this structure can be used to generate circular polarization over a wider frequency range than the structures reported so far in the literature. An annular ring is designed and its performance is evaluated. Good agreement between the theory and the experiment is obtained. It is also found that the axial ratio bandwidth is higher for the TM12 mode than the TM32 mode of operation in an annular ring antenna. ¬© 1988 IEEE</t>
  </si>
  <si>
    <t>157-163</t>
  </si>
  <si>
    <t>7402673635;8092251400</t>
  </si>
  <si>
    <t>Bhattacharyya, Arun K.;Shafai, Lotfollah</t>
  </si>
  <si>
    <t>Bhattacharyya A.K.</t>
  </si>
  <si>
    <t>A Wider Band Microstrip Antenna for Circular Polarization</t>
  </si>
  <si>
    <t>10.1109/8.1092</t>
  </si>
  <si>
    <t>2-s2.0-0023963391</t>
  </si>
  <si>
    <t>['wave analysis', 'unique cross', 'two types', 'strip parameters', 'radiation patterns', 'quantitatively evaluated', 'polarization grids']</t>
  </si>
  <si>
    <t>A full-wave analysis is presented of offset reflector antennas with polarization grids by means of the equivalent grating approach proposed by the authors. CrossPolarization suppression effects are quantitatively evaluated as functions of the strip parameters, the size and the location of the grid. Radiation patterns for two types of grids, namely, a straight strip grid and a curved strip grid are compared, and unique cross-polar radiation properties as well as their mechanism are pointed out. ¬© 1988 IEEE</t>
  </si>
  <si>
    <t>164-170</t>
  </si>
  <si>
    <t>60031126;60031126</t>
  </si>
  <si>
    <t>56055651200;35495699200</t>
  </si>
  <si>
    <t>Nakamura, Kentaro;Ando, Makoto</t>
  </si>
  <si>
    <t>Tokyo Institute of Technology</t>
  </si>
  <si>
    <t>Nakamura K.</t>
  </si>
  <si>
    <t>A Full-Wave Analysis of Offset Reflector Antennas with Polarization Grids</t>
  </si>
  <si>
    <t>10.1109/8.1093</t>
  </si>
  <si>
    <t>2-s2.0-0023963392</t>
  </si>
  <si>
    <t>['satellite communications', 'reflector dimensions', 'diffraction effects']</t>
  </si>
  <si>
    <t>Diffraction effects which arise in the direct far field geometrical optics synthesis of shaped beam reflector antennas are examined. A spherical wave expansion technique is introduced which allows the optical coverage area and reflector dimensions to be specified in Westcott's complex coordinate synthesis technique. Examples are given of the method when applied to the synthesis of typical beam shapes encountered in satellite communications.</t>
  </si>
  <si>
    <t>41-47</t>
  </si>
  <si>
    <t>Mehler, M. J.</t>
  </si>
  <si>
    <t>Birmingham</t>
  </si>
  <si>
    <t>University of Birmingham</t>
  </si>
  <si>
    <t>Mehler M.</t>
  </si>
  <si>
    <t>APPLICATION OF SPHERICAL WAVE EXPANSIONS TO DIRECT GO FAR FIELD SYNTHESIS.</t>
  </si>
  <si>
    <t>10.1049/ip-h-2.1988.0008</t>
  </si>
  <si>
    <t>2-s2.0-0023963442</t>
  </si>
  <si>
    <t>IEEE Transactions on Vehicular Technology</t>
  </si>
  <si>
    <t>Coverage Prediction for Mobile Radio Systems Operating in the 800/900 MHz Frequency Range</t>
  </si>
  <si>
    <t>10.1109/25.42678</t>
  </si>
  <si>
    <t>2-s2.0-0023963554</t>
  </si>
  <si>
    <t>['two methods', 'second method', 'reflectors directly', 'reflector coordinates', 'physical optics', 'pattern corresponding', 'paper describes', 'optimization procedure', 'obtained initially', 'initial constraints', 'differences ascribed', 'close agreement', 'beam dual']</t>
  </si>
  <si>
    <t>The paper describes the synthesis of shaped-beam dual-reflector antenna patterns using two methods. In the first, for a prescribed far field the antenna aperture field is obtained initially and then a geometric optics synthesis method used to define the reflector coordinates. In the second method an optimization procedure is employed to shape the reflectors directly, so as to generate, through physical optics, the desired far field. The two methods are compared for the pattern corresponding to the EUTELSAT 2 spacecraft. Close agreement is found and differences ascribed to initial constraints.</t>
  </si>
  <si>
    <t>48-53</t>
  </si>
  <si>
    <t>60022109;60022109;60022109;60022109</t>
  </si>
  <si>
    <t>7203025842;57197192970;7006192058;23062556900</t>
  </si>
  <si>
    <t>Bergmann, J.;Brown, R. C.;Clarricoats, P. J.B.;Zhou, H.</t>
  </si>
  <si>
    <t>London</t>
  </si>
  <si>
    <t>Queen Mary University of London</t>
  </si>
  <si>
    <t>Bergmann J.</t>
  </si>
  <si>
    <t>SYNTHESIS OF SHAPED-BEAM REFLECTOR ANTENNA PATTERNS.</t>
  </si>
  <si>
    <t>10.1049/ip-h-2.1988.0009</t>
  </si>
  <si>
    <t>2-s2.0-0023964016</t>
  </si>
  <si>
    <t>['sensitized photocurrent', 'semiconductor surface', 'remarkable enhancement', 'harvesting effect', 'dodecylacridinium bromide', 'direct contact', 'dioctadecylthiacarbocyanine iodide', 'containing multilayers', 'antenna dye']</t>
  </si>
  <si>
    <t>A light-harvesting effect in the sensitized photocurrent of dye-containing multilayers on an Sb-doped SnO//2 optically transparent semiconductor electrode was studied. 2,8-Bis(dimethylamino)-10-dodecylacridinium bromide (BDA) was included as an antenna dye in the outer monolayer separated from the semiconductor surface with fatty acid monolayer(s), and dioctadecylthiacarbocyanine iodide (DTC) as a reaction center dye was incorporated in the monolayer in direct contact with the semiconductor. A remarkable enhancement of the photocurrent was observed as a result of efficient energy transfer from BDA to DTC.</t>
  </si>
  <si>
    <t>754-759</t>
  </si>
  <si>
    <t>Journal of physical chemistry</t>
  </si>
  <si>
    <t>60018873;60018873;60018873;60018873;60018873;60018873</t>
  </si>
  <si>
    <t>56943670900;57217675527;6603881073;7201770629;7201514569;36852039200</t>
  </si>
  <si>
    <t>Sato, Hiroyasu;Kawasaki, Masahiro;Kasatani, Kazuo;Higuchi, Yuji;Azuma, Terukazu;Nishiyama, Yasushi</t>
  </si>
  <si>
    <t>Tsu</t>
  </si>
  <si>
    <t>Mie University</t>
  </si>
  <si>
    <t>Sato H.</t>
  </si>
  <si>
    <t>LIGHT-HARVESTING EFFECT IN PHOTOELECTRIC CONVERSION WITH DYE MULTILAYERS ON A SEMICONDUCTOR ELECTRODE.</t>
  </si>
  <si>
    <t>10.1021/j100314a033</t>
  </si>
  <si>
    <t>2-s2.0-0023964125</t>
  </si>
  <si>
    <t>['transient radiation', 'theoretical solutions', 'linear antennas', 'limited situations', 'infinitesimal antennas', 'finite length', 'clearly seen', 'analytic solutions', 'also find', 'acquired results']</t>
  </si>
  <si>
    <t>finite-length antennas | Transient radiation | traveling-wave linear antennas</t>
  </si>
  <si>
    <t>It is known that, until now, only a few analytic solutions of transient radiation fields from linear antennas have been obtained for limited situations, for instance, infinitely long antennas and infinitesimal antennas. In this paper, theoretical solutions of transient radiation for linear antennas of finite length are developed. The results have explicit closed expressions from which the transient radiation characteristics could be clearly seen. One can also find that the validity of acquired results is independent of the length of the antenna and of the waveform of traveling-wave currents along the antenna. ¬© 1988 IEEE</t>
  </si>
  <si>
    <t>80-83</t>
  </si>
  <si>
    <t>Chen, Zheng Qiang</t>
  </si>
  <si>
    <t>Wollongong</t>
  </si>
  <si>
    <t>University of Wollongong</t>
  </si>
  <si>
    <t>Chen Z.Q.</t>
  </si>
  <si>
    <t>Theoretical Solutions of Transient Radiation from Traveling-Wave Linear Antennas</t>
  </si>
  <si>
    <t>10.1109/15.19894</t>
  </si>
  <si>
    <t>2-s2.0-0023964238</t>
  </si>
  <si>
    <t>['wiley company', 'subreflector surface', 'subreflector depends', 'remaining aberration', 'primary radiator', 'portion used', 'peripheral region', 'nondeflected beam', 'inc .,', 'desired multibeam', 'deflection direction', 'deflected beam', 'asymptotic method']</t>
  </si>
  <si>
    <t>A method for correcting the subreflector surface is presented for the offset dual reflector multibeam antenna consisting of a parabolic main reflector. It is intended that the characteristics with a deflected beam are improved without degrading those with a nondeflected beam. It is seen that the portion used in the subreflector depends on the deflection direction so that only the peripheral region of the subreflector is corrected. In the present design method, the location of the primary radiator and the amount of shaping of the subreflector are determined by an asymptotic method in such a way that the aberration at the antenna aperture corresponding to the directions of the desired multibeam is minimized. The first‚Äêorder aberration is corrected by modifying the location of the primary radiator and the remaining aberration by shaping the surface of the subreflector. The present design method has been applied to an offset Gregorian antenna with a two‚Äêdimensional beam deflection, and its effectiveness is confirmed. Copyright ¬© 1988 Wiley Periodicals, Inc., A Wiley Company</t>
  </si>
  <si>
    <t>103-112</t>
  </si>
  <si>
    <t>60101699;60101699;60004541</t>
  </si>
  <si>
    <t>7403067757;7004304668;37092384300</t>
  </si>
  <si>
    <t>Makino, Shigeru;Katagi, Takashi;Kobayashi, Yuji</t>
  </si>
  <si>
    <t>Tokyo;Washington, D.C.</t>
  </si>
  <si>
    <t>Mitsubishi Electric Corporation;INTELSAT</t>
  </si>
  <si>
    <t>60101699;60004541</t>
  </si>
  <si>
    <t>Makino S.</t>
  </si>
  <si>
    <t>Design of offset dual reflector type multibeam antenna composed of parabolic reflector and shaped subreflector</t>
  </si>
  <si>
    <t>10.1002/ecja.4410710211</t>
  </si>
  <si>
    <t>2-s2.0-0023964682</t>
  </si>
  <si>
    <t>['telescope diameter', 'surface resolution', 'studied using', 'signal source', 'measurement accuracy', 'high accuracy', 'fresnel zone', 'fresnel region', 'derived aperture', 'atmospheric scintillation', '65 microns']</t>
  </si>
  <si>
    <t>The application of phase retrieval radio holography in the Fresnel region has been studied using an 86 GHz transmitter as signal source. Maps of the aperture-plane field distribution were made with a surface resolution of about 100 independent pixels across the telescope diameter. Over the 2. 7 km propagation path used (0. 005 of the far-field distance), the measurement accuracy was found to be determined by atmospheric scintillation. The root mean square measurement errors in the derived aperture-plane phase distribution were about 65 microns when expressed as axially resolved surface errors. The snr and dynamic range requirements are easy to fulfill in the Fresnel zone, while the necessary near field corrections can be applied with high accuracy. There are thus definite advantages to phase retrieval radio holography in this near field zone.</t>
  </si>
  <si>
    <t>61-64</t>
  </si>
  <si>
    <t>57213959193;7102356046;57209388678;7004776992</t>
  </si>
  <si>
    <t>Morris, D.;Hein, H.;Steppe, H.;Baars, J. W.M.</t>
  </si>
  <si>
    <t>Morris D.</t>
  </si>
  <si>
    <t>PHASE RETRIEVAL RADIO HOLOGRAPHY IN THE FRESNEL REGION: TESTS ON THE 30 m TELESCOPE AT 86 GHz.</t>
  </si>
  <si>
    <t>10.1049/ip-h-2.1988.0013</t>
  </si>
  <si>
    <t>2-s2.0-0023964765</t>
  </si>
  <si>
    <t>['waveguide stubs', 'reduction type', 'notable reduction', 'matrix formulation', 'matching technique', 'lossless structures', 'key elements', 'high accuracy', 'experimental results', 'efficient computer', 'computational scheme', 'computational effort', 'components realized', 'alternating boundary', '1 db']</t>
  </si>
  <si>
    <t>A computational scheme is proposed which can be applied to the analysis of cascaded waveguide discontinuities of alternating boundary-enlargement and boundary-reduction type. Based on the mode-matching technique, the proposed procedure makes use of the admittance matrix characterization of waveguide stubs. With respect to the conventional A-matrix formulation, it leads to a notable reduction of the computational effort, particularly for lossless structures. At the same time, the criterion for avoiding relative convergence problems can be satisfied. The procedure has been used to set up a very accurate and efficient computer-aided design tool of branch guide couplers (BGCs) These are key elements of beam forming networks for multicontoured beam satellite antennas and have to be designed with very high accuracy so as to eliminate the necessity for tuning the components realized. Design accuracies better than 0.1 dB in Ka-band are demonstrated by experimental results. ¬© 1988 IEEE</t>
  </si>
  <si>
    <t>394-403</t>
  </si>
  <si>
    <t>60027509;60027509;60027509</t>
  </si>
  <si>
    <t>7003424519;35609915000;7101648860</t>
  </si>
  <si>
    <t>Alessandri, Ferdinando;Bartolucci, Giancarlo;Sorrentino, Roberto</t>
  </si>
  <si>
    <t>Rome</t>
  </si>
  <si>
    <t>Universit√† degli Studi di Roma "Tor Vergata"</t>
  </si>
  <si>
    <t>Alessandri F.</t>
  </si>
  <si>
    <t>Admittance Matrix Formulation of Waveguide Discontinuity Problems: Computer-Aided Design of Branch Guide Directional Couplers</t>
  </si>
  <si>
    <t>10.1109/22.3528</t>
  </si>
  <si>
    <t>2-s2.0-0023964824</t>
  </si>
  <si>
    <t>NAG3-475</t>
  </si>
  <si>
    <t>['sufficiently lossy', 'structure must', 'space wavelength', 'lossy material', 'interior wall', 'corrugated waveguide', 'corrugated one', 'circularly polarized']</t>
  </si>
  <si>
    <t>A circular waveguide horn coated with a lossy material in its interior wall can be used as an alternative to a corrugated waveguide for radiating a circularly polarized (CP) field. To achieve good CP radiation, the diameter of the structure must be larger than the free-space wavelength, and the coating material must be sufficiently lossy and magnetic. This device is cheaper and lighter in weight than the corrugated one. ¬© 1988 IEEE</t>
  </si>
  <si>
    <t>297-300</t>
  </si>
  <si>
    <t>60005304;60005304;60005304</t>
  </si>
  <si>
    <t>7410158021;7601396617;36718998100</t>
  </si>
  <si>
    <t>Lee, Choon S.;Lee, Shung Wu;Justice, D. W.</t>
  </si>
  <si>
    <t>Lee C.S.</t>
  </si>
  <si>
    <t>Communications: A Simple Circular-Polarized Antenna: Circular Waveguide Horn Coated with Lossy Magnetic Material</t>
  </si>
  <si>
    <t>10.1109/8.1107</t>
  </si>
  <si>
    <t>2-s2.0-0023964920</t>
  </si>
  <si>
    <t>F49620-86-C-0088</t>
  </si>
  <si>
    <t>['small cost', 'linear arrays', 'array performance', 'arbitrary number', 'arbitrary directions']</t>
  </si>
  <si>
    <t>Several new formulations of analytic null steering algorithms for linear arrays are described. Two of them, the Œ≤-technique and the positive coefficient model, allow for placing an arbitrary number of nulls in arbitrary directions, while maintaining main beam and sidelobe level control. A method of incorporating these deterministic null steering techniques into existing adaptive algorithms, offering the possibility of increases in array performance at small cost, is currently being researched. ¬© 1988 IEEE</t>
  </si>
  <si>
    <t>301-303</t>
  </si>
  <si>
    <t>100424741;100424741</t>
  </si>
  <si>
    <t>57189206010;24496556200</t>
  </si>
  <si>
    <t>Byrnes, James S.;Newman, Donald J.</t>
  </si>
  <si>
    <t>Sharon</t>
  </si>
  <si>
    <t>Prometheus Inc</t>
  </si>
  <si>
    <t>Byrnes J.S.</t>
  </si>
  <si>
    <t>Null Steering Employing Polynomials with Restricted Coefficients</t>
  </si>
  <si>
    <t>10.1109/8.1108</t>
  </si>
  <si>
    <t>2-s2.0-0023965062</t>
  </si>
  <si>
    <t>Lawrence Livermore National Laboratory</t>
  </si>
  <si>
    <t>LLNL</t>
  </si>
  <si>
    <t>['widely used', 'td tool', 'td algorithm', 'slot physics', 'simple modifications', 'shielding purposes', 'shadow region', 'screen thicknesses', 'properly model', 'power microwave', 'one order', 'nonlinear effects', 'narrow slots', 'much less', 'metal surfaces', 'length resonances', 'lapped joints', 'lapped joint', 'joint path', 'joint exceeding', 'incident fields', 'general sense', 'fields transmitted', 'explore properties', 'difference time', 'develop new', 'become resonant', 'basic fd', 'angle turns']</t>
  </si>
  <si>
    <t>The physics of electromagnetic wave transmission through narrow slots and lapped joints in thick conducting screens is examined in detail by applying numerical models to compute both field distributions within the slots and joints, and fields transmitted to the shadow region. The primary modeling tool is the finite-difference time-domain (FD-TD) method, using a Faraday's law contour integral approach to develop new and simple modifications of the basic FD-TD algorithm to properly model the slot physics, even when the slot gap width is much less than one space lattice cell. Finely sampled method of moments (MM) models are used to validate the FD-TD tool for relatively simple straight slots; FD-TD is then used to explore properties of more complicated lapped joints which are widely used for shielding purposes at junctions of metal surfaces. It is found that previously reported slot resonances (screen thicknesses at which exceptionally large transmission of energy may occur) occur in a more general sense for lapped joints as path-length resonances. That is, the total path length along the lapped joint from the front of the screen to the back can become resonant, despite the presence of a number of right-angle turns in the joint path. In addition to greatly enhanced power transmission, path-length resonances can result in total fields within the joint exceeding the incident fields by more than one order of magnitude. Sample field distributions for this case are given. This field enhancement might cause sparking and other nonlinear effects during high-power microwave (HPM) illumination, and must be accounted in HPM coupling studies. ¬© 1988 IEEE</t>
  </si>
  <si>
    <t>247-257</t>
  </si>
  <si>
    <t>60027561;60027561;60027561;60007363;60022774</t>
  </si>
  <si>
    <t>7006104679;56969601900;7005879718;6602462536;7103029662</t>
  </si>
  <si>
    <t>Taflove, Allen;Umashankar, Korada R.;Beker, Benjamin;Harfoush, Fady;Yee, Kane S.</t>
  </si>
  <si>
    <t>Chicago;Boulevard;Evanston</t>
  </si>
  <si>
    <t>University of Illinois at Chicago;Lockheed Martin Space Systems Company;Northwestern University</t>
  </si>
  <si>
    <t>60027561;60022774;60007363</t>
  </si>
  <si>
    <t>Taflove A.</t>
  </si>
  <si>
    <t>Detailed FD-TD Analysis of Electromagnetic Fields Penetrating Narrow Slots and Lapped Joints in Thick Conducting Screens</t>
  </si>
  <si>
    <t>10.1109/8.1102</t>
  </si>
  <si>
    <t>2-s2.0-0023965344</t>
  </si>
  <si>
    <t>['wiley company', 'used widely', 'substrate thickness', 'radiated power', 'planar dipole', 'patch antennas', 'moment method', 'microstrip lines', 'measured data', 'matrix elements', 'inc .,', 'improved significantly', 'effective radius', 'asymptotic values', 'antenna performance']</t>
  </si>
  <si>
    <t>The moment method in the Fourier‚Äêtransformed domain has been used widely as a rigorous numerical method for analysis of patch antennas, microstrip lines, finlines and planar circuit structures. In this paper, this method has been applied to a planar printed dipole on the grounded dielectric substrate. The integrand in Sommerfeld‚Äêtype integrals with a slow convergence rate has been modified by means of an effective dielectric constant determined from the asymptotic values for large spectral components so that the convergence can be improved significantly. The method of computing the matrix elements in the moment method, evaluation of the effective radius of a planar dipole and separation of the radiated power and the surface wave power are discussed. Finally, the validity of the method is confirmed by comparison with measured data. In addition, the effect of the substrate thickness on the antenna performance is discussed. Copyright ¬© 1988 Wiley Periodicals, Inc., A Wiley Company</t>
  </si>
  <si>
    <t>113-122</t>
  </si>
  <si>
    <t>60008107;60008107</t>
  </si>
  <si>
    <t>7003938202;6701865440</t>
  </si>
  <si>
    <t>Kominami, Masanobu;Rokushima, Katsu</t>
  </si>
  <si>
    <t>Sakai</t>
  </si>
  <si>
    <t>Osaka Prefecture University</t>
  </si>
  <si>
    <t>Kominami M.</t>
  </si>
  <si>
    <t>Numerical analysis of the microstrip printed dipoles</t>
  </si>
  <si>
    <t>10.1002/ecja.4410710212</t>
  </si>
  <si>
    <t>2-s2.0-0023965544</t>
  </si>
  <si>
    <t>['wavelength deep', 'slot depth', 'return loss', 'horn controls', 'flare angles', 'flare angle', 'first slot', 'experimental measurements', '40 degrees', '20 degrees']</t>
  </si>
  <si>
    <t>A spherical modal matching technique is developed to analyze and design wide flare angle corrugated conical horns. The theory is verified by experimental measurements. It is found that the junction at the throat of the horn controls the return loss and the higher order mode excitation. The optimum throat geometry depends on the flare angle. For narrow flare angle horns, the first slot should be half a wavelength deep. For horns with semi-flare angles between about 20 degrees and 40 degrees, a short smooth wall conical section gives lowest return loss. For horns of larger flare angle the slot depth should be constant.</t>
  </si>
  <si>
    <t>34-40</t>
  </si>
  <si>
    <t>60022109;60022109</t>
  </si>
  <si>
    <t>7006827241;7201547071</t>
  </si>
  <si>
    <t>Olver, A. D.;Xiang, J.</t>
  </si>
  <si>
    <t>Olver A.</t>
  </si>
  <si>
    <t>WIDE ANGLE CORRUGATED HORNS ANALYSED USING SPHERICAL MODAL-MATCHING.</t>
  </si>
  <si>
    <t>10.1049/ip-h-2.1988.0007</t>
  </si>
  <si>
    <t>2-s2.0-0023965662</t>
  </si>
  <si>
    <t>['œ ∏|', 'symmetry plane', 'subreflector causes', 'spatial filtering', 'negligible spillover', 'main reflector', 'main beam', 'magnified image', 'illuminated efficiently', 'gregorian antenna', 'farfield sidelobes', 'excellent agreement', '80 db', '5 ghz', '30 ghz', '20 ¬∞.']</t>
  </si>
  <si>
    <t>A Gregorian antenna with the main reflector illuminated by a magnified image of a small horn aperture has been built and tested from 12 to 30 GHz. The image is approximately frequency independent, and the main reflector is illuminated efficiently, with negligible spillover. Polarization distortion caused by aberrations is very small, in excellent agreement with a simple expression derived previously. Spatial filtering by the subreflector causes the FarField sidelobes in the principal plane orthogonal to the symmetry plane to be very low, about 80 dB below the main beam at 16.5 GHz, for |Œ∏| &gt; 20¬∞. ¬© 1988 IEEE</t>
  </si>
  <si>
    <t>209-215</t>
  </si>
  <si>
    <t>7005699797;6603955397</t>
  </si>
  <si>
    <t>Dragone, Corrado;Ruscio, J. T.</t>
  </si>
  <si>
    <t>Dragone C.</t>
  </si>
  <si>
    <t>Imaging in a Gregorian Antenna from 12 to 30 GHz</t>
  </si>
  <si>
    <t>10.1109/8.1098</t>
  </si>
  <si>
    <t>2-s2.0-0023965904</t>
  </si>
  <si>
    <t>['turn radiate', 'strong function', 'steady rain', 'significant result', 'receiving antenna', 'received noise', 'problem parameters', 'predicting vhf', 'mhz measurements', 'lower frequency', 'line parameters', 'line conductors', 'incoherent superposition', 'impulsive currents', 'good agreement', 'final formula', 'electric dipoles', 'corona sources', 'antennas directed', 'angle dependent']</t>
  </si>
  <si>
    <t>corona | experiment | Power lines | VHF/UHF noise model</t>
  </si>
  <si>
    <t>A method for predicting VHF/UHF noise generated by corona on power-line conductors in steady rain has been developed. The corona sources are modeled as electric dipoles which are randomly distributed along the conductors and driven by impulsive currents. Each source induces currents on the conductors which in turn radiate as traveling wave antennas. The receiving antenna then responds to the incoherent superposition of the fields from each source. The model is calibrated by using the Bonneville Power Administration Corona and Field Effects Program (BPACFE) which is based on 75-MHz measurements in steady rain. The final formula is a function of the power-line parameters and receiving system characteristics. The most significant result is that the received noise is a strong function of the receiving antenna orientation. The noise is minimized for antennas directed at the line, while it is maximized for antennas directed down the line at an angle dependent on the other problem parameters. Lower frequency (i.e., 75 MHz) results are in good agreement with experiment. ¬© 1988 IEEE</t>
  </si>
  <si>
    <t>13-22</t>
  </si>
  <si>
    <t>60018208;</t>
  </si>
  <si>
    <t>7402077896;6507734955</t>
  </si>
  <si>
    <t>Olsen, Robert G.;Stimson, bradley O.</t>
  </si>
  <si>
    <t>Pullman</t>
  </si>
  <si>
    <t>Washington State University Pullman</t>
  </si>
  <si>
    <t>Olsen R.G.</t>
  </si>
  <si>
    <t>Predicting VHF/UHF Electromagnetic Noise from Corona on Power-Line Conductors</t>
  </si>
  <si>
    <t>10.1109/15.19883</t>
  </si>
  <si>
    <t>2-s2.0-0023966052</t>
  </si>
  <si>
    <t>['œ ≤', '¬ µh', 'straight thin', 'specific features', 'rcp gain', 'radiation resistance', 'radiation pattern', 'radiation field', 'radiation characteristics', 'point dipole', 'plane 0', 'linearly polarized', 'embedding medium', 'circularly polarized', 'azimuthally isotropic', 'also examined', 'achiral media', '0 ).']</t>
  </si>
  <si>
    <t>Antenna | isotropic chiral medium | isotropic chiral medium | radiation resistradiation</t>
  </si>
  <si>
    <t>Radiation characteristics of a straight thin-wire antenna embedded in an isotropic chiral medium {D = ŒµE + Œ≤e‚àá x E,B = ¬µH + Œ≤¬µ‚àá√ó H) are explored here. Whereas the radiation field is linearly polarized for achiral media, here it contains both left-circularly polarized (LCP) and right-circularly polarized (RCP) components. The radiation pattern is found to be symmetric about the plane 0 = œÄ/2, is azimuthally isotropic, and is TEM in nature; however, all three of these features are found as well for isotropic achiral media (Œ≤ = 0). Some specific features of the radiation field on the constant spherical surfaces r = nœÄ(1 ‚Äì k2Œ≤2)/2Œ≤k2 are also examined. If the antenna is reduced to a point dipole, it is shown that the radiation resistance is enhanced by the presence of chirality in the embedding medium, and the antenna LCP gain differs from the RCP gain. ¬© 1988 IEEE</t>
  </si>
  <si>
    <t>84-87</t>
  </si>
  <si>
    <t>60001439;60001439;60001439</t>
  </si>
  <si>
    <t>53877620200;7202350150;36039583900</t>
  </si>
  <si>
    <t>Lakhtakia, Akhlesh;Varadan, Vasundara V.;Varadan, Vijay K.</t>
  </si>
  <si>
    <t>University Park</t>
  </si>
  <si>
    <t>Pennsylvania State University</t>
  </si>
  <si>
    <t>Lakhtakia A.</t>
  </si>
  <si>
    <t>Radiation by a Straight Thin-Wire Antenna Embedded in an Isotropic Chiral Medium</t>
  </si>
  <si>
    <t>10.1109/15.19895</t>
  </si>
  <si>
    <t>2-s2.0-0023966085</t>
  </si>
  <si>
    <t>['¬© 1988', 'rights reserved', 'fundamental operation', 'electrical engineers', 'coplanar waveguide', 'attractive advantages']</t>
  </si>
  <si>
    <t>Antenna arrays | Antennas | Dielectrics and dielectric devices | Waveguides</t>
  </si>
  <si>
    <t>A coplanar waveguide array antenna which consists of a coplanar waveguide and wire loop antennas is proposed, and its structure and some attractive advantages are described. Also the fundamental operation of this antenna is confirmed by some experiments and discussed. ¬© 1988, The Institution of Electrical Engineers. All rights reserved.</t>
  </si>
  <si>
    <t>413-415</t>
  </si>
  <si>
    <t>Nakaoka, K.</t>
  </si>
  <si>
    <t>Sapporo</t>
  </si>
  <si>
    <t>Hokkaido University</t>
  </si>
  <si>
    <t>Nakaoka K.</t>
  </si>
  <si>
    <t>Coplanar Waveguide Array Antenna</t>
  </si>
  <si>
    <t>10.1049/el:19880280</t>
  </si>
  <si>
    <t>2-s2.0-0023966507</t>
  </si>
  <si>
    <t>['¬© 1988', 'unequal elements', 'sidelobe arrays', 'rights reserved', 'electrical engineers']</t>
  </si>
  <si>
    <t>Antenna arrays | Antenna radiation patterns | Antennas | Dipole antennas</t>
  </si>
  <si>
    <t>A new simple method for accurate radiation pattern synthesis of parallel dipole arrays is described and its applications to low-sidelobe arrays with equal and unequal elements are presented. ¬© 1988, The Institution of Electrical Engineers. All rights reserved.</t>
  </si>
  <si>
    <t>386-387</t>
  </si>
  <si>
    <t>60005465;60005465;60005465</t>
  </si>
  <si>
    <t>57194923919;57194915049;57194920658</t>
  </si>
  <si>
    <t>Wei, Chen;Chu-Fang, Xie;Shan-Mou, Zhang</t>
  </si>
  <si>
    <t>Chengdu</t>
  </si>
  <si>
    <t>University of Electronic Science and Technology of China</t>
  </si>
  <si>
    <t>Wei C.</t>
  </si>
  <si>
    <t>Accurate Pattern Synthesis of Parallel Dipole Arrays and its Application to Unequal Elements</t>
  </si>
  <si>
    <t>10.1049/el:19880261</t>
  </si>
  <si>
    <t>2-s2.0-0023966518</t>
  </si>
  <si>
    <t>['¬© 1988', 'wall admittance', 'rights reserved', 'lossy resonator', 'integral equation', 'feeding probe', 'electrical engineers', 'current distribution', '3 ).']</t>
  </si>
  <si>
    <t>Antenna feeders | Antennas | Microstrip | Resonators</t>
  </si>
  <si>
    <t>Considering the circular patch microstrip antenna as a lossy resonator with wall admittance, we discuss the current distribution on the feeding probe by solving the integral equation. It is shown the current distribution is uniform if only the ratio of the thickness to the wavelength in substrate is less than 0.3 (i.e. d/Œªe &lt; 0.3). ¬© 1988, The Institution of Electrical Engineers. All rights reserved.</t>
  </si>
  <si>
    <t>374-376</t>
  </si>
  <si>
    <t>60025278;60025278</t>
  </si>
  <si>
    <t>56210508300;57194921088</t>
  </si>
  <si>
    <t>Feng, Gao;Qi-Ji, Yang</t>
  </si>
  <si>
    <t>Beijing</t>
  </si>
  <si>
    <t>Tsinghua University</t>
  </si>
  <si>
    <t>Feng G.</t>
  </si>
  <si>
    <t>Effect of Substrate on Current Distribution of Feeding Probe</t>
  </si>
  <si>
    <t>10.1049/el:19880253</t>
  </si>
  <si>
    <t>2-s2.0-0023966679</t>
  </si>
  <si>
    <t>['various methods', 'system temperature', 'spatial resolution', 'rf bandwidth', 'remote sensing', 'phased arrays', 'much smaller', 'moving parts', 'microwave frequencies', 'large apertures', 'integration time', 'elements might', 'different ways', 'cross antenna', 'copyright 1988', 'collecting area']</t>
  </si>
  <si>
    <t>Passive microwave instruments for remote sensing of the Earth's surface from space can measure many meteorological parameters in the absence of daylight and in the presence of clouds. Because of the large apertures that are required to achieve good spatial resolution (1‚Äì5 km) at microwave frequencies, these radiometers should be arrays of small antenna elements that are arranged so that the collecting area of the radiometer is much smaller than that of a conventional, solid scanning antenna with the same spatial resolution. Despite the various methods that might be used for combining the signals from the different array elements and the different ways the elements might be arranged, the sensitivity depends almost exclusively on the collecting area, integration time, RF bandwidth, and the system temperature. Interferometers and phased arrays have limitations on their bandwidths that depend on the size of the array; beam‚Äêforming arrays are not so limited. A cross antenna is considered in some detail as an example of a sparse‚Äêaperture radiometer. It has 5‚Äêkm resolution from an 800‚Äêkm orbit and significantly better sensitivity than the equivalent conically scanning parabolic antenna, while it has only 10% of the collecting area and no moving parts. Copyright 1988 by the American Geophysical Union.</t>
  </si>
  <si>
    <t>193-205</t>
  </si>
  <si>
    <t>March-April 1988</t>
  </si>
  <si>
    <t>Milman, Andrew S.</t>
  </si>
  <si>
    <t>Milman A.</t>
  </si>
  <si>
    <t>Sparse‚Äêaperture microwave radiometers for Earth remote sensing</t>
  </si>
  <si>
    <t>10.1029/RS023i002p00193</t>
  </si>
  <si>
    <t>2-s2.0-0023966733</t>
  </si>
  <si>
    <t>['¬© 1988', 'wavelength filters', 'small dimensions', 'rights reserved', 'polarisation splitters', 'phased array', 'optical lithography', 'novel focusing', 'electrical engineers', 'dispersive component']</t>
  </si>
  <si>
    <t>Integrated optics | Optical multi/demultiplexers | Optical waveguide components | Optics</t>
  </si>
  <si>
    <t>A novel focusing and dispersive component is presented which is based on a phased array of bent optical waveguides. It combines good optical properties with small dimensions and can be realised with (high-quality) optical lithography. Applications are (de)multiplexers, wavelength filters and polarisation splitters. ¬© 1988, The Institution of Electrical Engineers. All rights reserved.</t>
  </si>
  <si>
    <t>385-386</t>
  </si>
  <si>
    <t>Smit, M. K.</t>
  </si>
  <si>
    <t>Delft</t>
  </si>
  <si>
    <t>Delft University of Technology</t>
  </si>
  <si>
    <t>Smit M.K.</t>
  </si>
  <si>
    <t>New Focusing and Dispersive Planar Component Based on an Optical Phased Array</t>
  </si>
  <si>
    <t>10.1049/el:19880260</t>
  </si>
  <si>
    <t>2-s2.0-0023966841</t>
  </si>
  <si>
    <t>['various transitions', 'transmission media', 'propagation characteristics', 'futuristic point', 'discontinuity structures', 'directional couplers', 'coupled lines', 'circuit applications', 'anisotropic dielectrics', 'also reported']</t>
  </si>
  <si>
    <t>This paper reports new results as well as a review of the Suspended Substrate Technology for microwave and millimeter wave applications. Quasi-static and hybrid mode methods employed to obtain the propagation characteristics of suspended substrate line with isotropic/anisotropic dielectrics are presented. Detailed propagation characteristics of single as well as coupled lines in this configuration are reported. In addition, characteristics of resonators and discontinuity structures are also reported. Various transitions from suspended substrate line to other transmission media are reviewed. Furthermore, circuit applications of suspended substrate line, which include, filters, multiplexers, directional couplers, mixers, circulators and antennas are presented. Lastly, problems which need to be tackled from current as well as futuristic point of view are highlighted.</t>
  </si>
  <si>
    <t>125-140</t>
  </si>
  <si>
    <t>IETE Journal of Research</t>
  </si>
  <si>
    <t>Mar-Apr</t>
  </si>
  <si>
    <t>Koul, Shiban K.</t>
  </si>
  <si>
    <t>Kanpur</t>
  </si>
  <si>
    <t>IIT Council</t>
  </si>
  <si>
    <t>Koul S.</t>
  </si>
  <si>
    <t>Suspended substrate technology for microwave and millimeter wave applications</t>
  </si>
  <si>
    <t>10.1080/03772063.1988.11436717</t>
  </si>
  <si>
    <t>2-s2.0-0023966933</t>
  </si>
  <si>
    <t>['wiley company', 'radiation characteristics', 'module incorporating', 'inc .,', 'coplanar waveguide', 'array module']</t>
  </si>
  <si>
    <t>array modules | microstrip | patch antenna | Slotline</t>
  </si>
  <si>
    <t>A feed network comprised of a combination of coplanar waveguide and slot transmission line is described for use in an array module of four microstrip elements. Examples of the module incorporating such networks are presented as well as experimentally obtained impedance and radiation characteristics. Copyright ¬© 1988 Wiley Periodicals, Inc., A Wiley Company</t>
  </si>
  <si>
    <t>26-29</t>
  </si>
  <si>
    <t>Microwave and Optical Technology Letters</t>
  </si>
  <si>
    <t>60000745;60000745;60000745;60000745;60000745;60026717</t>
  </si>
  <si>
    <t>7401934487;6507149157;56780018900;6603178631;57208462190;24522606100</t>
  </si>
  <si>
    <t>Lo, Y. T.;Oberhart, M. L.;Brenneman, J. S.;Aoyagi, P.;Moore, J.;Lee, R. Q.H.</t>
  </si>
  <si>
    <t>Cleveland;Urbana</t>
  </si>
  <si>
    <t>NASA Glenn Research Center;University of Illinois Urbana-Champaign</t>
  </si>
  <si>
    <t>60026717;60000745</t>
  </si>
  <si>
    <t>Lo Y.</t>
  </si>
  <si>
    <t>Slotline fed microstrip antenna array modules</t>
  </si>
  <si>
    <t>10.1002/mop.4650010111</t>
  </si>
  <si>
    <t>2-s2.0-0023977104</t>
  </si>
  <si>
    <t>['wiley company', 'two processes', 'time series', 'simulation procedure', 'signals appearing', 'procedure consists', 'parabolic reflector', 'inc .,', 'focal plane', 'also given']</t>
  </si>
  <si>
    <t>Atmospheric optics | atmospheric propagation | focal plane signal | quasioptical receiver</t>
  </si>
  <si>
    <t>A simulation procedure for generating the signals appearing at the focal plane of a parabolic reflector is presented. The procedure consists of generating the time series of the angle‚Äêof ‚Äêarrival fluctuation and intensity scintillation directly from their temporal power spectra and combining the two processes. An example of the procedure is also given. Copyright ¬© 1988 Wiley Periodicals, Inc., A Wiley Company</t>
  </si>
  <si>
    <t>40-44</t>
  </si>
  <si>
    <t>60015099;60000305;60000305</t>
  </si>
  <si>
    <t>6603221999;6603757979;7004044012</t>
  </si>
  <si>
    <t>Sitterle, Jeffrey J.;Claspy, Paul C.;Merat, Francis L.</t>
  </si>
  <si>
    <t>Atlanta;Cleveland</t>
  </si>
  <si>
    <t>Georgia Tech Research Institute;Case Western Reserve University</t>
  </si>
  <si>
    <t>60015099;60000305</t>
  </si>
  <si>
    <t>Sitterle J.</t>
  </si>
  <si>
    <t>Computer simulation of atmospherically corrupted signals at the focal plane of a parabolic antenna</t>
  </si>
  <si>
    <t>10.1002/mop.4650010115</t>
  </si>
  <si>
    <t>2-s2.0-0023977111</t>
  </si>
  <si>
    <t>['wiley company', 'waveguide lo', 'planar lo', 'inc .,', 'antenna patterns', 'angular dependence', '35 ghz']</t>
  </si>
  <si>
    <t>millimeter‚Äêwave mixers | Patch antenna | quasioptical techniques | subharmonically pumped mixers</t>
  </si>
  <si>
    <t>Two novel quasioptical mixers using patch antennas and compact local oscillator (LO) ports are described: a fundamentally pumped mixer with a waveguide LO and a subharmonically pumped mixer with a planar LO. The angular dependence of the antenna patterns, the isotropic conversion loss, and the mixer noise figure are presented. A 7.5‚ÄêdB noise figure has been measured at 35 GHz for the subharmonically pumped design. The importance of the effective antenna temperature and its effect on the mixer noise figure are discussed. Copyright ¬© 1988 Wiley Periodicals, Inc., A Wiley Company</t>
  </si>
  <si>
    <t>Jackson, C. M.</t>
  </si>
  <si>
    <t>Northrop Grumman corporation</t>
  </si>
  <si>
    <t>Jackson C.</t>
  </si>
  <si>
    <t>Patch antenna quasioptical mixers</t>
  </si>
  <si>
    <t>10.1002/mop.4650010102</t>
  </si>
  <si>
    <t>2-s2.0-0023977112</t>
  </si>
  <si>
    <t>['wiley company', 'paper reports', 'inc .,', 'frequency range', 'experimental results', 'distributed amplifier', 'amplifier gain', '250 œºw', '15 db']</t>
  </si>
  <si>
    <t>antenna beam forming | control of a MMIC transmit/receive (T/R) module by optical means | GaAs microwave monolithic integrated circuit (MMIC) | optical gain control | phased array antennas and antenna remoting</t>
  </si>
  <si>
    <t>This paper reports on experimental results of an optical gain control of a GaAs microwave monolithic integrated circuit (MMIC) distributed amplifier. The amplifier gain was varied by 15 dB and was controlled by a LED (250 ŒºW) over the frequency range of 5‚Äê8 GHz. The key to this investigation is the development of a simple inexpensive optical control mechanism that is compatible with MMIC fabrication methods. Copyright ¬© 1988 Wiley Periodicals, Inc., A Wiley Company</t>
  </si>
  <si>
    <t>13-16</t>
  </si>
  <si>
    <t>60014662-100346174;60014662</t>
  </si>
  <si>
    <t>7004552193;24463325600</t>
  </si>
  <si>
    <t>Paolella, A.;Herczfeld, P. R.</t>
  </si>
  <si>
    <t>Philadelphia;Monmouth</t>
  </si>
  <si>
    <t>Drexel University;US Army LABCOM</t>
  </si>
  <si>
    <t>60014662;100346174</t>
  </si>
  <si>
    <t>Paolella A.</t>
  </si>
  <si>
    <t>Optical gain control of a GaAs MMIC distributed amplifier</t>
  </si>
  <si>
    <t>10.1002/mop.4650010106</t>
  </si>
  <si>
    <t>2-s2.0-0023977123</t>
  </si>
  <si>
    <t>['wiley company', 'successfully combined', 'power outputs', 'inc .,', 'frequency coherency']</t>
  </si>
  <si>
    <t>active arrays | Gunn oscillators | injection locking techniques | path antennas | Power combining</t>
  </si>
  <si>
    <t>Active antenna elements have been fabricated using Gunn diodes and microstrip patch antennas. The power outputs from two of these elements have been successfully combined in space. Frequency coherency was achieved by injection locking using either the spatial locking technique or the mutual coupling locking technique. Copyright ¬© 1988 Wiley Periodicals, Inc., A Wiley Company</t>
  </si>
  <si>
    <t>60020547;60020547</t>
  </si>
  <si>
    <t>7003548524;7404879378</t>
  </si>
  <si>
    <t>Hummer, Kenneth A.;Chang, Kai</t>
  </si>
  <si>
    <t>College Station</t>
  </si>
  <si>
    <t>Texas A&amp;M University</t>
  </si>
  <si>
    <t>Hummer K.</t>
  </si>
  <si>
    <t>Spatial power combining using active microstrip patch antennas</t>
  </si>
  <si>
    <t>10.1002/mop.4650010104</t>
  </si>
  <si>
    <t>2-s2.0-0023977153</t>
  </si>
  <si>
    <t>F13628-86-C-0001</t>
  </si>
  <si>
    <t>['transmission line', 'receiving system', 'numerical results', 'noise factors']</t>
  </si>
  <si>
    <t>The system operating noise factor of a receiving system is modeled for arbitrary impedance mismatch of the antenna to the transmission line feeding the receiver. The effect of this mismatch on the noise factors of the transmission line and the receiver are considered. The amount of mismatch that can be tolerated before the internal system noise factor exceeds the external noise factor is determined. Numerical results are presented for a VHF-FM radio receiving system with an electrically short monopole antenna. ¬© 1988 IEEE</t>
  </si>
  <si>
    <t>133-140</t>
  </si>
  <si>
    <t>IEEE Transactions on Aerospace and Electronic Systems</t>
  </si>
  <si>
    <t>Welner, M. M.</t>
  </si>
  <si>
    <t>McLean</t>
  </si>
  <si>
    <t>MITRE Corporation</t>
  </si>
  <si>
    <t>Welner M.M.</t>
  </si>
  <si>
    <t>Noise Factor of Receiving System with Arbitrary Antenna Impedance Mismatch</t>
  </si>
  <si>
    <t>10.1109/7.1046</t>
  </si>
  <si>
    <t>2-s2.0-0023978190</t>
  </si>
  <si>
    <t>['¬© 1988', 'superstate thickness', 'rights reserved', 'resonant frequency', 'input impedance', 'environmental hazards', 'empirical relations', 'electrical engineers', 'dielectric layers']</t>
  </si>
  <si>
    <t>Antenna theory | Antennas | Dielectrics and dielectric devices | Microstrip</t>
  </si>
  <si>
    <t>Experiments with patch antennas covered with dielectric layers were conducted. Empirical relations between the resonant frequency, input impedance and superstate thickness are obtained. The results are useful for the design of antennas to be covered with dielectric to protect against environmental hazards. ¬© 1988, The Institution of Electrical Engineers. All rights reserved.</t>
  </si>
  <si>
    <t>356-358</t>
  </si>
  <si>
    <t>60015186;100846056</t>
  </si>
  <si>
    <t>7402673635;6507969774</t>
  </si>
  <si>
    <t>Bhattacharyya, A.;Tralman, T.</t>
  </si>
  <si>
    <t>Canada;Canada</t>
  </si>
  <si>
    <t>Saskatoon;Kemptville</t>
  </si>
  <si>
    <t>University of Saskatchewan;Til-Tek Ltd</t>
  </si>
  <si>
    <t>Bhattacharyya A.</t>
  </si>
  <si>
    <t>Effects of Dielectric Superstrate on Patch Antennas</t>
  </si>
  <si>
    <t>10.1049/el:19880242</t>
  </si>
  <si>
    <t>2-s2.0-0023978647</t>
  </si>
  <si>
    <t>['¬© 1988', 'vlbi ).', 'system concepts', 'spacecraft signal', 'significant improvement', 'planetary mission', 'new technologies', 'major implementations', 'ground stations', 'ground instrument', 'gravitational waves', 'galileo mission', 'frequency stability', 'baseline interferometry', 'based navigation', 'angular precision', '2 deg']</t>
  </si>
  <si>
    <t>The Galileo mission to Jupiter has unique scientific objectives never attempted before by a planetary mission. These objectives have presented technical challenges to the NASA Deep Space Network. New technologies and system concepts have been developed to meet these challenges. Major implementations are underway to equip the ground stations in the Network. Significant improvement in performance is expected. The ground-based navigation is expected to achieve an angular precision of 50 nanoradians using very-long-baseline interferometry (VLBI). The frequency stability of ground instrument will be 5 √ó 10-15 for the detection of gravitational waves. The precision of Faraday rotation angle measurement of the spacecraft signal will be better than 2 deg. ¬© 1988.</t>
  </si>
  <si>
    <t>321-330</t>
  </si>
  <si>
    <t>60009037;60009037;60009037;60009037;60009037</t>
  </si>
  <si>
    <t>7201447918;7403155808;6507979786;6506662541;7003529896</t>
  </si>
  <si>
    <t>Peng, T. K.;Armstrong, J. W.;Breidenthal, J. C.;Donivan, F. F.;Ham, N. C.</t>
  </si>
  <si>
    <t>Peng T.</t>
  </si>
  <si>
    <t>Deep space network enhancement for the Galileo mission to Jupiter</t>
  </si>
  <si>
    <t>0094-5765(88)90041-0</t>
  </si>
  <si>
    <t>10.1016/0094-5765(88)90041-0</t>
  </si>
  <si>
    <t>2-s2.0-0023978691</t>
  </si>
  <si>
    <t>['¬© 1988', 'uniform theory', 'properly added', 'present paper', 'good agreement', 'francis group', 'experimental models']</t>
  </si>
  <si>
    <t>The present paper is concerned with the study of the elevation plane patterns of a Œª/4 monopole mounted on thick finite ground planes. The uniform theory of diffraction (UTD) of Kouyoumjian and Pathak is utilized in this study. Circular and square ground planes are assumed. First and second order diffracted fields are properly added to the geometrical optics solution to get the total field expression. Results of calculations are presented. Experimental models are built, and comparison with measurements is given. Very good agreement between calculations and measurements is shown. ¬© 1988, Taylor and Francis Group, LLC.</t>
  </si>
  <si>
    <t>345-358</t>
  </si>
  <si>
    <t>60000617;124318049</t>
  </si>
  <si>
    <t>35936069800;7202648480</t>
  </si>
  <si>
    <t>Ibrahim, Hosny M.;Stephenson, David T.</t>
  </si>
  <si>
    <t>Egypt;United States</t>
  </si>
  <si>
    <t>Assiut;Ames</t>
  </si>
  <si>
    <t>Assiut University;ISU</t>
  </si>
  <si>
    <t>Ibrahim H.M.</t>
  </si>
  <si>
    <t>Radiation patterns of a Œª/4 monopole mounted on thick finite square and circular ground planes</t>
  </si>
  <si>
    <t>10.1080/00207218808962809</t>
  </si>
  <si>
    <t>2-s2.0-0023978866</t>
  </si>
  <si>
    <t>['television rediffusion', 'television distribution', 'system margin', 'sun outage', 'rain fades', 'particular system', 'paper discusses', 'november 1970', 'normally provided', 'modest amount', 'l meter', 'ku band', 'considerations leading', 'community reception']</t>
  </si>
  <si>
    <t>In November 1970 a domestic communication satellite system for television distribution was filed with the FCC. The system featured continuous video reception during times of sun outage. Despite the fact that this particular system was not instrumented, the considerations leading to the design of a sun outage free video distribution system may still be of interest. It is true that in the case of television rediffusion the time of sun outage may be bridged by inserting local programming; however, this is not possible in television satellite direct broadcasting. Therefore, sun outage avoidance could still be considered, especially in the case of community type receiving stations. This article presents first a description of a sun outage combatant C band satellite television distribution system that uses two satellites and a dual feed earth station for community reception. Second, this paper discusses how system parameters translate into Ku band. It is concluded that in a Ku band direct broadcasting system with earth station antenna diameters of l meter and below, the rise in noise temperature due to sun outage is not significant and can be overcome by a modest amount of system margin, equivalent to that normally provided against rain fades. ¬© 1988 IEEE</t>
  </si>
  <si>
    <t>18-23</t>
  </si>
  <si>
    <t>IEEE Transactions on Broadcasting</t>
  </si>
  <si>
    <t>Johannsen K.G.</t>
  </si>
  <si>
    <t>Combating sun outage in satellite television distribution systems</t>
  </si>
  <si>
    <t>10.1109/11.1408</t>
  </si>
  <si>
    <t>2-s2.0-0023979265</t>
  </si>
  <si>
    <t>84-AS-2055</t>
  </si>
  <si>
    <t>['thematic classes', 'swath due', 'study demonstrates', 'spectral signatures', 'slopes less', 'slope angle', 'sar images', 'radiometric values', 'radiometric quality', 'moderate relief', 'look direction', 'look angle', 'incidence angle', 'illumination across', 'grouped classes', 'ground data', 'eliminate part', 'effects related', 'dtm ).', 'cover types', 'correction method', 'combined effects', 'antenna pattern', 'analysis using', '6 ¬∞', '26 ¬∞.']</t>
  </si>
  <si>
    <t>We have examined the combined effects of topography, slope, look angle, and aspect on C-band SAR data. These are the principal environmental factors that affect the radiometric quality of SAR images in a region of moderate relief. We used a correction method in order to attenuate the change of illumination across the swath due to the antenna pattern. Ground data were integrated into the analysis using a digital terrain model (DTM). Correction functions based on the cosine of the incidence angle were applied to the thematic classes and to the grouped classes in order to reduce the effects related to topography. The study demonstrates that it is possible to eliminate part of the radiometric variations created by moderate topographic relief. After the corrections were applied, we noted a reduction of the variance in the radiometric values of the spectral signatures of the cover types, which ranged between 3.03 and 9.47 percent depending on the correction function used. No noticable correction occurred of pixels with slopes less than 6¬∞ and at local incident angles less than 26¬∞. However, the closer the slopes are to being perpendicular to the look direction, the stronger is the correlation between backscatter and slope angle. ¬© 1988 IEEE</t>
  </si>
  <si>
    <t>122-132</t>
  </si>
  <si>
    <t>IEEE Transactions on Geoscience and Remote Sensing</t>
  </si>
  <si>
    <t>60011832;60011832;60011832</t>
  </si>
  <si>
    <t>6506733465;7003799996;7004536139</t>
  </si>
  <si>
    <t>Hinse, Mario;Gwyn, Q. H.J.;Bonn, F.</t>
  </si>
  <si>
    <t>Sherbrooke</t>
  </si>
  <si>
    <t>Universit√© de Sherbrooke</t>
  </si>
  <si>
    <t>Hinse M.</t>
  </si>
  <si>
    <t>Radiometric Correction Of C-Band Imagery For Topographic Effects In Regions Of Moderate Relief</t>
  </si>
  <si>
    <t>10.1109/36.3012</t>
  </si>
  <si>
    <t>2-s2.0-0023980628</t>
  </si>
  <si>
    <t>['widely used', 'symmetrical structures', 'simply modelled', 'phase constant', 'numerical aspects', 'guiding structures', 'guiding structure', 'generalized form', 'discontinuities yields', 'characteristic impedance', 'approximate characterization']</t>
  </si>
  <si>
    <t>The conventional transverse resonance method, which has been widely used for the approximate characterization of a number of guiding structures and leaky wave antennas, is formulated in a generalized form. The transverse resonance viewpoint combined with the generalized matrix representation of discontinuities yields a rigorous transverse equivalent circuit of the guiding structure. This technique is used to compute the characteristics of both symmetrical and asymmetrical double slot unilateral finlines in terms of phase constant and characteristic impedance of the dominant as well as higher‚Äêorder modes. Numerical aspects of this method are discussed. In a double‚Äêslot finline structure, a coupled‚Äêmode regime is established with the onset of the first higher‚Äêorder mode in addition to the dominant quasi‚ÄêTEM mode. Symmetrical structures are simply modelled in terms of even and odd mode characteristics, but a more general coupled‚Äêline model, in terms of the C‚Äêmode and the II‚Äêmode must be applied to asymmetrical coupled finlines. Copyright ¬© 1988 John Wiley &amp; Sons, Ltd</t>
  </si>
  <si>
    <t>45-59</t>
  </si>
  <si>
    <t>International Journal of Numerical Modelling: Electronic Networks, Devices and Fields</t>
  </si>
  <si>
    <t>7005923766;7101648860;6603631235</t>
  </si>
  <si>
    <t>Schiavon, Giovanni;Sorrentino, Roberto;Tognolatti, Piero</t>
  </si>
  <si>
    <t>Schiavon G.</t>
  </si>
  <si>
    <t>Characterization of coupled finlines by generalized transverse resonance method</t>
  </si>
  <si>
    <t>10.1002/jnm.1660010107</t>
  </si>
  <si>
    <t>2-s2.0-0023980665</t>
  </si>
  <si>
    <t>['‚ äúmethod', 'space wavelength', 'set equal', 'mounted monopole', 'ground constants', 'conventional ground', '25 free', '0 mhz']</t>
  </si>
  <si>
    <t>Computer modeling studies indicate that an elevated vertical monopole antenna with four elevated horizontal radials produces more ground-wave field strength than does a conventional ground-mounted monopole with 120 buried radials. For the analysis, the length of the radials and the height of the monopole were set equal to 0.25 free-space wavelength, and the frequency of operation was fixed at 1.0 MHz. Three different sets of ground constants were used, simulating ‚Äúaverage‚Äù, ‚Äúvery good‚Äù, and ‚Äúvery bad‚Äù soil electrical parameters. The computer code used for this work was NEC-GS, a ‚ÄúMethod of Moments‚Äù program which was developed at Lawrence Livermore National Laboratory. ¬© 1988 IEEE</t>
  </si>
  <si>
    <t>75-77</t>
  </si>
  <si>
    <t>60011132;60011132;60033012;60026175;115596446</t>
  </si>
  <si>
    <t>7003514705;7003656248;57197271731;6701384134;7004869981</t>
  </si>
  <si>
    <t>Christman, A.;Radcliff, Roger;Adler, Dick;Breakall, Jim;Resnick, A.</t>
  </si>
  <si>
    <t>United States;United States;United States;United States</t>
  </si>
  <si>
    <t>Monterey;Livermore;Athens;New York</t>
  </si>
  <si>
    <t>Naval Postgraduate School;Lawrence Livermore National Laboratory;Ohio University;Capital Cities/ABC, Inc.</t>
  </si>
  <si>
    <t>60033012;60026175;60011132;115596446</t>
  </si>
  <si>
    <t>Christman A.</t>
  </si>
  <si>
    <t>AM Broadcast Antennas with Elevated Radial Ground Systems</t>
  </si>
  <si>
    <t>10.1109/11.1415</t>
  </si>
  <si>
    <t>2-s2.0-0023980740</t>
  </si>
  <si>
    <t>46-55</t>
  </si>
  <si>
    <t>Chakraborty, D.</t>
  </si>
  <si>
    <t>Chakraborty D.</t>
  </si>
  <si>
    <t>Technical Considerations of T-1 Carrier Transmission Via Ku-Band Domestic Satellites</t>
  </si>
  <si>
    <t>10.1109/35.438</t>
  </si>
  <si>
    <t>2-s2.0-0023981252</t>
  </si>
  <si>
    <t>F49620-82-C-0035</t>
  </si>
  <si>
    <t>['weight estimates', 'unbiased estimation', 'theoretical analysis', 'simulation results', 'one another', 'minimal estimators', 'matrix inversions', 'iv methods', 'instrumental variable', 'eigenvector techniques']</t>
  </si>
  <si>
    <t>An instrumental variable (IV) approach is presented for estimating the weights of an adaptive antenna array. Theoretical analysis of the IV method shows that the antenna gain weights are independent of finitely correlated noise, so that unbiased estimation of signal arrival angles is possible. Only matrix inversions are required to compute the weight estimates. In this sense the IV method provides performance comparable with eigenvector techniques but with lower computational burden. Both minimal and overdetermined IV estimators are derived. The overdetermined estimators give the same theoretical array weights as minimal estimators do, but yield more accurate weight estimates in real data situations. Simulation results are presented to compare these IV methods with one another and with conventional matrix inversion weight estimators. ¬© 1988 IEEE</t>
  </si>
  <si>
    <t>192-202</t>
  </si>
  <si>
    <t>60003500;60027090</t>
  </si>
  <si>
    <t>35567209400;56273118500</t>
  </si>
  <si>
    <t>Moses, Randolph L.;Louis Beex, A. A.</t>
  </si>
  <si>
    <t>Blacksburg;Columbus</t>
  </si>
  <si>
    <t>Virginia Polytechnic Institute and State University;The Ohio State University</t>
  </si>
  <si>
    <t>60027090;60003500</t>
  </si>
  <si>
    <t>Moses R.L.</t>
  </si>
  <si>
    <t>Instrumental Variable Adaptive Array Processing</t>
  </si>
  <si>
    <t>10.1109/7.1053</t>
  </si>
  <si>
    <t>2-s2.0-0023981411</t>
  </si>
  <si>
    <t>['upper bounds', 'new lower']</t>
  </si>
  <si>
    <t>New lower and upper bounds on the size of optimal difference triangle sets are given. ¬© 1988 IEEE</t>
  </si>
  <si>
    <t>355-361</t>
  </si>
  <si>
    <t>Klve, Torleiv</t>
  </si>
  <si>
    <t>Bergen</t>
  </si>
  <si>
    <t>Universitetet i Bergen</t>
  </si>
  <si>
    <t>Klve T.</t>
  </si>
  <si>
    <t>Bounds on the Size of Optimal Difference Triangle Sets</t>
  </si>
  <si>
    <t>10.1109/18.2652</t>
  </si>
  <si>
    <t>2-s2.0-0023981506</t>
  </si>
  <si>
    <t>['wlsl ),', 'wind retrieval', 'system planned', 'surface wind', 'spaceborne scatterometer', 'relates œé', 'quite comparable', 'ocean surface', 'nasa scatterometer', 'log domain', 'geophysical model', 'computational load', 'comparison study', 'awls ),', 'antenna beam', 'algorithm performance']</t>
  </si>
  <si>
    <t>Using the radar backscattering coefficient (œÉ0) measurements over the ocean surface by a spaceborne scatterometer, one can estimate the near-surface wind by using a geophysical model that relates œÉ to winds and a wind estimation algorithm. The so-called SOS algorithm, which is basically an algorithm with weighted least squares in the log domain (WLSL), was used to process the Seasat SASS data. In this paper, we compare the performances of seven wind estimation algorithms, including the WLSL, maximum-likelihood (ML), least squares (LS), weighted least squares (WLS), adjustable weighted least squares (AWLS), Ll norm, and least wind speed squares (LWSS) algorithms, for wind retrieval. For each algorithm, we present performance simulation results for the NASA scatterometer (NSCAT) [4] system planned to be launched in the 1990's. A relative performance merit based on the root mean square value of wind vector error is devised for this comparison study. According to this merit, performances for all algorithms are quite comparable. However, the results do indicate that the ML algorithm performs best for the 50-km wind resolution cell case and the Ll norm algorithm performs best for the 25-km wind resolution cell case. We have also considered preaveraging the œÉ0 measurements obtained from each antenna beam for the 50-km resolution wind cell case. The performances of all algorithms are even more similar in these cases with preaveraging, although the Ll norm algorithm performs best. Finally, the issue of using a two-stage wind estimation method in order to reduce the computational load and its impact on algorithm performance are discussed. ¬© 1988 IEEE</t>
  </si>
  <si>
    <t>115-121</t>
  </si>
  <si>
    <t>7401898890;7406055960</t>
  </si>
  <si>
    <t>Chi, Chong Yung;Li, Fuk K.</t>
  </si>
  <si>
    <t>Chi C.</t>
  </si>
  <si>
    <t>A Comparative Study Of Several Wind Estimation Algorithms For Spaceborne Scatterometers</t>
  </si>
  <si>
    <t>10.1109/36.3011</t>
  </si>
  <si>
    <t>2-s2.0-0023981526</t>
  </si>
  <si>
    <t>['scattering parameters', 'port network', 'parameter matrix', 'matching condition', 'many applications', 'input impedance', 'form solutions', 'equivalent six', 'coupling circuit', 'active array']</t>
  </si>
  <si>
    <t>An analytical method based upon the aperture coupling theory and the derivation of S-parameter matrix has been developed for modeling a microstrip line coupled to a microstrip patch antenna using a circular coupling aperture. Closed-form solutions were derived for scattering parameters of the coupling circuit. Input impedance and matching condition can be calculated from the equivalent six-port network. The theoretical results agree well with the measurements. The analysis should have many applications in active array and spatial power combining systems. ¬© 1988 IEEE</t>
  </si>
  <si>
    <t>505-513</t>
  </si>
  <si>
    <t>;60020547</t>
  </si>
  <si>
    <t>7403873276;7404879378</t>
  </si>
  <si>
    <t>Gao, Xuanzheng;Chang, Kai</t>
  </si>
  <si>
    <t>Gao X.</t>
  </si>
  <si>
    <t>Network Modeling of an Aperture Coupling Between Microstrip Line and Patch Antenna for Active Array Applications</t>
  </si>
  <si>
    <t>10.1109/22.3542</t>
  </si>
  <si>
    <t>2-s2.0-0023981739</t>
  </si>
  <si>
    <t>['winding rope', 'winding engineman', 'transmission medium', 'thus measuring', 'three problems', 'tension data', 'technologies new', 'slack rope', 'signals efficiently', 'shaft environment', 'shaft accident', 'resultant system', 'regular use', 'radio signal', 'particular problem', 'markham colliery', 'information must', 'improve safety', 'high level', 'guided radio', 'conveyance anywhere', 'common element', 'approach adopted', 'allow conversations', 'acoustic noise', '20 installations']</t>
  </si>
  <si>
    <t>The aim of this paper is to describe the process of designing a system to improve safety and productivity in shafts. The objectives and constraints for the design were set out in official reports following a shaft accident at Markham Colliery in 1973. The problems to be solved were: to enable the shaftsmen to transfer the existing statutory code of signals efficiently from, or on top of, a conveyance anywhere in the shaft to the winding engineman and banksman at the surface: to detect the existence of slack rope or to detect that conditions have arisen that slack rope could be created and transmit this information to where action can be taken; and to allow conversations between winding engineman, banksman and shaftsman making allowances for the high level of acoustic noise in shafts. The approach adopted for slack rope monitoring was to monitor the tension in the cage suspension gear, thus measuring a first order effect. The three problems have a common element: information must be transferred through the shaft. This particular problem was solved with guided radio, using the winding rope as the transmission medium. The radio signal is coupled into the winding rope by means of a fixed toroid encircling it at the cage and fixed magnetic antennas at the surface. The design of digital transmission system for signalling and tension data is discussed. The 'top down' modular approach used in the design enabled full advantage to be taken of the opportunities for building a more reliable, safer and flexible system presented by technologies new to the shaft environment. The resultant system, the Safecom Shaft Signalling Communication and Winder Safety Monitoring System type S100, is in regular use at over 20 installations. ¬© 1988 Elsevier Science Publishers B.V.</t>
  </si>
  <si>
    <t>301-313</t>
  </si>
  <si>
    <t>Mining Science and Technology</t>
  </si>
  <si>
    <t>60163091;105882514;105882514</t>
  </si>
  <si>
    <t>7402421771;57197181789;7404581868</t>
  </si>
  <si>
    <t>Owen, D.;Parsons, R.;Ward, R.</t>
  </si>
  <si>
    <t>Coventry;Ashbourne</t>
  </si>
  <si>
    <t>Faculty of Science, Engineering and Medicine;Safecom Limited</t>
  </si>
  <si>
    <t>60163091;105882514</t>
  </si>
  <si>
    <t>Owen D.</t>
  </si>
  <si>
    <t>System design for shaft safety and productivity</t>
  </si>
  <si>
    <t>S0167903188903027</t>
  </si>
  <si>
    <t>10.1016/S0167-9031(88)90302-7</t>
  </si>
  <si>
    <t>2-s2.0-0023981838</t>
  </si>
  <si>
    <t>['well proved', 'used add', 'unique method', 'three tower', 'stray self', 'readily accomplished', 'radically new', 'profound feature', 'prior art', 'phasor trimming', 'phasor adjustments', 'objectivity compared', 'new methodology', 'network adjustments', 'mutual reactances', 'mutual coupling', 'line array', 'initially set', 'impedance bridges', 'high power', 'exceptional accuracy', 'entire system', 'easily detected', 'desired results', 'complete departure', 'bandwidth problems', 'automatically absorbed', 'another consisted', 'adjacent towers', 'actual values', '14 pounds']</t>
  </si>
  <si>
    <t>A radically new and unique method of A.M. directional antenna system tuning has been developed. It takes into account and absorbs stray inductances and capacitances, mutual coupling between components and with the results of very high initial adjustment accuracy. No impedance bridges are needed and therefore the equipments that are used add up to only 14 pounds of weight. The desired results can be readily accomplished with greatly increased accuracy, convenience, speed and much more objectivity compared to the prior art. Tower base matching networks (L.T.U.s) can be adjusted with exceptional accuracy and rapidity. Stray self and mutual reactances are automatically absorbed and compensated for with little or no need to be concerned about their actual values. Bandwidth problems are easily detected and located. The most profound feature of this new methodology is that no coordination of antenna monitor data and phasor trimming is needed while L.T.U. adjustments are being made. No antenna monitor readings or phasor adjustments are needed during L.T.U. network adjustments, a complete departure from the prior art! An entire system can be initially set up, with precision matched transmission lines, in exceptionally short time spans and by one man working alone. Safe low power, a few watts, is used and hence adjustments may be made without nearly incessant and irritating on-off operation of the transmitter, running at substantial or high power. It has well proved itself in eleven field tune-up projects including three fifty kilowatt, two ten kilowatt directional antenna systems. Another consisted of a three tower in-line array with only sixty degree spacing between adjacent towers! ¬© 1988 IEEE</t>
  </si>
  <si>
    <t>63-69</t>
  </si>
  <si>
    <t>Colligan, Frank S.</t>
  </si>
  <si>
    <t>Colligan F.S.</t>
  </si>
  <si>
    <t>A new and systems oriented method of directional antenna tuning</t>
  </si>
  <si>
    <t>10.1109/11.1413</t>
  </si>
  <si>
    <t>2-s2.0-0023981863</t>
  </si>
  <si>
    <t>Royal Society</t>
  </si>
  <si>
    <t>['unwanted discontinuities', 'recently analyzed', 'image line', 'idg components', 'fundamental viewpoint', 'fabricate alternative', 'essential prerequisite', 'discrete spectrum', 'dielectric interface', 'also address']</t>
  </si>
  <si>
    <t>The inset dielectric guide (IDG) is an easy-to-fabricate alternative to image line that is also less sensitive to loss by radiation at unwanted discontinuities. The discrete spectrum of the IDG was recently analyzed by the transverse resonance diffraction (TRD) method. In this paper we complete the characterization of the spectrum to include the continuum. We also address from a fundamental viewpoint the question of its orthonormalization, and determine the Green#x2019;s function of the -guide, which is an essential prerequisite to the analysis of IDG components and of IDG antenna feeds. An application is given to the scattering by a dipole on the air-dielectric interface. ¬© 1988 IEEE</t>
  </si>
  <si>
    <t>542-551</t>
  </si>
  <si>
    <t>60030480;60030480</t>
  </si>
  <si>
    <t>56253019800;56332046000</t>
  </si>
  <si>
    <t>Rozzi, T.;Ma, Lizhuang</t>
  </si>
  <si>
    <t>Bath</t>
  </si>
  <si>
    <t>University of Bath</t>
  </si>
  <si>
    <t>Rozzi T.</t>
  </si>
  <si>
    <t>Mode Completeness, Normalization, and Green#x2019;s Function of the Inset Dielectric Guide</t>
  </si>
  <si>
    <t>10.1109/22.3547</t>
  </si>
  <si>
    <t>2-s2.0-0023981966</t>
  </si>
  <si>
    <t>['‚ äúout', '‚ äúfield', '‚ äúcurrent', 'towers differs', 'tower currents', 'tower current', 'theoretical pattern', 'starting point', 'slightly different', 'sinusoidal distribution', 'reference tower', 'readily used', 'precisely match', 'power radiated', 'power line', 'phase varies', 'perfect match', 'paper describes', 'nec program', 'nec model', 'field radiated', 'essential starting', 'elevation patterns', 'directional array', 'da towers', 'current distribution', 'base voltages', 'azimuth pattern', 'array design']</t>
  </si>
  <si>
    <t>The Numerical Electromagnetics Code(NEC) is a general-purpose wire antenna analysis computer program which is capable of modelling both a standard-broadcast directional array (DA) and a scatterer such as a power line. The starting point for such a study is a NEC model of the directional array itself. The DA's admittance matrix could be used to choose voltage excitations for the NEC model such that NEC's tower-base currents agree in magnitude and phase with those of the array's design. But this choice of excitation is unsatisfactory because NEC's azimuth pattern differs from the ‚Äútheoretical‚Äù azimuth pattern, which is computed using sinusoidal current distributions on the DA towers. The difference is accounted for by the phase of the tower currents: In the NEC model the phase varies with height above the ground on each tower, but in the sinusoidal current approximation, the phase of the tower current is constant. In this paper, the NEC model of the DA is regarded as being ‚Äúout of adjustment‚Äù, and the objective is to adjust the excitation of the NEC model such that its azimuth pattern matches the array's ‚Äútheoretical‚Äù pattern. The directional antenna array design specifies the ‚Äúfield-parameter‚Äù ratios of the towers of the array, which consist of the magnitude and phase of the ratio of the field radiated by each tower to that radiated by the reference tower. This paper describes the ‚Äúcurrent-moment method‚Äù for choosing the tower-base voltages which excite the NEC model of the array such that the field-parameters of the NEC model become identical to those of the design. Then the NEC model's azimuth pattern is a perfect match of the theoretical pattern. The elevation patterns of the NEC model of the array can be different from their ‚Äútheoretical‚Äù counterparts because NEC's current distribution on the towers differs in phase from the sinusoidal distribution. Also, the power radiated by the NEC model of the array will be slightly different from that radiated in the array design. With ‚Äúcurrent-moment matching‚Äù NEC is readily used to precisely match the theoretical azimuth pattern of any multi-tower broadcast directional array. An accurate NEC model is an essential starting-point for scattering or reradiation studies based on the NEC program. ¬© 1988 IEEE</t>
  </si>
  <si>
    <t>39-49</t>
  </si>
  <si>
    <t>Trueman, C. W.</t>
  </si>
  <si>
    <t>Modelling a standard broadcast directional array with the numerical electromagnetics code</t>
  </si>
  <si>
    <t>10.1109/11.1410</t>
  </si>
  <si>
    <t>2-s2.0-0023981977</t>
  </si>
  <si>
    <t>['unknown parameter', 'takes place', 'spacecraft antennas', 'routine monitoring', 'parameter equation', 'orbit testing', 'measurement procedures', 'measurement error', 'evaluated based', 'determine whether', 'calculable quantities']</t>
  </si>
  <si>
    <t>After a communication satellite reaches its geosynchronous orbit position, and after spacecraft antennas have been deployed, there follows an intensive testing program. The purpose of the in-orbit testing is to determine whether the satellite and its subsystems have survived the launch, and whether subsystem performance is as expected. The communication subsystem testing involves the measurement of key communication parameters which determine communication subsystem behavior and verify the design. Some of these tests are unique and can be conducted only at this time. The post-launch in-orbit communication tests and test conditions differ considerably from the routine monitoring of space link parameters, which takes place after the spacecraft has been put into service. This article presents measurement procedures and instrumentation for the measurement of satellite communication parameters. The measurement procedures are reflected in equations in which the unknown parameter is expressed by measurable or calculable quantities. The measurement error is evaluated based on the parameter equation and component error estimates. ¬© 1988 IEEE</t>
  </si>
  <si>
    <t>121-126</t>
  </si>
  <si>
    <t>IEEE Transactions on Instrumentation and Measurement</t>
  </si>
  <si>
    <t>Measurement of Satellite Communication Parameters #x2014; Transponder Measurements</t>
  </si>
  <si>
    <t>10.1109/19.2679</t>
  </si>
  <si>
    <t>2-s2.0-0023982192</t>
  </si>
  <si>
    <t>['¬© 1988', 'tumor necrosis', 'toxicity pilot', 'thermalization antennae', 'technically indicated', 'symptoms warranting', 'symptom reduction', 'stereolactic approach', 'release ara', 'radiosensitizing hyperthermia', 'presented along', 'objective response', 'neurosurgical debulking', 'neurological function', 'mass reduction', 'isotherm chart', 'interstitial format', 'incorporating controlled', 'histologic type', 'histologic subtypes', 'general condition', 'dose rate', 'ct follow', 'computer dosimetry', 'changing catheters', 'autopsy findings', 'additional aperture', '2245 rad', '180 degree', '100 rad']</t>
  </si>
  <si>
    <t>Brain brachytherapy | Brain hyperthermia radiosensitization | Recurrent brain neoplasm | Stereotactic implantation</t>
  </si>
  <si>
    <t>Twenty-one patients whose solitary detectable biopsy proven recurrent brain malignancies produced Central Nervous System (CNS) symptoms warranting further intervention received 60-minute 43¬∞C (180 degree-minute) interstitial 2450 MHz microwave hyperthermia fractions. All received brain teletherapy prior to recurrence. The first 15 received no brachytherapy and served as a toxicity pilot. All 15 enjoyed neurologic improvement, 12 symptomatic improvement, and 12 objective response as mass reduction and/or tumor necrosis. The next 6 patients were selected with more favorable Karnofsky performance status, no known active malignancy elsewhere, and received afterloading Ir-192 interstitial implantation juxtaposed to radiosensitizing hyperthermia. Volume dose varied from 1000 to 2245 rad, and dose rate from 40 to 100 rad/hr. Dose selected varied as a function of pre-recurrence teletherapy dose, general condition, histologic type, and volume. Neurosurgical debulking, if technically indicated through no additional aperture or trauma, was permitted if consistent with preservation of neurological function. Six enjoyed neurologic improvement, symptom reduction, and objective tumor response; three remain alive, and one experienced transient improvement. Complications, histologic subtypes, autopsy findings, stereolactic approach, thermal monitoring methods and CT follow-up of objective response are presented along with computer dosimetry and isotherm chart. Our microtraumatic universal catheter technique for CT guided stereotactic biopsy, aspiration, decompression, thermal sensory loop, thermalization antennae, and brachytherapy without multiple trauma nor changing catheters is stressed. The rationale for combined modes peculiar to the CNS will be outlined. Proposal for incorporating controlled-release ARA-C chemotherapy polymer micro-rods into the interstitial format will be offered. The preceeding is an FDA-approved controlled clinical trial. ¬© 1988.</t>
  </si>
  <si>
    <t>29-36</t>
  </si>
  <si>
    <t>Medical Dosimetry</t>
  </si>
  <si>
    <t>100375169;100375169;100375169;105882299;105882299;100375169;100375169</t>
  </si>
  <si>
    <t>6603218096;57197053614;7006035103;6604060450;7003481991;7007137110;57199623014</t>
  </si>
  <si>
    <t>Borok, T. L.;Winter, A.;Laing, J.;Paglione, R.;Sterzer, F.;Sinclair, I.;Plafker, J.</t>
  </si>
  <si>
    <t>Orange;Orange</t>
  </si>
  <si>
    <t>R.C.A. Corporation;The Hospital Center at Orange</t>
  </si>
  <si>
    <t>105882299;100375169</t>
  </si>
  <si>
    <t>Borok T.</t>
  </si>
  <si>
    <t>Microwave hyperthermia radiosensitized iridium-192 for recurrent brain malignancy</t>
  </si>
  <si>
    <t>S0958394798901091</t>
  </si>
  <si>
    <t>10.1016/S0958-3947(98)90109-1</t>
  </si>
  <si>
    <t>2-s2.0-0023982731</t>
  </si>
  <si>
    <t>['¬© 1988', 'wave frequencies', 'side opposite', 'side facing', 'rights reserved', 'feed horn', 'electrical engineers', 'dielectric material', 'antenna consisting']</t>
  </si>
  <si>
    <t>Antennas | Printed antennas | Reflector antennas</t>
  </si>
  <si>
    <t>An antenna consisting of a flat printed reflector and a feed horn was investigated at mm-wave frequencies. The dielectric material is fully metal covered at the side opposite to the feed, whereas the side facing the feed is provided with a number of metallic annular rings forming a Fresnel zone plate. ¬© 1988, The Institution of Electrical Engineers. All rights reserved.</t>
  </si>
  <si>
    <t>318-319</t>
  </si>
  <si>
    <t>60075697;60075697</t>
  </si>
  <si>
    <t>6602297603;7102063968</t>
  </si>
  <si>
    <t>Huder, B.;Menzel, W.</t>
  </si>
  <si>
    <t>Nurnberg</t>
  </si>
  <si>
    <t>AEG</t>
  </si>
  <si>
    <t>Huder B.</t>
  </si>
  <si>
    <t>Flat Printed Reflector Antenna for mm-Wave Applications</t>
  </si>
  <si>
    <t>10.1049/el:19880214</t>
  </si>
  <si>
    <t>2-s2.0-0023983247</t>
  </si>
  <si>
    <t>['¬© 1988', 'rights reserved', 'radiation pattern', 'electrical engineers', 'axial ratio']</t>
  </si>
  <si>
    <t>Antenna feeders | Antenna radiation patterns | Antennas</t>
  </si>
  <si>
    <t>The axial ratio and the radiation pattern of a dual spiral antenna improve as the feed wire length is shortened. The bandwidth for circular polarisation within an axial ratio of 3.0dB is estimated to be 1:1.35 for a feed wire length of zero. ¬© 1988, The Institution of Electrical Engineers. All rights reserved.</t>
  </si>
  <si>
    <t>363-364</t>
  </si>
  <si>
    <t>60030526;60030526;60030526</t>
  </si>
  <si>
    <t>55633340100;7004091122;7403255155</t>
  </si>
  <si>
    <t>Nakano, H.;Minegishi, Y.;Hirose, K.</t>
  </si>
  <si>
    <t>Hosei University</t>
  </si>
  <si>
    <t>Nakano H.</t>
  </si>
  <si>
    <t>Effects of Feed Wire on Radiation Characteristics of a Dual Spiral Antenna</t>
  </si>
  <si>
    <t>10.1049/el:19880246</t>
  </si>
  <si>
    <t>2-s2.0-0023983495</t>
  </si>
  <si>
    <t>['probe lengths', 'measured impedance', 'mathematics involved', 'large range', 'found among', 'dielectric behavior']</t>
  </si>
  <si>
    <t>Coaxial line excited short probes are found to be very useful in determining the in situ dielectric properties of a medium. However, the mathematics involved to calculate these data from measured impedance of the probe are very complicated and hence require many simplifying assumptions. In this paper an attempt has been made to use the induced EMF method for input impedance determination of an antenna to compute the dielectric behavior of the medium over a large range of probe lengths. Numerical results obtained by this approach are compared with other existing theories valid for different probe lengths as well as with available experimental data. A fairly close agreement has been found among these results. ¬© 1988 IEEE</t>
  </si>
  <si>
    <t>157-160</t>
  </si>
  <si>
    <t>Misra, Devendra K.</t>
  </si>
  <si>
    <t>Milwaukee</t>
  </si>
  <si>
    <t>University of Wisconsin-Milwaukee</t>
  </si>
  <si>
    <t>Misra D.K.</t>
  </si>
  <si>
    <t>In Situ Electric Probe Method for Determining the Dielectric Properties of Materials</t>
  </si>
  <si>
    <t>10.1109/19.2690</t>
  </si>
  <si>
    <t>2-s2.0-0023984307</t>
  </si>
  <si>
    <t>National Research Council Canada</t>
  </si>
  <si>
    <t>NRC</t>
  </si>
  <si>
    <t>['systematic evaluation', 'sufficiently accurate', 'substantially reduces', 'sn ground', 'resonant response', 'resonant frequencies', 'resonant behaviour', 'reradiated field', 'power line', 'perfect ground', 'paper presents', 'often analysed', 'nec solution', 'lossy ground', 'little effect', 'images solution', 'ground model', 'footing impedance', 'field attenuates', 'economical method', 'damping effect', 'cpu time', 'computer modeling', 'broadcast antenna', 'approximated using', 'approximate technique']</t>
  </si>
  <si>
    <t>Reradiation of a standard broadcast antenna's signal from a high-voltage power line is often analysed by computer modeling. The Numerical Electromagnetics Code(NEC) offers the Sommerfeld-Norton(SN) ground model, which allows a highly accurate computation of the interaction of a power line with lossy ground. In this paper, the resonant behaviour of a power line operating over lossy ground is investigated using NEC's SN ground model. It is shown that lossy ground damps the resonant response of the power line and so substantially reduces the reradiated field. But lossy ground has little effect on the resonant frequencies of the power line. NEC's SN ground option is costly in CPU time, and so the effects of lossy ground have been approximated using the ‚Äútower footing impedance‚Äù concept. In this paper, a systematic evaluation of the accuracy of the footing impedance approximation is made. The resonant behaviour of a power line computed with SN ground is compared to its resonant behaviour computed using perfect ground conductivity and the tower footing impedance. It is shown that the footing impedance does very well in reproducing the damping effect of lossy ground. Over lossy ground, the broadcast antenna's field attenuates more quickly than over perfect ground, so the towers of a power line located at some distance from the antenna are excited by a smaller field strength, and respond with less reradiated field. This paper presents an approximate technique for incorporating this attenuation as a perturbation to the NEC solution. It is shown that this perturbation significantly increases the agreement of the power line tower currents computed using perfect ground and footing impedance with those computed with SN ground. The approximate techniques reviewed in this paper are sufficiently accurate that the economical method-of-images solution can be used in most cases. ¬© 1988 IEEE</t>
  </si>
  <si>
    <t>24-38</t>
  </si>
  <si>
    <t>60033154;60033154;60033154</t>
  </si>
  <si>
    <t>7006097946;6701413096;7801356657</t>
  </si>
  <si>
    <t>Trueman, C. W.;Kubina, S. J.;Baltassis, C.</t>
  </si>
  <si>
    <t>Ground loss effects in power line reradiation at standard broadcast frequencies</t>
  </si>
  <si>
    <t>10.1109/11.1409</t>
  </si>
  <si>
    <t>2-s2.0-0023984353</t>
  </si>
  <si>
    <t>1 R01 CA37923-01</t>
  </si>
  <si>
    <t>['theoretical results', 'sar patterns', 'probably due', 'measured values', 'infrared thermography', 'calculated values', 'appreciably higher', 'antenna feedpoint', '433 mhz']</t>
  </si>
  <si>
    <t>SAR patterns for an insulated sleeve dipole applicator operating at 433 MHz were measured by means of infrared thermography. The applicator was modeled using classical transmission line theory, and experimental and theoretical results were compared. In general, agreement between measured and calculated SAR values was good. However, at the antenna feedpoint, the measured values were appreciably higher than the calculated values. This is probably due to junction effects neglected in the model. ¬© 1988 IEEE</t>
  </si>
  <si>
    <t>173-178</t>
  </si>
  <si>
    <t>IEEE Transactions on Biomedical Engineering</t>
  </si>
  <si>
    <t>60015481;60007474;60007474;60015481;60015481</t>
  </si>
  <si>
    <t>6701821440;24452192400;7201921588;7103362082;7005122046</t>
  </si>
  <si>
    <t>Broschat, Shira Lynn;Chou, Chung Kwang;Luk, Kenneth H.;Guy, Arthur W.;Ishimaru, Akira</t>
  </si>
  <si>
    <t>Seattle;Duarte</t>
  </si>
  <si>
    <t>University of Washington;City of Hope National Med Center</t>
  </si>
  <si>
    <t>60015481;60007474</t>
  </si>
  <si>
    <t>Broschat S.</t>
  </si>
  <si>
    <t>An Insulated Dipole Applicator for Intracavitary Hyperthermia</t>
  </si>
  <si>
    <t>10.1109/10.1359</t>
  </si>
  <si>
    <t>2-s2.0-0023984817</t>
  </si>
  <si>
    <t>['tracking accuracy', 'short term', 'satellite link', 'requirements derived', 'requirement derived', 'optical isl', 'meet isdn', 'little difficulty', 'link due', 'give rise', 'errors degrade', 'digital performance', 'degradation permitted', 'considerations affect', 'complicate calculations', 'ccitt rec', 'ccir rec', 'burst errors', 'antenna mistracking', 'also met']</t>
  </si>
  <si>
    <t>Coding | ISDN requirements | Link modelling Burst errors | Optical ISL | Tracking requirements</t>
  </si>
  <si>
    <t>Burst errors in an optical intersatellite link (ISL) are short term (of the order of a millisecond) degradations of the link due to antenna mistracking. These errors degrade the average bit error rate (BER), decrease coding gain, complicate calculations of tracking accuracy, and give rise to concern about the quality of the link for carrying digital signals. After reviewing previous work on these topics, the digital performance of the link is examined in terms of how these considerations affect the ability of an optical ISL to meet ISDN (Integrated Services Digital Network) criteria for an ISL. A link with on‚Äêboard regeneration is assumed. Since no allocation has yet been made for an ISL, an allocation of 25 per cent of the degradation permitted for the satellite link by CCITT Rec. G.821 and CCIR Rec. 614 is assumed here. It is found (1) that if the requirement derived from Rec. 614 is met, the requirements derived from Rec. G.821 are also met and (2) that an optical ISL should have little difficulty in meeting these requirements. Copyright ¬© 1988 John Wiley &amp; Sons, Ltd.</t>
  </si>
  <si>
    <t>163-171</t>
  </si>
  <si>
    <t>April/June 1988</t>
  </si>
  <si>
    <t>Peters, Robert A.</t>
  </si>
  <si>
    <t>NW Washington</t>
  </si>
  <si>
    <t>International Telecommunications Satellite Organization</t>
  </si>
  <si>
    <t>Peters R.A.</t>
  </si>
  <si>
    <t>Optical ISL tracking considerations in meeting ISDN requirements</t>
  </si>
  <si>
    <t>10.1002/sat.4600060211</t>
  </si>
  <si>
    <t>2-s2.0-0023985338</t>
  </si>
  <si>
    <t>['made directly', 'intermediate step', 'alternative technologies']</t>
  </si>
  <si>
    <t>Optical space communications | Stratospheric balloons</t>
  </si>
  <si>
    <t>An experimental optical communications link between two stratospheric balloons is proposed as an intermediate step from limited ground laboratory tests to costly space operations. Such an experiment can overcome many environmental constraints encountered on the ground, and allows all measurements to be made directly in the antenna far field. Early performance demonstrations are possible which allow experimental trade‚Äêoffs between alternative technologies and the verification of concepts, critical system parameters and subfunctions under near space conditions. Copyright ¬© 1988 John Wiley &amp; Sons, Ltd.</t>
  </si>
  <si>
    <t>225-230</t>
  </si>
  <si>
    <t>60002286;60072511</t>
  </si>
  <si>
    <t>6701793579;22972857100</t>
  </si>
  <si>
    <t>Johann, U.;Reiland, W.</t>
  </si>
  <si>
    <t>Germany;Netherlands</t>
  </si>
  <si>
    <t>Frankfurt am Main;Leiden</t>
  </si>
  <si>
    <t>Battelle-Institut;Airbus Group SE</t>
  </si>
  <si>
    <t>60072511;60002286</t>
  </si>
  <si>
    <t>Johann U.</t>
  </si>
  <si>
    <t>Stratospheric balloons as a testbed for optical space communications technology</t>
  </si>
  <si>
    <t>10.1002/sat.4600060217</t>
  </si>
  <si>
    <t>2-s2.0-0023985353</t>
  </si>
  <si>
    <t>['viable alternative', 'system design', 'potential advantages', 'paper presents', 'narrow field', 'laser communications', 'intersatellite links']</t>
  </si>
  <si>
    <t>ISL system characteristics | ISL technology considerations | Optical inter‚Äêsatellite links</t>
  </si>
  <si>
    <t>Laser communications offer a viable alternative to r.f. communications for intersatellite links. High data rate, small antenna size, narrow beam divergence and narrow field of view are characteristics of laser communications that offer a number of potential advantages for system design. This paper presents an overview of solid‚Äêstate laser cross‚Äêlink systems and technologies. Copyright ¬© 1988 John Wiley &amp; Sons, Ltd.</t>
  </si>
  <si>
    <t>91-105</t>
  </si>
  <si>
    <t>60030821-105876557;60030821;60030821-100459170</t>
  </si>
  <si>
    <t>7006956510;57225273726;55424983200</t>
  </si>
  <si>
    <t>Begley, D. L.;Kobylinski, R. A.;Ross, M.</t>
  </si>
  <si>
    <t>Chicago;Boulder;St Louis</t>
  </si>
  <si>
    <t>Boeing Corporation;Bell Aerospace Systems Division;Laser Data Technology, Inc.</t>
  </si>
  <si>
    <t>60030821;105876557;100459170</t>
  </si>
  <si>
    <t>Begley D.L.</t>
  </si>
  <si>
    <t>Solid‚Äêstate laser cross‚Äêlink systems and technology</t>
  </si>
  <si>
    <t>10.1002/sat.4600060205</t>
  </si>
  <si>
    <t>2-s2.0-0023985393</t>
  </si>
  <si>
    <t>['versatile form', 'statistically optimum', 'spatial filtering', 'signal arriving', 'separate signals', 'recent research', 'processor used', 'paper provides', 'interfering signals', 'desired direction', 'data independent']</t>
  </si>
  <si>
    <t>A beamformer is a processor used in conjunction with an array of sensors to provide a versatile form of spatial filtering. The sensor array collects spatial samples of propagating wave fields, which are processed by the beamformer. The objective is to estimate the signal arriving from a desired direction in the presence of noise and interfering signals. A beamformer performs spatial filtering to separate signals that have overlapping frequency content but originate from different spatial locations. This paper provides an overview of beamforming from a signal processing perspective, with an emphasis on recent research. Data independent, statistically optimum, adaptive, and partially adaptive beamforming are discussed. ¬© 1988 IEEE</t>
  </si>
  <si>
    <t>IEEE ASSP Magazine</t>
  </si>
  <si>
    <t>7006765697;7005829685</t>
  </si>
  <si>
    <t>Van Veen, Barry D.;Buckley, Kevin M.</t>
  </si>
  <si>
    <t>Van Veen B.</t>
  </si>
  <si>
    <t>Beamforming: A Versatile Approach to Spatial Filtering</t>
  </si>
  <si>
    <t>10.1109/53.665</t>
  </si>
  <si>
    <t>2-s2.0-0023985457</t>
  </si>
  <si>
    <t>['spectral characterization', 'periodical distributions', 'perforated screens', 'numerical results', 'double screens', 'circular apertures', 'analysis yields']</t>
  </si>
  <si>
    <t>Perforated screens can be used as frequency selective surfaces when a high pass frequency response is required. A spectral characterization of perforated screens is presented. The analysis yields the generalized scattering matrix of each screen, which is useful for studying composite structures. Numerical results, relative to single and double screens with periodical distributions of circular apertures, are discussed.</t>
  </si>
  <si>
    <t>75-82</t>
  </si>
  <si>
    <t>Apr</t>
  </si>
  <si>
    <t>60021199;60021199;60021199</t>
  </si>
  <si>
    <t>7003971368;7004085807;7003795630</t>
  </si>
  <si>
    <t>Orta, R.;Tascone, R.;Zich, R.</t>
  </si>
  <si>
    <t>Consiglio Nazionale delle Ricerche</t>
  </si>
  <si>
    <t>Orta R.</t>
  </si>
  <si>
    <t>MULTIPLE DIELECTRIC LOADED PERFORATED SCREENS AS FREQUENCY SELECTIVE SURFACES.</t>
  </si>
  <si>
    <t>10.1049/ip-h-2.1988.0017</t>
  </si>
  <si>
    <t>2-s2.0-0023994259</t>
  </si>
  <si>
    <t>['vivaldi antenna', 'tapered transition', 'shorting hole', 'required beamwidth', 'feeding transition', 'antenna length']</t>
  </si>
  <si>
    <t>The Vivaldi antenna and its feeding transition are investigated. A tapered transition from microstrip to symmetric double sided slot line, fabricated on a low dielectric constant substrate, exhibits a wide operating frequency range, with no need for a shorting hole. The parameters of the antenna which influence the constancy of beamwidth with frequency are discussed, and the ability to determine the required beamwidth by controlling the antenna length is shown.</t>
  </si>
  <si>
    <t>89-92</t>
  </si>
  <si>
    <t>Gazit, Ehud</t>
  </si>
  <si>
    <t>RAFAEL Armament Development Authority Ltd.</t>
  </si>
  <si>
    <t>Gazit E.</t>
  </si>
  <si>
    <t>IMPROVED DESIGN OF THE VIVALDI ANTENNA.</t>
  </si>
  <si>
    <t>10.1049/ip-h-2.1988.0020</t>
  </si>
  <si>
    <t>2-s2.0-0023994260</t>
  </si>
  <si>
    <t>['two cylinders', 'solid reflector', 'scattered fields', 'reflector trajectory', 'radiation pattern', 'proper choice', 'paper shows', 'multiple scattering', 'many applications', 'long dipole', 'iterative procedure', 'examples illustrating', 'dipole field', 'corner reflector', 'consistent method', 'circular cylinders']</t>
  </si>
  <si>
    <t>The scattering of a long dipole antenna field by many conducting infinitely long circular cylinders has many applications, such as the simulation of a cylindrical reflector antenna by circular cylinders, in which the feed is a long dipole. The dipole field is considered as incident on the cylinders, resulting in multiply-scattered fields between the cylinders, as well as between each cylinder and the dipole. A self-consistent method is employed for calculating the multiply-scattered fields among the cylinders, while an iterative procedure is used for the multiple scattering between the cylinders and the dipole. Examples illustrating the radiation pattern of simulated parabolic cylindrical, and corner reflector, antennas are shown. The field of a long dipole antenna perturbed by one or two cylinders is given. The paper shows how one can improve the simulated reflector pattern over the solid reflector by proper choice of the radii and positions of the simulating cylinders along the reflector trajectory.</t>
  </si>
  <si>
    <t>118-124</t>
  </si>
  <si>
    <t>7006917371;7103051886</t>
  </si>
  <si>
    <t>Ragheb, H. A.;Hamid, M.</t>
  </si>
  <si>
    <t>Ragheb H.</t>
  </si>
  <si>
    <t>SCATTERING OF A LONG DIPOLE FIELD BY PARALLEL CYLINDRICAL SCATTERERS.</t>
  </si>
  <si>
    <t>10.1049/ip-h-2.1988.0025</t>
  </si>
  <si>
    <t>2-s2.0-0023994471</t>
  </si>
  <si>
    <t>['two x', 'theoretical predictions', 'small radius', 'reasonable agreement', 'radiation patterns', 'measured results', 'measured directivities', 'elements relative', 'cylinder axis', '4 arrays']</t>
  </si>
  <si>
    <t>Design and measured results for two X-band conformal microstrip arrays are presented. The two 4 multiplied by 4 arrays are built on the surface of a cylinder of small radius. They differ by the orientation of the elements relative to the cylinder axis. The measured directivities and radiation patterns are in reasonable agreement with theoretical predictions.</t>
  </si>
  <si>
    <t>132-134</t>
  </si>
  <si>
    <t>57225229400;23032510000;7004481850</t>
  </si>
  <si>
    <t>Ashkenazy, J.;Shtrikman, S.;Treves, D.</t>
  </si>
  <si>
    <t>Ashkenazy J.</t>
  </si>
  <si>
    <t>CONFORMAL MICROSTRIP ARRAYS ON CYLINDERS.</t>
  </si>
  <si>
    <t>10.1049/ip-h-2.1988.0028</t>
  </si>
  <si>
    <t>2-s2.0-0023994720</t>
  </si>
  <si>
    <t>['lpda parameters', 'hf communications', 'dipole length', 'diameter ratio', 'design diagrams', 'design contours']</t>
  </si>
  <si>
    <t>The goal is to improve the log-periodic dipole antenna (LPDA) design procedure introduced by Carrel. A computer-aided design technique is introduced, providing an easy-to-use design method of LPDAs. Corrections to Carrel's design contours, and new constant input resistance and truncation coefficients diagrams are presented. The influence of the feeder characteristic impedance, and dipole length-to-diameter ratio on LPDA parameters is studied. Design diagrams for LPDA's typical of hf communications are included.</t>
  </si>
  <si>
    <t>98-102</t>
  </si>
  <si>
    <t>Peixeiro, C.</t>
  </si>
  <si>
    <t>Portugal</t>
  </si>
  <si>
    <t>Lisbon</t>
  </si>
  <si>
    <t>Instituto Superior T√©cnico</t>
  </si>
  <si>
    <t>Peixeiro C.</t>
  </si>
  <si>
    <t>DESIGN OF LOG-PERIODIC DIPOLE ANTENNAS.</t>
  </si>
  <si>
    <t>10.1049/ip-h-2.1988.0022</t>
  </si>
  <si>
    <t>2-s2.0-0023994910</t>
  </si>
  <si>
    <t>['wave equations', 'tokamak plasma', 'solved analytically', 'plane waves', 'harmonic damping', 'first harmonic', 'faraday screen', 'experimental one', 'coupling efficiency', 'collisional damping', 'coil antennas', 'calculated resistance', 'boundary conditions', 'arbitrary orientation']</t>
  </si>
  <si>
    <t>Coupling to ion Bernstein waves near the first harmonic of the ion cyclotron resonance with coil antennas is investigated by using a plane layered model of a tokamak plasma. The boundary conditions in vacuum are solved analytically for arbitrary orientation of the antenna and Faraday screen conductors, in terms of the surface impedance matrix of the plasma for plane waves. The latter is evaluated by solving the wave equations in the plasma by taking into account finite Larmor radius and finite electron inertia effects, cyclotron and harmonic damping by the ions, and Landau and collisional damping by the electrons. Applications to the Alcator C tokamak give reasonable agreement between the calculated and measured radiation resistance when the first ion cyclotron harmonic is just behind the antenna; outside this range, the calculated resistance is lower than the experimental one. In general, the coupling efficiency is found to be very sensitive to the edge plasma density, good coupling requiring a low density plasma layer in the vicinity of the Faraday screen.</t>
  </si>
  <si>
    <t>549-563</t>
  </si>
  <si>
    <t>Nuclear Fusion</t>
  </si>
  <si>
    <t>Brambilla, M.</t>
  </si>
  <si>
    <t>Max Planck Institute for Plasma Physics</t>
  </si>
  <si>
    <t>Brambilla M.</t>
  </si>
  <si>
    <t>THEORY OF BERNSTEIN WAVE COUPLING WITH LOOP ANTENNAS.</t>
  </si>
  <si>
    <t>10.1088/0029-5515/28/4/002</t>
  </si>
  <si>
    <t>2-s2.0-0023995063</t>
  </si>
  <si>
    <t>['virtual cathode', 'simultaneously 1', 'launching antenna', 'gap adjustments', 'extraction coupling', 'diode voltages', 'diode current', 'current density', 'charge voltage', 'cathode surface', 'band radiation', 'avoid nonuniform', '800 kv', '500 mw', '5 ghz', '120 ka']</t>
  </si>
  <si>
    <t>The Vircator II oscillating virtual-cathode microwave source operates with diode voltages between 600 and 800 kV and diode current between 50 and 120 kA. Maximal microwave output power between 200 and 500 MW is achieved when the diode aspect ratio, cathode surface, charge voltage, and extraction coupling are arranged to simultaneously 1) maximize diode voltage, 2) satisfy magnetic insulation criteria, 3) avoid nonuniform or unstable electron emission, and 4) optimize microwave transmission from the virtual cathode to the launching antenna. Broad-band radiation between 0.4 and 5.5 GHz is generated. The central frequency follows the beam plasma frequency. It is tuned by varying the current density with anode-cathode (A-K) gap adjustments. ¬© 1988 IEEE</t>
  </si>
  <si>
    <t>177-184</t>
  </si>
  <si>
    <t>IEEE Transactions on Plasma Science</t>
  </si>
  <si>
    <t>60015919;60015919;60015919;60015919;60015919</t>
  </si>
  <si>
    <t>7403719482;57197620747;7003572265;7005870618;56226116500</t>
  </si>
  <si>
    <t>Price, D.;Fittinghoff, D.;Benford, J.;Sze, H.;Woo, W.</t>
  </si>
  <si>
    <t>San Leandro</t>
  </si>
  <si>
    <t>Physics International Co</t>
  </si>
  <si>
    <t>Price D.</t>
  </si>
  <si>
    <t>Operational Features and Microwave Characteristics of the Vircator II Experiment</t>
  </si>
  <si>
    <t>10.1109/27.3812</t>
  </si>
  <si>
    <t>2-s2.0-0023995187</t>
  </si>
  <si>
    <t>['œ †', 'vary according', 'unexpectedly small', 'theoretical expectations', 'paper discusses', 'neighbouring antennas', 'lowest efficiency', 'impurity problem', 'iiu device', 'heating experiment', 'drastically improved', 'close pitch', 'also found', 'also discussed']</t>
  </si>
  <si>
    <t>The paper discusses the results of a heating experiment in the ion cyclotron range of frequencies (ICRF) conducted on the JIPP T-IIU device with a five-element antenna array. This antenna system provides precisely shaped k‚à•spectra which vary according to the relative phasing angle of the neighbouring antennas, ŒîœÜ. In the experiment, ŒîœÜ is scanned in a close pitch and it is found that the electron heating efficiency is drastically improved with ŒîœÜ = Œ† and the lowest efficiency is obtained with ŒîœÜ = 0. This observation is analysed by calculating the k‚à• spectra and then the power deposition profiles using a ray tracing code. It is also found that the effect of the phasing on the impurity problem is unexpectedly small. The reasons for the discrepancies between these data and theoretical expectations are also discussed. ¬© 1988 IOP Publishing Ltd.</t>
  </si>
  <si>
    <t>577-584</t>
  </si>
  <si>
    <t>60000264;60000264;60000264;60000264;60000264;60000264;60000264;60000264;60000264;60000264;60000264;60000264;60000264;60000264;60000264;60000264;60000264;60000264;60000264;60000264;60000264;60000264;60000264;60000264;60000264;60000264;60000264;60000264</t>
  </si>
  <si>
    <t>7007043532;7406410168;7102200764;7404051215;7004968569;7006319125;7402614699;57190193883;7103086997;56353825200;7003514502;35354346300;7003978354;7201723650;57213468968;7402168313;7202781865;55664722000;57082283400;57082059400;35352474500;7404662230;7006774512;7407874628;7004717562;57082173700;7005809565;7402218095</t>
  </si>
  <si>
    <t>Ando, R.;Sato, K.;Watari, T.;Ogawa, Y.;Kawahata, K.;Akiyama, R.;Hamada, Y.;Hirokura, S.;Ida, K.;Kako, E.;Kawasumi, Y.;Kitagawa, S.;Masai, K.;Matsuoka, K.;Mohri, A.;Morita, S.;Noda, N.;Ogawa, I.;Ohkubo, K.;Sakai, K.;Sakamoto, M.;Sakai, K.;Sasao, M.;Sato, K. N.;Tanahashi, S.;Taniguchi, Y.;Toi, K.;Yamazaki, K.</t>
  </si>
  <si>
    <t>Nagoya</t>
  </si>
  <si>
    <t>Nagoya University</t>
  </si>
  <si>
    <t>Ando R.</t>
  </si>
  <si>
    <t>An ICRF heating experiment using a phased antenna array</t>
  </si>
  <si>
    <t>10.1088/0029-5515/28/4/004</t>
  </si>
  <si>
    <t>2-s2.0-0023995531</t>
  </si>
  <si>
    <t>['various tapers', 'uniform line', 'typical cross', 'tapered conductors', 'suitably loading', 'odd modes', 'even mode', 'equal width', 'baluns used']</t>
  </si>
  <si>
    <t>The baluns used in broadband microwave mixers are often in the form of suspended mcirostrip circuits with tapered conductors. These structures have been analyzed using TEM theory of the even and odd modes and results are presented for typical cross-sections. Tapers were approximated by cascading short lengths of uniform line and calculations and measurements were carried out on various tapers. The performance of the baluns is poor at frequencies where the even mode resonates. Between the resonances, the tapers perform better as a balun than a similar structure using uniform strips of equal width. The resonances can be damped by suitably loading the even mode.</t>
  </si>
  <si>
    <t>65-69</t>
  </si>
  <si>
    <t>Climer, B.</t>
  </si>
  <si>
    <t>Lincolnshire</t>
  </si>
  <si>
    <t>Marconi Electronic Devices Ltd</t>
  </si>
  <si>
    <t>Climer B.</t>
  </si>
  <si>
    <t>ANALYSIS OF SUSPENDED MICROSTRIP TAPER BALUNS.</t>
  </si>
  <si>
    <t>10.1049/ip-h-2.1988.0015</t>
  </si>
  <si>
    <t>2-s2.0-0023996475</t>
  </si>
  <si>
    <t>2305J303</t>
  </si>
  <si>
    <t>['plate region', 'measured data', 'issue ).', 'infinite parallel', 'experimental effort', 'excellent agreement', 'element pattern', 'coupling coefficients', 'active impedance']</t>
  </si>
  <si>
    <t>The experimental effort is described and measured data are presented for the active impedance, coupling coefficients, and element pattern in an array of coaxially fed monopoles radiating into a semi-infinite parallel-plate region. Measurements of active impedance, coupling (scattering) coefficients, and element patterns show an excellent agreement with theoretically predicted results presented in Part I (in this issue). ¬© 1988 IEEE</t>
  </si>
  <si>
    <t>463-467</t>
  </si>
  <si>
    <t>60001247;60108318</t>
  </si>
  <si>
    <t>6604010206;7005831705</t>
  </si>
  <si>
    <t>Tomasic, Boris;Hessel, Alexander</t>
  </si>
  <si>
    <t>New York;</t>
  </si>
  <si>
    <t>NYU Tandon School of Engineering;Hanscom AFB</t>
  </si>
  <si>
    <t>60108318;60001247</t>
  </si>
  <si>
    <t>Tomasic B.</t>
  </si>
  <si>
    <t>Linear array of coaxially fed monopole elements in a parallel-plate waveguide‚ÄîPart II: Experiment</t>
  </si>
  <si>
    <t>10.1109/8.1134</t>
  </si>
  <si>
    <t>2-s2.0-0023996688</t>
  </si>
  <si>
    <t>['wiley company', 'total number', 'small number', 'phase shifters', 'mobile stations', 'inc .,', 'high performance', 'elements makes', 'design concepts', 'array elements', 'antenna smaller']</t>
  </si>
  <si>
    <t>This paper proposes simple switchedelement spherical array antennas with variable phase shifters whose number is the same as that of the simultaneously excited elements. By employing the phase shifters, the total number of array elements can be reduced as to half that of the conventional switched‚Äêelement array. This small number of elements makes this antenna smaller in size and lower in cost. To confirm the design concepts, this antenna has been applied to mobile stations for satellite communication systems. Experimental results show the high performance of this antenna, particularly its wide‚Äêangle scanning capability. Copyright ¬© 1988 Wiley Periodicals, Inc., A Wiley Company</t>
  </si>
  <si>
    <t>117-125</t>
  </si>
  <si>
    <t>7402411659;7202967224;35564404500</t>
  </si>
  <si>
    <t>Hori, Toshikazu;Terada, Noriyoshi;Kagoshima, Ken‚ÄêIchi ‚ÄêI</t>
  </si>
  <si>
    <t>Hori T.</t>
  </si>
  <si>
    <t>Switched‚Äêelement spherical array antenna for wide scan angle</t>
  </si>
  <si>
    <t>10.1002/ecja.4410710412</t>
  </si>
  <si>
    <t>2-s2.0-0023996689</t>
  </si>
  <si>
    <t>['scattering behavior', 'receiving angles', 'radiation patterns', 'finite two', 'dimensional structure', 'different frequencies', 'different angles', 'assess incident', 'array consisting']</t>
  </si>
  <si>
    <t>The scattering behavior of a finite two-dimensional structure of thin wires excited by an incident plane electromagnetic wave is discussed. Utilizing the radiation patterns of such an array for different frequencies and different angles of incidence, it is possible to assess incident and receiving angles for an improved frequency selective behavior. This is illustrated for an array consisting of 4 ‚ãÜ 4 thin wires. ¬© 1988 IEEE</t>
  </si>
  <si>
    <t>575-577</t>
  </si>
  <si>
    <t>60008293;60030718</t>
  </si>
  <si>
    <t>6603826545;57207903709</t>
  </si>
  <si>
    <t>Blohm, Werner;Sikora, Thomas</t>
  </si>
  <si>
    <t>Germany;Germany</t>
  </si>
  <si>
    <t>Berlin;Bremen</t>
  </si>
  <si>
    <t>Freie Universit√§t Berlin;Universit√§t Bremen</t>
  </si>
  <si>
    <t>60030718;60008293</t>
  </si>
  <si>
    <t>Blohm W.</t>
  </si>
  <si>
    <t>Scattering behavior of a finite wire array for different incident angles</t>
  </si>
  <si>
    <t>10.1109/8.1149</t>
  </si>
  <si>
    <t>2-s2.0-0023996691</t>
  </si>
  <si>
    <t>['radiation characteristics', 'numerical algorithm', 'experimental data', 'computed results']</t>
  </si>
  <si>
    <t>The complex electromagnetic problem of a dielectrically loaded curved wire antenna is formulated in terms of two coupled integral equations. The equations are solved by the method of moments to obtain the circuit and radiation characteristics of the antenna. The numerical algorithm is applied to the study of dielectrically loaded linear, loop, and helical wire antennas. The computed results are compared with experimental data.</t>
  </si>
  <si>
    <t>103-110</t>
  </si>
  <si>
    <t>60006037;60006037</t>
  </si>
  <si>
    <t>7201591225;7202185170</t>
  </si>
  <si>
    <t>Casey, J. P.;Bansal, R.</t>
  </si>
  <si>
    <t>United States Navy</t>
  </si>
  <si>
    <t>Casey J.</t>
  </si>
  <si>
    <t>DIELECTRICALLY LOADED WIRE ANTENNAS.</t>
  </si>
  <si>
    <t>10.1049/ip-h-2.1988.0023</t>
  </si>
  <si>
    <t>2-s2.0-0023996816</t>
  </si>
  <si>
    <t>['specific value', 'simplified rule', 'signal source', 'signal direction', 'output signal', 'noise ratio', 'elliptical arrays', 'dimensional applebaum', 'array center']</t>
  </si>
  <si>
    <t>The effect of the finite-distance signal source on the performance of a far-field steering two-dimensional Applebaum-type adaptive array is examined. The output signal-to-noise ratio (SNR) is expressed in terms of the finite signal distance and signal direction. From that expression, a simplified rule is obtained to determine the distance between the signal source and the array center at which the output SNR loss is given by a specific value. First the analysis for the case of an arbitrarily located array is given, followed by the cases for rectangular, circular, and elliptical arrays. ¬© 1988 IEEE</t>
  </si>
  <si>
    <t>468-475</t>
  </si>
  <si>
    <t>101202897;60005429;60002873</t>
  </si>
  <si>
    <t>37022359400;7401672122;6603876932</t>
  </si>
  <si>
    <t>Hong, Young J.;Yeh, Chien Chung;Ucci, Donald R.</t>
  </si>
  <si>
    <t>Taiwan;United States;United States</t>
  </si>
  <si>
    <t>Taipei;Chicago;Hauppauge</t>
  </si>
  <si>
    <t>National Taiwan University;Illinois Institute of Technology;LNR Corporation</t>
  </si>
  <si>
    <t>60005429;60002873;101202897</t>
  </si>
  <si>
    <t>Hong Y.J.</t>
  </si>
  <si>
    <t>The effect of a finite-distance signal source on a far-field steering applebaum array‚ÄîTwo-dimensional array case</t>
  </si>
  <si>
    <t>10.1109/8.1135</t>
  </si>
  <si>
    <t>2-s2.0-0023997109</t>
  </si>
  <si>
    <t>Schweizerischer Nationalfonds zur F√∂rderung der Wissenschaftlichen Forschung</t>
  </si>
  <si>
    <t>SNF</t>
  </si>
  <si>
    <t>['¬© 1988', 'sers appears', 'rhodamine 6g', 'relevant case', 'mechanically polishing', 'experimental results', 'enhancement factor', 'antenna model', 'aluminium surface']</t>
  </si>
  <si>
    <t>Using the technique of surface enhanced resonant Raman scattering (SERRS) and comparing it with the relevant case on an aluminium surface to separate surface enhanced Raman scattering (SERS) from SERRS, an enhancement factor of about 30 for rhodamine 6G and dye 1555 adsorbed on a roughened copper surface with an excitation of 488nm has been observed. No SERS appears from the dye molecules adsorbed on an aluminium surface roughened by mechanically polishing. The analysis from the antenna model is consistent with these experimental results. ¬© 1988.</t>
  </si>
  <si>
    <t>127-131</t>
  </si>
  <si>
    <t>Solid State Communications</t>
  </si>
  <si>
    <t>60012820;60012820;60012820;60025858</t>
  </si>
  <si>
    <t>57206564223;36956016000;55718136100;7004398649</t>
  </si>
  <si>
    <t>Mo, Yujun;Lei, Jie;Li, Xiu Ying;Wachter, P.</t>
  </si>
  <si>
    <t>Switzerland;China</t>
  </si>
  <si>
    <t>Zurich ZH,;Beijing</t>
  </si>
  <si>
    <t>ETH Zurich;Institute of Physics Chinese Academy of Sciences</t>
  </si>
  <si>
    <t>60025858;60012820</t>
  </si>
  <si>
    <t>Mo Y.</t>
  </si>
  <si>
    <t>Surface enhanced Raman scattering of rhodamine 6G and dye 1555 adsorbed on roughened copper surfaces</t>
  </si>
  <si>
    <t>003810988890796X</t>
  </si>
  <si>
    <t>10.1016/0038-1098(88)90796-X</t>
  </si>
  <si>
    <t>2-s2.0-0023997141</t>
  </si>
  <si>
    <t>['¬© 1988', 'rights reserved', 'mismatched conditions', 'image method', 'electrical engineers']</t>
  </si>
  <si>
    <t>Antennas | Microstrip</t>
  </si>
  <si>
    <t>A waveguide junction analysis is applied, based on the image method, to compute the gain of an antenna under mismatched conditions. Experimentally, this method has been demonstrated to produce accurate results, even for low-gain microstrip antennas. ¬© 1988, The Institution of Electrical Engineers. All rights reserved.</t>
  </si>
  <si>
    <t>521-522</t>
  </si>
  <si>
    <t>60026717;60026717</t>
  </si>
  <si>
    <t>24522606100;6508305502</t>
  </si>
  <si>
    <t>Lee, R. Q.;Baddour, M. F.</t>
  </si>
  <si>
    <t>Cleveland</t>
  </si>
  <si>
    <t>NASA Glenn Research Center</t>
  </si>
  <si>
    <t>Lee R.</t>
  </si>
  <si>
    <t>Absolute gain measurement of microstrip antennas under mismatched conditions</t>
  </si>
  <si>
    <t>10.1049/el:19880352</t>
  </si>
  <si>
    <t>2-s2.0-0023997205</t>
  </si>
  <si>
    <t>DAAG29-84-K-0166</t>
  </si>
  <si>
    <t>['resonant frequency', 'previous investigations', 'improved formula', 'circular disk']</t>
  </si>
  <si>
    <t>An improved formula is derived to predict the resonant frequency of the triangular microstrip patch antenna. The technique previously used for the case of a circular disk is modified to produce greater accuracy than previous investigations. ¬© 1988 IEEE</t>
  </si>
  <si>
    <t>60005837;60005837</t>
  </si>
  <si>
    <t>56224976000;7402507033</t>
  </si>
  <si>
    <t>Garg, Ramesh;Long, Stuart A.</t>
  </si>
  <si>
    <t>Houston</t>
  </si>
  <si>
    <t>University of Houston</t>
  </si>
  <si>
    <t>Garg R.</t>
  </si>
  <si>
    <t>An improved formula for the resonant frequencies of the triangular microstrip patch antenna</t>
  </si>
  <si>
    <t>10.1109/8.1148</t>
  </si>
  <si>
    <t>2-s2.0-0023997261</t>
  </si>
  <si>
    <t>['single time', 'particular reflection', 'particular area', 'domain methods', 'domain measurement', 'absorber arrangement', '50 db']</t>
  </si>
  <si>
    <t>Anechoic chamber reflection levels, as much as 50 db down, can be measured at frequencies up to a few gigahertz, with broadband information derived from a single time-domain measurement. The technique has an advantage over frequency-domain methods because it can separate different reflections from each other, allowing any particular area of the walls to be studied. The source of a particular reflection can be identified by its distance from the antennas, as well as direction, so that improvements can be made to the absorber arrangement.</t>
  </si>
  <si>
    <t>93-97</t>
  </si>
  <si>
    <t>60031101;60031101;60031101</t>
  </si>
  <si>
    <t>6507943361;6603244377;36184993700</t>
  </si>
  <si>
    <t>Clouston, E. N.;Langsford, P. A.;Evans, S.</t>
  </si>
  <si>
    <t>University of Cambridge</t>
  </si>
  <si>
    <t>Clouston E.</t>
  </si>
  <si>
    <t>MEASUREMENT OF ANECHOIC CHAMBER REFLECTIONS BY TIME-DOMAIN TECHNIQUES.</t>
  </si>
  <si>
    <t>10.1049/ip-h-2.1988.0021</t>
  </si>
  <si>
    <t>2-s2.0-0023997293</t>
  </si>
  <si>
    <t>['zero slope', 'unity gain', 'two parts', 'square sense', 'second part', 'minimum mean', 'linear constraints', 'frequency band', 'first part', 'center frequency', 'broadband capability', 'approach consists', 'alternative approach', 'additional set']</t>
  </si>
  <si>
    <t>An alternative approach to the design of narrowband antenna array processors with a specific broadband capability is presented. The approach consists of two parts. In the first part, the processor is constrained to have a unity gain in the desired look direction at the center frequency of the frequency band of interest. In the second part, an additional set of linear constraints is used to ensure that the gradient of the response of the processor can be approximated to have a zero slope, in the minimum mean-square sense, over the frequency band of interest. Computer simulation results show that the approach is effective for designing narrowband array processors with broadband capability. The approach can also be used to design broadband antenna array processors without the need of presteering time delays.</t>
  </si>
  <si>
    <t>111-117</t>
  </si>
  <si>
    <t>100669898;100669898</t>
  </si>
  <si>
    <t>7102842938;24341657200</t>
  </si>
  <si>
    <t>Er, M. H.;Ng, B. P.</t>
  </si>
  <si>
    <t>Singapore</t>
  </si>
  <si>
    <t>Singapore City</t>
  </si>
  <si>
    <t>Singapore University</t>
  </si>
  <si>
    <t>Er M.</t>
  </si>
  <si>
    <t>ALTERNATIVE APPROACH FOR DESIGNING NARROWBAND ANTENNA ARRAY PROCESSORS WITH BROADBAND CAPABILITY.</t>
  </si>
  <si>
    <t>10.1049/ip-h-2.1988.0024</t>
  </si>
  <si>
    <t>2-s2.0-0023997593</t>
  </si>
  <si>
    <t>NOOO14-78-C-0049</t>
  </si>
  <si>
    <t>['transverse magnetic', 'tm scattering', 'special case', 'scattered fields', 'parabolic cylinder', 'mm solution', 'matrix equation', 'integral equation', 'impedance sheet', 'function solution', 'dielectric cylinder', 'briefly reviewed']</t>
  </si>
  <si>
    <t>An integral equation and method of moments (MM) solution is presented for the two-dimensional (2D) problem of the transverse magnetic (TM) scattering by an impedance sheet extension of a perfectly conducting parabolic cylinder. First an integral equation is formulated for a dielectric cylinder of general cross section in the presence of a perfectly conducting parabolic cylinder. It is shown that the solution for a general dielectric cylinder considerably simplifies for the special case of TM scattering by a thin multilayered dielectric strip which can be represented as an impedance sheet. The solution is termed an MM/ Green's function solution where the unknowns in the integral equation are the electric surface currents flowing on the impedance sheet, and the presence of the parabolic cylinder is accounted for by including its Green's function in the kernel of the integral equation. The MM solution is briefly reviewed, and expressions for the elements in the matrix equation and the scattered fields are given. Finally, sample numerical results are presented. ¬© 1988 IEEE</t>
  </si>
  <si>
    <t>527-534</t>
  </si>
  <si>
    <t>60003500;60003500</t>
  </si>
  <si>
    <t>7203066664;7202918445</t>
  </si>
  <si>
    <t>Newman, Edward H.;Blanchard, John L.</t>
  </si>
  <si>
    <t>Newman E.H.</t>
  </si>
  <si>
    <t>TM scattering by an impedance sheet extension of a parabolic cylinder</t>
  </si>
  <si>
    <t>10.1109/8.1142</t>
  </si>
  <si>
    <t>2-s2.0-0023997721</t>
  </si>
  <si>
    <t>NSG-1613</t>
  </si>
  <si>
    <t>['structures considered', 'stratified medium', 'slot array', 'scan compensation', 'scan admittances', 'scan admittance', 'procedure similar', 'plane waves', 'phased arrays', 'particular cases', 'monopole arrays', 'incident energy', 'free space', 'clavin elements', 'blind spots', 'arbitrary number']</t>
  </si>
  <si>
    <t>The effect of parasitic wire arrays on the scan admittance of a slot array has been investigated. Structures considered can consist of an infinite slot array and an arbitrary number of parasitic infinite arrays of piecewise linear wires, all arrays being embedded in a stratified medium. These include, as particular cases, phased arrays of Clavin elements. Expressing the fields from the arrays as plane waves, a procedure similar to the periodic moment method for infinite periodic structures is set up to obtain the scan admittance of the slot array. Scan admittances are presented for 1) a slot array with monopole arrays in free space, and 2) a slot array with a tilted dipole array in a stratified medium. Blind spots at which the incident energy is mainly reflected rather than transmitted have been found. Results obtained indicate the possibility of using parasitic wire arrays for scan compensation of active slot arrays. ¬© 1988 IEEE</t>
  </si>
  <si>
    <t>483-495</t>
  </si>
  <si>
    <t>60021918;60003500</t>
  </si>
  <si>
    <t>7403178904;35550481500</t>
  </si>
  <si>
    <t>Ng, Kwong T.;Munk, Benedikt A.</t>
  </si>
  <si>
    <t>Charlottesville;Columbus</t>
  </si>
  <si>
    <t>University of Virginia;The Ohio State University</t>
  </si>
  <si>
    <t>Ng K.T.</t>
  </si>
  <si>
    <t>Scan-independent slot arrays with parasitic wire arrays in a stratified medium</t>
  </si>
  <si>
    <t>10.1109/8.1137</t>
  </si>
  <si>
    <t>2-s2.0-0023997835</t>
  </si>
  <si>
    <t>['theory placed', 'target coordinates', 'target break', 'sidelobe level', 'radio astronomy', 'quantitative basis', 'proper targets', 'per element', 'noise ratio', 'last decade', 'induced artifacts', 'image contrast', 'high sidelobes', 'false targets', 'displayed without', 'cleaned image', 'clean algorithm', 'artifacts caused']</t>
  </si>
  <si>
    <t>Large random thinned arrays provide high angular resolution microwave images. These images are plagued with artifacts caused by high sidelobes. Specifically, these artifacts are false targets and target break-up or speckle. The CLEAN algorithm was introduced in radio astronomy in the last decade to reduce the sidelobe-induced artifacts. CLEAN is extended to the coherent radiation field and the theory placed on a quantitative basis. A condition is derived which, when satisfied, guarantees that all proper targets will be preserved in the cleaned image and all false targets discarded. An algorithm involving moving thresholds is derived to extract the target coordinates. It is shown that targets much weaker than the sidelobe level can be detected and displayed without the hazard of artifacts. It is further shown that the target dynamic range and the image contrast can be increased by up to twice the signal-to-noise ratio (SNR) per element. ¬© 1988 IEEE</t>
  </si>
  <si>
    <t>543-556</t>
  </si>
  <si>
    <t>100340160;60102562</t>
  </si>
  <si>
    <t>55801188100;7102870158</t>
  </si>
  <si>
    <t>Tsao, Jenho;Steinberg, Bernard D.</t>
  </si>
  <si>
    <t>Philadelphia;Conshohocken</t>
  </si>
  <si>
    <t>School of Engineering and Applied Science;Interspec Inc</t>
  </si>
  <si>
    <t>60102562;100340160</t>
  </si>
  <si>
    <t>Tsao J.</t>
  </si>
  <si>
    <t>Reduction of sidelobe and speckle artifacts in microwave imaging: The clean technique</t>
  </si>
  <si>
    <t>10.1109/8.1144</t>
  </si>
  <si>
    <t>2-s2.0-0023997867</t>
  </si>
  <si>
    <t>['truncated array', 'scattering characteristics', 'scattered far', 'metallic patches', 'galerkin method', 'field pattern', 'computed using']</t>
  </si>
  <si>
    <t>The scattering characteristics of a doubly periodic array of metallic patches is investigated from the point of view of determining the effect of truncating such a screen. The induced surface current on each patch of the array as well as the scattered far-field pattern of the truncated array are computed using the spectral-Galerkin method. The usefulness of the results for the truncated screen problem for the design of frequency selective surfaces (FSS) is discussed. ¬© 1988 IEEE</t>
  </si>
  <si>
    <t>496-503</t>
  </si>
  <si>
    <t>60007740;60000745</t>
  </si>
  <si>
    <t>7202288025;55197051100</t>
  </si>
  <si>
    <t>Ko, Wai L.;Mittra, Raj</t>
  </si>
  <si>
    <t>Tampa;Urbana</t>
  </si>
  <si>
    <t>University of South Florida, Tampa;University of Illinois Urbana-Champaign</t>
  </si>
  <si>
    <t>Ko W.L.</t>
  </si>
  <si>
    <t>Scattering by a truncated periodic array</t>
  </si>
  <si>
    <t>10.1109/8.1138</t>
  </si>
  <si>
    <t>2-s2.0-0023997952</t>
  </si>
  <si>
    <t>['part ii', 'numerical data', 'judiciously selected', 'issue ).', 'excellent agreement', 'element patterns', 'coupling coefficients', 'coaxial feed', 'analysis takes', 'active admittance']</t>
  </si>
  <si>
    <t>The performance of a coaxially fed monopole element in an infinite array environment in a parallel plate guide is analyzed. The analysis takes into account the geometry of the coaxial feed. Expressions for active admittance, coupling coefficients, and element patterns are given. Numerical data are presented for relevant parameter values, judiciously selected to illustrate the various design trade-offs. The numerical results show an excellent agreement with experiment, and the comparison is reported in Part II (in this issue). ¬© 1988 IEEE</t>
  </si>
  <si>
    <t>449-462</t>
  </si>
  <si>
    <t>Linear array of coaxially fed monopole elements in a parallel plate waveguide‚Äîpart I: Theory</t>
  </si>
  <si>
    <t>10.1109/8.1133</t>
  </si>
  <si>
    <t>2-s2.0-0023997987</t>
  </si>
  <si>
    <t>['type equations', 'simultaneous hallen', 'program based', 'numerical results', 'near field', 'far field', '100 mhz']</t>
  </si>
  <si>
    <t>Numerical results are presented for impedance, near field, and far field, for a relatively large NEMP-simulator wire antenna in the frequency range 100 kHz to 100 MHz. The results were obtained by a program based, essentially, on the simultaneous Hallen-type equations of Kominami and Rokushima.</t>
  </si>
  <si>
    <t>135-137</t>
  </si>
  <si>
    <t>Popovic, B. D.</t>
  </si>
  <si>
    <t>Popovic B.D.</t>
  </si>
  <si>
    <t>FREQUENCY-DOMAIN ANALYSIS OF A LARGE NEMP-SIMULATOR WIRE ANTENNA.</t>
  </si>
  <si>
    <t>10.1049/ip-h-2.1988.0029</t>
  </si>
  <si>
    <t>2-s2.0-0023998022</t>
  </si>
  <si>
    <t>European Space Agency</t>
  </si>
  <si>
    <t>6375/85/NL/ B1</t>
  </si>
  <si>
    <t>ESA</t>
  </si>
  <si>
    <t>['noise ratio', 'decreasing considerably', 'backscattering coefficient', 'antenna mispointing']</t>
  </si>
  <si>
    <t>This paper is concerned with determining whether useful onboard corrections to satellite altimeter measurements for errors in antenna mispointing can be made. It is shown that with a loop-time response time of about a minute, the bias in altimeter measurements may be removed, but at a cost of decreasing considerably the signal-to-noise ratio (SNR) of the backscattering coefficient. ¬© 1988 IEEE</t>
  </si>
  <si>
    <t>77-81</t>
  </si>
  <si>
    <t>IEEE Journal of Oceanic Engineering</t>
  </si>
  <si>
    <t>Wingham, Duncan J.</t>
  </si>
  <si>
    <t>University College London</t>
  </si>
  <si>
    <t>Wingham D.J.</t>
  </si>
  <si>
    <t>Onboard Correction of Mispointing Errors in Satellite Altimeter Returns</t>
  </si>
  <si>
    <t>10.1109/48.557</t>
  </si>
  <si>
    <t>2-s2.0-0023998457</t>
  </si>
  <si>
    <t>['steering distance', 'steering angle', 'output signal', 'noise ratio', 'given loss', 'directly applied', 'defocused applebaum', 'conventional beam', 'approximate expression']</t>
  </si>
  <si>
    <t>The performance of a defocused Applebaum-type adaptive array under the assumption of a finite-distance signal source is studied. An approximate expression for the output signal-to-noise ratio (SNR) is obtained as a function of the steering distance and the steering angle. From that expression, a rule of thumb is drawn to determine both the steering angle and the steering distance which result in a given loss. It is shown that the parameters for the conventional beam-forming array cannot be directly applied to an Applebaum-type adaptive array. ¬© 1988 IEEE</t>
  </si>
  <si>
    <t>476-482</t>
  </si>
  <si>
    <t>60005429;101202897;60002873</t>
  </si>
  <si>
    <t>7401672122;37022359400;6603876932</t>
  </si>
  <si>
    <t>Yeh, Chien Chung;Hong, Young J.;Ucci, Donald R.</t>
  </si>
  <si>
    <t>Yeh C.</t>
  </si>
  <si>
    <t>The performance of a defocused adaptive array with a finite-distance signal source</t>
  </si>
  <si>
    <t>10.1109/8.1136</t>
  </si>
  <si>
    <t>2-s2.0-0023999309</t>
  </si>
  <si>
    <t>['small angle', 'simple method', 'radiation patterns', 'offset mirrors', 'conical horns', 'approach provides']</t>
  </si>
  <si>
    <t>The radiation patterns of conical horns can be understood in terms of Laguerre-Gaussian beam modes. This approach provides a simple method for calculating the horn radiation pattern as it propagates through a multielement optical system consisting of lenses or offset mirrors with large focal ratio and/or a small angle of incidence, and can be used in quantitatively determining aperture efficiencies for systems where conical horns are coupled to antennas via tertiary optics. ¬© 1988 IEEE</t>
  </si>
  <si>
    <t>570-575</t>
  </si>
  <si>
    <t>Murphy, J. A.</t>
  </si>
  <si>
    <t>Murphy J.A.</t>
  </si>
  <si>
    <t>Aperture efficiencies of large axisymtnetric reflector antennas fed by conical horns</t>
  </si>
  <si>
    <t>10.1109/8.1147</t>
  </si>
  <si>
    <t>2-s2.0-0023999311</t>
  </si>
  <si>
    <t>['schelkunoff polynomial', 'regards speed', 'new algorithm', 'excitation coefficients', 'chebyshev arrays']</t>
  </si>
  <si>
    <t>A new algorithm for calculating the excitation coefficients of Dolph-Chebyshev arrays is based on reconstructing the Schelkunoff polynomial from its roots. The new method compares favorably with a number of others as regards speed of computation and/or sensitivity to the precision of the computer arithmetic employed.</t>
  </si>
  <si>
    <t>129-131</t>
  </si>
  <si>
    <t>60028419;60028419</t>
  </si>
  <si>
    <t>7006865572;7202825573</t>
  </si>
  <si>
    <t>Ares, F.;Moreno, E.</t>
  </si>
  <si>
    <t>Spain</t>
  </si>
  <si>
    <t>Santiago de Compostela</t>
  </si>
  <si>
    <t>Universidad de Santiago de Compostela</t>
  </si>
  <si>
    <t>Ares F.</t>
  </si>
  <si>
    <t>NEW METHOD FOR COMPUTING DOLPH-CHEBYSHEV ARRAYS, AND ITS COMPARISON WITH OTHER METHODS.</t>
  </si>
  <si>
    <t>10.1049/ip-h-2.1988.0027</t>
  </si>
  <si>
    <t>2-s2.0-0023999533</t>
  </si>
  <si>
    <t>['¬© 1988', 'value problem', 'surface diffractions', 'successive approximations', 'second kind', 'reduced first', 'modified wiener', 'mixed boundary', 'integrals asymptotically', 'incident field', 'hopf equation', 'explicit expressions', 'edge reflections', 'components attributable']</t>
  </si>
  <si>
    <t>This paper is concerned with the derivation of the surface currents induced on a perfectly conducting strip located on a cylindrical dielectric interface. The mixed boundary-value problem is formulated as a modified Wiener-Hopf equation which is reduced first to simultaneous Fredholm integral equations of the second kind, which are solved by successive approximations. The explicit expressions for the surface current components attributable to the reflection, edge or surface diffractions of the incident field, as well as to the edge reflections of these components attributable to the reflection, edgte or surface diffractions of the integrals asymptotically. ¬© 1988.</t>
  </si>
  <si>
    <t>115-125</t>
  </si>
  <si>
    <t>Wave Motion</t>
  </si>
  <si>
    <t>B√ºy√ºkaksoy, Alinur</t>
  </si>
  <si>
    <t>Turkey</t>
  </si>
  <si>
    <t>Istanbul</t>
  </si>
  <si>
    <t>ƒ∞stanbul Teknik √úniversitesi</t>
  </si>
  <si>
    <t>B√ºy√ºkaksoy A.</t>
  </si>
  <si>
    <t>Surface currents induced on a perfectly conducting strip located on a cylindrical dielectric interface</t>
  </si>
  <si>
    <t>10.1016/0165-2125(88)90037-6</t>
  </si>
  <si>
    <t>2-s2.0-0023999746</t>
  </si>
  <si>
    <t>Electricit√© de France</t>
  </si>
  <si>
    <t>EDF</t>
  </si>
  <si>
    <t>['¬© 1988', 'whose frequency', 'voltage source', 'test device', 'slowly varied', 'resonance frequency', 'remote detection', 'plate capacitor', 'moving membrane', 'microwave source', 'gunn diode', 'frequency modulated', 'external environment', 'electric field', 'electric contact', 'circular walls']</t>
  </si>
  <si>
    <t>A technique for the remote detection or measurement of very high-voltage transmission lines with the use of microwaves is proposed. The device is composed of two parts:. (a) A sensor that is fixed to, and is in electric contact with, the high-voltage source. It is composed of a microwave cylindrical cavity of high quality factor, where one of its circular walls is a very thin elastic metallic membrane, which constitutes one plate of a parallel-plate capacitor. The other plate is connected to an antenna, which detects the electric field. In this way the electrostatic pressure deforms the moving membrane, leading to modulation of the resonance frequency of the cavity. (b) A test device for the sensor, which permits the operator to analyse the variations of the resonance frequency. It contains a microwave source (Gunn diode) whose frequency can be slowly varied. In order to distinguish the cavity from the external environment, which generates stationary waves, the output of the source is frequency modulated. ¬© 1988.</t>
  </si>
  <si>
    <t>365-374</t>
  </si>
  <si>
    <t>Sensors and Actuators</t>
  </si>
  <si>
    <t>106640303;106640303</t>
  </si>
  <si>
    <t>35977717900;56133084200</t>
  </si>
  <si>
    <t>Boucher, Jacques;Lescure, Marc</t>
  </si>
  <si>
    <t>Toulouse</t>
  </si>
  <si>
    <t>Ecole Nationale Sup√©rieure d'Electrotechnique</t>
  </si>
  <si>
    <t>Boucher J.</t>
  </si>
  <si>
    <t>Remote control for an overhead high-voltage line</t>
  </si>
  <si>
    <t>10.1016/0250-6874(88)80049-0</t>
  </si>
  <si>
    <t>2-s2.0-0023999961</t>
  </si>
  <si>
    <t>UM</t>
  </si>
  <si>
    <t>['¬© 1988', 'two methods', 'strips due', 'russek technique', 'plane wave', 'paper describes', 'n strips', 'line source', 'francis group', 'first method', 'distribution along', 'different configurations', 'cylindrical surface', 'arbitrary width', '1a width']</t>
  </si>
  <si>
    <t>The paper describes the simulation of cylindrical scattering surface by N parallel infinitely long conducting strips of arbitrary width and distribution along the cylindrical surface trajectory. The N strips are excited by a line source or a plane wave and two methods of solution are presented for each type of excitation. The first method is rigorous and based on the boundary value approach while the second is asymptotic and based on the Karp-Russek technique. Both methods are used to compute the echo width patterns for different configurations of strips due to plane wave incidence and the far field patterns of simulated cylindrical reflectors due to line source excitation. A comparison between patterns of simulated and solid cylindrical reflectors is presented to illustrate the validity of simulation. It is found that about 50% of the cylindrical surface is sufficient for simulation using equally spaced strips of 0-1A width each. ¬© 1988, Taylor &amp; Francis Group, LLC.</t>
  </si>
  <si>
    <t>521-535</t>
  </si>
  <si>
    <t>115937523;115937523</t>
  </si>
  <si>
    <t>Antenna Laboratory</t>
  </si>
  <si>
    <t>Simulation of cylindrical scattering surface by conducting strips</t>
  </si>
  <si>
    <t>10.1080/00207218808962824</t>
  </si>
  <si>
    <t>2-s2.0-0024000317</t>
  </si>
  <si>
    <t>['type model', 'simplified one', 'resonant cavity', 'mobile communication', 'miniaturized automobile', 'box regarded', 'box model', 'automobile body', 'also examined', 'actual scale']</t>
  </si>
  <si>
    <t>The electric field distribution in an automobile body is important for developing an antenna system mounted inside the body for mobile communication. A microwave simulation experiment was carried out in an electromagnetic anechoic chamber using the microwave of a 4 GHz band and a miniaturized automobile, which are reduced to 1/15 of the actual scale. A box-type model which is a simplified one of the automobile was also examined. The internal electric field distribution measured in the box model was estimated to be a combination of the resonant modes TEtmnexcited in the box regarded as the resonant cavity. ¬© 1988 IEEE</t>
  </si>
  <si>
    <t>114-119</t>
  </si>
  <si>
    <t>Tanaka, Masaoki</t>
  </si>
  <si>
    <t>Yokkaichi</t>
  </si>
  <si>
    <t>Yokkaichi University</t>
  </si>
  <si>
    <t>Tanaka M.</t>
  </si>
  <si>
    <t>A Study on the Electric Field Distribution in an Automobile Body for an Antenna System Mounted Inside the Body</t>
  </si>
  <si>
    <t>10.1109/25.9891</t>
  </si>
  <si>
    <t>2-s2.0-0024000655</t>
  </si>
  <si>
    <t>['wiley company', 'user satellites', 'technical possibility', 'space expands', 'satellites used', 'paper proposes', 'multibeam array', 'many beams', 'individual elements', 'inc .,', 'ground station', 'effective use', 'design method', 'cost effectiveness', 'agipa system', '19 multibeams']</t>
  </si>
  <si>
    <t>As the use of space expands, the demand for data relay systems between satellites used for real time data transmission between the ground station and a satellite has increased. This paper proposes a data relay multiple‚Äêaccess system between satellites which is suited for a relatively small number of users in Japan. The paper also describes the 19‚Äêbeam multibeam array antenna developed for this system. Compared to NASA's AGIPA system, the present on‚Äêboard multibeam system has a number of advantages: effective use of frequency and power; simplification; and cost effectiveness of the ground station if the number of user satellites is small. Next, a multibeam antenna system suited for this system is studied. It is found that the multibeam array is suited in the case where many beams are formed with a relatively small aperture. The configuration and design method are described. As individual elements, a newly developed broadband microstrip array and a small beam‚Äêforming circuit with a good beam‚Äêforming capability are described. Based on these devices, a 19‚Äêelement array antenna with 19 multibeams and one scanning beam is developed. Its technical possibility is proven as a satellite‚Äêborne antenna. Copyright ¬© 1988 Wiley Periodicals, Inc., A Wiley Company</t>
  </si>
  <si>
    <t>71-85</t>
  </si>
  <si>
    <t>100328845;100328845;60101699;60101699</t>
  </si>
  <si>
    <t>7004285304;7006680804;6602281424;7201921069</t>
  </si>
  <si>
    <t>Teshirogi, Tasuku;Chujo, Wataru;Akaishi, Akira;Hirose, Haruzo</t>
  </si>
  <si>
    <t>Tokyo;Koganei</t>
  </si>
  <si>
    <t>Mitsubishi Electric Corporation;Radio Research Laboratories</t>
  </si>
  <si>
    <t>60101699;100328845</t>
  </si>
  <si>
    <t>Teshirogi T.</t>
  </si>
  <si>
    <t>Multibeam array antenna for data relay satellite</t>
  </si>
  <si>
    <t>10.1002/ecja.4410710508</t>
  </si>
  <si>
    <t>2-s2.0-0024000970</t>
  </si>
  <si>
    <t>['would exist', 'simplifying approximation', 'secondary fields', 'secondary components', 'return response', 'results indicate', 'radiation field', 'primary ones', 'low frequencies', 'lossy ground', 'located horizontally', 'formulated using', 'electric current', 'dyadic green', 'different frequencies', 'buried objects']</t>
  </si>
  <si>
    <t>The radiation field of a circular loop carrying an electric current and located horizontally above a lossy ground is formulated using the dyadic Green's functions. The resulting field vectors are then split into the primary and secondary components. The primary components represent those that would exist in the absence of the ground, leaving the secondary components to represent the contribution of the Earth. For different frequencies and various ground conductivites, the secondary components are determined and compared with the primary ones. The results indicate that in the vicinity of the loop both within and outside the ground, the secondary fields are small at low frequencies and may be neglected. This provides a simplifying approximation to handle the return response of buried objects, excited by a circular loop located in the air.</t>
  </si>
  <si>
    <t>446-452</t>
  </si>
  <si>
    <t>Canadian journal of physics</t>
  </si>
  <si>
    <t>May</t>
  </si>
  <si>
    <t>6603865125;8092251400</t>
  </si>
  <si>
    <t>Helaly, A.;Shafai, L.</t>
  </si>
  <si>
    <t>Helaly A.</t>
  </si>
  <si>
    <t>Effect of ground conductivity on the secondary field of a horizontal current-carrying loop</t>
  </si>
  <si>
    <t>10.1139/p88-073</t>
  </si>
  <si>
    <t>2-s2.0-0024001136</t>
  </si>
  <si>
    <t>['would exist', 'source location', 'secondary fields', 'secondary components', 'results indicate', 'representative results', 'radiation fields', 'primary ones', 'earth interface', 'dyadic green', 'derived using', 'also considered', 'air region']</t>
  </si>
  <si>
    <t>Expressions for the radiation fields of a vertical electric dipole located over a homogeneous lossy ground are derived using the dyadic Green's functions. The resulting field vectors are then split into the primary and secondary components. The primary components represent those that would exist in the absence of the ground, leaving the secondary components to represent the contribution of the Earth. For different operating frequencies and various ground conductivities, the secondary components are computed and compared with the primary ones. The results indicate that the secondary fields have the same magnitude as the primary ones in the ground and in the vicinity of the air-Earth interface. However, in the air region between the source location and the interface, their magnitude decreases progressively as the field point moves away from the interface. The case of an electric dipole located inside the ground is also considered, and a few representative results are presented.</t>
  </si>
  <si>
    <t>439-445</t>
  </si>
  <si>
    <t>Radiation for a vertical electric dipole in the presence of a lossy ground</t>
  </si>
  <si>
    <t>10.1139/p88-072</t>
  </si>
  <si>
    <t>2-s2.0-0024001907</t>
  </si>
  <si>
    <t>['wiley company', 'sidelobe level', 'present method', 'inc .,', 'horn size', 'focal point', 'excitation distribution', 'excitation amplitude', 'electrical properties', 'design method', 'cluster horns']</t>
  </si>
  <si>
    <t>A multibeam antenna fed by cluster horns can reduce sidelobe level, and a design method for determining antenna parameters is described as well as its electrical properties. The horn size and the antenna aperture diameter are determined, and a relation between the horn excitation amplitude distribution and the sidelobe level is discussed. Degradation of sidelobe level is given as a result of errors in horn size, frequency, and excitation amplitude. The received mode analysis method is optimized when horns are displaced from the focal point of the antenna, and the excitation distribution is determined. Finally, results are described of the present method, which is applied to the domestic satellite‚Äêborne multibeam antenna. Copyright ¬© 1988 Wiley Periodicals, Inc., A Wiley Company</t>
  </si>
  <si>
    <t>61-70</t>
  </si>
  <si>
    <t>8355553700;35564404500;57220845682</t>
  </si>
  <si>
    <t>Yamada, Yoshihide;Kagoshima, Kenichi;Kobayashi, Takehiko</t>
  </si>
  <si>
    <t>Yamada Y.</t>
  </si>
  <si>
    <t>Low‚Äêsidelobe multibeam antennas fed by cluster horns</t>
  </si>
  <si>
    <t>10.1002/ecja.4410710507</t>
  </si>
  <si>
    <t>2-s2.0-0024002350</t>
  </si>
  <si>
    <t>['¬© 1988', 'trichoid sensilla', 'specifically involved', 'sensory input', 'sensory fibers', 'sensillar pattern', 'particular subunit', 'mutant lozenge3', 'much reduced', 'males possess', 'major target', 'lozenge3 leads', 'glomerulus v', 'fibers lacking', 'corresponding loss', 'contralateral half', 'completely lacking', 'coeloconic sensilla', 'causally related', 'basiconic sensilla', 'approx 30', 'antennal nerve', 'antennal commissure', 'antennal center']</t>
  </si>
  <si>
    <t>The third antennal segment (= funiculus) of wild-type Drosophila melanogaster shows a sexually dimorphic distribution of sensilla: Males possess about 20% less of large basiconic sensilla, but approx 30% more trichoid sensilla than the female. The funiculus of the mutant lozenge3 is much reduced in size. Moreover, basiconic sensilla are completely lacking, and the number and density of trichoid sensilla are reduced. In contrast, the number and density of coeloconic sensilla are increased. The loss of sensilla in lozenge3 leads to a corresponding loss of sensory fibers in the antennal nerve. The antennal commissure of the wild type consists essentially of afferents from the funiculus which extend into the contralateral half of the brain. In the antennal commissure of lozenge3, more than twice the number of fibers lacking in the antennal nerve have disappeared which suggests that most afferents establish purely ipsilateral terminals. A highly specific change in the brain of lozenge3 is the loss of a particular subunit of the antennal center, the glomerulus V. This has previously been shown to be a major target of fibers from basiconic sensilla. Mosaic flies exhibiting a lozenge3 antenna demonstrate that the elimination of glomerulus V is causally related to the change in the sensillar pattern. This implies that the development and/or survival of particular target regions in the antennal center depends on sensory input. Furthermore, it shows that glomerulus V is specifically involved in the processing of information from basiconic sensilla. ¬© 1988.</t>
  </si>
  <si>
    <t>60024631;60024631</t>
  </si>
  <si>
    <t>7103138484;6603451742</t>
  </si>
  <si>
    <t>Stocker, Reinhard F.;Gendre, Nana√´</t>
  </si>
  <si>
    <t>Switzerland</t>
  </si>
  <si>
    <t>Fribourg</t>
  </si>
  <si>
    <t>University of Fribourg</t>
  </si>
  <si>
    <t>Stocker R.</t>
  </si>
  <si>
    <t>Peripheral and central nervous effects of lozenge&lt;sup&gt;3&lt;/sup&gt;: A Drosophila mutant lacking basiconic antennal sensilla</t>
  </si>
  <si>
    <t>10.1016/0012-1606(88)90184-4</t>
  </si>
  <si>
    <t>2-s2.0-0024003840</t>
  </si>
  <si>
    <t>DCM 8409014</t>
  </si>
  <si>
    <t>['¬© 1988', 'trapping reactions', 'temporally resolved', 'spectral properties', 'spectral forms', 'slow decay', 'rights reserved', 'isolated photosystem', 'higher plants', 'fluorescence decay', 'energy transfer', 'decays provides', 'data suggest', 'core antenna', 'biophysical society', 'antenna structure']</t>
  </si>
  <si>
    <t>The temporal and spectral properties of fluorescence decay in isolated photosystem I (PS I) preparations from algae and higher plants were measured using time-correlated single photon counting. Excitations in the PS I core antenna decay with lifetimes of 15‚Äì40 ps and 5‚Äì6 ns. The fast decay results from efficient photochemical quenching by P700, whereas the slow decay is attributed to core antenna complexes lacking a trap. Samples containing core and peripheral antenna complexes exhibited an additional intermediate lifetime (150‚Äì350 ps) decay. The PS I core antenna is composed of several spectral forms of chlorophyll a that are not temporally resolved in the decays. Analysis of the temporal and spectral properties of the decays provides a description of the composition, structure, and dynamics of energy transfer and trapping reactions in PS I. The core antenna size dependence of the spectral properties and the contributions of the spectral forms to the time-resolved decays show that energy is not concentrated in the longest wavelength absorbing pigments but is nearly homogenized among the spectral forms. These data suggest that the "funnel" description of antenna structure and energy transfer (Seely, G. R. 1973. J. Theor. Biol. 40:189‚Äì199) may not be applicable to the PS I core antenna. ¬© 1988, The Biophysical Society. All rights reserved.</t>
  </si>
  <si>
    <t>733-745</t>
  </si>
  <si>
    <t>Biophysical Journal</t>
  </si>
  <si>
    <t>60029278;60029278;60029278;60029278;60029278</t>
  </si>
  <si>
    <t>57213437301;7402908281;7004218113;6701820953;36936627600</t>
  </si>
  <si>
    <t>Owens, T. G.;Webb, S. P.;Alberte, R. S.;Mets, L.;Fleming, G. R.</t>
  </si>
  <si>
    <t>Owens T.G.</t>
  </si>
  <si>
    <t>Antenna structure and excitation dynamics in photosystem I. I. Studies of detergent-isolated photosystem I preparations using time-resolved fluorescence analysis</t>
  </si>
  <si>
    <t>S0006349588831540</t>
  </si>
  <si>
    <t>10.1016/S0006-3495(88)83154-0</t>
  </si>
  <si>
    <t>2-s2.0-0024007923</t>
  </si>
  <si>
    <t>['¬© 1988', 'rights reserved', 'results indicate', 'properly spaced', 'parasitic directors', 'investigated experimentally', 'gain characteristics', 'electrical engineers', 'beam width']</t>
  </si>
  <si>
    <t>Antenna radiation patterns | Antennas | Microstrip</t>
  </si>
  <si>
    <t>The gain characteristics of rectangular microstrip antennas with one and two overlaying parasitic directors have been investigated experimentally. Results indicate that, when properly spaced, the parasitic directors can enhance the gain (dB) and reduce the beam width of the antenna by a factor of two or better. ¬© 1988, The Institution of Electrical Engineers. All rights reserved.</t>
  </si>
  <si>
    <t>656-658</t>
  </si>
  <si>
    <t>60026717;60032143</t>
  </si>
  <si>
    <t>57194911774;7501501369</t>
  </si>
  <si>
    <t>Leem, R. Q.;Lee, K. F.</t>
  </si>
  <si>
    <t>Akron;Cleveland</t>
  </si>
  <si>
    <t>University of Akron;NASA Glenn Research Center</t>
  </si>
  <si>
    <t>60032143;60026717</t>
  </si>
  <si>
    <t>Leem R.Q.</t>
  </si>
  <si>
    <t>Gain Enhancement of Microstrip Antennas with Overlaying Parasitic Directors</t>
  </si>
  <si>
    <t>10.1049/el:19880444</t>
  </si>
  <si>
    <t>2-s2.0-0024010068</t>
  </si>
  <si>
    <t>['¬© 1988', 'rights reserved', 'radiation characteristics', 'prime focus', 'prediction based', 'feed consists', 'electrical engineers', '38 ghz']</t>
  </si>
  <si>
    <t>The letter presents measured results at 31-38 GHz of the radiation characteristics of a 0.252 m diameter parabolic dish fed at the prime focus by a short backfire antenna. The feed consists of an experimentally optimised design of a short backfire antenna, having a conical main reflector of 15¬∞ slant angle. The measured radiation patterns of the reflector system generally agree quite well with the prediction based on aperture field integration. ¬© 1988, The Institution of Electrical Engineers. All rights reserved.</t>
  </si>
  <si>
    <t>653-654</t>
  </si>
  <si>
    <t>60017161;60017161;60017161</t>
  </si>
  <si>
    <t>56002805800;56003101900;57194911476</t>
  </si>
  <si>
    <t>Kooi, P. S.;Leong, M. S.;Chandra, C.</t>
  </si>
  <si>
    <t>National University of Singapore</t>
  </si>
  <si>
    <t>Kooi P.S.</t>
  </si>
  <si>
    <t>Radiation Characteristics of a Waveguide-Excited Short Backfire-Fed Parabolic Reflector Operating in q-band</t>
  </si>
  <si>
    <t>10.1049/el:19880442</t>
  </si>
  <si>
    <t>2-s2.0-0024010076</t>
  </si>
  <si>
    <t>['¬© 1988', 'rights reserved', 'frequencies greater', 'electrical engineers', 'cavity model', 'antennas operating', '600 mhz', '5 ghz', '3 ghz']</t>
  </si>
  <si>
    <t>Antennas | Microstrip | Modelling | Resonance</t>
  </si>
  <si>
    <t>Models for the resonant frequency proposed by other authors are shown to produce misleading results for frequencies greater than about 3 GHz. However, a cavity model with a novel empirically determined edge extension parameter provides calculated frequencies within 2% of measurements for antennas operating between 600 MHz and 5 GHz. ¬© 1988, The Institution of Electrical Engineers. All rights reserved.</t>
  </si>
  <si>
    <t>680-681</t>
  </si>
  <si>
    <t>Martin, N. M.</t>
  </si>
  <si>
    <t>Martin N.</t>
  </si>
  <si>
    <t>Improved Cavity Model Parameters for Calculation of Resonant Frequency of Rectangular Microstrip Antennas</t>
  </si>
  <si>
    <t>10.1049/el:19880460</t>
  </si>
  <si>
    <t>2-s2.0-0024010081</t>
  </si>
  <si>
    <t>['signals received', 'several nights', 'occasional differences', 'nightly fading', 'night exhibited', 'measurement accuracy', 'marisat satellite', 'linear relationship', 'ionospheric irregularities', 'field lines', 'fading showed', 'fading rate', 'elongated along', 'eight nights', 'different altitudes', 'data collected', 'cross correlation', 'cross correlated', 'ascension island', '1 ¬∞.']</t>
  </si>
  <si>
    <t>The ionospheric irregularities that cause equatorial scintillation are elongated along the north‚Äêsouth magnetic field lines. During a 1981 field campaign at Ascension Island, 250‚ÄêMHz receivers were spaced from 300 m to 1.6 km along the field lines, and the signals received from the Marisat satellite were cross correlated. Data collected during eight nights of fading showed a linear relationship between fading rate and cross correlation. The alignment of the antennas was adjusted to give a zero time lag between the widely spaced receivers with a measurement accuracy of 0.03 s. Since the average irregularity velocity was 125 m/s, this time accuracy translated to an angular measurement accuracy of 0.1¬∞. During a 4‚Äêhour period of nightly fading, occasional differences in time of arrival were noted that corresponded to a tilt in the north‚Äêsouth alignment of ¬±1¬∞. Data from several nights of fading were analyzed, and each night exhibited the same variance in the north‚Äêsouth irregularity alignment. It is postulated that the shift in the measured peak correlation may have been caused by patches of irregularities at different altitudes where the magnetic field lines have a slightly different direction. This paper is not subject to U.S. copyright. Published in 1988 by the American Geophysical Union.</t>
  </si>
  <si>
    <t>331-336</t>
  </si>
  <si>
    <t>May-June 1988</t>
  </si>
  <si>
    <t>Johnson, Allen L.</t>
  </si>
  <si>
    <t>Short‚Äêterm magnetic field alignment variations of equatorial ionospheric irregularities</t>
  </si>
  <si>
    <t>10.1029/RS023i003p00331</t>
  </si>
  <si>
    <t>2-s2.0-0024010237</t>
  </si>
  <si>
    <t>['various components', 'second session', 'propagation model', 'program provides', 'powerful tool', 'philosophy behind', 'paper describes', 'numerically simulate', 'interference assessment', 'frequency planning', 'frequency assignment', 'etc .)', 'computer program', 'broadcasting objectives', 'antenna routines', 'also discussed']</t>
  </si>
  <si>
    <t>In preparation for the second session of the High‚ÄêFrequency Broadcasting Conference the Institute for Telecommunication Sciences developed a computer program to assess the impact of planning the frequency bands allocated to the high‚Äêfrequency broadcasting service on U.S. broadcasting objectives. The program provides a powerful tool to numerically simulate the performance of high‚Äêfrequency sky wave systems operating in both noise‚Äêlimited and interference‚Äêlimited environments. This paper describes the philosophy behind the design of the program and its various components, such as propagation model, antenna routines, and interference assessment. Examples are given of the application of the program for frequency planning and frequency assignment. Areas in which the program can be expanded to include other services (fixed, mobile, amateur, etc.) operating in the frequency range 3‚Äì30 MHz are also discussed. This paper is not subject to U.S. copyright. Published in 1988 by the American Geophysical Union.</t>
  </si>
  <si>
    <t>233-239</t>
  </si>
  <si>
    <t>7101969554;7005501602;7102192717</t>
  </si>
  <si>
    <t>Rush, C. M.;Washburn, J. S.;Berry, L. A.</t>
  </si>
  <si>
    <t>Rush C.</t>
  </si>
  <si>
    <t>A high‚Äêfrequency spectrum utilization model</t>
  </si>
  <si>
    <t>10.1029/RS023i003p00233</t>
  </si>
  <si>
    <t>2-s2.0-0024010308</t>
  </si>
  <si>
    <t>['¬© 1988', 'type ge', 'japan society', 'induced current', 'fabricated devices', 'drag effects', 'detected voltage', 'detected signal', 'applied physics', '6 œºm']</t>
  </si>
  <si>
    <t>Infrared laser detector | N-lnSb | Optical antenna | P-Ge | Warm carrier device</t>
  </si>
  <si>
    <t>Point-contact warm carrier devices were fabricated using n-type InSb instead of p-type Ge. The incident angle dependence of the detected voltage was measured at 10.6 Œºm and 118 Œºm laser radiations. It was confirmed that the detected signal of the fabricated devices was due to the induced current by antennae and not due to the photon-drag effects. ¬© 1988 The Japan Society of Applied Physics.</t>
  </si>
  <si>
    <t>L886-L888</t>
  </si>
  <si>
    <t>5A</t>
  </si>
  <si>
    <t>Japanese Journal of Applied Physics</t>
  </si>
  <si>
    <t>60004176;60004176;60004176</t>
  </si>
  <si>
    <t>7004555963;7401517781;7403247020</t>
  </si>
  <si>
    <t>Yasuoka, Yoshizumi;Okuda, Takahisa;Inoue, Narumi</t>
  </si>
  <si>
    <t>Yokosuka</t>
  </si>
  <si>
    <t>National Defense Academy of Japan</t>
  </si>
  <si>
    <t>Yasuoka Y.</t>
  </si>
  <si>
    <t>N-InSb point contact warm carrier infrared laser detectors</t>
  </si>
  <si>
    <t>10.1143/JJAP.27.L886</t>
  </si>
  <si>
    <t>2-s2.0-0024011160</t>
  </si>
  <si>
    <t>['optimal solution', 'numerical examples', 'authors consider']</t>
  </si>
  <si>
    <t>The authors consider the optimization of the signal‚Äêto‚Äênoise ratio of an arbitrary cylindrical antenna array. Existence of an optimal solution and convergence of finite‚Äêdimensional approximations is shown. The necessary optimality conditions are used to compute optimal solutions for some numerical examples. Copyright ¬© 1988 John Wiley &amp; Sons, Ltd</t>
  </si>
  <si>
    <t>153-164</t>
  </si>
  <si>
    <t>Mathematical Methods in the Applied Sciences</t>
  </si>
  <si>
    <t>60031514;60031514;</t>
  </si>
  <si>
    <t>7103318986;57216078749;7005844486</t>
  </si>
  <si>
    <t>Kirsch, Andreas;Wilde, Peter;Roach, G. F.</t>
  </si>
  <si>
    <t>Georg-August-Universit√§t G√∂ttingen</t>
  </si>
  <si>
    <t>Kirsch A.</t>
  </si>
  <si>
    <t>The optimization of directivity and signal‚Äêto‚Äênoise ratio of an arbitrary antenna array</t>
  </si>
  <si>
    <t>10.1002/mma.1670100205</t>
  </si>
  <si>
    <t>2-s2.0-0024011181</t>
  </si>
  <si>
    <t>['uniquely prepared', 'tremendous depth', 'radio waves', 'radio spectrum', 'light except', 'historic experiments', 'heinrich hertz', 'first antennas', 'brilliant way', 'appointed professor']</t>
  </si>
  <si>
    <t>When Heinrich Hertz was appointed professor of physics at Karlsruhe in 1885 he was uniquely prepared for his historic experiments that opened the radio spectrum. He made the first antennas and transmitter-receiver radio system. He conducted a series of experiments which established in a brilliant way that radio waves are one with light except for their much greater length. His description of the radiation phenomenon remains the best ever written, revealing his tremendous depth of understanding of the subject. Hertz‚Äôs training, studies, and experiments are recounted and measurements with a replica of his apparatus are described. ¬© 1988 IEEE</t>
  </si>
  <si>
    <t>824-829</t>
  </si>
  <si>
    <t>Kraus, John D.</t>
  </si>
  <si>
    <t>Kraus J.</t>
  </si>
  <si>
    <t>Heinrich Hertz‚ÄîTheorist and Experimenter</t>
  </si>
  <si>
    <t>10.1109/22.3601</t>
  </si>
  <si>
    <t>2-s2.0-0024011519</t>
  </si>
  <si>
    <t>['unknown scatterer', 'received wavefront', 'nonsinusoidal waves', 'main beam', 'linear time', 'large scatterer', 'impulse response', 'identical distortion', 'finite bandwidth', 'dispersive propagation', 'beam forming', 'array system', 'array sensors', 'achieve classification']</t>
  </si>
  <si>
    <t>array impulse response | beam forming | deconvolution | Nonsinusoidal wave | self steering array</t>
  </si>
  <si>
    <t>In this paper, an array antenna consisting of identical distortion-free sensors used for the reception of nonsinusoidal waves with finite bandwidth is modeled as a linear time-invariant causal system. It is shown that the impulse response of the array sensors is a function of the angle of incidence of the received wavefront. Based on the above model, a self steering array system for beam forming with noise-free rectangular pulses is developed. Its beam-forming mechanism determines the array impulse response to point a main beam in the direction of the source from which the waves are arriving. The array system is advanced further so that nonsinusoidal waves that suffer distortions due to scattering from a large scatterer, and/or dispersive propagation, can be processed to form a main beam in the direction of the scatterer, and to achieve classification and identification of the unknown scatterer. ¬© 1988 IEEE</t>
  </si>
  <si>
    <t>154-160</t>
  </si>
  <si>
    <t>Hussain, Malek G.M.</t>
  </si>
  <si>
    <t>Kuwait</t>
  </si>
  <si>
    <t>Kuwait City</t>
  </si>
  <si>
    <t>Kuwait University</t>
  </si>
  <si>
    <t>Hussain M.G.M.</t>
  </si>
  <si>
    <t>A Self Steering Array for Nonsinusoidal Waves Based on Array Impulse Response Measurement</t>
  </si>
  <si>
    <t>10.1109/15.2401</t>
  </si>
  <si>
    <t>2-s2.0-0024011641</t>
  </si>
  <si>
    <t>['¬© 1988', 'paper presents', 'measured characteristics', 'engineering model', 'borne 3', 'also given']</t>
  </si>
  <si>
    <t>This paper presents a design for satellite-borne 3.5 m deployable mesh reflector for the Japanese maritime satellite communication system. The features of this antenna are compactness, lightness and high deployment reliability. The measured characteristics for the engineering model are also given. ¬© 1988.</t>
  </si>
  <si>
    <t>561-566</t>
  </si>
  <si>
    <t>6603786095;6603207362;6701523484</t>
  </si>
  <si>
    <t>Itanami, T.;Minomo, M.;Ohtomo, I.</t>
  </si>
  <si>
    <t>Itanami T.</t>
  </si>
  <si>
    <t>Fan rib type deployable mesh antenna for satellite use</t>
  </si>
  <si>
    <t>10.1016/0094-5765(88)90153-1</t>
  </si>
  <si>
    <t>2-s2.0-0024011649</t>
  </si>
  <si>
    <t>['wave reflected', 'spherical reflector', 'region far', 'plane wave', 'incident along', 'fairly good', 'derive expressions', 'cusp region', 'caustic region', 'calculated numerically', 'also derived', 'agreement among']</t>
  </si>
  <si>
    <t>Maslov's method is applied to derive expressions for the wave reflected by a spherical reflector when the plane wave is incident along the axis of the reflector. A relatively simple expression is derived which is valid in the caustic region. An asymptotic ray expression is also derived which can be used in the region far from the caustic. Field distributions around the cusp region are calculated numerically and the results are compared with those obtained by other methods when they are available. Agreement among them is fairly good. ¬© 1988 IEEE</t>
  </si>
  <si>
    <t>592-598</t>
  </si>
  <si>
    <t>60103680;60103680</t>
  </si>
  <si>
    <t>55390837800;55230277500</t>
  </si>
  <si>
    <t>Hongo, Kohei;Ji, Yu</t>
  </si>
  <si>
    <t>Shizuoka</t>
  </si>
  <si>
    <t>Shizuoka University</t>
  </si>
  <si>
    <t>Hongo K.</t>
  </si>
  <si>
    <t>Study of the Field Around the Focal Region of Spherical Reflector Antenna</t>
  </si>
  <si>
    <t>10.1109/8.192134</t>
  </si>
  <si>
    <t>2-s2.0-0024012350</t>
  </si>
  <si>
    <t>['sufficient accuracy', 'practical model', 'measured results', 'hopf solution', 'compare results', 'antenna demonstrating']</t>
  </si>
  <si>
    <t>Precise theoretical results for co-polarized and crosspolarized radiation patterns are presented for semi-infinite and open-ended circular waveguide antennas. This analysis is based on Weinstein's theory (Wiener-Hopf solution) and sufficient accuracy was obtained to compare results with other methods. In addition, measured results are included for a practical model of this type of antenna demonstrating the deterioration of the cross-polarization performance due to the antenna's finite wall tickness. ¬© 1988 IEEE</t>
  </si>
  <si>
    <t>623-628</t>
  </si>
  <si>
    <t>60029570;60029570</t>
  </si>
  <si>
    <t>7003895942;56771979800</t>
  </si>
  <si>
    <t>Conforti, Evandro;Jos√â Giarola, Ott√çlia</t>
  </si>
  <si>
    <t>Campinas</t>
  </si>
  <si>
    <t>Universidade Estadual de Campinas</t>
  </si>
  <si>
    <t>Conforti E.</t>
  </si>
  <si>
    <t>Radiation from Cone-Shaped Flanged Open-Ended Thin-Wall Circular Waveguide</t>
  </si>
  <si>
    <t>10.1109/8.192138</t>
  </si>
  <si>
    <t>2-s2.0-0024012351</t>
  </si>
  <si>
    <t>['studied first', 'spherical scanning', 'planar scanning', 'obtain order', 'near field', 'magnitude estimates', 'fractional error', 'farfield spectrum', 'displacement errors', 'axis directions']</t>
  </si>
  <si>
    <t>The effects of probe displacement errors in the nearfield measurement procedure on the farfield spectrum are studied. Expressions are derived for the displacement error functions that maximize the fractional error in the spectrum both for the on-axis and off-axis directions. The x-y and z-displacement errors in planar scanning are studied first and, consequently, the results are generalized to errors in spherical scanning. Some simple nearfield models are used to obtain order of magnitude estimates for the fractional error as a function of relevant scale lengths of the near field, defined as the lengths over which significant variations occur. ¬© 1988 IEEE</t>
  </si>
  <si>
    <t>Muth, Lorant A.</t>
  </si>
  <si>
    <t>Muth L.A.</t>
  </si>
  <si>
    <t>Displacement Errors in Antenna Near-Field Measurements and Their Effect on the Far Field</t>
  </si>
  <si>
    <t>10.1109/8.192133</t>
  </si>
  <si>
    <t>2-s2.0-0024012387</t>
  </si>
  <si>
    <t>['plane wave', 'annular apertures']</t>
  </si>
  <si>
    <t>A rigorous theory describing the diffraction of a plane wave by a doubly periodic array of annular apertures in a thick, perfectly conducting screen is developed. It is found that such a structure exhibits excellent bandpass characteristics which can be adjusted by changing the size of the apertures and the thickness of the screen. ¬© 1988 IEEE</t>
  </si>
  <si>
    <t>607-611</t>
  </si>
  <si>
    <t>60025709;60025709</t>
  </si>
  <si>
    <t>56525912900;57226224613</t>
  </si>
  <si>
    <t>Roberts, Ann;Mcphedran, Ross C.</t>
  </si>
  <si>
    <t>Sydney</t>
  </si>
  <si>
    <t>The University of Sydney</t>
  </si>
  <si>
    <t>Roberts A.</t>
  </si>
  <si>
    <t>Bandpass Grids with Annular Apertures</t>
  </si>
  <si>
    <t>10.1109/8.192136</t>
  </si>
  <si>
    <t>2-s2.0-0024012586</t>
  </si>
  <si>
    <t>EE 027</t>
  </si>
  <si>
    <t>KU</t>
  </si>
  <si>
    <t>['thermal noise', 'steering mechanism', 'regression processor', 'performance evaluation', 'nonsinusoidal waves', 'negligible error', 'lrp yields', 'less sensitive', 'electronic beam', 'detection scheme', 'considerable error', 'computer simulated', 'beam forming', 'array system', 'alternative beam', 'adjustment mechanism']</t>
  </si>
  <si>
    <t>angular resolution | beam forming | linear regression | Nonsinusoidal waves | self steering array</t>
  </si>
  <si>
    <t>In the first of the two companion papers, a self steering array system for beam forming with nonsinusoidal waves was analyzed and computer simulated. It was shown that in the presence of thermal noise, the electronic beam-steering mechanism of the array system, which is based on a threshold-detection scheme, yields a considerable error in pointing a main beam toward a desired look direction from which a wavefront is received. In this paper, an alternative beam-steering mechanism is described and computer simulated for performance evaluation. It employs a linear-regression processor (LRP) that is less sensitive to thermal noise than the threshold-detection scheme. In the presence of thermal noise, the LRP yields a negligible error in pointing a main beam toward a desired look direction. A design of a variable delay circuit (VD) is presented for the advancement of the delay-time-adjustment mechanism of a self steering monopulse array system that has been developed in theory. ¬© 1988 IEEE</t>
  </si>
  <si>
    <t>168-174</t>
  </si>
  <si>
    <t>Hussain M.</t>
  </si>
  <si>
    <t>Performance Analysis and Advancement of Self Steering Arrays for Nonsinusoidal Waves‚ÄîII</t>
  </si>
  <si>
    <t>10.1109/15.2403</t>
  </si>
  <si>
    <t>2-s2.0-0024012759</t>
  </si>
  <si>
    <t>['year experience', 'university campuses', 'significant need', 'propagation characteristics', 'paper summarizes', 'new course', 'new challenges', 'microwave industry', 'main features', 'linear antennas', 'key steps', 'engineering curriculum', 'better prepare']</t>
  </si>
  <si>
    <t>With the proliferation of computers in university campuses, there is a significant need to introduce more courses on ‚Äúcomputer methods‚Äù in the engineering curriculum. Furthermore, working electromagnetics engineers need a course on the ‚Äúcomputational methods in electromagnetics‚Äù to better prepare them for the new challenges that face the microwave industry. This paper summarizes our three-year experience with such a new course which we introduced as an elective for seniors. Main features of the new course include: 1) the inclusion of the finite difference method of solving engineering problems formulated in terms of partial differential equations. 2) The use of the finite difference method to solve modern engineering problems such as the design of microstrip transmission lines as well as eigenvalue problems including the propagation characteristics in waveguides of arbitrary cross sections, and 3) the use of the method of moments to solve dynamic fields problems including radiation from linear antennas and scattering from two-dimensional inhomogeneous dielectric objects. Key steps in developing the course will be discussed and results from the various computer programs written by the students will be presented. ¬© 1988 IEEE</t>
  </si>
  <si>
    <t>101-115</t>
  </si>
  <si>
    <t>IEEE Transactions on Education</t>
  </si>
  <si>
    <t>60025488;60000812;60000812;60000812</t>
  </si>
  <si>
    <t>34769915200;7201675404;7801678341;35591864100</t>
  </si>
  <si>
    <t>Iskander, Magdy F.;Morrison, Mons D.;Datwyler, Wayne C.;Hamilton, Michael S.</t>
  </si>
  <si>
    <t>Salt Lake City;Claremont</t>
  </si>
  <si>
    <t>The University of Utah;Harvey Mudd College</t>
  </si>
  <si>
    <t>60025488;60000812</t>
  </si>
  <si>
    <t>Iskander M.F.</t>
  </si>
  <si>
    <t>A New Course on Computational Methods in Electromagnetics</t>
  </si>
  <si>
    <t>10.1109/13.2293</t>
  </si>
  <si>
    <t>2-s2.0-0024013530</t>
  </si>
  <si>
    <t>['special care', 'source region', 'power deposition', 'plane parallel', 'numerical problems', 'media involved', 'highly lossy', 'fields generated', 'fields due', 'exponential decay', 'analytical procedures', 'analytical method']</t>
  </si>
  <si>
    <t>Suitable Green‚Äôs dyadics for the fields generated by a surface current density in a plane parallel to the interface of a layered isotropic structure are determined. Special care is taken to ensure that the Green‚Äôs function can still be calculated in the source region by circumventing the numerical problems by analytical procedures. As it is our purpose to use the obtained Green‚Äôs function in order to calculate the power deposition from a microstrip antenna inside a layered biological tissue, the media involved can be highly lossy. An analytical method is developed to avoid numerical problems arising from the exponential decay of the fields due to these losses. ¬© 1988 IEEE</t>
  </si>
  <si>
    <t>875-881</t>
  </si>
  <si>
    <t>60033316;60033316</t>
  </si>
  <si>
    <t>7801511335;7005517580</t>
  </si>
  <si>
    <t>Beyne, Luc;De Zutter, Daniel</t>
  </si>
  <si>
    <t>Green‚Äôs Function for Layered Lossy Media with Special Application to Microstrip Antennas</t>
  </si>
  <si>
    <t>10.1109/22.3607</t>
  </si>
  <si>
    <t>2-s2.0-0024013813</t>
  </si>
  <si>
    <t>['time adjustment', 'slope processing', 'slightly modified', 'simulation results', 'signal processor', 'performance analysis', 'optimal reception', 'nonsinusoidal waves', 'new mechanism', 'main beam', 'linear array', 'investigate means', 'electronically steering', 'design criterion', 'computer simulated', 'beam forming', 'array system', 'array sensors', 'angular resolution']</t>
  </si>
  <si>
    <t>The principle of a self steering array system, which has been developed in theory for beam forming with nonsinusoidal waves, is analyzed and computer simulated. The objective of this work is to evaluate the performance of the array system, and to investigate means for its further advancement and feasibility. The performance analysis is based on calculating a percentage error associated with the mechanism of electronically steering a main beam in the direction from which signals are arriving at the array sensors. A design criterion for the optimal reception of nonsinusoidal waves by a linear array of sensors is established. Simulation results that reveal the performance of the signal processor of the self steering array system are presented. The principle of the signal processor is slightly modified to enhance its performance in practice. A design of a variable delay circuit (VD) is presented, and a new mechanism of delay-time adjustment for the self steering array system is described. Key Words‚ÄîNonsinusoidal waves, self steering array, beam forming, angular resolution, slope processing. ¬© 1988 IEEE</t>
  </si>
  <si>
    <t>161-167</t>
  </si>
  <si>
    <t>Performance Analysis and Advancement of Self Steering Arrays for Nonsinusoidal Waves‚ÄîI</t>
  </si>
  <si>
    <t>10.1109/15.2402</t>
  </si>
  <si>
    <t>2-s2.0-0024013822</t>
  </si>
  <si>
    <t>['rapid increase', 'plasma buildup', 'planck simulation', 'paper presents', 'loss current', 'dimensional fokker', 'closed mod', 'b surface', 'associated reduction', 'anchor cell']</t>
  </si>
  <si>
    <t>The paper presents a study of anchor cell plasma buildup in the tandem mirror GAMMA 10 with the use of central cell ICRF antennas. For plasma buildup, it is demonstrated that an ion cyclotron resonance layer exists within the closed mod-B surface in the minimum-B anchor cell. The experimental plasma buildup rate in the anchor cell is compared with a one-dimensional Fokker-Planck simulation. A rapid increase in the anchor plasma density is observed and an associated reduction of the end-loss current when radiofrequency is applied. ¬© 1988 IOP Publishing Ltd.</t>
  </si>
  <si>
    <t>799-807</t>
  </si>
  <si>
    <t>60014256;60014256;60014256;60014256;60014256;60014256;60014256;60014256;60014256;60014256</t>
  </si>
  <si>
    <t>7102396365;7003624110;7401963852;7005502591;6507104212;7201863425;7003653674;7006752604;7005566859;35394984600</t>
  </si>
  <si>
    <t>Ichimura, M.;Inutake, M.;Adachi, S.;Sato, D.;Tsuboi, F.;Nakashima, Y.;Katanuma, I.;Itakura, A.;Mase, A.;Miyoshi, S.</t>
  </si>
  <si>
    <t>University of Tsukuba</t>
  </si>
  <si>
    <t>Ichimura M.</t>
  </si>
  <si>
    <t>Anchor plasma buildup by using central cell ICRF antennas in the tandem mirror GAMMA 10</t>
  </si>
  <si>
    <t>10.1088/0029-5515/28/5/005</t>
  </si>
  <si>
    <t>2-s2.0-0024014150</t>
  </si>
  <si>
    <t>['two conjugate', 'significantly reduced', 'offers good', 'multibeam antenna', 'large field', 'feed along', 'design analysis', 'computer study', 'computer model', 'bifocal lens', 'also indicated']</t>
  </si>
  <si>
    <t>A new iteration technique is applied to the design of a bifocal dielectric lens antenna. A bifocal lens has two conjugate off-axis focal points and offers good off-axis scanning performance. A computer model has been developed to aid in the design analysis and farfield performance evaluation of a bifocal lens. The computer simulation results have demonstrated that the bifocal dielectric lens so obtained can provide a high-gain radiation pattern for multibeam antenna (MBA) applications over a large field of view. The computer study has also indicated that the quadratic phase error can be significantly reduced by constraining the feed along an optimized focal arc. ¬© 1988 IEEE</t>
  </si>
  <si>
    <t>599-606</t>
  </si>
  <si>
    <t>Lee Peebles, Ann</t>
  </si>
  <si>
    <t>Lee Peebles A.</t>
  </si>
  <si>
    <t>A Dielectric Bifocal Lens for Multibeam Antenna Applications</t>
  </si>
  <si>
    <t>10.1109/8.192135</t>
  </si>
  <si>
    <t>2-s2.0-0024014174</t>
  </si>
  <si>
    <t>ECS-8352580</t>
  </si>
  <si>
    <t>['system produces', 'resonance length', 'planes perpendicular', 'nonuniform within', 'drive antennas', '915 mhz']</t>
  </si>
  <si>
    <t>The interstitial microwave antenna array hyperthermia (IMAAH) system produces a pattern of specific absorption rate (SAR) that is nonuniform within a 2 cm square array when driven in phase at 915 MHz. Phase modulation makes the time-averaged SAR pattern significantly more uniform in planes perpendicular to the antennas. To drive antennas in phase at 433 MHz similarly improves SAR uniformity when the antennas are of resonance length. ¬© 1988 IEEE</t>
  </si>
  <si>
    <t>908-916</t>
  </si>
  <si>
    <t>60030443;60030443;60030443;60030443;60030443</t>
  </si>
  <si>
    <t>7003830659;55458762800;7006340960;56796656100;7005534211</t>
  </si>
  <si>
    <t>Trembly, B. Stuart;Wilson, Andrew H.;Havard, John M.;Sabatakakis, Kyriacos;Strohbehn, John W.</t>
  </si>
  <si>
    <t>Trembly B.S.</t>
  </si>
  <si>
    <t>Comparison of Power Deposition by In-Phase 433 MHz and Phase-Modulated 915 MHz Interstitial Antenna Array Hyperthermia Systems</t>
  </si>
  <si>
    <t>10.1109/22.3611</t>
  </si>
  <si>
    <t>2-s2.0-0024014301</t>
  </si>
  <si>
    <t>['¬± 10', '¬© 1988', 'rights reserved', 'letter describes', 'gain characteristics', 'frequency bandwidth', 'excellent impedance', 'electrical engineers', 'axial ratio']</t>
  </si>
  <si>
    <t>Antennas | Polarisation</t>
  </si>
  <si>
    <t>The letter describes a hemispherical coverage antenna for spacecraft. The antenna has excellent impedance, axial ratio and gain characteristics over a ¬± 10% frequency bandwidth. ¬© 1988, The Institution of Electrical Engineers. All rights reserved.</t>
  </si>
  <si>
    <t>631-633</t>
  </si>
  <si>
    <t>Kumar, A.</t>
  </si>
  <si>
    <t>Kumar A.</t>
  </si>
  <si>
    <t>Hemispherical Coverage Antenna for Spacecraft</t>
  </si>
  <si>
    <t>10.1049/el:19880428</t>
  </si>
  <si>
    <t>2-s2.0-0024014347</t>
  </si>
  <si>
    <t>['trunk keyhole', 'theft security', 'system utilizes', 'signal transmission', 'rear bumper', 'merely touching', 'luxury classes', 'loop antenna', 'left inside', 'japanese market', 'inductive coupling', 'improve anti', 'detection system', 'card transponder']</t>
  </si>
  <si>
    <t>A new keyless entry system has been developed for locking and unlocking vehicle doors and for opening the trunk. This system utilizes an ultra-small card transponder with a built-in personal identification code. The card transponder can be carried in a pocket or a briefcase and the user does not have to take it out for use. Because the signal transmission is effected by inductive coupling between the card and the loop antennas built into the door mirror housing and rear bumper, the system is actuated without manipulation of the card. By merely touching a switch provided near the door or trunk keyhole, the user can open the door or trunk as if there were no locks. To improve anti-theft security and reliability, the system incorporates several new technological developments, including a twin-loop antenna that generates a rotating magnetic field and a detection system to prevent the card transponder from being left inside the vehicle. This system has already been installed in the luxury classes of recent Nissan models in the Japanese market. ¬© 1988 IEEE</t>
  </si>
  <si>
    <t>208-216</t>
  </si>
  <si>
    <t>IEEE Transactions on Industrial Electronics</t>
  </si>
  <si>
    <t>60008997;60008997;60008997;60008997</t>
  </si>
  <si>
    <t>57199974812;7402804984;7005117409;7402011945</t>
  </si>
  <si>
    <t>Hirano, Motoki;Takeuchi, Mikio;Tomoda, Takahisa;Nakano, Kin Ichiro</t>
  </si>
  <si>
    <t>Yokohama</t>
  </si>
  <si>
    <t>Nissan Motor Co., Ltd.</t>
  </si>
  <si>
    <t>Hirano M.</t>
  </si>
  <si>
    <t>Keyless Entry System with Radio Card Transponder</t>
  </si>
  <si>
    <t>10.1109/41.192651</t>
  </si>
  <si>
    <t>2-s2.0-0024014397</t>
  </si>
  <si>
    <t>['reflected rays', 'old snow', 'multipath data', 'measuring height', 'matted grass', 'grazing angles', 'geometry range', 'generally coherent', 'gain patterns', 'coherent process', '20 db', '2 degrees', '1 ghz']</t>
  </si>
  <si>
    <t>Multipath data were obtained at frequencies of 35.1, 98.1, and 140.1 GHz over a pathlength of 179.5 m by measuring height-gain patterns between 0.2 and 4.0 m with a vertically moving receiving antenna. Grazing angles for this geometry range between 0.5 and 2 degrees. Measured interference patterns between direct and snow-reflected rays were generally coherent in appearance and on occasion exhibited cancellation depths greater than 20 dB. A computer program models the reflection as a coherent process, with the underlying snow surface represented by a series of linear sloping segments derived from actual terrain heights. Reflection coefficient near a 2-degree grazing angle ranged from 0.53 to 0.20 over matted grass, from 0.66 to 0.34 over freshly fallen snow, and from 0.85 to 0.71 over old snow. The higher numbers correspond to 35.1 GHz, the lower numbers correspond to 140.1 GHz. ¬© 1988 IEEE</t>
  </si>
  <si>
    <t>259-267</t>
  </si>
  <si>
    <t>100314754;100314754;100314754</t>
  </si>
  <si>
    <t>6701323898;7403287927;7006825488</t>
  </si>
  <si>
    <t>Lammers, Uve H.W.;Hayes, Dallas T.;Marr, Richard A.</t>
  </si>
  <si>
    <t>Hanscom</t>
  </si>
  <si>
    <t>AFB</t>
  </si>
  <si>
    <t>Lammers U.H.W.</t>
  </si>
  <si>
    <t>Millimeter-wave Multipath Measurements on Snow Cover</t>
  </si>
  <si>
    <t>10.1109/36.3029</t>
  </si>
  <si>
    <t>2-s2.0-0024014407</t>
  </si>
  <si>
    <t>['¬© 1988', 'well documented', 'two packages', 'relative desirability', 'paper describes', 'needs ),', 'navy ships', 'naval engineers', 'iterative process', 'iguana ),', 'engineering workstations', 'design procedure', 'coeds ).', 'applied successfully', 'antenna modeling', 'american society']</t>
  </si>
  <si>
    <t>This paper describes the design procedure and engineering design tools used for Navy shipboard exterior RF communication system design. The approach is an iterative process by which candidate RF system designs can be analyzed to determine their relative desirability. Several computer codes have been developed for designing the exterior RF communication systems for Navy ships. The software design aids consist of two packages, one for antenna modeling (such as the NEC‚ÄêMethod of Moments, NEC‚ÄêBasic Scattering, and NEC‚ÄêReflector antenna codes), and another for communication systems analysis (such as DECAL, PECAL, LINCAL, and COSAM II). These codes have been well documented, validated, and applied successfully to design and integrate a number of shipboard exterior communication and topside antenna systems. However, there exist two shortcomings: (1) lack of a user friendly interface, and (2) lack of the ability to enforce design discipline and completeness. The Naval Ocean System Center recognized these shortcomings and has initiated the development of engineering workstations such as the Interactive Graphic Utility Automated for Numerical Electromagnetic Code (NEC) Analysis (IGUANA), the Numerical Electromagnetics Engineering Design System (NEEDS), and the Communication Engineering Design System (COEDS). ¬© 1988 by the American Society of Naval Engineers</t>
  </si>
  <si>
    <t>154-165</t>
  </si>
  <si>
    <t>Naval Engineers Journal</t>
  </si>
  <si>
    <t>7409242885;7202175358;57217507991</t>
  </si>
  <si>
    <t>LI, S. T.;LOGAN, J. C.;ROCKWAY, J. W.</t>
  </si>
  <si>
    <t>LI S.T.</t>
  </si>
  <si>
    <t>SHIP EM DESIGN TECHNOLOGY</t>
  </si>
  <si>
    <t>10.1111/j.1559-3584.1988.tb01498.x</t>
  </si>
  <si>
    <t>2-s2.0-0024014650</t>
  </si>
  <si>
    <t>636-638</t>
  </si>
  <si>
    <t>15582256 15582256</t>
  </si>
  <si>
    <t>60020825;60020825;60020825;60020825</t>
  </si>
  <si>
    <t>53868301300;7201751026;6701556104;56366712800</t>
  </si>
  <si>
    <t>Sanyal, S. K.;Goswami, A.;Poddar, D. R.;Chowdhury, S. K.</t>
  </si>
  <si>
    <t>Kolkata</t>
  </si>
  <si>
    <t>Jadavpur University</t>
  </si>
  <si>
    <t>Sanyal S.</t>
  </si>
  <si>
    <t>A Microprocessor Controlled Programmable Switching Module for Phased Array Applications</t>
  </si>
  <si>
    <t>10.1109/5.4451</t>
  </si>
  <si>
    <t>2-s2.0-0024014658</t>
  </si>
  <si>
    <t>National Research Council</t>
  </si>
  <si>
    <t>635-636</t>
  </si>
  <si>
    <t>Brookner, Eli</t>
  </si>
  <si>
    <t>Brookner E.</t>
  </si>
  <si>
    <t>Antenna Pulsewidth Distortion Paradox Explained</t>
  </si>
  <si>
    <t>10.1109/5.4450</t>
  </si>
  <si>
    <t>2-s2.0-0024014767</t>
  </si>
  <si>
    <t>['wide range', 'technique known', 'radiation coupling', 'predicting frequency', 'phased arrays', 'phase relationships', 'interoscillator distances', 'interinjection locking', 'general approach', 'experimental two', 'coupled oscillators', 'coherent operation']</t>
  </si>
  <si>
    <t>An array of coupled oscillators can synthesize the microwave phase relationships needed for phased arrays by means of a technique known as interinjection locking. The mode required must be stable, and a general approach for evaluating mode stability and predicting frequency and phase relationships is applied to an experimental two-element 10 GHz array. Radiation coupling between the two oscillators leads to coherent operation, and the simple theory developed successfully predicts the system‚Äôs behavior over a wide range of interoscillator distances. ¬© 1988 IEEE</t>
  </si>
  <si>
    <t>921-924</t>
  </si>
  <si>
    <t>7102375534;7404515043</t>
  </si>
  <si>
    <t>Stephan, Karl D.;Young, Song Lin</t>
  </si>
  <si>
    <t>Stephan K.</t>
  </si>
  <si>
    <t>Mode Stability of Radiation-Coupled Interinjection-Locked Oscillators for Integrated Phased Arrays</t>
  </si>
  <si>
    <t>10.1109/22.3613</t>
  </si>
  <si>
    <t>2-s2.0-0024014970</t>
  </si>
  <si>
    <t>['two dimensions', 'scattered fields', 'periodic surfaces', 'one dimension', 'approximate solutions']</t>
  </si>
  <si>
    <t>The effects of truncation and curvature of periodic surfaces are examined. Initially, equations are outlined for surfaces which are finite and curved in two dimensions (only locally periodic), as well as infinitely. periodic in one dimension but truncated and curved in the second. By removing this periodicity, a truncated strip grating results and the scattered fields as well as an associated reflection coefficient are calculated. These numerically rigorous calculations are compared against two approximate solutions. The comparison is meant as a check of the approximate solutions with an eye toward using them in the anaylsis of surfaces which are finite and curved in two dimensions. ¬© 1988 IEEE</t>
  </si>
  <si>
    <t>612-622</t>
  </si>
  <si>
    <t>60000745;60000745</t>
  </si>
  <si>
    <t>7004364211;55197051100</t>
  </si>
  <si>
    <t>Cwik, Tom;Mittra, Raj</t>
  </si>
  <si>
    <t>Urbana</t>
  </si>
  <si>
    <t>University of Illinois Urbana-Champaign</t>
  </si>
  <si>
    <t>Cwik T.</t>
  </si>
  <si>
    <t>The Effects of the Truncation and Curvature of Periodic Surfaces: A Strip Grating</t>
  </si>
  <si>
    <t>10.1109/8.192137</t>
  </si>
  <si>
    <t>2-s2.0-0024015925</t>
  </si>
  <si>
    <t>ECS-8657524</t>
  </si>
  <si>
    <t>['military applications', 'general formulas']</t>
  </si>
  <si>
    <t>Microwave polarimeter systems typically consist of two orthogonally polarized receiving antennas. Formulas for extracting the unknown polarization state of an incoming wave utilizing two arbitrarily polarized antennas with known polarization states are presented. These general formulas are useful for military applications and for implementing automatic error correction algorithms in a precision polarimeter system. ¬© 1988 IEEE</t>
  </si>
  <si>
    <t>720-723</t>
  </si>
  <si>
    <t>60000745;60022774;60013372</t>
  </si>
  <si>
    <t>7601396617;6603596967;7202062608</t>
  </si>
  <si>
    <t>Lee, Shung Wu;Okubo, E. K.;Ling, Hao</t>
  </si>
  <si>
    <t>Boulevard;Austin;Urbana</t>
  </si>
  <si>
    <t>Lockheed Martin Space Systems Company;The University of Texas at Austin;University of Illinois Urbana-Champaign</t>
  </si>
  <si>
    <t>60022774;60013372;60000745</t>
  </si>
  <si>
    <t>Lee S.W.</t>
  </si>
  <si>
    <t>Polarization Determination Utilizing Two Arbitrarily Polarized Antennas</t>
  </si>
  <si>
    <t>10.1109/8.192149</t>
  </si>
  <si>
    <t>2-s2.0-0024015926</t>
  </si>
  <si>
    <t>['vhf wide', 'transmitter data', 'transmission format', 'proposed implementations', 'employs multi', 'anticipated performance']</t>
  </si>
  <si>
    <t>A satellite ground segment which is capable of supporting a uni-directional paging service for land mobile users is described. The system is configured around existing satellites and the VHF wide-area paging network. A suitable transmission format is proposed which employs multi-level frequency shift keying, dual time diversity and Reed-Solomon forward error correction. The anticipated performance of the transmission format is discussed. Proposed implementations of the mobile paging receiver and transmitter data-formatting modulation equipment are presented.</t>
  </si>
  <si>
    <t>92-98</t>
  </si>
  <si>
    <t>100387882;100387882;100387882</t>
  </si>
  <si>
    <t>6602282050;6506078411;7102083131</t>
  </si>
  <si>
    <t>Casewell, I. E.;Ferebee, I. C.;Tomlinson, M.</t>
  </si>
  <si>
    <t>Walton-on-Thames</t>
  </si>
  <si>
    <t>Racal-Decca Advanced Development Ltd</t>
  </si>
  <si>
    <t>Casewell I.</t>
  </si>
  <si>
    <t>UNI-DIRECTIONAL SATELLITE PAGING SYSTEM FOR LAND MOBILE USERS.</t>
  </si>
  <si>
    <t>10.1049/jiere.1988.0018</t>
  </si>
  <si>
    <t>2-s2.0-0024016364</t>
  </si>
  <si>
    <t>['process deramped', 'desirable goal', 'antenna pointing']</t>
  </si>
  <si>
    <t>We show here how to process deramped (e.g., typical spotlight mode) synthetic aperture radar (SAR) data using strip mode processors, with no restrictions on antenna pointing. The method greatly increases the flexibility of current strip mode processors (a very desirable goal) by extending their domain to a previously unsuitable class of data. ¬© 1988 IEEE</t>
  </si>
  <si>
    <t>Cenzo, Alan Di</t>
  </si>
  <si>
    <t>Cenzo A.D.</t>
  </si>
  <si>
    <t>Strip Mode Processing of Spotlight Synthetic Aperture Radar Data</t>
  </si>
  <si>
    <t>10.1109/7.192090</t>
  </si>
  <si>
    <t>2-s2.0-0024016575</t>
  </si>
  <si>
    <t>['¬© 1988', 'work presented', 'winning candidate', 'waveguide systems', 'various possibilities', 'stowed configuration', 'scores listed', 'scanning range', 'quantitatively assessed', 'preferred system', 'potential solutions', 'planned foresees', 'phased arrays', 'mission requirements', 'mechanisms needed', 'dichroic reflectors', 'considerable number', 'bottom position', 'band amounts', 'auxiliary reflectors', 'antenna system', '80 half', '200 type']</t>
  </si>
  <si>
    <t>In this paper, antenna system alternatives for data relay satellites are presented. To that end, the European Data Relay Satellite (DRS) as planned by the European Space Agency (ESA) is described in terms of its mission. Following that, the requirements on the antenna system are outlined. In the DRS two frequency bands are employed at S- and Ka-Band to track a total of four low orbit satellites simultaneously with four independently steerable beams, two at S-Band and two at Ka-Band. The goal of the work presented in this paper is to satisfy the mission requirements with only two large aperture antennas. Constraints on the antenna system are discussed such as imposed by the launcher; the mission as planned foresees an ARIANE Double Launch/Bottom Position. A major design driver has been that the scanning range at Ka-Band amounts to 80 half-power-beamwidths. No undue gain degradations are to be incurred over this range. Another design driver has been the minimizing of the complexity of the mechanisms needed for deployment of the large aperture antennas and their accommodation under the volume-limited launcher shroud. The potential solutions are quantitatively assessed. Various possibilities of combining the S-Band and Ka-Band are outlined, including combined feeds, dichroic reflectors and subreflectors, auxiliary reflectors, beam-waveguide systems, and phased arrays. For the determination of the preferred system, a catalog of trade-off criteria and associated weighting factors has been established. A considerable number of candidate antenna concepts satisfying the mission requirements are presented (in deployed and stowed configuration on a SPACEBUS-200 type of spacecraft) and their trade-off scores listed. Finally, the winning candidate will be depicted in more detail. ¬© 1988.</t>
  </si>
  <si>
    <t>553-560</t>
  </si>
  <si>
    <t>60086226;60086226;60086226;60086226</t>
  </si>
  <si>
    <t>6507027780;6701630056;7004214306;6603452289</t>
  </si>
  <si>
    <t>Dodel, Hans;Fasold, Dietmar;Frisch, Eberhard;Lieke, Manfred</t>
  </si>
  <si>
    <t>ERNO Raumfahrttechnik GmbH</t>
  </si>
  <si>
    <t>Dodel H.</t>
  </si>
  <si>
    <t>Antenna system alternatives for data relay satellites with multiple steerable beams</t>
  </si>
  <si>
    <t>009457658890152X</t>
  </si>
  <si>
    <t>10.1016/0094-5765(88)90152-X</t>
  </si>
  <si>
    <t>2-s2.0-0024016927</t>
  </si>
  <si>
    <t>DAAG29-85-K-0080</t>
  </si>
  <si>
    <t>['upper limit', 'solutions presented', 'receiving array', 'protection circuits', 'peak voltage', 'parameter techniques', 'optimum solution', 'load voltage', 'incident field', 'idealized model', 'feed network', 'extended easily', 'expression relating', 'currents induced']</t>
  </si>
  <si>
    <t>Dipole antenna array | maximization of response | transient response bounds</t>
  </si>
  <si>
    <t>The optimum solution for a receiving array of dipole antennas connected to a load through a feed network is obtained. The optimum solution is given in terms of the incident electric field waveform that maximizes, at a specific time t0, the received voltage across a specified load impedance. This result is used to set an upper limit on the peak voltage that the antenna can deliver to a load, thus providing guidelines for the design of pulse-protection circuits. The analysis uses 1) the method of moments to approximate the currents induced on the wires by the incident field, and 2) S-parameter techniques to describe the feed network, in order to obtain an expression relating the load voltage to the incident electromagnetic plane wave. The Lagrange multiplier technique is then used to extremize the received load voltage. The solutions presented here are based on an idealized model for the feed network; however, the analysis can be extended easily to account for loss and asymmetry of physically realizable feed networks. ¬© 1988 IEEE</t>
  </si>
  <si>
    <t>122-129</t>
  </si>
  <si>
    <t>8507385300;7006791463</t>
  </si>
  <si>
    <t>Bayard, Jean Pierre R.;Schaubert, Daniel H.</t>
  </si>
  <si>
    <t>Bayard J.P.R.</t>
  </si>
  <si>
    <t>Transient Response of a Receiving Dipole Array: Bounds and Maximization</t>
  </si>
  <si>
    <t>10.1109/15.2397</t>
  </si>
  <si>
    <t>2-s2.0-0024016985</t>
  </si>
  <si>
    <t>['predict errors', 'noise ratio', 'near field', 'field pattern', 'field data', 'far field', 'also given']</t>
  </si>
  <si>
    <t>Expressions which relate the signal-to-noise ratio in the near field to the signal-to-noise ratio (S/N) in the far field are developed. The expressions are then used to predict errors in Far-Field patterns obtained from Near-field data. A technique to measure the noise in the Far-Field pattern is also given. ¬© 1988 IEEE</t>
  </si>
  <si>
    <t>769-773</t>
  </si>
  <si>
    <t>60023053;60023053</t>
  </si>
  <si>
    <t>35389095700;7004384154</t>
  </si>
  <si>
    <t>Newell, Allen C.;Stubenrauch, Carl F.</t>
  </si>
  <si>
    <t>Newell A.C.</t>
  </si>
  <si>
    <t>Effect of Random Errors in Planar Near-field Measurement</t>
  </si>
  <si>
    <t>10.1109/8.1178</t>
  </si>
  <si>
    <t>2-s2.0-0024018140</t>
  </si>
  <si>
    <t>['uncertainty due', 'probes used', 'improved three', 'greatly reduces', 'antenna measurement']</t>
  </si>
  <si>
    <t>An improved three-antenna measurement of polarization that greatly reduces the uncertainty due to phase measurement errors is described. This technique is used to calibrate polarization standards and probes used in near-field antenna measurements. ¬© 1988 IEEE</t>
  </si>
  <si>
    <t>852-854</t>
  </si>
  <si>
    <t>Newell, Allen C.</t>
  </si>
  <si>
    <t>Improved Polarization Measurements Using a Modified Three-Antenna Technique</t>
  </si>
  <si>
    <t>10.1109/8.1188</t>
  </si>
  <si>
    <t>2-s2.0-0024018172</t>
  </si>
  <si>
    <t>['years 1967', 'work conducted', 'major near', 'georgia institute', 'field developments']</t>
  </si>
  <si>
    <t>The activity of the Georgia Institute of Technology in the development of the Near-field measurement technique is reviewed. The work conducted during the years 1967-1973 is given primary importance, and the major Near-field developments in the 1973-1980 time period are also briefly described. ¬© 1988 IEEE</t>
  </si>
  <si>
    <t>740-745</t>
  </si>
  <si>
    <t>Joy, Edward B.</t>
  </si>
  <si>
    <t>Atlanta</t>
  </si>
  <si>
    <t>Georgia Institute of Technology</t>
  </si>
  <si>
    <t>Joy E.B.</t>
  </si>
  <si>
    <t>A Brief History of the Development of the Near-field Measurement Technique at the Georgia Institute of Technology</t>
  </si>
  <si>
    <t>10.1109/8.1175</t>
  </si>
  <si>
    <t>2-s2.0-0024018197</t>
  </si>
  <si>
    <t>['peak directivity', 'gain values', 'cross polarization', 'copolar patterns']</t>
  </si>
  <si>
    <t>Comparisons of measurements on a contoured beam antenna carried out at five independent European test ranges are presented. They include a compact antenna test range, two cylindrical near-field test ranges, and two spherical near-field test ranges. The comparisons illustrate problems in the determination of gain values and cross polarization, while the agreement in the copolar patterns and the peak directivity is very good. ¬© 1988 IEEE</t>
  </si>
  <si>
    <t>845-851</t>
  </si>
  <si>
    <t>60011373;60011373</t>
  </si>
  <si>
    <t>6602383797;35966329600</t>
  </si>
  <si>
    <t>Lemanczyk, Jerzy;Larsen, F. Holm</t>
  </si>
  <si>
    <t>Denmark</t>
  </si>
  <si>
    <t>Lyngby</t>
  </si>
  <si>
    <t>Danmarks Tekniske Universitet</t>
  </si>
  <si>
    <t>Lemanczyk J.</t>
  </si>
  <si>
    <t>Comparison of Near-field Range Results</t>
  </si>
  <si>
    <t>10.1109/8.1187</t>
  </si>
  <si>
    <t>2-s2.0-0024018198</t>
  </si>
  <si>
    <t>N00014-83-C-0671</t>
  </si>
  <si>
    <t>['ultimately limit', 'spectral signal', 'random near', 'noncorrectable near', 'noise ratio', 'new near', 'new formulation', 'formulation applies', 'field patterns', 'field parameter', 'field data', 'computed directly', 'actual tests']</t>
  </si>
  <si>
    <t>Recent planar Near-field scanning tests with ultralow sidelobe antennas have confirmed that random Near-field measurement errors will ultimately limit the accuracy of Far-Field patterns. A new formulation is outlined for estimating the spectral signal-to-noise ratio (S/N) arising from noncorrectable Near-field random measurement errors. The formulation applies to arbitrarily directive test antennas and probes-even nulling probes. A new Near-field parameter, called the scan plane coupling factor, may be computed directly from the Near-field data, and then used to form the spectral signal-to-noise ratio. The accuracy of the spectral signal-to-noise ratio is confirmed by simulation and by actual tests with the low-sidelobe AWACS array antenna. ¬© 1988 IEEE</t>
  </si>
  <si>
    <t>774-780</t>
  </si>
  <si>
    <t>100318818;100318818</t>
  </si>
  <si>
    <t>7402611157;7005252858</t>
  </si>
  <si>
    <t>Hoffman, John B.;Grimm, Kenneth R.</t>
  </si>
  <si>
    <t>Silver Spring</t>
  </si>
  <si>
    <t>Technology Service Corporation</t>
  </si>
  <si>
    <t>Hoffman J.B.</t>
  </si>
  <si>
    <t>Far-Field Uncertainty Due to Random Near-field Measurement Error</t>
  </si>
  <si>
    <t>10.1109/8.1179</t>
  </si>
  <si>
    <t>2-s2.0-0024018245</t>
  </si>
  <si>
    <t>['rapid calculation', 'polar near', 'polar facility', 'measured near', 'generally processed', 'fourier transform', 'field patterns', 'data measured', 'bessel expansion', 'also discussed']</t>
  </si>
  <si>
    <t>When a plane-polar Near-field data acquisition facility is used, the measured antenna data are generally processed by the Jacobi-Bessel expansion. However, Fourier transform methods are useful for rapid calculation of principal plane Far-Field patterns as well as for reflector holographic diagnosis. The Fourier transform is often calculated using the fast Fourier transform (FFT) algorithm. Measured Near-field data must be located on a rectangular coordinate system to apply the FFT. An interpolation is presented which provides this regularization to data measured in a plane-polar facility to perform the subsequent FFT applications. Also discussed is the use of the FFT to perform the Far-Field antenna pattern calculations and reflector holographic diagnosis. ¬© 1988 IEEE</t>
  </si>
  <si>
    <t>781-791</t>
  </si>
  <si>
    <t>7102802294;7102110120</t>
  </si>
  <si>
    <t>Gatti, Mark S.;Rahmat-Samii, Yahya</t>
  </si>
  <si>
    <t>Gatti M.S.</t>
  </si>
  <si>
    <t>FFT Applications to Plane-Polar Near-field Antenna Measurements</t>
  </si>
  <si>
    <t>10.1109/8.1180</t>
  </si>
  <si>
    <t>2-s2.0-0024018246</t>
  </si>
  <si>
    <t>U.S. Army Materiel Command</t>
  </si>
  <si>
    <t>AMC</t>
  </si>
  <si>
    <t>['utilizing one', 'transmitting arrays', 'reduce significantly', 'rapid near', 'probe arrays', 'key results', 'field measurement', 'even thousand', 'employing arrays', 'dimensional arrays', 'conventional near', 'complex near', 'also presented']</t>
  </si>
  <si>
    <t>Key results are summarized of efforts to reduce significantly the Near-field measurement time by utilizing one- or two-dimensional arrays of modulated scattering probes in lieu of the single probe ordinarily used in conventional Near-field measurement techniques. Results of analytical, numerical, and experimental investigations show that the modulated scattering technique (MST) employing arrays of hundreds or even thousand of modulated scattering probes can be used to map the complex near-field of antennas or scatterers in a few seconds or minutes. The results also strongly indicate that ‚Äúclassical‚Äù (non-modulated) receiving/transmitting arrays can be adapted for rapid near-field data collection. Major factors affecting the accuracy and speed of probe arrays for near-field measurement are delineated and discussed. Experimental results obtained via laboratory prototype MST systems are also presented and discussed. ¬© 1988 IEEE</t>
  </si>
  <si>
    <t>804-814</t>
  </si>
  <si>
    <t>60007136;60007136;60007136;60007136;60015099;60015099;60015099;60015099;60015099</t>
  </si>
  <si>
    <t>56796502600;6602471867;7006423471;7003898162;7006219534;35249271900;7006298972;7006654578;6701574379</t>
  </si>
  <si>
    <t>Bolomey, Jean Charles;Cown, Barry J.;Fine, Georges;Jofre, Luis;Mostafavi, Masoud;Picard, Dominique;Estrada, John P.;Friederich, Paul G.;Cain, Fred L.</t>
  </si>
  <si>
    <t>United States;France</t>
  </si>
  <si>
    <t>Atlanta;Gif-sur-Yvette</t>
  </si>
  <si>
    <t>Georgia Tech Research Institute;Laboratoire des Signaux et Syst√®mes</t>
  </si>
  <si>
    <t>60015099;60007136</t>
  </si>
  <si>
    <t>Bolomey J.C.</t>
  </si>
  <si>
    <t>Rapid Near-field Antenna Testing Via Arrays of Modulated Scattering Probes</t>
  </si>
  <si>
    <t>10.1109/8.1182</t>
  </si>
  <si>
    <t>2-s2.0-0024018281</t>
  </si>
  <si>
    <t>['obtaining gain', 'give insight', 'field techniques', 'field measurements', 'conventional far']</t>
  </si>
  <si>
    <t>Equations are derived and measurement techniques described for obtaining gain, effective radiated power, and saturating flux density using planar Near-field measurements. These are compared with conventional Far-Field techniques, and a number of parallels are evident. These give insight to the theory and help to identify the critical measurement parameters. Application of the techniques to the INTELSAT VI satellite are described. ¬© 1988 IEEE</t>
  </si>
  <si>
    <t>792-803</t>
  </si>
  <si>
    <t>60023053;60005304;60005304</t>
  </si>
  <si>
    <t>35389095700;57213705878;7003835218</t>
  </si>
  <si>
    <t>Newell, Allen C.;Ward, Robert D.;McFarlane, Edward J.</t>
  </si>
  <si>
    <t>Gaithersburg;Waltham</t>
  </si>
  <si>
    <t>National Institute of Standards and Technology;Raytheon</t>
  </si>
  <si>
    <t>60023053;60005304</t>
  </si>
  <si>
    <t>Gain and Power Parameter Measurements Using Planar Near-field Techniques</t>
  </si>
  <si>
    <t>10.1109/8.1181</t>
  </si>
  <si>
    <t>2-s2.0-0024018678</t>
  </si>
  <si>
    <t>['waveteagth ratio', 'special functions', 'radial transformation', 'provided ln', 'processing times', 'probe correction', 'measurement distance', 'experimental results', 'data points', 'data acquisition', 'antenna enclosed', 'antenna diameter', '240 wavelengths']</t>
  </si>
  <si>
    <t>A spherical km aear-fidd antenna range is described. The procedure for realtime data processing is outlined. Relations for the number of data points, largest aspect angle Measured, and data acquisition and processing times as a fanction of the antenna diameter-to-waveteagth ratio and the measurement distance are given. Experimental results are presented for an antenna enclosed by a ‚ÄúMinimum sphere‚Äù having a diameter of 240 wavelengths. All the equations for the spherical wane analyst, probe correction, and radial transformation are provided ln the appendixes In numerically convenient form without the use of any special functions. ¬© 1988 IEEE</t>
  </si>
  <si>
    <t>815-821</t>
  </si>
  <si>
    <t>60015623;60015623</t>
  </si>
  <si>
    <t>6701333615;6602315151</t>
  </si>
  <si>
    <t>Thal, Herbert L.;Manges, John B.</t>
  </si>
  <si>
    <t>Boston</t>
  </si>
  <si>
    <t>General Electric Company</t>
  </si>
  <si>
    <t>Thal H.L.</t>
  </si>
  <si>
    <t>Theory and Practice for a Spherical-Scan Near-field Antenna Range</t>
  </si>
  <si>
    <t>10.1109/8.1183</t>
  </si>
  <si>
    <t>2-s2.0-0024018679</t>
  </si>
  <si>
    <t>['unknown parameter', 'range measurements', 'previous paper', 'polarization isolation', 'parameter equation', 'paper focuses', 'orbit testing', 'orbit measurement', 'operational phase', 'measurement procedures', 'measurement error', 'evaluated based', 'discusses instrumentation', 'computer predictions', 'calculatable quantities', 'antenna tests']</t>
  </si>
  <si>
    <t>The in orbit testing of a communication satellite involves the measurement of key communication parameters, which determine communication subsystem behavior and verify the design. Some of the tests, specifically those involving the satellite‚Äôs antennas, are unique in that they require satellite antenna motion in both azimuth and elevation. They can only be conducted in the post launch period prior to the operational phase of the satellite. While in a previous paper [1] satellite tranponder measurements were discussed, this paper focuses on antenna tests. Here it is of interest to verify antenna pattern design and put a bound on satellite antenna cross-polarization isolation, or lack of it, by comparing in orbit test results with computer predictions and range measurements. This article presents measurement procedures and discusses instrumentation for the in orbit measurement of satellite antenna parameters. The measurement procedures are reflected in equations, in which the unknown parameter is expressed by measurable or calculatable quantities. The measurement error is evaluated based on the parameter equation and component error estimates. ¬© 1988 IEEE</t>
  </si>
  <si>
    <t>285-291</t>
  </si>
  <si>
    <t>Measurement of Satellite Communication Parameters: Satellite Antenna Measurements</t>
  </si>
  <si>
    <t>10.1109/19.6068</t>
  </si>
  <si>
    <t>2-s2.0-0024018717</t>
  </si>
  <si>
    <t>['transmission loss', 'theoretical results', 'radome shape', 'radome performance', 'quite good', 'particular applicatio', 'measuring technique', 'designed using', 'compact range', 'boresight error']</t>
  </si>
  <si>
    <t>The radome performance (transmission loss and boresight error) is evaluated by means of a computer code whose input data is geometric (radome shape, layered structure configuration, and an-tenna/radome relative position) and the antenna aperture magnetic current distribution. The latter is measured directly thus avoiding the difficulty of characterizing the antenna under test. The Spherical Near Field (SNF) measuring technique is described for this particular applicatio A radome has been designed using this approach and then manufactured and tested by means of a Compact Range. The comparison between experimental and theoretical results is quite good. ¬© 1988 IEEE</t>
  </si>
  <si>
    <t>292-295</t>
  </si>
  <si>
    <t>115666243;115666243;115666243</t>
  </si>
  <si>
    <t>7003332109;7004831935;57010421900</t>
  </si>
  <si>
    <t>Audone, Bruno;Delogu, Andrea;Moriondo, Paola</t>
  </si>
  <si>
    <t>rinese</t>
  </si>
  <si>
    <t>Audone B.</t>
  </si>
  <si>
    <t>Radome Design and Measurements</t>
  </si>
  <si>
    <t>10.1109/19.6069</t>
  </si>
  <si>
    <t>2-s2.0-0024018718</t>
  </si>
  <si>
    <t>['total uncertainty', 'planar near', 'measurement tests', 'mathematical analysis', 'individual source', 'field measurements', 'computer simulation']</t>
  </si>
  <si>
    <t>The results of an extensive error analysis on planar Near-field measurements are described. The analysis provides ways for estimating the magnitude of each individual source of error and then combining them to estimate the total uncertainty in the measurement. Mathematical analysis, computer simulation, and measurement tests are all used where appropriate. ¬© 1988 IEEE</t>
  </si>
  <si>
    <t>754-768</t>
  </si>
  <si>
    <t>Error Analysis Techniques for Planar Near-field Measurements</t>
  </si>
  <si>
    <t>10.1109/8.1177</t>
  </si>
  <si>
    <t>2-s2.0-0024018794</t>
  </si>
  <si>
    <t>['used instead', 'two probes', 'simultaneous measurements', 'second probe', 'second component', 'receiving patterns', 'procedure used', 'port probe', 'one probe', 'national bureau', 'field theory', 'field measurements', 'dual polarized', 'determine accurately', 'demonstrated using', 'accurately determining', '90 ¬∞']</t>
  </si>
  <si>
    <t>The receiving patterns (both amplitude and phase) of two probes must be known and utilized to determine accurately the complete far field of an antenna under test from near-field measurements. This process is called probe correction. When the antenna to be tested is nominally linearly polarized, the measurements are more accurate and efficient if nominally linearly polarized probes are used. Further efficiency is obtained if only one probe which is dual polarized is used instead of two probes to allow for simultaneous measurements of both components. It should be noted, however, that a single-port probe can be rotated by 90¬∞ (in effect, the second probe) to obtain the second component. A procedure used by the National Bureau of Standards (NBS) for accurately determining the plane-wave receiving parameters of both single- and dual-port linearly polarized probes is described. Examples are presented, and the effect of these probe receiving characteristics in the calculation of the parameters for the antenna under test is demonstrated using the required planar near-field theory. ¬© 1988 IEEE</t>
  </si>
  <si>
    <t>855-868</t>
  </si>
  <si>
    <t>60023053;60023053;60023053</t>
  </si>
  <si>
    <t>6602372294;35389095700;7201841610</t>
  </si>
  <si>
    <t>Repjar, Andrew G.;Newell, Allen C.;Francis, Michael H.</t>
  </si>
  <si>
    <t>Repjar A.G.</t>
  </si>
  <si>
    <t>Accurate Determination of Planar Near-field Correction Parameters for Linearly Polarized Probes</t>
  </si>
  <si>
    <t>10.1109/8.1189</t>
  </si>
  <si>
    <t>2-s2.0-0024018796</t>
  </si>
  <si>
    <t>['theoretical data', 'reliable method', 'relative power', 'output domain', 'numerically integrating', 'numerical instability', 'much larger', 'exhibiting fresnel', 'electrical size', 'electrical diameter', 'contours becomes', 'complex far', 'antenna size', 'analysis consists']</t>
  </si>
  <si>
    <t>An efficient and reliable method has been developed for computing and exhibiting Fresnel-region fields radiated by microwave antennas using plane-wave scattering matrix analysis. That is, we calculate near fields by numerically integrating the complex Far-Field antenna pattern. The predicted near fields are exhibited as relative power-density contours lying in a longitudinal plane bisecting the antenna's aperture. With spatial coordinate scaling, each set of contours becomes a function of the relative aperture distribution and the electrical size of the antenna. If the electrical diameter is much larger than any normalized transverse coordinate of interest, the contour set becomes invariant with respect to antenna size. Thus coordinate normalization can produce contours applicable to any antenna with the same relative aperture distribution, regardless of antenna size. The crux of the analysis consists of handling a numerical instability which arises from integrating discrete data. A criterion is developed for excluding highly oscillatory regions of the integrand. In turn, this leads to restricting the output domain where the near field computations are valid. With the numerical instability problem resolved, the fast Fourier transform is used for efficient numerical integration. The predicted near fields have been compared against both measured and theoretical data, confirming that our near-field computation algorithm is capable of extremely high accuracy. ¬© 1988 IEEE</t>
  </si>
  <si>
    <t>890-901</t>
  </si>
  <si>
    <t>55457217400;35389095700</t>
  </si>
  <si>
    <t>Lewis, Richard L.;Newell, Allen C.</t>
  </si>
  <si>
    <t>Lewis R.L.</t>
  </si>
  <si>
    <t>Efficient and Accurate Method for Calculating and Representing Power Density in the Near Zone of Microwave Antennas</t>
  </si>
  <si>
    <t>10.1109/8.1193</t>
  </si>
  <si>
    <t>2-s2.0-0024018797</t>
  </si>
  <si>
    <t>['theoretical studies', 'pioneering role', 'nonplanar near', 'nbs contributions', 'national bureau', 'microwave measurement', 'determine corrections', 'brief history', 'also described']</t>
  </si>
  <si>
    <t>The National Bureau of Standards (NBS) played a pioneering role in the development of practical planar Near-field antenna measurement techniques. A brief history is presented of that role, which began with theoretical studies to determine corrections for diffraction in a microwave measurement of the speed of light. NBS contributions to the development of nonplanar Near-field measurement theory and practice are also described. ¬© 1988 IEEE</t>
  </si>
  <si>
    <t>727-733</t>
  </si>
  <si>
    <t>7201567328;35389095700;7004384154</t>
  </si>
  <si>
    <t>Baird, Ramon C.;Newell, Allen C.;Stubenrauch, Carl F.</t>
  </si>
  <si>
    <t>Baird R.C.</t>
  </si>
  <si>
    <t>A Brief History of Near-field Measurements of Antennas at the National Bureau of Standards</t>
  </si>
  <si>
    <t>10.1109/8.1173</t>
  </si>
  <si>
    <t>2-s2.0-0024018938</t>
  </si>
  <si>
    <t>['planar array', 'much enhanced', 'inverse transform', 'inverse process', 'field spectrum', 'field probe', 'field patterns', 'field data', 'experimental study', 'element factor', 'distance free', 'diagnostic tool', 'diagnostic purposes', 'array elements', 'aperture field']</t>
  </si>
  <si>
    <t>Presented are the results of an experimental study in which the near-field probe was used as a diagnostic tool to locate defective elements in a planar array. The near-field data were processed not only to obtain the Far-Field patterns of the array under test, but also to reconstruct the aperture field for diagnostic purposes. This ‚Äúbackward‚Äù transform enables the near-field probe to identify accurately aperture faults at a distance free of interactions and couplings with the array elements. In practice, to recover the aperture field properly from the must be excluded from the inverse process with fast Fourier transform (FFT) techniques. For low-gain array antennas, a correction on the Far-Field spectrum is required to remove the contribution of the probe and the element factor before the inverse transform, so that the resolution can be much enhanced. ¬© 1988 IEEE</t>
  </si>
  <si>
    <t>884-889</t>
  </si>
  <si>
    <t>60005304;60005304;60005304;60005304</t>
  </si>
  <si>
    <t>57193268489;6506157716;6506079157;7501503817</t>
  </si>
  <si>
    <t>Lee, J. J.;Ferren, Edward M.;Woollen, D. Pat;Lee, Kuan M.</t>
  </si>
  <si>
    <t>Near-Field Probe Used as a Diagnostic Tool to Locate Defective Elements in an Array Antenna</t>
  </si>
  <si>
    <t>10.1109/8.1192</t>
  </si>
  <si>
    <t>2-s2.0-0024018974</t>
  </si>
  <si>
    <t>5709/83/NL/GM</t>
  </si>
  <si>
    <t>['without losing', 'tangential components', 'substantially larger', 'standard approach', 'samples spacing', 'much greater', 'field pattern', 'field measurements', 'cylinder radius', 'computational efficiency', 'antenna far']</t>
  </si>
  <si>
    <t>A properly modified sampling technique is applied to the reconstruction of the antenna Far-Field pattern from near-field measurements on a cylinder. It is shown that, if a proper phase factor is singled out from the tangential components of the measured electric field, the samples spacing along the axis of the measurement cylinder increases linearly with the cylinder radius. Thus, when this radius is substantially larger than the antenna's dimension, the samples spacing can be much greater than the X/2 spacing commonly accepted as the maximum possible one, without losing the computational efficiency of the standard approach. ¬© 1988 IEEE</t>
  </si>
  <si>
    <t>830-835</t>
  </si>
  <si>
    <t>60017293;60031624</t>
  </si>
  <si>
    <t>7006499276;7003785247</t>
  </si>
  <si>
    <t>Bucci, Ovidio M.;Gennarelli, Claudio</t>
  </si>
  <si>
    <t>Ancona;Naples</t>
  </si>
  <si>
    <t>Universit√† Politecnica delle Marche;Universit√† degli Studi di Napoli Federico II</t>
  </si>
  <si>
    <t>60031624;60017293</t>
  </si>
  <si>
    <t>Bucci O.M.</t>
  </si>
  <si>
    <t>Use of Sampling Expansions in Near-Field-Far-Field Transformations: The Cylindrical Case</t>
  </si>
  <si>
    <t>10.1109/8.1185</t>
  </si>
  <si>
    <t>2-s2.0-0024019306</t>
  </si>
  <si>
    <t>['stable antenna', 'specific near', 'repeated near', 'performed using', 'methodology presented', 'major near', 'known accuracy', 'form equations', 'error budget', 'cumulative sum', 'computer simulation', 'component certification', 'comparison tests', 'comparison test', 'another range', 'affect accuracy', 'accuracy qualification']</t>
  </si>
  <si>
    <t>A methodology is presented for the accuracy qualification of near-field antenna measurement ranges. The methodology presented is a combination of analysis, computer simulation, component certification, self-tests, and comparison tests. The analysis uses closed-form equations to establish upper bound Far-Field determination errors due to near-field measurements errors. Computer simulation is used to model the specific near-field measurement errors associated with the near-field measurement system components. The closed-form equations and computer simulation are used to form a near-field error budget for each of the near-field measurement system components. A near-field system component certification is undertaken to measure the near-field measurement system component errors and establish that they are within the error budget. Repeated near-field measurement self-tests are performed with a stable antenna under test, changing one measurement system condition for each test. These tests reveal changes in assumed invariant conditions. Finally, a comparison test is performed using a stable antenna under test in which Far-Field patterns determined from the near-field range undergoing qualification are compared to the Far-Field patterns determined on another range with known accuracy. The Far-Field patterns must agree to within the cumulative sum of the two range accuracies. The major near-field system components which affect accuracy are presented, together with as a list of the major near-field measurement errors which should be budgeted. ¬© 1988 IEEE</t>
  </si>
  <si>
    <t>836-844</t>
  </si>
  <si>
    <t>Near-Field Range Qualification Methodology</t>
  </si>
  <si>
    <t>10.1109/8.1186</t>
  </si>
  <si>
    <t>2-s2.0-0024019536</t>
  </si>
  <si>
    <t>['surface errors', 'surface accuracy', 'short time', 'satellite use', 'reflector antenna', 'planar near', 'periodic structure', 'field system', 'field pattern', 'evaluate simultaneously', 'coincided well', 'clearly observed', 'antenna ribs']</t>
  </si>
  <si>
    <t>Using a near-field antenna measurement facility, it is possible to evaluate simultaneously the surface accuracy of a reflector antenna as well as the Far-Field pattern of the antenna for a short time. The surface errors of a 2-m deployable mesh reflector for satellite use were measured by means of a planar near-field system. As a result, the influence of periodic structure, due to the antenna ribs, has been clearly observed. Also, the surface accuracy obtained with the near-field scanning technique has coincided well with that obtained by an optical measurement technique. ¬© 1988 IEEE</t>
  </si>
  <si>
    <t>879-883</t>
  </si>
  <si>
    <t>60092258;60092258;60092258;60092258</t>
  </si>
  <si>
    <t>7006680804;55471095900;36725294300;7004285304</t>
  </si>
  <si>
    <t>Chujo, Wataru;Ito, Takeo;Hori, Yoshiaki;Teshirogi, Tasuku</t>
  </si>
  <si>
    <t>Koganei</t>
  </si>
  <si>
    <t>Ministry of Posts and Telecommunications, Japan</t>
  </si>
  <si>
    <t>Chujo W.</t>
  </si>
  <si>
    <t>Surface Accuracy Measurement of a Deployable Mesh Reflector by Planar Near-field Scanning</t>
  </si>
  <si>
    <t>10.1109/8.1191</t>
  </si>
  <si>
    <t>2-s2.0-0024019605</t>
  </si>
  <si>
    <t>Teknologi og Produktion, Det Frie Forskningsr√•d</t>
  </si>
  <si>
    <t>FTP, DFF</t>
  </si>
  <si>
    <t>['technical university', 'spherical near', 'early work']</t>
  </si>
  <si>
    <t>The early work (1969-1979) on spherical Near-field antenna measurements at the Technical University of Denmark is outlined. ¬© 1988 IEEE</t>
  </si>
  <si>
    <t>734-739</t>
  </si>
  <si>
    <t>60011373;60027972</t>
  </si>
  <si>
    <t>57214069533;26662742500</t>
  </si>
  <si>
    <t>Hansen, E.;Jensen, Frank</t>
  </si>
  <si>
    <t>Denmark;Denmark</t>
  </si>
  <si>
    <t>Copenhagen K;Lyngby</t>
  </si>
  <si>
    <t>TICRA;Danmarks Tekniske Universitet</t>
  </si>
  <si>
    <t>60027972;60011373</t>
  </si>
  <si>
    <t>Hansen E.</t>
  </si>
  <si>
    <t>Spherical Near-field Scanning at The Technical University of Denmark</t>
  </si>
  <si>
    <t>10.1109/8.1174</t>
  </si>
  <si>
    <t>2-s2.0-0024019758</t>
  </si>
  <si>
    <t>['viable tool', 'v coordinates', 'spherical near', 'several contour', 'scaled plots', 'phase patterns', 'phase data', 'original antenna', 'microwave diagnosis', 'measured antennas', 'first used', 'field measurements', 'field data', 'field amplitude', 'experiment using', 'attached bumps', 'array antennas', 'achieved accuracy', 'accurate far', '3 ghz']</t>
  </si>
  <si>
    <t>Microwave diagnosis of antennas is being considered as a viable tool for the determination of reflector surface distortions and the location of defective radiating elements of array antennas. A hybrid technique based on the combination of the spherical near-field measurements and holographic metrology reconstruction is presented. The measured spherical near-field data are first used to construct the Far-Field amplitude and phase patterns of the antenna on specified regularized u-v coordinates. These data are then utilized in the surface profile reconstruction of the holographic technique using a fast Fourier transform (FFT)/ iterative approach. Results of an experiment using a 156-cm reflector antenna measured at 11.3 GHz are presented for both the original antenna and the antenna with four attached bumps. Several contour and gray-scaled plots are presented for the reconstructed surface profiles of the measured antennas. It has been demonstrated how effectively the attached bumps can be recovered. Additionally, the hybrid procedure presented is used to assess the achieved accuracy of the holographic reconstruction technique because of its ability to determine very accurate Far-Field amplitude and phase data from the spherical near-field measurements. ¬© 1988 IEEE</t>
  </si>
  <si>
    <t>869-878</t>
  </si>
  <si>
    <t>60009037;60011373</t>
  </si>
  <si>
    <t>7102110120;6602383797</t>
  </si>
  <si>
    <t>Rahmat-Samii, Yahya;Lemanczyk, Jerzy</t>
  </si>
  <si>
    <t>Denmark;United States</t>
  </si>
  <si>
    <t>Lyngby;Pasadena</t>
  </si>
  <si>
    <t>Danmarks Tekniske Universitet;Jet Propulsion Laboratory</t>
  </si>
  <si>
    <t>60011373;60009037</t>
  </si>
  <si>
    <t>Rahmat-Samii Y.</t>
  </si>
  <si>
    <t>Application of Spherical Near-field Measurements to Microwave Holographic Diagnosis of Antennas</t>
  </si>
  <si>
    <t>10.1109/8.1190</t>
  </si>
  <si>
    <t>2-s2.0-0024019759</t>
  </si>
  <si>
    <t>['shielded room', 'sensitivity tests', 'receiving loop', 'random locations', 'radio receivers', 'often carried', 'measured ones', 'magnetic field', 'external sources', 'calculated values', 'avoid interference']</t>
  </si>
  <si>
    <t>The standard magnetic field radiated by a small loop antenna is used for sensitivity tests of radio receivers. To avoid interference from external sources, the test is often carried out in a shielded room. A formula to obtain the intensity of the magnetic field at the receiving loop, when a small radiating loop antenna and the receiving loop antenna are placed at random locations in a shielded room, is derived. The convergence of the formula is analyzed. Furthermore, using the formula, an equation is derived which expresses the shielded room error or the effect of the room on the standard magnetic field. The correlations between the calculated values of the error and the measured ones are remarkable. ¬© 1988 IEEE</t>
  </si>
  <si>
    <t>268-273</t>
  </si>
  <si>
    <t>60025141-60031701;60025141</t>
  </si>
  <si>
    <t>14320555700;7102497816</t>
  </si>
  <si>
    <t>Nakane, Hiroshi;Omori, Shunichi</t>
  </si>
  <si>
    <t>Tsukuba;Tokyo</t>
  </si>
  <si>
    <t>Electrotechnical Laboratory;Tokyo University of Science</t>
  </si>
  <si>
    <t>60031701;60025141</t>
  </si>
  <si>
    <t>Nakane H.</t>
  </si>
  <si>
    <t>General Formulas for Calculating Magnetic Field at a Receiving Loop Placed at an Arbitrary Position from a Radiating Loop in a Shielded Room</t>
  </si>
  <si>
    <t>10.1109/19.6064</t>
  </si>
  <si>
    <t>2-s2.0-0024020144</t>
  </si>
  <si>
    <t>['using smaller', 'prevailing views', 'practices regarding', 'planar near', 'important finding', 'field measurement', 'evanescent modes', 'computer simulation', 'closer probe', 'antenna distance']</t>
  </si>
  <si>
    <t>The theory and practices of planar Near-field measurement were examined by computer simulation. It was observed that some of the prevailing views and practices regarding the evanescent modes, the sampling and filtering of data, and the selection of the location and directivity of the probe are incomplete or misleading. An important finding is that the merits of using smaller, lower directivity probes in conjunction with a closer probe-to-antenna distance have been overlooked. ¬© 1988 IEEE</t>
  </si>
  <si>
    <t>746-753</t>
  </si>
  <si>
    <t>Wang, Johnson J.H.</t>
  </si>
  <si>
    <t>Georgia Tech Research Institute</t>
  </si>
  <si>
    <t>Wang J.J.H.</t>
  </si>
  <si>
    <t>An Examination of the Theory and Practices of Planar Near-field Measurement</t>
  </si>
  <si>
    <t>10.1109/8.1176</t>
  </si>
  <si>
    <t>2-s2.0-0024020150</t>
  </si>
  <si>
    <t>['therefore exposed', 'terminal residues', 'terminal regions', 'terminal domain', 'seven n', 'rhodobacter sphaeroides', 'proteolytic attack', 'proteinase k', 'protease attack', 'periplasmic surface', 'periplasmic space', 'n termini', 'membrane intact', 'harvesting b800', 'derived vesicles', 'cytoplasmic surface', 'c termini', 'binding polypeptides', 'beta polypeptides', 'apparently protected', 'alpha polypeptides', '850 alpha']</t>
  </si>
  <si>
    <t>The localization of the N- and C-terminal regions of pigment-binding polypeptides of the bacterial photosynthetic apparatus of Rhodobacter sphaeroides was investigated by proteinase K treatment of chromatophore and spheroplast-derived vesicles and amino acid sequence determination. Under conditions of proteinase K treatment of chromatophores, which left the in vivo absorption spectrum and the membrane intact, 15 and 46 amino acyl residues from the N-terminal regions of the L and M subunits, respectively, of the reaction center polypeptides were removed. The N termini are therefore exposed on the cytoplasmic surface of the membrane. The C-terminal domain of the light-harvesting B800-850 alpha and B870 alpha polypeptides was found to be exposed on the periplasmic surface of the membrane. A total of 9 and 13 amino acyl residues were cleaved from the B800-850 alpha and B870 alpha polypeptides, respectively, when spheroplasts were treated with proteinase K. The N-terminal regions of the alpha polypeptides were not digested in either membrane preparation and were apparently protected from proteolytic attack. Seven N-terminal amino acyl residues of the B800-850 beta polypeptide were removed after the digestion of chromatophores. C-terminal residues were not removed after the digestion of chromatophores or spheroplasts. The C termini seem to be protected from protease attack by interaction with the membrane. Therefore, the N-terminal regions of the beta polypeptides are exposed on the cytoplasmic membrane surface. The C termini of the beta polypeptides are believed to point to the periplasmic space.</t>
  </si>
  <si>
    <t>2758-2762</t>
  </si>
  <si>
    <t>Journal of bacteriology</t>
  </si>
  <si>
    <t>60007257;60007257;60007257;60007257</t>
  </si>
  <si>
    <t>7005687711;7402404216;56622589700;7102742634</t>
  </si>
  <si>
    <t>Tadros, M. H.;Frank, R.;Takemoto, J. Y.;Drews, G.</t>
  </si>
  <si>
    <t>European Molecular Biology Laboratory Heidelberg</t>
  </si>
  <si>
    <t>Tadros M.</t>
  </si>
  <si>
    <t>Localization of reaction center and B800-850 antenna pigment proteins in membranes of Rhodobacter sphaeroides.</t>
  </si>
  <si>
    <t>10.1128/jb.170.6.2758-2762.1988</t>
  </si>
  <si>
    <t>2-s2.0-0024024075</t>
  </si>
  <si>
    <t>['transmitter filter', 'receiver low', 'receiver filters', 'output power', 'noise amplifier', 'new low', 'new ladder', 'experimental results', 'electrode fingers', 'also presented', '800 mhz', '8 ml', '2 w', '2 db']</t>
  </si>
  <si>
    <t>A new low-loss, high-power SAW filter has been developed for an antenna duplexer used in an 800-MHz portable telephone transceiver. The new ladder-type configuration uses SAW resonators and capacitors between electrode fingers and the earth. It is fabricated on a 2-mm-square LiTa03 chip. This configuration provides insertion loss as low as 1.0 - 1.2 dB and output power up to 2 W at 800 MHz. Experimental results of a miniature antenna duplexer module using this filter as a transmitter filter and the previously published high-performance SAW filters as receiver filters are also presented. This module also includes a receiver low-noise amplifier, yet its size is under 8 ml. ¬© 1988 IEEE</t>
  </si>
  <si>
    <t>1047-1056</t>
  </si>
  <si>
    <t>60003381-115597322;60003381-115597322</t>
  </si>
  <si>
    <t>7102360893;7006046079</t>
  </si>
  <si>
    <t>Hikita, Mitsutaka;Tabuchi, Toyoji</t>
  </si>
  <si>
    <t>Tokyo;Katsuta</t>
  </si>
  <si>
    <t>Hitachi, Ltd.;Hitachi Tokai Works</t>
  </si>
  <si>
    <t>60003381;115597322</t>
  </si>
  <si>
    <t>Hikita M.</t>
  </si>
  <si>
    <t>Miniature SAW Antenna Duplexer for 800-MHz Portable Telephone Used in Cellular Radio Systems</t>
  </si>
  <si>
    <t>10.1109/22.3631</t>
  </si>
  <si>
    <t>2-s2.0-0024029421</t>
  </si>
  <si>
    <t>['sheath waves', 'sheath thickness', 'resonances associated', 'resonance frequencies', 'plasma density', 'ion sheath', 'good agreement', 'frequency dependence', 'experimental data', 'driving frequencies', 'certain frequencies', 'antenna potential', 'antenna length']</t>
  </si>
  <si>
    <t>A floating or negatively biased antenna immersed in a plasma is surrounded by an ion sheath. The antenna-sheath-plasma system may support slow surface waves at driving frequencies below the electron plasma frequency. Resonances associated with these so-called sheath waves are observed at certain frequencies in the antenna's response to an applied sinusoidal signal. A detailed experimental study of these resonances is presented here for a short cylindrical monopole in a low-pressure isotropic argon plasma. The effect on the resonance frequencies of a dc bias applied to the antenna and of plasma density and antenna length was investigated. Good agreement was obtained with the theoretical predictions derived from a known dispersion equation for sheath waves. From the experimental data, the relationship between sheath thickness and antenna potential, and the frequency dependence of the antenna admittance could be derived. ¬© 1988 IEEE</t>
  </si>
  <si>
    <t>333-341</t>
  </si>
  <si>
    <t>60019141;60019141;60019141</t>
  </si>
  <si>
    <t>7006073745;7004925768;7003864008</t>
  </si>
  <si>
    <t>Nachman, Manfred;Le Blanc, Mario;Linh, Ngo Phong</t>
  </si>
  <si>
    <t>Polytechnique Montr√©al</t>
  </si>
  <si>
    <t>Nachman M.</t>
  </si>
  <si>
    <t>Sheath-Wave-Related Resonances in the Frequency Response of a Cylindrical Monopole in a Plasma</t>
  </si>
  <si>
    <t>10.1109/27.3839</t>
  </si>
  <si>
    <t>2-s2.0-0024029532</t>
  </si>
  <si>
    <t>['permitting two', 'paper describes', 'multiplexers reduces', 'antennas required']</t>
  </si>
  <si>
    <t>This paper describes how multiplexers can be used in the shortwave frequency range for permitting two or three high power shortwave transmitters to be connected to one curtain antenna array. RFE/RL has found that the use of multiplexers reduces the number of antennas required for a shortwave broadcast station. ¬© 1988 IEEE</t>
  </si>
  <si>
    <t>193-200</t>
  </si>
  <si>
    <t>6507732167;6508278535</t>
  </si>
  <si>
    <t>Fallis, Hugh;Folkert, Matthew</t>
  </si>
  <si>
    <t>Fallis H.</t>
  </si>
  <si>
    <t>practical techniques for feeding two or more high power shortwave transmitters to one antenna</t>
  </si>
  <si>
    <t>10.1109/11.1436</t>
  </si>
  <si>
    <t>2-s2.0-0024029814</t>
  </si>
  <si>
    <t>['thin substrates', 'surface waves', 'mutual coupling', 'limitations due', 'improvements due', 'feed radiation', 'coplanar feeds', 'constructional simplicity', 'also quantified', 'allows specification']</t>
  </si>
  <si>
    <t>The use of coplanar feeds for microstrip patch arrays leads to constructional simplicity, but also to performance degradations due to feed radiation, in addition to limitations due to feed resistive loss, surface waves, mutual coupling and tolerances. These effects are quantified, and this allows specification of array performance limitations in addition to the recommendation of the use of smooth feed discontinuities, high line impedance, and thin substrates. Improvements due to the use of alternate feed geometries, such as sequentially rotated feeding and subarraying, are also quantified and are shown to be substantial.</t>
  </si>
  <si>
    <t>180-186</t>
  </si>
  <si>
    <t>Jun</t>
  </si>
  <si>
    <t>57213425197;7403015676</t>
  </si>
  <si>
    <t>Hall, P. S.;Hall, C. M.</t>
  </si>
  <si>
    <t>Hall P.</t>
  </si>
  <si>
    <t>COPLANAR CORPORATE FEED EFFECTS IN MICROSTRIP PATCH ARRAY DESIGN.</t>
  </si>
  <si>
    <t>10.1049/ip-h-2.1988.0038</t>
  </si>
  <si>
    <t>2-s2.0-0024029819</t>
  </si>
  <si>
    <t>N00014-85-K-0550</t>
  </si>
  <si>
    <t>['optimum beamforming', 'new beamformers', 'desired signal', 'computer simulations', 'complete solution', 'capon beamformer', 'called optimum', 'ad hoc']</t>
  </si>
  <si>
    <t>In the so-called optimum (constrained least squares) or Capon beamformer, signal cancellation takes place whenever the interferences are correlated with the desired signal. Recently proposed methods that address the signal cancellation problem are ad hoc and do not provide a complete solution to it. In this paper, we present new approaches to optimum beamforming in the presence of signal correlated interferences that completely eliminate signal cancellation. Three new fundamentally distinct beamformers, corresponding to different optimality criteria, are derived by exploiting the underlying signal model. Computer simulations are provided to illustrate the performance of the new beamformers. ¬© 1988 IEEE</t>
  </si>
  <si>
    <t>833-843</t>
  </si>
  <si>
    <t>IEEE Transactions on Acoustics, Speech, and Signal Processing</t>
  </si>
  <si>
    <t>60000745;60012708;60012708</t>
  </si>
  <si>
    <t>7006091153;57193685841;7102843718</t>
  </si>
  <si>
    <t>Bresler, Yoram;Reddy, Vellenki Umapathi;Kailath, Thomas</t>
  </si>
  <si>
    <t>Palo Alto;Urbana</t>
  </si>
  <si>
    <t>Stanford University;University of Illinois Urbana-Champaign</t>
  </si>
  <si>
    <t>60012708;60000745</t>
  </si>
  <si>
    <t>Bresler Y.</t>
  </si>
  <si>
    <t>Optimum Beamforming for Coherent Signal and Interferences</t>
  </si>
  <si>
    <t>10.1109/29.1594</t>
  </si>
  <si>
    <t>2-s2.0-0024029873</t>
  </si>
  <si>
    <t>['special implementation', 'spatial location', 'signal sources', 'separating signals', 'received signal', 'output signal', 'output channel', 'original signal', 'new area', 'n elements', 'model considered', 'matrix transform', 'inverse matrix', 'input signal', 'incident signal', 'important results', 'hilbert transform', 'block diagrams', 'array consisting']</t>
  </si>
  <si>
    <t>Adaptive arrays | Bearing‚Äêangle matrix | Signal separation</t>
  </si>
  <si>
    <t>The signal separation technique using adaptive arrays is a new area in array data processing. The model considered in this paper is that of an array consisting of N elements; the number of signal sources, which are separated in spatial location, is M and M ‚â• N. In the case of narrow band signals, the pre‚Äêenvelope form of the incident signal can be obtained from the original signal and its Hilbert transform. The directional bearing‚Äêangle matix G is formed in terms of the conventional beam‚Äêforming system. By using a special implementation, the inverse matrix of G is derived. Finally, a matrix transform is operated on the received signal so that the output signal is separable, i.e. each output channel has only one incident signal. In the case of wide band signals, the DFT of the input signal or heterodyne is required. The block diagrams of the signal separation technique are given and some important results of this technique are derived. The results of system simulation experiments in digital computers prove that this theory is effective for separating signals. Copyright ¬© 1988 John Wiley &amp; Sons, Ltd.</t>
  </si>
  <si>
    <t>111-120</t>
  </si>
  <si>
    <t>International Journal of Adaptive Control and Signal Processing</t>
  </si>
  <si>
    <t>Li, Qihu</t>
  </si>
  <si>
    <t>Institute of Acoustics Chinese Academy of Sciences</t>
  </si>
  <si>
    <t>Li Q.</t>
  </si>
  <si>
    <t>Signal separation theory using adaptive arrays</t>
  </si>
  <si>
    <t>10.1002/acs.4480020204</t>
  </si>
  <si>
    <t>2-s2.0-0024030046</t>
  </si>
  <si>
    <t>['transmission lines', 'performance measurements', 'new types', 'finite ground']</t>
  </si>
  <si>
    <t>Advancements in curtain type HF broadcast antennas are reviewed, and new types of high performance antennas for VOA are described including vertical and horizontal beam selections, performance measurements, effects of finite ground and hills, radiation hazard zones, and transmission lines. ¬© 1988 IEEE</t>
  </si>
  <si>
    <t>167-179</t>
  </si>
  <si>
    <t>Kershner, Stephen W.</t>
  </si>
  <si>
    <t>Kershner S.W.</t>
  </si>
  <si>
    <t>High performance antenna systems for new VOA stations</t>
  </si>
  <si>
    <t>10.1109/11.1433</t>
  </si>
  <si>
    <t>2-s2.0-0024030244</t>
  </si>
  <si>
    <t>['wide band', 'solid dielectrics', 'reflector antennas', 'radiation characteristics', 'radiated cross', 'parametric study', 'matching technique', 'flare angle', 'dielectric cones', 'cones made', 'cone diameters']</t>
  </si>
  <si>
    <t>The radiation characteristics of conical horns loaded with dielectric cones are investigated. The horn radiates low crosspolarization over a wide band of frequencies with cones made of foam or solid dielectrics. They make high performance feeds for reflector antennas. A modal-matching technique is used to investigate the behavior of the higher order modes excited along the horn that influence the radiated cross-polarization. A parametric study is described to assess the influence of the aperture and cone diameters, the flare angle, and the permittivity of the dielectric.</t>
  </si>
  <si>
    <t>158-162</t>
  </si>
  <si>
    <t>60022109;60022109;60022109</t>
  </si>
  <si>
    <t>7006827241;7006192058;57197164875</t>
  </si>
  <si>
    <t>Olver, A. D.;Clarricoats, P. J.B.;Raghavan, K.</t>
  </si>
  <si>
    <t>DIELECTRIC CONE LOADED HORN ANTENNAS.</t>
  </si>
  <si>
    <t>10.1049/ip-h-2.1988.0034</t>
  </si>
  <si>
    <t>2-s2.0-0024030247</t>
  </si>
  <si>
    <t>['œ ©', 'toroidal plasmas', 'take place', 'slow wave', 'resonance cone', 'process could', 'parasitic excitation', 'mode conversion', 'launcher designed', 'fast wave', 'density gradient', 'charge separation']</t>
  </si>
  <si>
    <t>Excitation of the lower hybrid wave (slow wave) using a launcher designed for fast wave excitation has been observed under conditions where neither direct excitation nor mode conversion is expected to take place. The slow wave was revealed through the presence of its resonance cone. The experiment was performed with Œ©i ‚â™ œâ ‚â™ Œ©eThe coupling of the fast wave into the slow wave is attributed to parasitic excitation, which is a linear mechanism involving electron E √ó B motion and charge separation in a density gradient. This process could be a significant loss mechanism for fast wave current drive in toroidal plasmas. ¬© 1988 IOP Publishing Ltd.</t>
  </si>
  <si>
    <t>1105-1108</t>
  </si>
  <si>
    <t>60024324;60018020</t>
  </si>
  <si>
    <t>7006602959;56144605100</t>
  </si>
  <si>
    <t>Goree, J.;Ono, M.</t>
  </si>
  <si>
    <t>Iowa City;Princeton</t>
  </si>
  <si>
    <t>University of Iowa;Princeton Plasma Physics Laboratory</t>
  </si>
  <si>
    <t>Goree J.</t>
  </si>
  <si>
    <t>Lower hybrid wave excitation by a fast wave current drive antenna</t>
  </si>
  <si>
    <t>10.1088/0029-5515/28/6/012</t>
  </si>
  <si>
    <t>2-s2.0-0024030397</t>
  </si>
  <si>
    <t>DAAG29-85-K-0227</t>
  </si>
  <si>
    <t>['terrain targets', 'several kilometers', 'paper describes', 'noise receivers', 'early 1987']</t>
  </si>
  <si>
    <t>The advent of high-power extended interaction oscillators and low-noise receivers in the 215 GHz frequency window has made it possible to design and operate radar systems at these wavelengths. This paper describes a high-power 215 GHz pulsed radar system developed for remote sensing applications that is capable of making backscatter measurements from terrain targets at ranges of several kilometers under normal atmospheric conditions. The paper also discusses system performance and calibration, together with measurements of snow backscatter coefficients made during early 1987. ¬© 1988 IEEE</t>
  </si>
  <si>
    <t>994-1001</t>
  </si>
  <si>
    <t>60014313;60014313;60014313;60014313</t>
  </si>
  <si>
    <t>7103288212;7202724032;57213852946;7006791463</t>
  </si>
  <si>
    <t>McINTOSH, Robert E.;Narayanan, Ram M.;Mead, James B.;Schaubert, Daniel H.</t>
  </si>
  <si>
    <t>McINTOSH R.E.</t>
  </si>
  <si>
    <t>Design and Performance of a 215 GHz Pulsed Radar System</t>
  </si>
  <si>
    <t>10.1109/22.3624</t>
  </si>
  <si>
    <t>2-s2.0-0024030537</t>
  </si>
  <si>
    <t>['vehicle motion', 'significantly reduced', 'mobile station', 'general expressions']</t>
  </si>
  <si>
    <t>Random FM noise using two branch selection combining with correlated Rayleigh fading signals is analyzed. General expressions are derived for the cumulative distribution function (cdf) and mean square value of the random FM noise, which can be applied to any type of diversity such as space, polarization, etc. Calculated results show that if two horizontally spaced antennas parallel with the direction of vehicle motion are used at a mobile station, random FM noise can be significantly reduced for small antenna spacings. ¬© 1988 IEEE</t>
  </si>
  <si>
    <t>752-755</t>
  </si>
  <si>
    <t>IEEE Transactions on Communications</t>
  </si>
  <si>
    <t>60025555;60020661</t>
  </si>
  <si>
    <t>7103400688;7402708406</t>
  </si>
  <si>
    <t>Adachi, F.;Parsons, J. D.</t>
  </si>
  <si>
    <t>Japan;United Kingdom</t>
  </si>
  <si>
    <t>Tokyo;Liverpool</t>
  </si>
  <si>
    <t>Nippon Telegraph and Telephone Corporation;University of Liverpool</t>
  </si>
  <si>
    <t>Adachi F.</t>
  </si>
  <si>
    <t>Random FM Noise with Selection Combining</t>
  </si>
  <si>
    <t>10.1109/26.2796</t>
  </si>
  <si>
    <t>2-s2.0-0024030540</t>
  </si>
  <si>
    <t>['vertical apertures', 'smaller subarrays', 'shortwave broadcaster', 'readily developed', 'prototype high', 'operating costs', 'modulated transmitters', 'land area', 'kw double', 'input power', 'hrs 8', 'hrs 4', 'hrs 2', 'gains range', 'etc .)', 'elevation pattern', 'dramatically reduces', 'construction details', 'beam directions', 'azimuthal beamwidths', 'azimuthal beam', 'antenna system', '8 ¬∞', '75 ¬∞.', '4 ¬∞', '31 dbi', '20 ¬∞']</t>
  </si>
  <si>
    <t>The design, construction details, and performance of a prototype high- power HRS 12/6/.5 antenna system covering the 6 to 26 MHz international broadcast bands are presented. The antenna has been developed, erected, and tested as part of the Voice of America modernization program to demonstrate the feasibility of controlling the horizontal and vertical apertures and beam directions of high-power, broad-bandwidth (2:1 frequency ratio) antennas. The antenna system provides 11 vertical slews, 15 azimuthal slews, and 5 azimuthal widths. The peak of the elevation pattern can be steered to angles of 4¬∞ to 20¬∞ above the horizon and the azimuthal beam can be steered up to ¬±30¬∞ with respect to boresight. Gains range from 16 to 31 dBi. Azimuthal beamwidths between -6 dB points range from 8¬∞ to 75¬∞. The antenna is designed to handle the input power of one or more 500-kW double-sideband, amplitude-modulated transmitters. The antenna system has been designed using basic dipole and antenna switching modules from which smaller subarrays (HRS 2/6/.5, HRS 4/6/.5, HRS 8/6/.5, etc.) can be readily developed. The extensive beam control provided by the antenna system enables a shortwave broadcaster to use many fewer antennas to reach his audiences. This dramatically reduces the land area of the station as well as its acquisition and operating costs. ¬© 1988 IEEE</t>
  </si>
  <si>
    <t>201-209</t>
  </si>
  <si>
    <t>Wilensky, Ronald</t>
  </si>
  <si>
    <t>Fremont</t>
  </si>
  <si>
    <t>TCI International, Inc.</t>
  </si>
  <si>
    <t>Wilensky R.</t>
  </si>
  <si>
    <t>High-power, broad-bandwidth HF dipole curtain array with extensive vertical and azimuthal beam control</t>
  </si>
  <si>
    <t>10.1109/11.1437</t>
  </si>
  <si>
    <t>2-s2.0-0024030688</t>
  </si>
  <si>
    <t>['total loss', 'numerical results', 'high power', 'given along', 'frequency range', 'existing theory', 'electrically small', 'earth losses', 'earth loss', 'couple energy', 'commonly used', 'accurate prediction', 'accurate expressions', '2 mhz', '100 mhz']</t>
  </si>
  <si>
    <t>Open wire transmission lines are commonly used to couple energy between high power, high frequency transmitters and antennas. An accurate prediction of conductor and earth losses on these lines is necessary to study their economics. With existing theory, it is possible to accurately predict conductor loss in this frequency range. However, the calculation of earth loss for typical transmission line designs is more difficult because above 2 MHz the height of the line above the earth is not electrically small and the usual low frequency approximations are not valid. In this paper, accurate expressions for these losses on two and four wire lines are found for frequencies as high as 100 MHz. It is found that earth losses can be significant in this higher frequency range. Numerical results are given along with comments on the effect of frequency and other parameters on total loss. ¬© 1988 IEEE</t>
  </si>
  <si>
    <t>292-300</t>
  </si>
  <si>
    <t>60018208;60018208</t>
  </si>
  <si>
    <t>7402077896;23096515900</t>
  </si>
  <si>
    <t>Olsen, R. G.;Wu, M. D.</t>
  </si>
  <si>
    <t>High frequency propagation losses on an open wire transmission line above dissipative earth</t>
  </si>
  <si>
    <t>10.1109/11.1445</t>
  </si>
  <si>
    <t>2-s2.0-0024030690</t>
  </si>
  <si>
    <t>['widespread use', 'wave interference', 'two signals', 'traditional loop', 'source sky', 'shortwave listeners', 'shortwave broadcasting', 'seems likely', 'reasonable expectation', 'realize small', 'minimum modification', 'measurements suggest', 'many instances', 'comparable strength', 'channel interference', 'azimuth differences', 'associated receiver', '90 degrees', '20 db']</t>
  </si>
  <si>
    <t>It is possible to realize small-compared-with-the-wavelength directional antennas optimized for the needs of shortwave listeners. Although these designs go well beyond the traditional loop, they are not difficult to build or to use, and further simplification is a reasonable expectation. It has been found that significantly improved rejection of both ground- and sky-wave interference can be obtained with minimum modification to the associated receiver, even in typical indoor environments. Measurements suggest that single-source sky-wave signal reductions of 20 dB can be achieved on the average. This is sufficient in many instances to give satisfactory separation of two signals on the same frequency of comparable strength and having azimuth differences of 90 degrees or greater. It seems likely that widespread use of these antennas would significantly reduce the severity of co-channel interference in shortwave broadcasting. ¬© 1988 IEEE</t>
  </si>
  <si>
    <t>159-166</t>
  </si>
  <si>
    <t>Villard, O. G.</t>
  </si>
  <si>
    <t>Menlo Park</t>
  </si>
  <si>
    <t>SRI International</t>
  </si>
  <si>
    <t>Villard O.G.</t>
  </si>
  <si>
    <t>Interference-reducing antennas for shortwave broadcast listeners</t>
  </si>
  <si>
    <t>10.1109/11.1432</t>
  </si>
  <si>
    <t>2-s2.0-0024031712</t>
  </si>
  <si>
    <t>N00014-84-C-0083</t>
  </si>
  <si>
    <t>['¬± 0', 'using reciprocity', 'transmitting antenna', 'towed sensor', 'towed behind', 'system utilizing', 'system using', 'scale high', 'resultant pattern', 'reledop system', 'reledop sensor', 'relative amplitude', 'receiving ground', 'power amplifiers', 'position data', 'paper describes', 'output graphics', 'optional polarization', 'horizon backscatter', 'high accuracy', 'ground station', 'example patterns', 'erp );', 'early 1960s', 'dielectric cable', 'based antennas', 'antenna elements', 'absolute gain', '15 degree']</t>
  </si>
  <si>
    <t>In the early 1960s, SRI International pioneered the measurement of full-scale High-Frequency (HF) antennas with a system using a small, aerodynamically stable battery-powered transmitter connected to an electrically short dipole which was towed behind an aircraft on a dielectric cable. This system was used to measure passive HF antenna patterns and gain for both transmitting (using reciprocity) and receiving ground-based antennas. The integration of power amplifiers into the antenna elements of modern transmitting phased arrays has made the use of antenna reciprocity impossible for measurement of the resultant pattern. A system utilizing a towed, 3-axis receiver called RELEDOP, an acronym for Receiving ELEmentary Dipole with Optional Polarization, has been developed by SRI and utilized to measure the transmit directivity patterns of over-the-horizon backscatter (OTH-B) radars and shortwave broadcast transmitting arrays. A dielectric tow cable and a fiber optic link to the towing aircraft permit excellent electromagnetic isolation of the RELEDOP sensor from the aircraft. High accuracy in position location (¬±15 m in x, y, and z) and fast receiver sampling permit orthogonal polarization component measurements with accuracies of ¬±0.15 degree in bearing and ¬±1 dB in relative amplitude. Calibrated receiving element gains permit measurement of absolute field strength. The field strength data, combined with the position data, permit an assessment of transmitter effective radiated power (ERP); and a knowledge of input power permits a computation of absolute gain of the transmitting antenna in dBi to¬±3 dB or better. This paper describes the RELEDOP system and its subsystems: towed sensor, airborne, positioning, ground station and communications. Example patterns and flight path tracks illustrate the output graphics. ¬© 1988 IEEE</t>
  </si>
  <si>
    <t>210-220</t>
  </si>
  <si>
    <t>60000461;60000461;60000461;60000461</t>
  </si>
  <si>
    <t>7005494900;6507721412;6602259277;6701446855</t>
  </si>
  <si>
    <t>Stehle, Roy H.;DesBrisay, Gregory A.;Whitson, Arthur L.;Hagn, George H.</t>
  </si>
  <si>
    <t>Stehle R.H.</t>
  </si>
  <si>
    <t>Reledop: A full-scale antenna pattern measurement system for high-powered HF transmitting antennas</t>
  </si>
  <si>
    <t>10.1109/11.1438</t>
  </si>
  <si>
    <t>2-s2.0-0024031713</t>
  </si>
  <si>
    <t>['moments solutions', 'form approximation', 'exact kernel', 'bounded part', 'approximation together']</t>
  </si>
  <si>
    <t>A computationally efficient closed-form approximation to the bounded part of the exact kernel, partitioned after Schelkunoff, of a cylindrical antenna integral equation is given. The approximation together with the existing elliptic integral representation of the singular part effectively obviates numerical integration in the evaluation of the kernel. Sample results obtained from method-of-moments solutions are given to validate the approximation.</t>
  </si>
  <si>
    <t>210-212</t>
  </si>
  <si>
    <t>Karwowski, A.</t>
  </si>
  <si>
    <t>Poland</t>
  </si>
  <si>
    <t>Gliwice</t>
  </si>
  <si>
    <t>Silesian University of Technology</t>
  </si>
  <si>
    <t>Karwowski A.</t>
  </si>
  <si>
    <t>CLOSED-FORM APPROXIMATION TO THE BOUNDED PART OF THE EXACT KERNEL OF A CYLINDRICAL ANTENNA INTEGRAL EQUATION.</t>
  </si>
  <si>
    <t>10.1049/ip-h-2.1988.0043</t>
  </si>
  <si>
    <t>2-s2.0-0024032015</t>
  </si>
  <si>
    <t>['‚ äúhigh', 'wave band', 'vertical steering', 'theoretical study', 'spherical reflector', 'parabolic reflector', 'modeling results', 'model measurements', 'higher gain', 'elevation steering', '27 mhz']</t>
  </si>
  <si>
    <t>The theoretical study and model measurements on a ‚Äúhigh-power steerable short-wave antenna‚Äù covers a spherical reflector, a parabolic reflector and a log periodic switch steerable type antenna. The scale modeling facilities are described and the modeling results are presented. The spherical reflector gives reasonably good azimuth and elevation steering over the short-wave band from 5.8 to 27 MHz. The parabolic reflector gives good azimuth steering, with higher gain but no vertical steering. The log periodic antenna provides a high gain switch steerable antenna suitable for over-the-horizon radar detection. ¬© 1988 IEEE</t>
  </si>
  <si>
    <t>186-192</t>
  </si>
  <si>
    <t>115668284;;</t>
  </si>
  <si>
    <t>7101808000;7501652481;7006423625</t>
  </si>
  <si>
    <t>Jacobson, Herbert P.;Smith, Carl E.;Riggs, R. Richard</t>
  </si>
  <si>
    <t>QUITO</t>
  </si>
  <si>
    <t>Jacobson H.P.</t>
  </si>
  <si>
    <t>High-power steerable short-wave antennas</t>
  </si>
  <si>
    <t>10.1109/11.1435</t>
  </si>
  <si>
    <t>2-s2.0-0024032058</t>
  </si>
  <si>
    <t>['wave systems', 'site selection', 'point sky', 'location samples']</t>
  </si>
  <si>
    <t>Classical methods used to predict the performance of point-to-point sky-wave systems are extended to the design of High Frequency Broadcast Systems through a summarizing procedure based on the use of time-location samples. Examples of frequency, antenna, and site selection are shown. It is concluded that predictions of these types are most useful when comparisons are involved; e.g., selection of antennas, choice of sites, etc. ¬© 1988 IEEE</t>
  </si>
  <si>
    <t>238-241</t>
  </si>
  <si>
    <t>7005604157;24391037300;6602378516</t>
  </si>
  <si>
    <t>Haydon, George W.;Lucas, Donald L.;Pinson, George Scott</t>
  </si>
  <si>
    <t>Haydon G.W.</t>
  </si>
  <si>
    <t>High frequency sky-wave propagation predictions in the design of broadcast systems</t>
  </si>
  <si>
    <t>10.1109/11.1441</t>
  </si>
  <si>
    <t>2-s2.0-0024032059</t>
  </si>
  <si>
    <t>['techniques utilized', 'printed circuits', 'masks required', 'manufacture circuits', 'general appearance', 'extended bibliography', 'date coverage', 'currently used']</t>
  </si>
  <si>
    <t>The purpose of the review is to provide an up-to-date coverage of the field of microstrips, the general appearance of printed circuits and antennas, the techniques utilized to fabricate and connect them, the materials most currently used and, finally, the powerful computer software available to analyze and design, and actually to prepare and to cut the masks required to manufacture circuits and antennas. The review is completed by an extended bibliography.</t>
  </si>
  <si>
    <t>145-157</t>
  </si>
  <si>
    <t>Gardiol, F. E.</t>
  </si>
  <si>
    <t>Lausanne</t>
  </si>
  <si>
    <t>Swiss Federal Institute of Technology Lausanne</t>
  </si>
  <si>
    <t>Gardiol F.E.</t>
  </si>
  <si>
    <t>DESIGN AND LAYOUT OF MICROSTRIP STRUCTURES.</t>
  </si>
  <si>
    <t>10.1049/ip-h-2.1988.0033</t>
  </si>
  <si>
    <t>2-s2.0-0024032062</t>
  </si>
  <si>
    <t>['phase pattern', 'pattern synthesis', 'new method', 'iterative modification', 'either isotropic', 'applied successfully', 'antenna arrays', 'anisotropic elements']</t>
  </si>
  <si>
    <t>A new method of pattern synthesis of antenna arrays, based on the expansions of eigensources and eigenpatterns with an iterative modification of phase pattern, is presented which has been applied successfully to the array of either isotropic or anisotropic elements. Several numerical examples are given which illustrate the advantages of this method.</t>
  </si>
  <si>
    <t>167-170</t>
  </si>
  <si>
    <t>60106849;60106849</t>
  </si>
  <si>
    <t>7409424720;7006029548</t>
  </si>
  <si>
    <t>Zhang, W. X.;Bo, Y. M.</t>
  </si>
  <si>
    <t>Nanjing</t>
  </si>
  <si>
    <t>Nanjing Institute of Technology</t>
  </si>
  <si>
    <t>Zhang W.</t>
  </si>
  <si>
    <t>PATTERN SYNTHESIS FOR LINEAR EQUAL-SPACED ANTENNA ARRAY USING AN ITERATIVE EIGENMODES METHOD.</t>
  </si>
  <si>
    <t>10.1049/ip-h-2.1988.0036</t>
  </si>
  <si>
    <t>2-s2.0-0024032063</t>
  </si>
  <si>
    <t>['¬© 1988', '¬© 1986', 'rights reserved', 'experimental results', 'electrical engineers', 'array environment']</t>
  </si>
  <si>
    <t>Antenna arrays | Antenna radiation patterns | Antennas | Wave propagation</t>
  </si>
  <si>
    <t>It is shown how the characteristics of phase modes excited around a circular antenna array can be predicted from a knowledge of the individual element pattern measured in the array environment. A set of experimental results is presented which compare measured phase mode characteristics with the predictions. ¬© 1986, American Chemical Society. All rights reserved. ¬© 1988, The Institution of Electrical Engineers. All rights reserved.</t>
  </si>
  <si>
    <t>811-812</t>
  </si>
  <si>
    <t>60022148;60022148</t>
  </si>
  <si>
    <t>56332058600;56448054200</t>
  </si>
  <si>
    <t>Jones, M. R.;Griffiths, H. D.</t>
  </si>
  <si>
    <t>Jones M.R.</t>
  </si>
  <si>
    <t>Prediction of Circular Array Phase Mode Characteristics</t>
  </si>
  <si>
    <t>10.1049/el:19880552</t>
  </si>
  <si>
    <t>2-s2.0-0024032398</t>
  </si>
  <si>
    <t>306-308</t>
  </si>
  <si>
    <t>Strohmayer, Johann</t>
  </si>
  <si>
    <t>D 8939 Ettringen</t>
  </si>
  <si>
    <t>Strohmayer J.</t>
  </si>
  <si>
    <t>The wertachtal shortwave broadcasting station</t>
  </si>
  <si>
    <t>10.1109/11.1447</t>
  </si>
  <si>
    <t>2-s2.0-0024032495</t>
  </si>
  <si>
    <t>['two locations', 'sri international', 'spectrum occupancy', 'shortwave band', 'recorded data', 'radio signals', 'paper presents', 'mounted 16', 'measurement period', 'level data', 'khz channels', 'initial results', 'hour using', 'germany ).', 'frequency spectrum', 'four locations', 'federal republic', 'fast sampling', 'dynamic portion', 'current usage', 'compare spectrum', '333 3', '30 mhz', '2 mhz']</t>
  </si>
  <si>
    <t>A Mobile Spectrum Monitoring Unit (MSMU) constructed by SRI International has the capability of fast sampling of radio signals in the frequency spectrum between 2 MHz and I GHz. In the summer and fall of 1987, the MSMU was used to measure signal level and spectrum occupancy in the shortwave band at four locations in the continental United States (CONUS) (i.e., Stanford, California, Ft. Huachuca, Arizona, Ft. Sill, Oklahoma, and Annapolis, Maryland) and at two locations in Europe (Seckenheim and Geinsheim, Federal Republic of Germany). Each of the 9,333 3-kHz channels in the band from 2 to 30 MHz was sampled 150 times/hour using the MSMU and a calibrated, van-roof-mounted 16-ft whip antenna. After the measurement period, the recorded data were used to compute occupancy statistics at 111 different signal amplitude thresholds. The data base obtained from these measurements contains several hundred megabytes of data, and it is just beginning to be examined in depth. This paper presents some initial results to compare spectrum-occupancy and signal-level data between CONUS and Europe. Such data are important in the evaluation of the current usage of the subbands of the HF spectrum allocated by the International Telecommunication Union (ITU) to facilitate better management of this dynamic portion of the radio frequency spectrum. ¬© 1988 IEEE</t>
  </si>
  <si>
    <t>60000461;60000461;60000461</t>
  </si>
  <si>
    <t>6701446855;7005494900;6507014137</t>
  </si>
  <si>
    <t>Hagn, George H.;Stehle, Roy H.;Harnish, Lawrence O.</t>
  </si>
  <si>
    <t>Hagn G.</t>
  </si>
  <si>
    <t>Shortwave broadcasting band spectrum occupancy and signal levels in the continental untied states and western europe</t>
  </si>
  <si>
    <t>10.1109/11.1425</t>
  </si>
  <si>
    <t>2-s2.0-0024032710</t>
  </si>
  <si>
    <t>['usually expected', 'station operators', 'station design', 'spares onsite', 'significant subsystems', 'ram standpoint', 'ram model', 'propagation path', 'program feeds', 'powered transmitters', 'parts depot', 'operational availability', 'ones must', 'network also', 'modeled accurately', 'model results', 'evaluated primarily', 'designed redundantly', 'components must', 'broadcast programs', 'broadcast network', 'availability depends']</t>
  </si>
  <si>
    <t>A shortwave broadcast relay station is usually expected to broadcast programs on a daily basis throughout the year to its assigned coverage areas. Stations which are part of a network also are expected to provide contingency coverage, as required, to back up other stations in the same broadcast network. The performance of the station (and of the station operators and the network operations managers) is evaluated primarily in terms of the number of broadcast hours delivered to the assigned coverage areas. Therefore, operational availability is an extremely important parameter in station design, and it must be modeled accurately. The availability depends on the reliability of the subsystems and their maintainability (which also is needed to assess maintenance staffing requirements). Such a RAM model can be used to specify which components must be designed redundantly into the system, which ones must be kept as spares onsite, and which ones must be available in a relatively short time from a parts depot or from a supplier. A methodology for developing a reliability, availability and maintainability (RAM) model is described in this paper which is applicable to evaluating conceptual designs for shortwave broadcast relay stations. A generic relay station (GRS) is postulated which has nine major subsystems exclusive of the ionospheric propagation path. The reliability of the propagation path to the listeners is not addressed in this paper. An example of the use of the methodology is presented for the GRS and the sensitivity of the model results is studied for the most significant subsystems from a RAM standpoint: the satellite earth station that delivers the program feeds and the high-powered transmitters. ¬© 1988 IEEE</t>
  </si>
  <si>
    <t>242-262</t>
  </si>
  <si>
    <t>7007089789;7202064949;6701446855</t>
  </si>
  <si>
    <t>Willett, Jack H.;Harvey, David L.;Hagn, George H.</t>
  </si>
  <si>
    <t>Willett J.H.</t>
  </si>
  <si>
    <t>A Methodology for modeling the reliability, availability and maintainability (Ram) of a generic shortwave broadcast relay station</t>
  </si>
  <si>
    <t>10.1109/11.1442</t>
  </si>
  <si>
    <t>2-s2.0-0024032711</t>
  </si>
  <si>
    <t>207-209</t>
  </si>
  <si>
    <t>Lau, K. A.</t>
  </si>
  <si>
    <t>Marlow</t>
  </si>
  <si>
    <t>Thelton (Electrostatics) Ltd</t>
  </si>
  <si>
    <t>Lau K.A.</t>
  </si>
  <si>
    <t>LOSS CALCULATIONS FOR RECTANGULAR COAXIAL LINES.</t>
  </si>
  <si>
    <t>10.1049/ip-h-2.1988.0042</t>
  </si>
  <si>
    <t>2-s2.0-0024033236</t>
  </si>
  <si>
    <t>['found useful', 'experimental results', 'circularly polarized', 'bandwidth enhancement']</t>
  </si>
  <si>
    <t>Based on the cavity model theory, formulas for the design of circularly polarized (CP) rectangular patch antennas have been derived. These formulas have been found useful, even for the design of thick microstrip antennas for bandwidth enhancement. This paper will discuss both the theory and the experimental results.</t>
  </si>
  <si>
    <t>213-215</t>
  </si>
  <si>
    <t>60000745;60000745;60000745</t>
  </si>
  <si>
    <t>7401934487;24522606100;6505899672</t>
  </si>
  <si>
    <t>Lo, Y. T.;Lee, R. Q.;Engst, B.</t>
  </si>
  <si>
    <t>Lo Y.T.</t>
  </si>
  <si>
    <t>SIMPLE DESIGN FORMULAS FOR CIRCULARLY POLARISED MICROSTRIP ANTENNAS.</t>
  </si>
  <si>
    <t>10.1049/ip-h-2.1988.0044</t>
  </si>
  <si>
    <t>2-s2.0-0024033237</t>
  </si>
  <si>
    <t>['¬© 1988', 'variable elements', 'structures derived', 'short contribution', 'important element', 'identical multipliers', 'desired delay', 'delay desired', 'better performance', 'arbitrary delay']</t>
  </si>
  <si>
    <t>antenna array null steering | Variable-length delay time</t>
  </si>
  <si>
    <t>The variable-length delay line is an important element in wideband adapative rray. In this short contribution, we present a class of tapped delay line filter structures whose frequency responses approximate that of an arbitrary delay in the maximally flat sense, These structures have the advantage that the delay desired is controlled by a number of identical multipliers and a phase shifter whose values are proportional to the desired delay. For the same number of variable elements, the structures derived have better performance than those obtained by using the least squares method. ¬© 1988.</t>
  </si>
  <si>
    <t>363-369</t>
  </si>
  <si>
    <t>Signal Processing</t>
  </si>
  <si>
    <t>60017161;60017161</t>
  </si>
  <si>
    <t>7202596473;7402565301</t>
  </si>
  <si>
    <t>Ko, C. C.;Lim, Y. C.</t>
  </si>
  <si>
    <t>Ko C.C.</t>
  </si>
  <si>
    <t>Approximation of a variable-length delay line by using tapped delay line processing</t>
  </si>
  <si>
    <t>0165-1684(88)90094-1</t>
  </si>
  <si>
    <t>10.1016/0165-1684(88)90094-1</t>
  </si>
  <si>
    <t>2-s2.0-0024033724</t>
  </si>
  <si>
    <t>['multipactor break', 'free space', 'francis group', 'also given']</t>
  </si>
  <si>
    <t>A circularly polarized cross-dipole fed square horn feed for C-band antenna system is designed to have a minimum axial ratio when radiating into free space. This type of feed can be used for dual band antennas in space. An analysis of multipactor break-down in the feed is also given. ¬© 1979 Taylor &amp; Francis Group, LLC.</t>
  </si>
  <si>
    <t>955-960</t>
  </si>
  <si>
    <t>Electromagnetic Canada Consultants</t>
  </si>
  <si>
    <t>Cross-dipole fed square horn</t>
  </si>
  <si>
    <t>10.1080/00207218808962872</t>
  </si>
  <si>
    <t>2-s2.0-0024034242</t>
  </si>
  <si>
    <t>['unwanted interferences', 'undesired signals', 'typical canceller', 'time delay', 'test data', 'technical convenience', 'successfully tested', 'sampled interference', 'relay stations', 'reference antenna', 'receive antenna', 'priori information', 'power transmitters', 'permit collocation', 'many broadcast', 'loop control', 'line signals', 'interference suppression', 'desired signal', 'design constraints', 'changing characteristics', 'broadcast frequencies', 'automatic adjustments', 'adaptive control', 'accommodated automatically', '60 db']</t>
  </si>
  <si>
    <t>In many broadcast or relay stations, the collocation of receivers and high-power transmitters is desired for technical convenience, security, better station administration, or lower maintenance costs. However, fields from one or more high-power transmitting antennas at the transmitter site could be so intense that the reception of a desired signal from a distant point becomes difficult unless the undesired signals or interferences are removed from the receive antenna-line. An adaptive control system that can cancel the unwanted interferences from the receive-line can be used to permit collocation of the receiver and transmitter. In principle, the adaptive control for unwanted interference suppression involves the reception of a sample of the interference by a reference antenna, and subtraction of the sampled interference, following appropriate adjustments in amplitude and phase or time delay, from the receive-line signals so that the adjusted sampled interference nulls the interference at the receive-line, automatically. A closed-loop control with a high loop gain is used for automatic adjustments of the sampled interference. No a-priori information on the characteristics of the desired signal or interference is necessary for the interference suppression, and changing characteristics of the desired signal and interference are accommodated automatically by the closed loop control. Adaptive control systems, operable at broadcast frequencies and capable of cancelling wideband interferences, in excess of 60 dB, have been designed and built. A typical canceller has been successfully tested at a Voice of America Relay Station. The basic operating principle, design constraints, and an assessment of the effectiveness of the adaptive control for interference suppression, as evidenced by test data, are outlined in this paper. ¬© 1988 IEEE</t>
  </si>
  <si>
    <t>154-158</t>
  </si>
  <si>
    <t>Ghose, Rabindra N.</t>
  </si>
  <si>
    <t>Ghose R.N.</t>
  </si>
  <si>
    <t>Collocation of receivers and high-power broadcast transmitters</t>
  </si>
  <si>
    <t>10.1109/11.1431</t>
  </si>
  <si>
    <t>2-s2.0-0024034601</t>
  </si>
  <si>
    <t>180-185</t>
  </si>
  <si>
    <t>60019269;60019269</t>
  </si>
  <si>
    <t>57199282456;7801414817</t>
  </si>
  <si>
    <t>Martin, Jean Marc;Guilbault, Frederic</t>
  </si>
  <si>
    <t>Puteaux</t>
  </si>
  <si>
    <t>Thales Group</t>
  </si>
  <si>
    <t>Martin J.</t>
  </si>
  <si>
    <t>A new design for high performance HF curtain antennas</t>
  </si>
  <si>
    <t>10.1109/11.1434</t>
  </si>
  <si>
    <t>2-s2.0-0024034961</t>
  </si>
  <si>
    <t>221-229</t>
  </si>
  <si>
    <t>HE receiving antenna directivity patterns and gain for ionospheric propagation model predictions for shortwave broadcasting</t>
  </si>
  <si>
    <t>10.1109/11.1439</t>
  </si>
  <si>
    <t>2-s2.0-0024035050</t>
  </si>
  <si>
    <t>['profiled horn', 'mode conversion', 'matching technique', 'design principles', 'copolar patterns']</t>
  </si>
  <si>
    <t>The design principles of smooth profiled corrugated horns are described. The profile causes power to be converted to higher order modes which radiate to produce high sidelobes in the copolar patterns. A computer-aided spherical modal-matching technique is used to study the higher order mode conversion. The results show good agreement with measurements. A profiled horn with a series of discrete conical sections is proposed to eliminate most of the mode conversion. A horn designed using a synthesis procedure shows improved performance. ¬© 1988 IEEE</t>
  </si>
  <si>
    <t>936-940</t>
  </si>
  <si>
    <t>Olver, A. David</t>
  </si>
  <si>
    <t>Olver A.D.</t>
  </si>
  <si>
    <t>Design of Profiled Corrugated Horns</t>
  </si>
  <si>
    <t>10.1109/8.7198</t>
  </si>
  <si>
    <t>2-s2.0-0024035761</t>
  </si>
  <si>
    <t>Naval Postgraduate School</t>
  </si>
  <si>
    <t>NPS</t>
  </si>
  <si>
    <t>['svd computations', 'required number', 'modulated signals', 'modified algorithms', 'either knowing', 'correlation measurement', 'carrier frequency', 'baud rate', 'associated reduction', 'array elements', 'algorithms music']</t>
  </si>
  <si>
    <t>It is shown that for the problem of multiple-source location using antenna arrays, the algorithms MUSIC and ESPRIT can be simplified by exploitation of the property called cyclostationarity, which is exhibited by modulated signals. The advantages of the modified algorithms are reduction in the required number of array elements and associated reduction in the SVD computations. The disadvantages are the requirement of either knowing or measuring frequency parameters, such as carrier frequency or baud rate, and the requirement of longer integration time for correlation measurement, as well as the requirement of measuring a different correlation matrix for each signal of interest. ¬© 1988 IEEE</t>
  </si>
  <si>
    <t>845-847</t>
  </si>
  <si>
    <t>Gardner, William A.</t>
  </si>
  <si>
    <t>Davis</t>
  </si>
  <si>
    <t>University of California, Davis</t>
  </si>
  <si>
    <t>Gardner W.A.</t>
  </si>
  <si>
    <t>Simplification of MUSIC and ESPRIT by Exploitation of Cyclostationarity</t>
  </si>
  <si>
    <t>10.1109/5.7152</t>
  </si>
  <si>
    <t>2-s2.0-0024035895</t>
  </si>
  <si>
    <t>DAAG29-U-K-O1 66</t>
  </si>
  <si>
    <t>['wave properties', 'wave analysis', 'superstrate geometry', 'scan angle', 'radiation behavior']</t>
  </si>
  <si>
    <t>A leaky-wave analysis is used to explain the narrow-beam ‚Äúresonance gain‚Äù phenomenon, in which narrow beams may be produced from a printed antenna element in a substrate-superstrate geometry. The leaky-wave approach furnishes insight into the physical processes involved, provides new practical information, and permits the derivation of simple asymptotic formulas for the leaky-wave properties and for the radiation behavior. Results are presented as a function of frequency, the scan angle, and the e of the superstrate. ¬© 1988 IEEE</t>
  </si>
  <si>
    <t>905-910</t>
  </si>
  <si>
    <t>60005837;60108318</t>
  </si>
  <si>
    <t>7404289310;7005564352</t>
  </si>
  <si>
    <t>Jackson, David R.;Oliner, Arthur A.</t>
  </si>
  <si>
    <t>New York;Houston</t>
  </si>
  <si>
    <t>NYU Tandon School of Engineering;University of Houston</t>
  </si>
  <si>
    <t>60108318;60005837</t>
  </si>
  <si>
    <t>Jackson D.R.</t>
  </si>
  <si>
    <t>A Leaky-Wave Analysis of the High-Gain Printed Antenna Configuration</t>
  </si>
  <si>
    <t>10.1109/8.7194</t>
  </si>
  <si>
    <t>2-s2.0-0024035989</t>
  </si>
  <si>
    <t>['¬© 1988', 'thermal properties', 'source terms', 'shale constituents', 'reasonable agreement', 'quite stable', 'preliminary study', 'oil shales', 'oil shale', 'numerical results', 'monopole antenna', 'model simulates', 'mathematical model', 'mass conservation', 'liquid phase', 'linear relationships', 'iteration technique', 'inert gases', 'heating process', 'heat source', 'gas evolution', 'experimental results', 'electromagnetic heating', 'dynamic functions', 'differential equations', 'detailed solution', 'consolidated blocks', 'chemical reactions', 'cases studied', 'bound water']</t>
  </si>
  <si>
    <t>electromagnetic radiation | modelling | oil shale</t>
  </si>
  <si>
    <t>A mathematical model for electromagnetic heating of oil shales is developed. The model simulates the process of oil and gas evolution and transfer through consolidated blocks of oil shale. The model includes equations for temperature, pressure, saturations, chemical reactions, mass conservation and source terms. The inert gases are all assumed to form one bulk species and the oil is assumed to be either in the gaseous or liquid phase. The chemical reactions include pyrolysis of kerogen and char, release of bound water, coking and decomposition of carbonates. Porosity and permeability are dynamic functions of the shale constituents. Non-linear relationships for viscosity, thermal properties and source terms are used as inputs to the model. A detailed solution to the monopole applicator fields is presented. A finite difference approximation to the differential equations is derived and solved using Newton's iteration technique. For the cases studied the solutions are quite stable. Numerical results are included and a preliminary study of the optimization of the heating process is presented. Reasonable agreement is obtained between the model and experimental results when a monopole antenna is used as a heat source. ¬© 1988.</t>
  </si>
  <si>
    <t>916-926</t>
  </si>
  <si>
    <t>Fuel</t>
  </si>
  <si>
    <t>60032270;60008827</t>
  </si>
  <si>
    <t>7003893165;6701730737</t>
  </si>
  <si>
    <t>Baker-Jarvis, James;Inguva, Ramarao</t>
  </si>
  <si>
    <t>Fargo;Laramie</t>
  </si>
  <si>
    <t>North Dakota State University;University of Wyoming</t>
  </si>
  <si>
    <t>Baker-Jarvis J.</t>
  </si>
  <si>
    <t>Mathematical model for in situ oil shale retorting by electromagnetic radiation</t>
  </si>
  <si>
    <t>10.1016/0016-2361(88)90090-7</t>
  </si>
  <si>
    <t>2-s2.0-0024036319</t>
  </si>
  <si>
    <t>['whether electric', 'wave properties', 'wave propagation', 'several applications', 'opposing handedness', 'medium supports', 'leads us', 'far field', 'extended sources', 'electromagnetic waves', 'differing wavenumbers', 'constitutive relations', 'chirality impedance', 'chiral media', 'array performance']</t>
  </si>
  <si>
    <t>Chiral media are characterized by the constitutive relations D = ŒµE + i√Ç¬£. B and H = B/Œº +; √Ç¬£t E where is the chirality admittance introduced to take into account macroscopic handedness or optical activity inherent in the media. In addition we define a chirality impedance and a dimensionless chirality factor to describe the wave properties of this medium. As known for some time, this medium supports the plane-wave propagation of circularly polarized waves of opposing handedness and differing wavenumbers. Here we examine the radiation of electromagnetic waves from a set of simple canonical arrays. This leads us to the notion of duality for chiral media which can be exhibited in a surprisingly simple form. We show that in the far field, both point and extended sources, whether electric or magnetic, radiate two electromagnetic eigenmodes which are of opposing handedness. We also demonstrate sources which access only one of the eigenmodes of the medium. Several applications of the results and array performance in chiral media are noted. ¬© 1988 IEEE</t>
  </si>
  <si>
    <t>1007-1013</t>
  </si>
  <si>
    <t>60102562;60102562;60102562</t>
  </si>
  <si>
    <t>7006013598;55495867500;7005850584</t>
  </si>
  <si>
    <t>Jaggard, Dwight L.;Sun, Xiaoguang;Engheta, Nader</t>
  </si>
  <si>
    <t>Jaggard D.L.</t>
  </si>
  <si>
    <t>Canonical Sources and Duality in Chiral Media</t>
  </si>
  <si>
    <t>10.1109/8.7205</t>
  </si>
  <si>
    <t>2-s2.0-0024036479</t>
  </si>
  <si>
    <t>['truncation error', 'satisfactorily solved', 'sampling rate', 'sampling methods', 'retained samples', 'optimal choice', 'general analysis', 'existing ones', 'electromagnetic applications', 'effective bounds', 'also considered', 'aforementioned applications']</t>
  </si>
  <si>
    <t>Sampling methods are acquiring increasing relevance in electromagnetic applications. In this paper a general analysis of the truncation error is carried out with reference to the points more relevant to aforementioned applications. Simple and effective bounds for the truncation errors either new or improving the existing ones are derived, and compared with those relative to the theoretically optimal algorithms. The problem of the optimal choice of the sampling rate and number of retained samples is also considered and satisfactorily solved. ¬© 1988 IEEE</t>
  </si>
  <si>
    <t>941-949</t>
  </si>
  <si>
    <t>113013627;113013627</t>
  </si>
  <si>
    <t>7006499276;57201738411</t>
  </si>
  <si>
    <t>Bucci, Ovidio M.;Massa, Giuseppe Di</t>
  </si>
  <si>
    <t>Napoli</t>
  </si>
  <si>
    <t>Dipartimento di Ingegneria Elettronica</t>
  </si>
  <si>
    <t>The Truncation Error in the Application of Sampling Series to Electromagnetic Problems</t>
  </si>
  <si>
    <t>10.1109/8.7199</t>
  </si>
  <si>
    <t>2-s2.0-0024036649</t>
  </si>
  <si>
    <t>['vertical space', 'radiation pattern', 'provides service', 'proper separations', 'mutual interference', 'many viewers', 'free construction', 'coexisting antennas', 'another array']</t>
  </si>
  <si>
    <t>Tokyo Tower supports seven VHF television channel array antennas and provides service to the many viewers in the Kanto service area around Tokyo. The seven VHF arrays are arranged with proper separations from the top of the tower. An additional UHF television channel was assigned to Tokyo in 1982, but the supporting tower lacked the vertical space for another array. After a year of investigation of the possibility of another antenna site, it was decided to install a UHF skew antenna around the existing VHF antennas. The analysis and measurements of the radiation pattern of the skew UHF antenna and measurements of the mutual interference are compared with the existing VHF antenna. Since the accident-free construction, completed in 1984, the coexisting antennas have operated without problems. ¬© 1988 IEEE</t>
  </si>
  <si>
    <t>927-935</t>
  </si>
  <si>
    <t>60027869;60027869;60027869;60018429;60021895;60028088;60008435</t>
  </si>
  <si>
    <t>7404068755;36860799800;7006685517;56036522400;6506259322;57203456121;7403248989</t>
  </si>
  <si>
    <t>Shimizu, Yasusada;Shigeta, Kazuo;Yukawa, Kiyoshi;Nakamura, Takashi;Mikkaichi, Masashi;Nagasawa, Yoji;Sato, Risaburo</t>
  </si>
  <si>
    <t>Japan;Japan;Japan;Japan;Japan</t>
  </si>
  <si>
    <t>Kagoshima;Tokyo;Toyama;Gifu;Sendai</t>
  </si>
  <si>
    <t>Kagoshima University;Furukawa Electric Co., Ltd.;University of Toyama;Gifu University;Tohoku University</t>
  </si>
  <si>
    <t>60028088;60027869;60021895;60018429;60008435</t>
  </si>
  <si>
    <t>Shimizu Y.</t>
  </si>
  <si>
    <t>Analysis of Skew Antenna Around a Square Tower for UHF TV Broadcasting</t>
  </si>
  <si>
    <t>10.1109/8.7197</t>
  </si>
  <si>
    <t>2-s2.0-0024037054</t>
  </si>
  <si>
    <t>['¬± 250', 'would occur', 'transmitting antenna', 'tapered illuminations', 'presented first', 'line source', 'general form', 'beam deviations', 'basic formula']</t>
  </si>
  <si>
    <t>Beam deviations which would occur when wavy phase errors are introduced into the aperture of an antenna are treated. As the antenna becomes large, the probability of introduction of such types of phase error would increase, and beam deviations would become a problem. A basic formula that permits the evaluation of beam deviations due to small phase errors is presented first, then applied to derive, in general form, expressions for beam deviations which would occur when a sinusoidal or an rn type phase error arises along a line source. Numerical examples show that sinusoidal phase errors often cause comparatively large beam deviations (relative to linear phase gradients), even in tapered illuminations. On the solar power satellite (PS) transmitting antenna, peak phase errors would have to be suppressed to less than ¬± 6¬∞ in order to maintain the beam pointing error at less than ¬± 250 m on the ground, if a Œ≤ sin œÄr type phase error is introduced into the aperture. ¬© 1988 IEEE</t>
  </si>
  <si>
    <t>1014-1018</t>
  </si>
  <si>
    <t>Nakatsuka, Kohki</t>
  </si>
  <si>
    <t>Mitsubishi Electric Corporation</t>
  </si>
  <si>
    <t>Nakatsuka K.</t>
  </si>
  <si>
    <t>Beam Deviations of Large Linear Arrays Due to Wavy Phase Errors</t>
  </si>
  <si>
    <t>10.1109/8.7206</t>
  </si>
  <si>
    <t>2-s2.0-0024037254</t>
  </si>
  <si>
    <t>Murata Science Foundation</t>
  </si>
  <si>
    <t>911-917</t>
  </si>
  <si>
    <t>60024322;60024322;60024322</t>
  </si>
  <si>
    <t>6505771993;7201754934;35567682900</t>
  </si>
  <si>
    <t>Maheri, Heshmatollah;Tsutsumi, Makoto;Kumagai, Nobuaki</t>
  </si>
  <si>
    <t>Suita</t>
  </si>
  <si>
    <t>Osaka University</t>
  </si>
  <si>
    <t>Maheri H.</t>
  </si>
  <si>
    <t>Experimental Studies of Magnetically Scannable Leaky-Wave Antennas Having a Corrugated Ferrite Slab/Dielectric Layer Structure</t>
  </si>
  <si>
    <t>10.1109/8.7195</t>
  </si>
  <si>
    <t>2-s2.0-0024037475</t>
  </si>
  <si>
    <t>['theoretically formulated', 'terms involving', 'small dipole', 'shielded loop', 'points away', 'measurement point', 'measured values', 'measured value', 'measured data', 'electromotive force', 'easily estimated', 'current increases', 'current distribution', 'coefficients depending', 'circuit voltage', 'charge distribution', 'antenna ends']</t>
  </si>
  <si>
    <t>In the measurement of the current distribution on a bent wire antenna with a shielded loop, the electromotive force (EMF) induced on the loop is theoretically formulated, and the relation between the current distribution and the measured values is investigated. The EMF is expressed as a summation of terms involving the current and the derivative of the current with coefficients depending on the measurement point. The calculated EMF agrees well with the measured value. At points away from the antenna ends and bend, the EMF is proportional to the current, but near the ends and bend the difference between EMF and current increases. It is shown that the current distribution is easily estimated from the measured data. Next, in the measurement of charge distribution with a small dipole, the expression for the open-circuit voltage of a small dipole is formulated and compared with the measured values. ¬© 1988 IEEE</t>
  </si>
  <si>
    <t>918-926</t>
  </si>
  <si>
    <t>60011846;60019983;60019983</t>
  </si>
  <si>
    <t>35608208100;7202459692;6603068221</t>
  </si>
  <si>
    <t>Egashira, Shigeru;Taguchi, Mitsuo;Sakitani, Akihide</t>
  </si>
  <si>
    <t>Saga;Nagasaki</t>
  </si>
  <si>
    <t>Saga University;Nagasaki University</t>
  </si>
  <si>
    <t>60019983;60011846</t>
  </si>
  <si>
    <t>Egashira S.</t>
  </si>
  <si>
    <t>Consideration on the Measurement of Current Distribution on Bent Wire Antennas</t>
  </si>
  <si>
    <t>10.1109/8.7196</t>
  </si>
  <si>
    <t>2-s2.0-0024037565</t>
  </si>
  <si>
    <t>['tepw method', 'tepw ).', 'matching fields', 'long h', 'imperfect dielectric', 'experimental methods', 'electromagnetic wave', 'data based', 'analytical method']</t>
  </si>
  <si>
    <t>Scattering of an electromagnetic wave at a transverse discontinuity created by an imperfect dielectric in a long H-plane sectoral horn fed by parallel plate waveguide is solved by the method of transformation into an equivalent plane wave (TEPW). An analytical method of matching fields of both waveguides is developed in order to be consistent with the TEPW method. The results are compared with data based on classical and experimental methods.</t>
  </si>
  <si>
    <t>235-243</t>
  </si>
  <si>
    <t>Jul-Aug</t>
  </si>
  <si>
    <t>60009697;60009697;60009697</t>
  </si>
  <si>
    <t>6602612892;7103051886;7005949569</t>
  </si>
  <si>
    <t>Delecki, Zdzislaw A.;Hamid, Michael;Elsherbeni, Atef Z.</t>
  </si>
  <si>
    <t>Delecki Z.A.</t>
  </si>
  <si>
    <t>Scattering by a dielectric discontinuity in an H-plane sectoral horn</t>
  </si>
  <si>
    <t>10.1049/jiere.1988.0036</t>
  </si>
  <si>
    <t>2-s2.0-0024037601</t>
  </si>
  <si>
    <t>['results show', 'rapid convergence', 'maximin algorithm', 'full exploitation', 'frequency hopping', 'frequency compensation', 'different versions', 'complex weights', 'carrier frequency', 'appropriate version', 'appropriate values', 'anticipative processing', 'antenna element', 'adaptive array']</t>
  </si>
  <si>
    <t>For the full exploitation of the theoretical processing gain achievable when an adaptive array and frequency hopping are combined, frequency compensation is required. This paper examines improved versions of an anticipative adaptive array that provide efficient compensation by adapting the complex weights at each antenna element to the appropriate values for a carrier frequency before that frequency is received. The underlying adaptive algorithm is the Maximin algorithm, which has major advantages compared with other algorithms. Computer simulation results are used to compare the different versions of anticipative processing. These results show that an appropriate version can ensure the rapid convergence of weights to values that provide wideband nulling of the interference and noise. ¬© 1988 IEEE</t>
  </si>
  <si>
    <t>449-456</t>
  </si>
  <si>
    <t>60008809;115568462</t>
  </si>
  <si>
    <t>7003426663;6602724688</t>
  </si>
  <si>
    <t>Torrieri, Don;Bakhru, Kesh</t>
  </si>
  <si>
    <t>United States;Japan</t>
  </si>
  <si>
    <t>United States Army;Cubic Defense Systems</t>
  </si>
  <si>
    <t>Torrieri D.</t>
  </si>
  <si>
    <t>An Anticipative Adaptive Array for Frequency-Hopping Communications</t>
  </si>
  <si>
    <t>10.1109/7.7187</t>
  </si>
  <si>
    <t>2-s2.0-0024037625</t>
  </si>
  <si>
    <t>['two steps', 'trapezoidal rule', 'sampling grid', 'radiated fields', 'problem formulation', 'physical optics', 'pattern space', 'p factor', 'new figure', 'legendre methods', 'comparison show', 'accurate approach']</t>
  </si>
  <si>
    <t>Analysis of reflector antennas consists of two steps, the problem formulation (e.g., geometrical optics or physical optics) and evaluation of radiated fields (e.g., numerical integration or series representation). For many applications direct numerical evaluation of the radiation integral offers the simplest and most accurate approach. The results are presented of an investigation of popular numerical integration methods applied to the reflector antenna problem. The comparison of methods is facilitated by the introduction of a new figure-of-merit (the p factor), which is a measure of how far out in pattern space the results are accurate. The p factor can also be used to determine how dense a sampling grid is required for a given pattern accuracy. Results of the comparison show that Gauss-Zirnike polynomial integration on the diameter and the trapezoidal rule on the circumference was the most accurate method tested. Somewhat less accurate hut still good methods were the Gauss-Legendre/Trapezoidal and Gauss-Legendre/Gauss-Legendre methods. ¬© 1988 IEEE</t>
  </si>
  <si>
    <t>1018-1023</t>
  </si>
  <si>
    <t>60027090;60027090;60027090</t>
  </si>
  <si>
    <t>7006247497;7007034841;57216442603</t>
  </si>
  <si>
    <t>Stutzman, Warren L.;Gilmore, Sean W.;Stewart, Scot H.</t>
  </si>
  <si>
    <t>Blacksburg</t>
  </si>
  <si>
    <t>Virginia Polytechnic Institute and State University</t>
  </si>
  <si>
    <t>Stutzman W.L.</t>
  </si>
  <si>
    <t>Numerical Evaluation of Radiation Integrals for Reflector Antenna Analysis Including a New Measure of Accuracy</t>
  </si>
  <si>
    <t>10.1109/8.7207</t>
  </si>
  <si>
    <t>2-s2.0-0024037695</t>
  </si>
  <si>
    <t>1034-1036</t>
  </si>
  <si>
    <t>Collin, R. E.</t>
  </si>
  <si>
    <t>Case Western Reserve University</t>
  </si>
  <si>
    <t>Collin R.E.</t>
  </si>
  <si>
    <t>Remarks on ‚ÄúComments on Field Equivalence Principles‚Äù</t>
  </si>
  <si>
    <t>10.1109/8.7211</t>
  </si>
  <si>
    <t>2-s2.0-0024038010</t>
  </si>
  <si>
    <t>['waveguide modes', 'reflector based', 'periodic structure', 'modes used', 'laboratory measurements', 'floquct modes', 'fields within', 'electromagnetic field', 'atmospheric propagation', 'analyzed theoretically']</t>
  </si>
  <si>
    <t>The performance of a simple microwave modulating retro-reflector based on a rotating corrugated metallic plate has been analyzed theoretically and compared with laboratory measurements. Fields within the corrugations are described by waveguide modes and free space fields by Floquct modes. The periodicity of the grooves is represented through the reciprocal lattice corresponding to the periodic structure. The accuracy of the calculation is analyzed as a function of the number of modes used to describe the electromagnetic field. Graphs are given for the design of a modulator for any wavelength. This type of modulator has applications in the measurement of atmospheric propagation and of antenna beam patterns for both linearly and circularly polarized radiation. ¬© 1988 IEEE</t>
  </si>
  <si>
    <t>1000-1006</t>
  </si>
  <si>
    <t>60019656;60019656</t>
  </si>
  <si>
    <t>7003340114;6602281615</t>
  </si>
  <si>
    <t>Peckham, Gordon E.;Suttie, Robert A.</t>
  </si>
  <si>
    <t>Heriot-Watt University</t>
  </si>
  <si>
    <t>Peckham G.E.</t>
  </si>
  <si>
    <t>Microwave Reflection Properties of a Rotating Corrugated Metallic Plate Used as a Reflection Modulator</t>
  </si>
  <si>
    <t>10.1109/8.7204</t>
  </si>
  <si>
    <t>2-s2.0-0024038280</t>
  </si>
  <si>
    <t>['whistler mode', 'waves would', 'wave growth', 'topside ionograms', 'stimulated waves', 'space shuttle', 'present paper', 'often observed', 'harris instability', 'electrostatic waves', 'electrostatic approximation', 'electromagnetic terms', 'dominant features', 'dispersion equation', 'diffuse signals', 'coherent echoes', 'antenna lengths', '1990s using']</t>
  </si>
  <si>
    <t>Diffuse incoherent signal returns are often observed on Alouette and ISIS topside ionograms in addition to coherent echoes of electromagnetic and electrostatic waves. These diffuse signals, which at times can be the dominant features on topside ionograms, have been attributed to sounder‚Äêinduced temperature anisotropies which drive the Harris instability. Previous theoretical investigations were based on the electrostatic approximation to the dispersion equation. The present paper will present calculations indicating that when the electromagnetic terms are retained in the dispersion equation and when the sounder‚Äêstimulated perpendicular electron temperature approaches 1 keV, then the whistler mode can have a temporal growth rate larger than the electrostatic electron cyclotron harmonic wave mode central to the diffuse resonance problem. Present sounders lack the power and antenna lengths to generate whistler mode waves in this manner. In addition, such waves would have large group velocities and would quickly leave the vicinity of the sounder. Experiments to investigate the wave growth, propagation, and damping of such stimulated waves are planned for the 1990s using a highly flexible sounder on the space shuttle and a receiver on a subsatellite. This paper is not subject to U.S. copyright. Published in 1988 by the American Geophysical Union.</t>
  </si>
  <si>
    <t>585-590</t>
  </si>
  <si>
    <t>July-August 1988</t>
  </si>
  <si>
    <t>8314977400;7003687523</t>
  </si>
  <si>
    <t>Benson, Robert F.;Vi√±as, Adolfo F.</t>
  </si>
  <si>
    <t>Benson R.</t>
  </si>
  <si>
    <t>Plasma instabilities stimulated by HF transmitters in space</t>
  </si>
  <si>
    <t>10.1029/RS023i004p00585</t>
  </si>
  <si>
    <t>2-s2.0-0024045161</t>
  </si>
  <si>
    <t>['x modes', 'whistler mode', 'signals propagated', 'signal enhancements', 'receiving antennas', 'observed hiss', 'near field', 'found unsatisfactory', 'energetic particles', 'copyright 1988', 'close rendezvous', 'classical theories', 'anomalous enhancement', 'also produce', '50 db', '2fc enhancement']</t>
  </si>
  <si>
    <t>During a close rendezvous of the ISIS I and ISIS II topside sounder spacecraft, medium‚Äêfrequency signals transmitted from the latter to the former exhibited two kinds of anomalous enhancement, one at about twice the electron gyrofrequency 2fc and another at a separation below the RF carrier approximately equal to fc. Signal enhancements of up to 50 dB above those calculated with classical theories of transmitting and receiving antennas were observed. The sounder data clearly show that these signals propagated in the normal cold plasma upper branch O and X modes. Natural radio emissions in the form of whistler mode and Z mode hiss were recorded at the same time, implying the presence of energetic particles. Second‚Äêharmonic cyclotron amplification along the ray path connecting the transmitter and receiver has been evaluated and found unsatisfactory for explaining the 2fc enhancement. The postulate that a plane wave decay nonlinearity is enhanced by soft electron fluxes that also produce the observed hiss has also been considered and rejected. Nonlinear electron motion in the near field of the transmitting antenna might produce both types of enhancement. Copyright 1988 by the American Geophysical Union.</t>
  </si>
  <si>
    <t>666-684</t>
  </si>
  <si>
    <t>James, H. G.</t>
  </si>
  <si>
    <t>James H.</t>
  </si>
  <si>
    <t>Nonlinear signal enhancements of medium‚Äêfrequency electromagnetic transmissions in the ionosphere</t>
  </si>
  <si>
    <t>10.1029/RS023i004p00666</t>
  </si>
  <si>
    <t>2-s2.0-0024045422</t>
  </si>
  <si>
    <t>['short periods', 'radio stars', 'private communication', 'medium scale', 'local parameters', 'doppler velocity', 'apparent position', '1987 ).']</t>
  </si>
  <si>
    <t>F region parameters can change by relatively large amounts over short periods of time (fraction of an hour) under so‚Äêcalled ‚Äúundisturbed‚Äù conditions. There is evidence that these changes are due to propagating acoustic gravity waves. While the periods of these variations and other local parameters (Doppler velocity and angle of arrival) can be measured with a high‚Äêresolution digital ionosonde, other quantities like wavelength or magnitude and direction of the propagation velocity cannot be observed. The Clarke Lake radio astronomical antenna array which can be operated in the HF band allows tracking the motion of medium scale (100‚Äì500 km) disturbances by observation of the changes in the apparent position of radio stars. Some first data samples were recorded and analyzed (R. L. Higgins and B. McManus, private communication, 1987). This paper is not subject to U.S. copyright. Published in 1988 by the American Geophysical Union.</t>
  </si>
  <si>
    <t>580-584</t>
  </si>
  <si>
    <t>Paul, Adolf K.</t>
  </si>
  <si>
    <t>Paul A.</t>
  </si>
  <si>
    <t>Monostatic observation of the F region structure</t>
  </si>
  <si>
    <t>10.1029/RS023i004p00580</t>
  </si>
  <si>
    <t>2-s2.0-0024045502</t>
  </si>
  <si>
    <t>['wave surface', 'upper atmosphere', 'temperature measurement', 'steerable beam', 'refractive index', 'receive echoes', 'rass experiments', 'rass echoes', 'rass echo', 'radar beam', 'periodic perturbations', 'paper gives', 'numerical estimations', 'numerical calculations', 'mu radar', 'monostatic radar', 'maximum height', 'local speed', 'july 1986', 'january 1988', 'incident normal', 'important conditions', 'height range', 'fixed configuration', 'efficiently backscattered', 'effective reception', 'e .,', 'copyright 1988', 'changing shapes', 'atmospheric wind', 'atmospheric temperature', 'acoustic antennas', '4 km', '22 km']</t>
  </si>
  <si>
    <t>Influences of the atmospheric wind and temperature profiles upon the maximum height in temperature measurement by using a radio acoustic sounding system (RASS) were studied. The RASS uses radar to receive echoes (RASS echoes) backscattered from periodic perturbations in the atmospheric refractive index produced by an incident acoustic pulse and to measure the atmospheric temperature from the local speed of sound which is derived from the Doppler frequency shift of the RASS echo signal. One of the important conditions for the RASS echo to be efficiently backscattered (for monostatic radar) is that the radar beam is incident normal to the wave surface of the perturbations in the refractive index, i.e., to the acoustic wave front. This paper gives the results from numerical calculations to simulate the portion of the acoustic wave front where the above condition is satisfied, under a fixed configuration of the radar and acoustic antennas, and under changing shapes of the propagating acoustic pulse wave front influenced by height‚Äêvarying background atmospheric wind and temperature. Comparisons between the calculations and RASS experiments were made by using the middle and upper atmosphere (MU) radar with steerable beam under different atmospheric conditions. The numerical estimations of the height range for effective reception of RASS echo agree quite well with actual RASS observations carried out by using the MU radar. RASS echoes were obtained at altitudes up to 8.4 km under strong wind conditions in January 1988 and up to 22 km under calm wind conditions in July 1986. Copyright 1988 by the American Geophysical Union.</t>
  </si>
  <si>
    <t>647-654</t>
  </si>
  <si>
    <t>Masuda, Yoshihisa</t>
  </si>
  <si>
    <t>Masuda Y.</t>
  </si>
  <si>
    <t>Influence of wind and temperature on the height limit of a radio acoustic sounding system</t>
  </si>
  <si>
    <t>10.1029/RS023i004p00647</t>
  </si>
  <si>
    <t>2-s2.0-0024045562</t>
  </si>
  <si>
    <t>['¬© 1988', 'rights reserved', 'recent experiments', 'microstrip antennas', 'impedance bandwidth', 'electrical engineers']</t>
  </si>
  <si>
    <t>Recent experiments have shown that the impedance bandwidth of microstrip antennas can be broadened to as high as 21.7% by using a displaced multilayer triangular structure. ¬© 1988, The Institution of Electrical Engineers. All rights reserved.</t>
  </si>
  <si>
    <t>962-964</t>
  </si>
  <si>
    <t>60030553-60013543;60030553;60030553;60030553</t>
  </si>
  <si>
    <t>57193682516;7202044329;6603795399;7006272544</t>
  </si>
  <si>
    <t>Bhatnagar, P. S.;Daniel, J. P.;Mahdjoubi, K.;Terret, C.</t>
  </si>
  <si>
    <t>France;India</t>
  </si>
  <si>
    <t>Rennes;Pilani</t>
  </si>
  <si>
    <t>Universite de Rennes 1;Central Electronics Engineering Research Institute India</t>
  </si>
  <si>
    <t>60030553;60013543</t>
  </si>
  <si>
    <t>Bhatnagar P.S.</t>
  </si>
  <si>
    <t>Displaced Multilayer Triangular Elements Widen Antenna Bandwidth</t>
  </si>
  <si>
    <t>10.1049/el:19880656</t>
  </si>
  <si>
    <t>2-s2.0-0024048485</t>
  </si>
  <si>
    <t>2294-2295</t>
  </si>
  <si>
    <t>Macromolecules</t>
  </si>
  <si>
    <t>60032143;60032143;60032143;60032143</t>
  </si>
  <si>
    <t>35568989800;36904533600;35583932500;7102686822</t>
  </si>
  <si>
    <t>Quirk, Roderic P.;Perry, Scott;Mendicuti, Francisco;Mattice, Wayne L.</t>
  </si>
  <si>
    <t>Akron</t>
  </si>
  <si>
    <t>University of Akron</t>
  </si>
  <si>
    <t>Quirk R.</t>
  </si>
  <si>
    <t>New Method for Quantitative Functionalization of the Terminus in Poly(styrene). Naphthalene Functionalization</t>
  </si>
  <si>
    <t>10.1021/ma00185a072</t>
  </si>
  <si>
    <t>2-s2.0-0024050960</t>
  </si>
  <si>
    <t>['wiley company', 'spectral expressions', 'spectral domain', 'scattered fields', 'sampling theorem', 'rigorous ones', 'precisely analyzed', 'polarization discriminator', 'numerical results', 'numerical calculations', 'new type', 'insertion loss', 'inc .,', 'frequency characteristics', 'extrapolated values', 'dielectric loading', 'dielectric layers', 'considerably good', 'conducting strips', 'conducting strip', 'cannot compare', 'also described']</t>
  </si>
  <si>
    <t>In this paper, electromagnetic wave scattering by a plane metallic grating loaded with three dielectric layers is precisely analyzed by use of a new type of spectral domain method combined with the sampling theorem. Two different polarizations, E‚Äê and H‚Äêwaves, are considered here. Induced surface currents on the conducting strips are expanded in terms of weighted Fourier series taking into account the field singularity near an edge and spectral expressions for the scattered fields are given. Then the unknown coefficients related to surface current expansions are solved in spectral domain by imposing the boundary condition associated with a conducting strip. Accuracy of the numerical results is checked in comparison with extrapolated values, and numerical calculations are carried out for frequency characteristics of reflectivity and transmittivity as well as surface current distributions. Insertion loss of dielectric layers is also described in connection with a polarization discriminator of antennas. Although we cannot compare the numerical results with the rigorous ones as in the case of no dielectric loading, it seems that the present numerical results are considerably good. Copyright ¬© 1988 Wiley Periodicals, Inc., A Wiley Company</t>
  </si>
  <si>
    <t>102-114</t>
  </si>
  <si>
    <t>60009108;60009108;60009108</t>
  </si>
  <si>
    <t>7404384791;7402500138;7401741116</t>
  </si>
  <si>
    <t>Uchida, Kazunori;Noda, Takeaki;Matsunaga, Toshiaki</t>
  </si>
  <si>
    <t>Fukuoka</t>
  </si>
  <si>
    <t>Fukuoka Institute of Technology</t>
  </si>
  <si>
    <t>Uchida K.</t>
  </si>
  <si>
    <t>Electromagnetic wave scattering by a plane metallic grating loaded with three dielectric layers</t>
  </si>
  <si>
    <t>10.1002/ecja.4410710811</t>
  </si>
  <si>
    <t>2-s2.0-0024054604</t>
  </si>
  <si>
    <t>['wiley company', 'wide angle', 'sidelobes compared', 'radiation characteristics', 'primary radiator', 'past work', 'past research', 'paper describes', 'mutual coupling', 'main beam', 'inc .,', 'ideal lens', 'high speed', 'excitation currents', 'dome parts', 'dome antenna', 'convex surface', 'constant gain', 'concrete arrangement', 'concave surface', 'beam scanning', 'array elements', 'analysis performed', '18 db']</t>
  </si>
  <si>
    <t>For a beam scanning at high speed over a wide angle, a dome antenna has been proposed. Past research on the dome antenna treated the dome parts as an ideal lens. However, the concrete arrangement of antenna elements outside and inside the dome and their mutual coupling have not been considered. Based on our past work on the electromagnetic field inside a concave spherical surface, this paper describes the results of analysis performed on the most fundamental dome antenna composed of arcing array antennas. For the array elements we considered dipole antennas. We obtained the radiation characteristics considering the mutual coupling among the elements of the radiators on the convex surface, the elements of the collector on the concave surface, and the coupling between the elements of the collector and the elements of the primary radiator. We determined the excitation currents in the elements of the primary radiator so that the currents in the elements of the radiator become co‚Äêphase and uniform amplitude along the direction of the main beam. We obtained the radiation characteristics, and confirmed that over the range from 0 to 110¬∞, beam scanning at almost a constant gain was possible. Next, we suppressed the levels of the sidelobes. We showed that up to a maximum of 18 dB, we suppressed the levels of the sidelobes compared to the co‚Äêphase excitation. Finally, we discussed the influence of the mutual coupling between the elements of the radiator and the elements of the collector on the directivity. Copyright ¬© 1988 Wiley Periodicals, Inc., A Wiley Company</t>
  </si>
  <si>
    <t>91-101</t>
  </si>
  <si>
    <t>7404540549;35598806700;56779495700;7004205007</t>
  </si>
  <si>
    <t>Maeda, Tadahiko;Sawaya, Kunio;Adachi, Saburo;Mushiake, Yasuto</t>
  </si>
  <si>
    <t>Maeda T.</t>
  </si>
  <si>
    <t>Scanning characteristics of spherical dome antenna composed of arcing dipole array antennas including the effects of mutual coupling between elements</t>
  </si>
  <si>
    <t>10.1002/ecja.4410710810</t>
  </si>
  <si>
    <t>2-s2.0-0024054674</t>
  </si>
  <si>
    <t>NOOO15-86-K-0612</t>
  </si>
  <si>
    <t>['wave methods', 'utilizing quasi', 'successfully tested', 'static regions', 'static methods', 'small regions', 'remaining region', 'overall geometry', 'numerical efficiency', 'magnetic induction', 'geometrically complex', 'electrically small', 'considerable improvement']</t>
  </si>
  <si>
    <t>Electromagnetic scattering problems containing subregions which are electrically small but geometrically complex are examined. By utilizing quasi-static methods for the small regions, full-wave methods in the remaining region, and determining necessary coupling relations between the small regions and the overall geometry, a considerable improvement in numerical efficiency is realized. The particular method developed here is valid for quasi-static regions in which magnetic induction can be ignored. This new hybrid method has been successfully tested on a pair of closely spaced collinear wires. ¬© 1988 IEEE</t>
  </si>
  <si>
    <t>1180-1184</t>
  </si>
  <si>
    <t>60009831;60009831;60009831</t>
  </si>
  <si>
    <t>7402077896;6602609909;7801592535</t>
  </si>
  <si>
    <t>Olsen, Robert G.;Hower, G. L.;Mannikko, P. D.</t>
  </si>
  <si>
    <t>Washington State University</t>
  </si>
  <si>
    <t>A Hybrid Method for Combining Quasi-Static and Full-Wave Techniques for Electromagnetic Scattering Problems</t>
  </si>
  <si>
    <t>10.1109/8.7237</t>
  </si>
  <si>
    <t>2-s2.0-0024054766</t>
  </si>
  <si>
    <t>['way splitter', 'unused uhf', 'two functions', 'single circuit', 'signals generated', 'signal received', 'one function', 'network topology', 'headend comprises', 'downstream together', 'downstream signals', 'cctv cameras', 'band signals', 'application system', 'another function', 'also developed', '4 outlets']</t>
  </si>
  <si>
    <t>A Home Video Bus System which is one of the basis of Home Automation System is developed. The system has two functions. One function is to retransmit the signal received by antenna. Another function is to transmit in-house video signals such as signals generated from CCTV cameras. The system adopts video signal transmission method transmitting video signals via Headend which convert upstream sub-band signals to downstream signals in unused UHF. The system also adopts the network topology with a 4-way splitter, 4 outlets in each branch. The compact (210 x 180 x 70 mm) Headend comprises a single circuit which converts 2 upstream channels to downstream together. An application system is also developed on the basis of the system. ¬© 1988 IEEE</t>
  </si>
  <si>
    <t>728-735</t>
  </si>
  <si>
    <t>IEEE Transactions on Consumer Electronics</t>
  </si>
  <si>
    <t>60101699;60101699;60101699;60101699;60101699;60032227</t>
  </si>
  <si>
    <t>56211596600;6508031021;6602995431;7006714453;55239027600;6506251381</t>
  </si>
  <si>
    <t>Yamazaki, Hiroshi;Ishiguro, Dai;Nakatake, Youichi;Minagawa, Yoshiji;Honda, Yoshiyuki;Yatsuboshi, Fumiaki</t>
  </si>
  <si>
    <t>Tokyo;Osaka</t>
  </si>
  <si>
    <t>Mitsubishi Electric Corporation;Kansai Electric Power Co., Inc.</t>
  </si>
  <si>
    <t>60101699;60032227</t>
  </si>
  <si>
    <t>Yamazaki H.</t>
  </si>
  <si>
    <t>A home video bus system</t>
  </si>
  <si>
    <t>10.1109/30.20177</t>
  </si>
  <si>
    <t>2-s2.0-0024054936</t>
  </si>
  <si>
    <t>['simulated annealing', 'resulting arrays', 'novel principle', 'moderate numbers', 'finding solutions', 'correlation arrays', 'based upon']</t>
  </si>
  <si>
    <t>A novel principle for the design of correlation arrays is introduced, based upon the maximization of the distance between samples. A relatively new optimization technique, simulated annealing, is applied to the problem of finding solutions for moderate numbers of elements: up to 12. The resulting arrays have beautiful, symmetric crystalline structures. ¬© 1988 IEEE</t>
  </si>
  <si>
    <t>1165-1167</t>
  </si>
  <si>
    <t>Cornwell, T. J.</t>
  </si>
  <si>
    <t>Socorro</t>
  </si>
  <si>
    <t>National Radio Astronomy Observatory Socorro</t>
  </si>
  <si>
    <t>Cornwell T.J.</t>
  </si>
  <si>
    <t>A Novel Principle for Optimization of the Instantaneous Fourier Plane Coverage of Correlation Arrays</t>
  </si>
  <si>
    <t>10.1109/8.7233</t>
  </si>
  <si>
    <t>2-s2.0-0024054952</t>
  </si>
  <si>
    <t>['usual floquet', 'triarm frequency', 'sem poles', 'sem ).', 'analyzed using']</t>
  </si>
  <si>
    <t>An isolated symmetric triarm element is analyzed using the singularity expansion method (SEM). SEM poles, modes, and coupling coefficients yield considerable insight into the fundamental scattering characteristics of this element. It is shown that a simple sinusoidal approximation of the SEM current modes represents a highly efficient entire domain current expansion set when employed in the usual Floquet-moment method description of the triarm frequency-selective surface array. ¬© 1988 IEEE</t>
  </si>
  <si>
    <t>1172-1177</t>
  </si>
  <si>
    <t>60011754;60011754</t>
  </si>
  <si>
    <t>7005985707;57197526134</t>
  </si>
  <si>
    <t>Riggs, Lloyd S.;Smith, R. G.</t>
  </si>
  <si>
    <t>Auburn</t>
  </si>
  <si>
    <t>Auburn University</t>
  </si>
  <si>
    <t>Riggs L.S.</t>
  </si>
  <si>
    <t>Efficient Current Expansion Modes for the Triarm Frequency-Selective Surface</t>
  </si>
  <si>
    <t>10.1109/8.7235</t>
  </si>
  <si>
    <t>2-s2.0-0024055012</t>
  </si>
  <si>
    <t>['radiation characteristics', 'input admittance', 'available experimental', 'analytical data']</t>
  </si>
  <si>
    <t>A Wiener-Hopf type analysis is introduced to determine the radiation characteristics of an imperfectly conducting solid thin long dipole antenna. The analysis is applicable to dipoles with constant impedance per unit length. The input admittance of the infinitely long imperfectly conducting dipole is calculated and compared with available experimental and analytical data.</t>
  </si>
  <si>
    <t>674-679</t>
  </si>
  <si>
    <t>Aug</t>
  </si>
  <si>
    <t>60019000;60019000</t>
  </si>
  <si>
    <t>6701492696;7103051886</t>
  </si>
  <si>
    <t>Saoudy, S. A.;Hamid, M.</t>
  </si>
  <si>
    <t>St John's</t>
  </si>
  <si>
    <t>Memorial University of Newfoundland</t>
  </si>
  <si>
    <t>Saoudy S.</t>
  </si>
  <si>
    <t>Rigorous analysis of an imperfectly conducting linear antenna</t>
  </si>
  <si>
    <t>10.1139/p88-112</t>
  </si>
  <si>
    <t>2-s2.0-0024055170</t>
  </si>
  <si>
    <t>NAG 3-1.59</t>
  </si>
  <si>
    <t>['two satellites', 'true also', 'test problem', 'satellite system', 'possible objective', 'posed consisting', 'orbital locations', 'one satellite', 'numerical results', 'mean longitude', 'lp formulations', 'linear programming', 'linear function', 'integer programming', 'function choices', 'frequency channels', 'explicit formulations', 'electrical parameters', 'circular beams', 'area geometries', 'absolute deviations']</t>
  </si>
  <si>
    <t>7/d | L7</t>
  </si>
  <si>
    <t>A relationship is derived, on a single-entry interference basis, for the minimum allowable spacing between two satellites as a function of electrical parameters and service-area geometries. For circular beams, universal curves relate the topocentric satellite spacing angle to the service-area separation angle measured at the satellite. The corresponding geocentric spacing depends only weakly on the mean longitude of the two satellites, and this is true also for elliptical antenna beams. As a consequence, if frequency channels are preassigned, the orbital assignment synthesis of a satellite system can be formulated as a mixed-integer programming (MIP) problem or approximated by a linear programming (LP) problem, with the interference protection requirements enforced by constraints while some linear function is optimized. Possible objective-function choices are discussed and explicit formulations are presented for the choice of the sum of the absolute deviations of the orbital locations from some prescribed ‚Äúideal‚Äù location set. A test problem is posed consisting of six service areas, each served by one satellite, all using elliptical antenna beams and the same frequency channels. Numerical results are given for three ‚Äúideal‚Äù location prescriptions for both the MIP and the LP formulations. The resulting scenarios also satisfy reasonable aggregate interference protection requirements. ¬© 1988 IEEE</t>
  </si>
  <si>
    <t>371-379</t>
  </si>
  <si>
    <t>60003500;60003500;60004541;60003500;60000501</t>
  </si>
  <si>
    <t>6701358665;7201946044;7501630102;7103120235;6603441147</t>
  </si>
  <si>
    <t>Levis, Curt A.;Yamamura, Yoshikazu;Wang, Cou Way;Reilly, Charles H.;Gonsalvez, David J.A.</t>
  </si>
  <si>
    <t>Washington, D.C.;Columbus;Detroit</t>
  </si>
  <si>
    <t>INTELSAT;The Ohio State University;General Motors</t>
  </si>
  <si>
    <t>60004541;60003500;60000501</t>
  </si>
  <si>
    <t>Levis C.A.</t>
  </si>
  <si>
    <t>The Role of Service Areas in the Optimization of FSS Orbital and Frequency Assignments</t>
  </si>
  <si>
    <t>10.1109/15.3317</t>
  </si>
  <si>
    <t>2-s2.0-0024055286</t>
  </si>
  <si>
    <t>['wiley company', 'two experiments', 'snow based', 'reconstructed image', 'range curvature', 'principle similar', 'paper proposes', 'object separated', 'object buried', 'near region', 'multifrequency holography', 'metal post', 'inc .,', 'experiments used', 'experimental results', 'especially significant', 'effective method', 'correct image', '3 ghz']</t>
  </si>
  <si>
    <t>The authors have developed a radar to search an object buried in snow based on multifrequency holography. Multifrequency holography has a deficiency in that the quality of the reconstructed image is degraded. This phenomenon is called the range curvature. This paper proposes a method for correcting this phenomenon to obtain a correct image. The experimental results based on this method are presented. Multifrequency holography is based on the principle similar to that of the synthetic aperture radar. In both multifrequency holography and synthetic aperture radar, the range curvature is a problem. This phenomenon is especially significant in the near region. In this paper, this region is studied and the formula for range‚Äêcurvature correction and the simulation for confirmation of this formula, as well as the experiment, are introduced. Two experiments have been carried out with X‚Äêband signals at 8.3 to 9.3 GHz for the object separated from the antenna by about 1 m. One of the experiments used a metal post while another used two metal posts. From these experimental results, it is confirmed that the range‚Äêcurvature correction is an effective method. Copyright ¬© 1988 Wiley Periodicals, Inc., A Wiley Company</t>
  </si>
  <si>
    <t>115-122</t>
  </si>
  <si>
    <t>60014652;60014652;60014652</t>
  </si>
  <si>
    <t>35588841500;35323180200;57211225615</t>
  </si>
  <si>
    <t>Tajiri, Katsuhiro;Sakamoto, Yuji;Aoki, Yoshinao</t>
  </si>
  <si>
    <t>Tajiri K.</t>
  </si>
  <si>
    <t>Multifrequency holography on near region using range curvature correction</t>
  </si>
  <si>
    <t>10.1002/ecja.4410710812</t>
  </si>
  <si>
    <t>2-s2.0-0024055362</t>
  </si>
  <si>
    <t>['¬© 1988', 'sum product', 'rights reserved', 'electrical engineers', 'discrete distributions', 'derived earlier', 'comparisons made']</t>
  </si>
  <si>
    <t>Antenna arrays | Antenna radiation patterns | Antenna theory | EM field theory | Maximum slope-sum product | Monopulse</t>
  </si>
  <si>
    <t>The discrete distributions which provide maximum slope-sum product, analogous to that derived earlier for continuous line sources, are considered and some comparisons made. ¬© 1988, The Institution of Electrical Engineers. All rights reserved.</t>
  </si>
  <si>
    <t>1081-1082</t>
  </si>
  <si>
    <t>60021902;60021902</t>
  </si>
  <si>
    <t>57203176700;34975061400</t>
  </si>
  <si>
    <t>Mcnamara, D. A.;Jacobs, J. P.</t>
  </si>
  <si>
    <t>South Africa</t>
  </si>
  <si>
    <t>Pretoria</t>
  </si>
  <si>
    <t>University of Pretoria</t>
  </si>
  <si>
    <t>Mcnamara D.</t>
  </si>
  <si>
    <t>Equivalence of Optimal Slope-Sum Product Discrete and Continuous Linear Electromagnetic Radiators</t>
  </si>
  <si>
    <t>10.1049/el:19880733</t>
  </si>
  <si>
    <t>2-s2.0-0024055397</t>
  </si>
  <si>
    <t>['te11 mode', 'suppressed far', 'experimental studies']</t>
  </si>
  <si>
    <t>The design and experimental studies on a new corrugated circular cylindrical waveguide antenna feed excited in the TE11 mode with suppressed far-out sidelobes are reported. ¬© 1988 IEEE</t>
  </si>
  <si>
    <t>1147-1152</t>
  </si>
  <si>
    <t>60025757;60025757</t>
  </si>
  <si>
    <t>7006389495;6506663898</t>
  </si>
  <si>
    <t>Narasimhan, M. S.;Govind, K. R.</t>
  </si>
  <si>
    <t>Chennai</t>
  </si>
  <si>
    <t>Indian Institute of Technology Madras</t>
  </si>
  <si>
    <t>Narasimhan M.S.</t>
  </si>
  <si>
    <t>Radiation Characteristics of a Corrugated Circular Cylindrical Waveguide Horn Excited in the TE-n Mode</t>
  </si>
  <si>
    <t>10.1109/8.7228</t>
  </si>
  <si>
    <t>2-s2.0-0024055510</t>
  </si>
  <si>
    <t>NSF ECS 85-52891</t>
  </si>
  <si>
    <t>['variable polynomial', 'using galerkin', 'sinusoidal functions', 'resonant frequency', 'polynomial formula', 'perturbation calculation', 'microstrip patch', 'method rapidly', 'integral equation', 'good agreement', 'edge singularity', 'chebyshev polynomials', 'basis functions']</t>
  </si>
  <si>
    <t>The microstrip patch resonant frequency problem is formulated in terms of an integral equation using vector Fourier transforms. In the spectral space represented by the vector Fourier transforms, the Green's function is diagonal. Using Galerkin's method in solving the integral equation, the resonant frequency of the microstrip patch is studied with both Chebyshev polynomials and sinusoidal functions as basis functions. In the case of the Chebyshev polynomials, the edge singularity is included, but it is not important for convergence. Furthermore, the resonant frequency of the microstrip patch is ascertained with a perturbation calculation. The results for Galerkin's method and experiments are in good agreement. The perturbation calculation agrees asymptotically with Galerkin's method. With the aim of developing a computer-aided design formula, the solutions obtained via Galerkin's method are interpolated with a three-variable polynomial. The polynomial formula can reproduce the solution of the integral equation using Galerkin's method rapidly. ¬© 1988 IEEE</t>
  </si>
  <si>
    <t>1045-1056</t>
  </si>
  <si>
    <t>26643168800;57190242812</t>
  </si>
  <si>
    <t>Chew, Weng Cho;Liu, Qinghuo</t>
  </si>
  <si>
    <t>Chew W.C.</t>
  </si>
  <si>
    <t>Resonance Frequency of a Rectangular Microstrip Patch</t>
  </si>
  <si>
    <t>10.1109/8.7216</t>
  </si>
  <si>
    <t>2-s2.0-0024055624</t>
  </si>
  <si>
    <t>['circular aperture', 'area product']</t>
  </si>
  <si>
    <t>Tables of the gain-area product of a circular aperture are given and explained. ¬© 1988 IEEE</t>
  </si>
  <si>
    <t>1161-1162</t>
  </si>
  <si>
    <t>Luh, Howard H.S.</t>
  </si>
  <si>
    <t>Palo Alto</t>
  </si>
  <si>
    <t>Space Systems Loral</t>
  </si>
  <si>
    <t>Luh H.H.S.</t>
  </si>
  <si>
    <t>Gain-Area Product of Circular Aperture</t>
  </si>
  <si>
    <t>10.1109/8.7231</t>
  </si>
  <si>
    <t>2-s2.0-0024055626</t>
  </si>
  <si>
    <t>['¬© 1988', 'two antennas', 'simple models', 'rights reserved', 'probably associated', 'particular events', 'ots space', 'nonprecipitating clouds', 'high scintillation', 'electrical engineers', 'earth path', 'diverse sizes', 'data refer']</t>
  </si>
  <si>
    <t>Atmospheric propagation | Microwave links | Radiowave propagation | Satellite links</t>
  </si>
  <si>
    <t>Simple models have been used to estimate characteristic height and intensity of tropospheric refractive turbulence from fluctuations of the field amplitude received by two antennas of diverse sizes on the OTS space-earth path. Data refer to particular events of high scintillation, probably associated with the presence of nonprecipitating clouds, and yield elevated values of C2n. ¬© 1988, The Institution of Electrical Engineers. All rights reserved.</t>
  </si>
  <si>
    <t>1114-1116</t>
  </si>
  <si>
    <t>60032350;60032350;60032350;60027509;60027509</t>
  </si>
  <si>
    <t>7003877842;7005320660;7006894989;7003573134;55576055500</t>
  </si>
  <si>
    <t>Basili, P.;Ciotti, P.;D'Auria, G.;Ferrazzoli, P.;Solimini, D.</t>
  </si>
  <si>
    <t>Sapienza Universit√† di Roma;Universit√† degli Studi di Roma "Tor Vergata"</t>
  </si>
  <si>
    <t>60032350;60027509</t>
  </si>
  <si>
    <t>Basili P.</t>
  </si>
  <si>
    <t>Observation of High C2n and Turbulent Path Length on Ots Space-Earth Link</t>
  </si>
  <si>
    <t>10.1049/el:19880757</t>
  </si>
  <si>
    <t>2-s2.0-0024055718</t>
  </si>
  <si>
    <t>['‚ äòassumed', 'small compared', 'sectional dimensions', 'put succinctly', 'general relationship', 'equivalent radius', 'antenna properties']</t>
  </si>
  <si>
    <t>A simple general relationship is shown to exist between the equivalent antenna radius and the transverse line dipole moments of a narrow slot aperture having depth. The cross-sectional dimensions of the aperture are ‚Äòassumed to be small compared to both its length and the wavelength. The general relationship can be put succinctly; the perfect magnetic cylinder, having the equivalent radius of an aperture with depth, has not only the same antenna properties but also the same transverse line dipole moments as the aperture. ¬© 1988 IEEE</t>
  </si>
  <si>
    <t>364-370</t>
  </si>
  <si>
    <t>60007843;60007843</t>
  </si>
  <si>
    <t>7003397779;7410237435</t>
  </si>
  <si>
    <t>Warne, Larry K.;Chen, Kenneth C.</t>
  </si>
  <si>
    <t>Albuquerque</t>
  </si>
  <si>
    <t>Sandia National Laboratories, New Mexico</t>
  </si>
  <si>
    <t>Warne L.K.</t>
  </si>
  <si>
    <t>Relation Between Equivalent Antenna Radius and Transverse Line Dipole Moments of a Narrow Slot Aperture Having Depth</t>
  </si>
  <si>
    <t>10.1109/15.3316</t>
  </si>
  <si>
    <t>2-s2.0-0024055848</t>
  </si>
  <si>
    <t>['numerical examples', 'moments solution', 'mathematical expressions', 'input impedance', 'inhomogeneous plasma', 'general description', 'free space', 'fed cavity', 'antenna aperture']</t>
  </si>
  <si>
    <t>A method of moments solution for the input impedance of a probe-fed cavity which radiates through a plasma-covered cylindrical body is presented. A general description of the method of moments solution and cylindrical aperture analysis is given. Mathematical expressions are given for the cylindrical aperture admittances. Numerical examples of the input impedance which correspond to cylinders of several different radii have been generated when free space is assumed to cover the antenna aperture and when an inhomogeneous plasma is assumed to cover the antenna aperture. ¬© 1988 IEEE</t>
  </si>
  <si>
    <t>1157-1161</t>
  </si>
  <si>
    <t>60020583;60007801</t>
  </si>
  <si>
    <t>7006776374;36986447400</t>
  </si>
  <si>
    <t>Jarem, John M.;Ma, Chao Ming</t>
  </si>
  <si>
    <t>Huntsville;El Paso</t>
  </si>
  <si>
    <t>The University of Alabama in Huntsville;The University of Texas at El Paso</t>
  </si>
  <si>
    <t>Jarem J.M.</t>
  </si>
  <si>
    <t>The Input Impedance of a Probe-Fed Rectangular Cavity which Transmits Through a Plasma-Covered Cylindrical Body</t>
  </si>
  <si>
    <t>10.1109/8.7230</t>
  </si>
  <si>
    <t>2-s2.0-0024056025</t>
  </si>
  <si>
    <t>['transverse electromagnetic', 'sector antenna', 'radiation field', 'method described', 'matching technique', 'lame polynomials', 'lam functions', 'farfield patterns', 'exterior region', 'conical horn', 'conical antenna', 'boundary conditions']</t>
  </si>
  <si>
    <t>The mode-matching technique is applied to the problem of radiation from a conical antenna with elliptic cross section including the degeneration to a sector antenna. In the ‚Äúguiding region‚Äù of the antenna the transverse electromagnetic (TEM) wave is considered as well as higher order waves which are described by products of Lam functions which satisfy the boundary conditions. In the exterior region, the field is expanded into products of Lame polynomials. Antenna input impedances and farfield patterns are shown as results. In addition to computing the farfield patterns of a conical horn with elliptic cross section by means of the aperture field method the radiation field is analyzed by a multipole expansion analogous to the method described above. ¬© 1988 IEEE</t>
  </si>
  <si>
    <t>1066-1070</t>
  </si>
  <si>
    <t>60005322;60002286</t>
  </si>
  <si>
    <t>7005302986;56782533800</t>
  </si>
  <si>
    <t>Blume, Siegfried;Grafmuml√ú Ller, Bernhard</t>
  </si>
  <si>
    <t>Bochum;Leiden</t>
  </si>
  <si>
    <t>Ruhr-Universitat Bochum;Airbus Group SE</t>
  </si>
  <si>
    <t>Blume S.</t>
  </si>
  <si>
    <t>Biconical Antennas and Conical Horns with Elliptic Cross Section</t>
  </si>
  <si>
    <t>10.1109/8.7218</t>
  </si>
  <si>
    <t>2-s2.0-0024056169</t>
  </si>
  <si>
    <t>['paraboloidal designs', 'axis beams', '100 wavelengths']</t>
  </si>
  <si>
    <t>A lens antenna design is described which requires the formation of both on-axis and far off-axis beams. The aperture is about 100 wavelengths in diameter, and the off-axis beams are displaced ¬± 20 beamwidths from the axis. The results are indicative of the much greater scan capabilities of lensatic antennas compared to paraboloidal designs when both have single-aperture nonarray feeds. ¬© 1988 IEEE</t>
  </si>
  <si>
    <t>1162-1165</t>
  </si>
  <si>
    <t>60006337;115568866</t>
  </si>
  <si>
    <t>7202470352;7404985519</t>
  </si>
  <si>
    <t>Parsons, Chester L.;Miller, Lee S.</t>
  </si>
  <si>
    <t>Greenbelt;</t>
  </si>
  <si>
    <t>NASA Goddard Space Flight Center;Applied Science Associates, Inc.</t>
  </si>
  <si>
    <t>Parsons C.L.</t>
  </si>
  <si>
    <t>Design of a Large-Aperture Lens Antenna Usable Over a ¬±15¬∞ Scanning Sector</t>
  </si>
  <si>
    <t>10.1109/8.7232</t>
  </si>
  <si>
    <t>2-s2.0-0024056170</t>
  </si>
  <si>
    <t>['z axis', 'wide gap', 'various excitation', 'obtained using', 'longitudinal electric', 'loading conditions', 'input admittance', 'function excitation', 'fourier representation', 'fourier expansion', 'fields inside', 'feed gap', 'done using', 'bessel series', 'basic sets', 'aperture time']</t>
  </si>
  <si>
    <t>Expressions are derived for the aperture time-harmonic electromagnetic fields in the feed gap of a solid infinite antenna along the z axis. This is done by matching the Fourier representation of the external electromagnetic fields to the Fourier representation of the fields inside the feed gap. The Fourier expansion is built up by superposition of basic sets of œÜ-independent cylindrical waves that are obtained from the solution of Helmholtz equations governing z-directed electric Hertzian potentials. The z-directed electric field, which is in the form of a Fourier-Bessel series, is then used to calculate the input admittance of an infinitely long antenna excited across a practically wide feed gap. This is done using the axial field combination of longitudinal electric-field surface functions that may exist owing to feeding and (or) loading. A comparison is made between the radiation characteristics based on the Fourier-series field inside a wide gap and those obtained using the delta-function excitation for a finite-length dipole antenna with various excitation and loading conditions.</t>
  </si>
  <si>
    <t>680-691</t>
  </si>
  <si>
    <t>Analysis of an arbitrarily excited-loaded dipole antenna with a derived expression for the field in the feed gap</t>
  </si>
  <si>
    <t>10.1139/p88-113</t>
  </si>
  <si>
    <t>2-s2.0-0024056354</t>
  </si>
  <si>
    <t>['waves according', 'transverse sources', 'transverse magnetic', 'transverse electric', 'transmissionline analogy', 'power produced', 'making use', 'input impedance', 'independent terms', 'geometrical symmetry', 'general case', 'fourier domain', 'formal representations', 'evaluated via', 'equations written', 'dyadic green', 'dielectric substrate']</t>
  </si>
  <si>
    <t>The dyadic Green's function, transformed in the Fourier domain, is evaluated in the general case of a planar integrated structure fed by a distribution of tridimensional electrical sources arbitrarily located in the dielectric substrate. The analysis is carried out on the basis of the Maxwell's equations written for the time variation eJust‚Äô and transformed in the Fourier domain. The elements of the spectral dyadic Green's function are evaluated via the transmissionline analogy by making use of very general equivalent circuits of the planar structure determined for the case of transverse electric (TM) and transverse magnetic (TM) waves according to a general tridimensional source excitation. General properties among the elements of the Green's function are obtained, due to the electrical and geometrical symmetry of the structure, and the different roles played by the independent terms of the matrix are discussed. An expression for the power produced by the sources, evaluated through its spectral power density, is derived, and the formal representations in the Fourier domain of the input impedance for vertical and transverse sources are presented. ¬© 1988 IEEE</t>
  </si>
  <si>
    <t>1057-1065</t>
  </si>
  <si>
    <t>60032350;60032350;60032350</t>
  </si>
  <si>
    <t>7006242275;7004398705;6603491014</t>
  </si>
  <si>
    <t>Vegni, Lucio;Cicchetti, Renato;Capece, Pasquale</t>
  </si>
  <si>
    <t>Sapienza Universit√† di Roma</t>
  </si>
  <si>
    <t>Vegni L.</t>
  </si>
  <si>
    <t>Spectral Dyadic Green's Function Formulation for Planar Integrated Structures</t>
  </si>
  <si>
    <t>10.1109/8.7217</t>
  </si>
  <si>
    <t>2-s2.0-0024056448</t>
  </si>
  <si>
    <t>['whose meshes', 'reactive character', 'planar mesh', 'mesh surface', 'mesh size', 'mesh screens', 'mesh properties', 'mesh geometries', 'mesh enclosures', 'maximum value', 'junction wire', 'individual meshes', 'increasing frequency', 'frequency range', 'frequency electric', 'enclosure magnetic', 'enclosure electrostatic', 'electrically small', 'either side']</t>
  </si>
  <si>
    <t>The electromagnetic shielding behavior of bonded-junction wire-mesh screens is discussed in the frequency range where the individual meshes are electrically small. The screen, whose meshes are assumed to be square, is described by an equivalent sheet impedance operator. The plane-wave shielding effectiveness of a planar mesh screen is derived. The problem of coupling between antennas on either side of a planar mesh is addressed, and its applicability to the measurement of mesh properties is described. Finally, the low-frequency electric and magnetic shielding afforded by mesh enclosures is considered. Because of the reactive character of the mesh surface, the plane-wave shielding effectiveness decreases with increasing frequency. The enclosure magnetic-field shielding effectiveness increases with increasing frequency, but saturates at a maximum value that depends on the geometry of the enclosure, the mesh size, and the mesh wire radius. The enclosure electrostatic-field shielding effectiveness depends only on the enclosure and mesh geometries. ¬© 1988 IEEE</t>
  </si>
  <si>
    <t>298-306</t>
  </si>
  <si>
    <t>Casey, Kendall F.</t>
  </si>
  <si>
    <t>Canton</t>
  </si>
  <si>
    <t>L-3 Communications</t>
  </si>
  <si>
    <t>Casey K.F.</t>
  </si>
  <si>
    <t>Electromagnetic Shielding Behavior of Wire-Mesh Screens</t>
  </si>
  <si>
    <t>10.1109/15.3309</t>
  </si>
  <si>
    <t>2-s2.0-0024056535</t>
  </si>
  <si>
    <t>['two antennas', 'protection cannot', 'insertion loss', 'electromagnetic protection']</t>
  </si>
  <si>
    <t>This paper discusses typical shielding effectiveness measurements and their relation to electromagnetic protection. These measurements, which are based on the insertion loss when the shield is inserted between two antennas, contain the properties of the antennas and receivers inextricably commingled with the properties of the shield. For the assessment of electromagnetic protection, the shield's ability to limit the interaction of an arbitrary external source with an arbitrary internal circuit is important. This assessment of protection cannot, in general, be obtained from insertion Loss data. ¬© 1988 IEEE</t>
  </si>
  <si>
    <t>289-293</t>
  </si>
  <si>
    <t>60000461;60000461</t>
  </si>
  <si>
    <t>7202423607;7006275138</t>
  </si>
  <si>
    <t>Graf, Werner;Vance, Edward F.</t>
  </si>
  <si>
    <t>Graf W.</t>
  </si>
  <si>
    <t>Shielding Effectiveness and Electromagnetic Protection</t>
  </si>
  <si>
    <t>10.1109/15.3307</t>
  </si>
  <si>
    <t>2-s2.0-0024056669</t>
  </si>
  <si>
    <t>['short dipole', 'relative simplicity', 'input impedance', 'examples shown', 'direct result']</t>
  </si>
  <si>
    <t>The purpose of this paper is to present three simple examples of the method of moments in electromagnetics. The examples shown are the input impedance of a short dipole, plane wave scattering from a short dipole, and two coupled short dipoles. The relative simplicity of the examples is a direct result of obtaining simple expressions for the elements in the method of moments impedance matrix. ¬© 1988 IEEE</t>
  </si>
  <si>
    <t>Newman, Edward H.</t>
  </si>
  <si>
    <t>Simple Examples of the Method of Moments in Electromagnetics</t>
  </si>
  <si>
    <t>10.1109/13.2311</t>
  </si>
  <si>
    <t>2-s2.0-0024056932</t>
  </si>
  <si>
    <t>['systematic formulation', 'radiating element', 'power patterns', 'method allows', 'good agreement']</t>
  </si>
  <si>
    <t>The transverse operator method is used for the analysis of an open-ended rectangular waveguide, in particular as a radiating element. It is shown that the method allows a systematic formulation of problems involving discontinuities whether they are radiating or not. The numerical results concerning the admittance and power patterns of a waveguide aperture surrounded by an infinite conducting flange are compared to those available in the literature, and a good agreement is observed. ¬© 1988 IEEE</t>
  </si>
  <si>
    <t>1071-1077</t>
  </si>
  <si>
    <t>60028112;60028112;60028112</t>
  </si>
  <si>
    <t>7007171277;7202301173;6602653364</t>
  </si>
  <si>
    <t>Baudrand, Henri;Tao, Jun Wu;Atechian, Jacques</t>
  </si>
  <si>
    <t>ENSEEIHT Ecole Nationale Sup√©rieure d'Electrotechnique, d'Electronique, d'Informatique, d'Hydraulique et des T√©l√©communications</t>
  </si>
  <si>
    <t>Baudrand H.</t>
  </si>
  <si>
    <t>Study of Radiating Properties of Open-Ended Rectangular Waveguides</t>
  </si>
  <si>
    <t>10.1109/8.7219</t>
  </si>
  <si>
    <t>2-s2.0-0024056960</t>
  </si>
  <si>
    <t>['¬© 1988', 'v ¬∑', 'substrate temperature', 'showed 10', 'japan society', 'films deposited', 'coupled thin', 'coupled point', 'carrier mobilities', 'applied physics', '100 cm2']</t>
  </si>
  <si>
    <t>Evaporated semiconductor film | Infrared laser detection | Point-contact IR detector | Polycrystalline Ge film | Warm carrier device</t>
  </si>
  <si>
    <t>Evaporated Ge films were used as antenna-coupled point-contact warm carrier devices. The carrier mobilities of the deposited films increased with the increase of the substrate temperature and showed 10-100 cm2/V¬∑s for the films deposited above 300¬∞C. A CO2 laser signal was detected by the point-contact devices fabricated from those films. This indicated the potential of the realization of antenna-coupled thin-film warm carrier devices. ¬© 1988 The Japan Society of Applied Physics.</t>
  </si>
  <si>
    <t>L1437-L1439</t>
  </si>
  <si>
    <t>8 R</t>
  </si>
  <si>
    <t>60004176;60004176</t>
  </si>
  <si>
    <t>7403247020;7004555963</t>
  </si>
  <si>
    <t>Inoue, Narumi;Yasuoka, Yoshizumi</t>
  </si>
  <si>
    <t>Inoue N.</t>
  </si>
  <si>
    <t>An antenna-coupled warm carrier device using polycrystalline ge films</t>
  </si>
  <si>
    <t>10.1143/JJAP.27.1437</t>
  </si>
  <si>
    <t>2-s2.0-0024057117</t>
  </si>
  <si>
    <t>['wave equation', 'solved numerically', 'small except', 'slab geometry', 'selfconsistent solutions', 'second order', 'rough estimate', 'rf waves', 'rf source', 'resonances broaden', 'poloidal direction', 'plasma temperature', 'plasma response', 'plasma parameters', 'plasma boundedness', 'plasma bounded', 'mode conversion', 'loading impedance', 'larmor radius', 'high temperatures', 'general form', 'eventually disappear', 'error due', 'equilibrium vlasov', 'decreasing reflection', 'combined theory', 'certain values', 'arbitrary order', 'antenna spectra', 'antenna parameters', 'also derived']</t>
  </si>
  <si>
    <t>The combined theory of ion cyclotron wave coupling, mode conversion and absorption is developed for bounded inhomogeneous plasmas in slab geometry. The plasma response to the RF waves is described by the linearized Vlasov equation, with an equilibrium distribution function and a poloidal magnetic field profile which are selfconsistent solutions of the equilibrium Vlasov and Maxwell's equations. A general form of the wave equation, valid to arbitrary order in Larmor radius and including first order gradient terms, is derived. Expressions are also derived for the plasma intrinsic impedance. The wave equation, keeping second order terms in Larmor radius, is solved numerically for a plasma bounded by two conducting walls using the INTOR tokamak design parameters. It was found that the effect of the one-dimensional poloidal field is small. Also, a rough estimate of the error due to truncation to second order in Larmor radius was made and was found to be very small except in the high temperature regions. The effects of plasma boundedness and reflections from the mode conversion region on the coupling of waves from the RF source as a function of the plasma parameters and antenna spectra are studied. It is found that, at certain values of the plasma and antenna parameters, eigenmodes are formed, resulting in an increase in the loading impedance. It is verified that the impedance is not symmetric with respect to the spectrum in the poloidal direction, with highly peaked resonances. As the plasma temperature is increased, the resonances broaden and eventually disappear at very high temperatures. This is attributed to increased single pass absorption and decreasing reflection from the mode conversion region. ¬© 1988 IOP Publishing Ltd.</t>
  </si>
  <si>
    <t>1393-1412</t>
  </si>
  <si>
    <t>60027550-60007843;60027550;60027550</t>
  </si>
  <si>
    <t>6603320895;7103369930;7005597256</t>
  </si>
  <si>
    <t>Shokair, I. R.;Conn, R. W.;Mau, T. K.</t>
  </si>
  <si>
    <t>Los Angeles;Albuquerque</t>
  </si>
  <si>
    <t>University of California, Los Angeles;Sandia National Laboratories, New Mexico</t>
  </si>
  <si>
    <t>60027550;60007843</t>
  </si>
  <si>
    <t>Shokair I.</t>
  </si>
  <si>
    <t>Theory and modelling of second harmonic ICRF coupling and heating in inhomogeneous plasmas</t>
  </si>
  <si>
    <t>10.1088/0029-5515/28/8/008</t>
  </si>
  <si>
    <t>2-s2.0-0024057122</t>
  </si>
  <si>
    <t>['shows explicitly', 'resonant frequency', 'patch antenna', 'experimental data', 'characteristic parameters', 'analytical expression']</t>
  </si>
  <si>
    <t>An analytical expression is presented for the resonant frequency of a circular disc microstrip antenna with a thick dielectric substrate. It shows explicitly the dependence of the resonant frequency on the characteristic parameters of a patch antenna. The theoretical results agree with experimental data.</t>
  </si>
  <si>
    <t>1104-1106</t>
  </si>
  <si>
    <t>60008134;60008134;60008134</t>
  </si>
  <si>
    <t>7102796864;16050119900;7003385210</t>
  </si>
  <si>
    <t>Abboud, F.;Damiano, J. P.;Papiernik, A.</t>
  </si>
  <si>
    <t>Abboud F.</t>
  </si>
  <si>
    <t>New determination of resonant frequency of circular disc microstrip antenna: application to thick substrate</t>
  </si>
  <si>
    <t>10.1049/el:19880750</t>
  </si>
  <si>
    <t>2-s2.0-0024057254</t>
  </si>
  <si>
    <t>['transient fields', 'technique include', 'solid wall', 'small enclosures', 'similar manner', 'shielding problems', 'shielding effectiveness', 'shield material', 'rise time', 'rigorous solutions', 'rigorous solution', 'resistive seams', 'penetrating fields', 'peak magnitudes', 'nonempirical consideration', 'mesh enclosures', 'low frequencies', 'frequency region', 'first determined', 'fall time', 'exact solutions', 'enclosure walls', 'current distribution', 'circuit approach', 'circuit analogue', 'approach allows', 'also includes']</t>
  </si>
  <si>
    <t>The shielding effectiveness of an enclosure at low frequencies can be readily computed using a circuit approach. Not only does this technique include the effects of the properties of the shield material, but it also includes the details of the geometry of the enclosure. Furthermore, this approach allows a nonempirical consideration of mesh enclosures and the effects of resistive seams in enclosure walls. By working with the circuit analogue, penetration by transient fields can also be computed. Essentially the enclosure is viewed as an antenna. In the case of magnetic shielding effectiveness, the enclosure is viewed as a short-circuited loop antenna. In the case of electric field penetration, the enclosure is viewed as a fat electric dipole. Using this characterization and exact solutions where available, the current distribution on the outside of the enclosure is first determined. Then, based on the current distribution, the penetrating fields are computed. The equations are developed in such a way as to preserve a lumped circuit analogue for the low-frequency region. The basic circuit equations for magnetic field penetration are rederived from a rigorous solution. Rules to estimate the rise time, fall time, and peak magnitudes of transient penetrating fields are developed. The electric shielding effectiveness is developed in a similar manner. In both cases the results of the circuit approach agree well with those based on rigorous solutions of the electromagnetic boundary conditions. The results also agree with published experimental data on both large and small enclosures. Calculations are outlined for both solid wall and mesh wall enclosures for the purpose of demonstrating this approach to shielding problems. ¬© 1988 IEEE</t>
  </si>
  <si>
    <t>211-221</t>
  </si>
  <si>
    <t>Bridges, Jack E.</t>
  </si>
  <si>
    <t>Bridges J.E.</t>
  </si>
  <si>
    <t>An Update on the Circuit Approach to Calculate Shielding Effectiveness</t>
  </si>
  <si>
    <t>10.1109/15.3299</t>
  </si>
  <si>
    <t>2-s2.0-0024057264</t>
  </si>
  <si>
    <t>['wall region', 'surface waves', 'spherical hybrid', 'soft horn', 'soft boundary', 'small compared', 'similar dimensions', 'significantly decrease', 'resolution systems', 'reduced size', 'reduced beamwidth', 'longitudinally oriented', 'increased sidelobes', 'increased directivity', 'horns may', 'horn aperture', 'horn antennas', 'hard boundaries', 'design frequency', 'conical horn', 'classical hybrid', 'central region', 'also derived', 'also assumed', 'almost hard', '6 db', '22 percent']</t>
  </si>
  <si>
    <t>Horn antennas with soft and hard boundaries are analyzed. A soft boundary which exists in classical hybrid-mode horns gives zero field intensity at the wall. A hard boundary corresponds to a uniform field distribution over the horn aperture. A hard boundary horn (or simply hard horn) gives increased directivity (typically, 1.6 dB) due to increased aperture efficiency, and reduced beamwidth (typically, 22 percent) compared to a soft boundary horn (or soft horn) with similar dimensions, at the expense of a higher sidelobe level. The increased directivity is valid only for horns where the field has almost constant phase over the aperture. It is also assumed that the power in the wall region is small compared to the power in the central region of the horn and that surface waves and higher order modes do not significantly decrease the gain. The definitions of soft and hard horns include the balanced hybrid condition, i.e., low cross polarization at the design frequency. Hard boundary conditions can be realized by longitudinally oriented and dielectrically filled corrugations, or by longitudinally oriented strips on a dielectrically lined wall. Horn boundaries designed with a prescribed field taper, to compromise between increased directivity and increased sidelobes, are discussed. The solution to the spherical hybrid-modes in a conical horn with arbitrary wall impedances is also derived. Hard (or almost hard) horns may be useful as elements in cluster feeds due to their reduced size or in high-resolution systems which require close horn spacing. ¬© 1988 IEEE</t>
  </si>
  <si>
    <t>1152-1157</t>
  </si>
  <si>
    <t>55884538900;7101988263</t>
  </si>
  <si>
    <t>Lier, Erik;Kildal, Per Simon</t>
  </si>
  <si>
    <t>Soft and Hard Horn Antennas</t>
  </si>
  <si>
    <t>10.1109/8.7229</t>
  </si>
  <si>
    <t>2-s2.0-0024057284</t>
  </si>
  <si>
    <t>['tensor permittivity', 'tensor permeability', 'significantly altered', 'polarized component', 'oblique incidence', 'farfield approximation', 'depolarized component']</t>
  </si>
  <si>
    <t>By considering the region between corrugations as a medium with tensor permeability and tensor permittivity, the boundary value problem of plane wave scattering by a corrugated conducting cylinder at oblique incidence is solved. Using the farfield approximation, it is shown that the bistatic scattering width due to the depolarized component can be significantly altered by filing the corrugations with a dielectric medium without having any effect on the scattering width due to the other polarized component. ¬© 1988 IEEE</t>
  </si>
  <si>
    <t>1184-1188</t>
  </si>
  <si>
    <t>Rao, Tenneti C.</t>
  </si>
  <si>
    <t>Lowell</t>
  </si>
  <si>
    <t>University of Massachusetts Lowell</t>
  </si>
  <si>
    <t>Rao T.C.</t>
  </si>
  <si>
    <t>Plane Wave Scattering by a Corrugated Conducting Cylinder at Oblique Incidence</t>
  </si>
  <si>
    <t>10.1109/8.7238</t>
  </si>
  <si>
    <t>2-s2.0-0024057286</t>
  </si>
  <si>
    <t>['surface waves']</t>
  </si>
  <si>
    <t>The A'-band microstrip slot antenna array is described as an attempt to achieve moderate bandwidth and overcome the problems of radiation from microstrip feed lines and surface waves in the dielectric. ¬© 1988 IEEE</t>
  </si>
  <si>
    <t>1144-1147</t>
  </si>
  <si>
    <t>115568456;60005681</t>
  </si>
  <si>
    <t>6507895736;6602727515</t>
  </si>
  <si>
    <t>Elazar, Gavriel;Kisliuk, M.</t>
  </si>
  <si>
    <t>Israel;Israel</t>
  </si>
  <si>
    <t>Tel Aviv-Yafo;Yehud</t>
  </si>
  <si>
    <t>Tel Aviv University;MBT</t>
  </si>
  <si>
    <t>60005681;115568456</t>
  </si>
  <si>
    <t>Elazar G.</t>
  </si>
  <si>
    <t>Microstrip Linear Slot Array Antenna for X'-Band</t>
  </si>
  <si>
    <t>10.1109/8.7227</t>
  </si>
  <si>
    <t>2-s2.0-0024057384</t>
  </si>
  <si>
    <t>['tangential components', 'presence destroys', 'planar nearfield', 'near field', 'major sources']</t>
  </si>
  <si>
    <t>Probe positioning errors are among the major sources of inaccuracy in the planar nearfield-farfield transformation technique, as their presence destroys the Fourier transform relationship between the tangential components of the near field and those of the plane-wave ¬© 1988 IEEE</t>
  </si>
  <si>
    <t>1167-1172</t>
  </si>
  <si>
    <t>60017293;60007061;60007061</t>
  </si>
  <si>
    <t>7006499276;7003330705;56963446400</t>
  </si>
  <si>
    <t>Bucci, Ovidio M.;Schirinzi, G.;Leone, G.</t>
  </si>
  <si>
    <t>Naples;Salerno</t>
  </si>
  <si>
    <t>Universit√† degli Studi di Napoli Federico II;Universit√† degli Studi di Salerno</t>
  </si>
  <si>
    <t>60017293;60007061</t>
  </si>
  <si>
    <t>A Compensation Technique for Positioning Errors in Planar Nearfield Measurements</t>
  </si>
  <si>
    <t>10.1109/8.7234</t>
  </si>
  <si>
    <t>2-s2.0-0024057660</t>
  </si>
  <si>
    <t>['urban area', 'space value', 'received power', 'places less', 'per meter', 'open areas', 'lamp height', 'detailed way', '910 mhz', '20 db']</t>
  </si>
  <si>
    <t>Measurements of propagation path loss at 910 MHz were made in an urban area (Ottawa, Canada), using transmissions from an antenna at street-lamp height (8.5 m) to a mobile receiving antenna at a height of 3.65 m. The received power was sampled about once per meter. On the same street as the transmitter, the received power was found to approximate the free-space value, with occasional 10 dB fades. On other streets, the signal was in most places less than the free-space value by 20 dB or more. The received power was found to depend in a detailed way on the distribution of buildings and the open areas between them. ¬© 1988 IEEE</t>
  </si>
  <si>
    <t>125-129</t>
  </si>
  <si>
    <t>Whitteker, James H.</t>
  </si>
  <si>
    <t>Communications Research Centre</t>
  </si>
  <si>
    <t>Whitteker J.</t>
  </si>
  <si>
    <t>Measurements of Path Loss at 910 MHz for Proposed Microcell Urban Mobile Systems</t>
  </si>
  <si>
    <t>10.1109/25.16538</t>
  </si>
  <si>
    <t>2-s2.0-0024062029</t>
  </si>
  <si>
    <t>['reflector antennas', 'radiation patterns', 'radiation field', 'properties make', 'observation point', 'model includes', 'model describes', 'horn aperture', 'general work', 'gaussian model', 'define aperture', 'beam width', 'also used']</t>
  </si>
  <si>
    <t>An analytical Gaussian beam model for the radiation field of a corrugated horn antenna is presented. The model describes how the beam width and the location of the phase center depend on the dimensions of the horn, and how they vary as a function of the distance from the horn aperture to the observation point. The model includes both the near-field and the far-field of the horn. These properties make the Gaussian feed model much better, for use in general work on reflector antennas, than the conventional cos**n theta pattern. The Gaussian model is also used to define aperture-controlled and flareangle controlled horns, depending on whether the radiation patterns are frequency-sensitive or not.</t>
  </si>
  <si>
    <t>237-240</t>
  </si>
  <si>
    <t>GAUSSIAN BEAM MODEL FOR APERTURE-CONTROLLED AND FLAREANGLE-CONTROLLED CORRUGATED HORN ANTENNAS.</t>
  </si>
  <si>
    <t>10.1049/ip-h-2.1988.0049</t>
  </si>
  <si>
    <t>2-s2.0-0024063722</t>
  </si>
  <si>
    <t>['typical problems', 'theoretical purposes', 'spurious responses', 'serious discrepancies', 'remote measurements', 'reflecting objects', 'radiating antenna', 'prior knowledge', 'experimental measurements', 'expected waveform', 'easily identified', 'detector malfunction', 'causes eliminated']</t>
  </si>
  <si>
    <t>It is useful to be able to predict both the E-field and monopole current time histories produced for a given pulse stimulating a radiating antenna, for both theoretical purposes and experimental measurements. Typical problems that arise in the remote measurements of E-fields and monopole currents involve background radiation and spurious responses from reflecting objects, as well as detector malfunction. With prior knowledge of the expected waveform, which can be obtained very quickly, serious discrepancies can be easily identified, and the causes eliminated or the time windows adjusted if required.</t>
  </si>
  <si>
    <t>231-236</t>
  </si>
  <si>
    <t>120569630;120569630</t>
  </si>
  <si>
    <t>7006281820;57205397510</t>
  </si>
  <si>
    <t>Parkes, D. M.;Smith, P. D.</t>
  </si>
  <si>
    <t>Malvern</t>
  </si>
  <si>
    <t>RSRE</t>
  </si>
  <si>
    <t>Parkes D.M.</t>
  </si>
  <si>
    <t>PRACTICAL METHOD OF PREDICTING TRANSIENT FIELDS AND MONOPOLE CURRENT WAVEFORMS.</t>
  </si>
  <si>
    <t>10.1049/ip-h-2.1988.0048</t>
  </si>
  <si>
    <t>2-s2.0-0024065927</t>
  </si>
  <si>
    <t>['riccati equation', 'phase constant', 'iterative procedure', 'coaxial cable', 'broadband design', 'accurate design']</t>
  </si>
  <si>
    <t>Based on the solution of the Riccati equation, a broadband design of a microstrip exponentially tapered transmission line for matching two real impedances is found. An iterative procedure is used to yield the phase constant, leading to an accurate design that is used to match a helix to a coaxial cable. A comparison of theoretical and experimental results shows excellent agreement.</t>
  </si>
  <si>
    <t>272-274</t>
  </si>
  <si>
    <t>60002874;60002874;60002874</t>
  </si>
  <si>
    <t>57213453102;56234502600;55547130349</t>
  </si>
  <si>
    <t>Mathur, S. P.;Sinha, A. K.;Sinha, A. K.</t>
  </si>
  <si>
    <t>New Delhi</t>
  </si>
  <si>
    <t>Delhi Technological University</t>
  </si>
  <si>
    <t>Mathur S.P.</t>
  </si>
  <si>
    <t>DESIGN OF MICROSTRIP EXPONENTIALLY TAPERED LINES TO MATCH HELICAL ANTENNAS TO STANDARD COAXIAL TRANSMISSION LINES.</t>
  </si>
  <si>
    <t>10.1049/ip-h-2.1988.0055</t>
  </si>
  <si>
    <t>2-s2.0-0024066017</t>
  </si>
  <si>
    <t>['synthesis technique', 'simultaneous multiparameter', 'required far', 'particular use', 'interactive iterative', 'field defined', 'constrained synthesis', 'array amplitude', 'also given']</t>
  </si>
  <si>
    <t>An interactive iterative-synthesis technique is presented, which is of particular use for far-field patterns defined in terms of power only. The method is applied in general to three-dimensional array configurations composed of different element types, with the required far-field defined over large angular regions. Suggestions for extending the method to near-field, simultaneous multiparameter or constrained synthesis are also given. The description of the method is presented for three different conditions, depending on whether both the array amplitude and the phase or just the amplitude or the phase are variable. Examples of the method, applied to various practical synthesis problems, and comparisons to other techniques are also given.</t>
  </si>
  <si>
    <t>241-248</t>
  </si>
  <si>
    <t>Guy, R. F.E.</t>
  </si>
  <si>
    <t>Farnborough</t>
  </si>
  <si>
    <t>BAE Systems plc</t>
  </si>
  <si>
    <t>Guy R.</t>
  </si>
  <si>
    <t>GENERAL RADIATION-PATTERN SYNTHESIS TECHNIQUE FOR ARRAY ANTENNAS OF ARBITRARY CONFIGURATION AND ELEMENT TYPE.</t>
  </si>
  <si>
    <t>10.1049/ip-h-2.1988.0050</t>
  </si>
  <si>
    <t>2-s2.0-0024067461</t>
  </si>
  <si>
    <t>['special case', 'sleeve monopole', 'sleeve ).', 'radiation pattern', 'point along', 'monopole driven', 'also found']</t>
  </si>
  <si>
    <t>A sleeve monopole is a conventional monopole antenna surrounded by a grounded metal tube (the sleeve). A relatively simple numerical method is presented for obtaining a Fourier series representation of the current on both the monopole and its sleeve. The impedance and radiation pattern are also found. No limitation is placed on the radius of the sleeve. A special case of the numerical procedure yields the current, impedance, and pattern for an ordinary (sleeveless) monopole driven at any point along its length. Theoretical results derived here for the sleeve monopole agree well with published experimental data.</t>
  </si>
  <si>
    <t>217-225</t>
  </si>
  <si>
    <t>Wunsch, A. D.</t>
  </si>
  <si>
    <t>Wunsch A.</t>
  </si>
  <si>
    <t>FOURIER SERIES TREATMENT OF THE SLEEVE MONOPOLE ANTENNA.</t>
  </si>
  <si>
    <t>10.1049/ip-h-2.1988.0046</t>
  </si>
  <si>
    <t>2-s2.0-0024067525</t>
  </si>
  <si>
    <t>['whose applicability', 'structures makes', 'spectral green', 'spectral domain', 'results appear', 'quite accurate', 'problem parameters', 'microstrip antennas', 'including effects', 'efficient way', 'convergence rates', 'conjugate gradient', 'conclusions pertaining', 'antenna problem']</t>
  </si>
  <si>
    <t>An analysis for Single-And double-layered microstrip antennas is described. The planarity of these structures makes it possible to construct a general spectral representation for any number of layers and to derive the spectral Green's dyad in a compact fashion using a transmission line analogy. A formulation of the antenna problem in the spectral domain, incorporating this dyad, is coupled with the conjugate gradient (CG) algorithm, whose applicability as an efficient way of analyzing a number of microstrip antennas is studied. Results appear to be quite accurate. Conclusions pertaining to the applicability of the method, including effects of problem parameters on convergence rates, are drawn. ¬© 1988 IEEE</t>
  </si>
  <si>
    <t>1204-1212</t>
  </si>
  <si>
    <t>60026340;60005681;60026340</t>
  </si>
  <si>
    <t>7004638528;7004468199;6602172989</t>
  </si>
  <si>
    <t>Kastner, Raphael;Heyman, Ehud;Sabban, Albert</t>
  </si>
  <si>
    <t>Haifa;Tel Aviv-Yafo</t>
  </si>
  <si>
    <t>RAFAEL Armament Development Authority Ltd.;Tel Aviv University</t>
  </si>
  <si>
    <t>60026340;60005681</t>
  </si>
  <si>
    <t>Kastner R.</t>
  </si>
  <si>
    <t>Spectral Domain Iterative Analysis of Single-And Double-Layered Microstrip Antennas Using the Conjugate Gradient Algorithm</t>
  </si>
  <si>
    <t>10.1109/8.8596</t>
  </si>
  <si>
    <t>2-s2.0-0024067878</t>
  </si>
  <si>
    <t>['wave mechanism', 'wave antennas', 'two leaky', 'simple expression', 'nonradiative dielectric', 'certain assumptions']</t>
  </si>
  <si>
    <t>A leaky-wave mechanism in a nonradiative dielectric (NRD) waveguide is described. A simple expression for the amount of coupling from the guide is derived under certain assumptions. The theoretical coupling values are verified by measurement, and the design, construction, and performance of two leaky-wave antennas are described. ¬© 1988 IEEE</t>
  </si>
  <si>
    <t>1231-1235</t>
  </si>
  <si>
    <t>Malherbe, Johannes A.G.</t>
  </si>
  <si>
    <t>Malherbe J.A.G.</t>
  </si>
  <si>
    <t>A Leaky-Wave Antenna in Nonradiative Dielectric Waveguide</t>
  </si>
  <si>
    <t>10.1109/8.8601</t>
  </si>
  <si>
    <t>2-s2.0-0024067879</t>
  </si>
  <si>
    <t>['wire antenna', 'nonvertical monopoles', 'moment method', 'mm ).', 'input impedance', 'fourier series', 'exact kernel', 'current distribution', 'conical bodies', 'conducting body', 'arbitrary geometry', 'also compared']</t>
  </si>
  <si>
    <t>The input impedance of wire antennas attached on-axis to a conducting body of revolution (BOR) of arbitrary geometry is calculated by the moment method (MM). The study of the wire antenna is carried out using integral equations of both reduced and exact kernel. The analysis of the BOR takes advantage of the symmetry of revolution that allows the expansion of the current in Fourier series. Results for current distribution and input impedance are obtained for several structures like vertical and nonvertical monopoles over circular ground planes and conical bodies. Measurements of impedance are presented to check numerical results. These are also compared with results of other methods. ¬© 1988 IEEE</t>
  </si>
  <si>
    <t>1236-1243</t>
  </si>
  <si>
    <t>115552242;60028442</t>
  </si>
  <si>
    <t>6507167640;57220192155</t>
  </si>
  <si>
    <t>P√âRez-Leal, Raquel;C√ÅTedra, Manuel F.</t>
  </si>
  <si>
    <t>Spain;Spain</t>
  </si>
  <si>
    <t>Madrid;Madrid</t>
  </si>
  <si>
    <t>Universidad Polit√©cnica de Madrid;Dpto de Investigation y Desarrollo</t>
  </si>
  <si>
    <t>60028442;115552242</t>
  </si>
  <si>
    <t>P√âRez-Leal R.</t>
  </si>
  <si>
    <t>Input Impedance of Wire Antennas Attached On-Axis to Conducting Bodies of Revolution</t>
  </si>
  <si>
    <t>10.1109/8.8602</t>
  </si>
  <si>
    <t>2-s2.0-0024067932</t>
  </si>
  <si>
    <t>['standard 22', 'space administration', 'significant loss', 'significant degradation', 'phase center', 'novel technique', 'national aeronautics', 'major characteristics', 'feed horn', 'feed born']</t>
  </si>
  <si>
    <t>A novel technique is used to move the phase center of a corrugated feed horn without any significant degradation in its other major characteristics. Based on this technique, an X-band feed horn has been designed for use in the National Aeronautics and Space Administration's (NASA) 70-m antennas. The feed horn is a compound taper structure consisting of a conventional corrugated flared section (a standard 22-dB feed horn) and a corrugated straight section (here called stovepipe). This feed born is designed to move the phase center of the standard feed horn to a desired location without the addition of significant loss to the system. The use of an existing feed horn and the ease of manufacturing the stovepipe have resulted in major cost savings. ¬© 1988 IEEE</t>
  </si>
  <si>
    <t>1213-1216</t>
  </si>
  <si>
    <t>60025209;60009037</t>
  </si>
  <si>
    <t>6603851109;6507372997</t>
  </si>
  <si>
    <t>Manshadi, Farzin;Hartop, Rob</t>
  </si>
  <si>
    <t>Los Angeles;Pasadena</t>
  </si>
  <si>
    <t>Northrop Grumman corporation;Jet Propulsion Laboratory</t>
  </si>
  <si>
    <t>Manshadi F.</t>
  </si>
  <si>
    <t>Compound-Taper Feed Horn for NASA 70-m Antennas</t>
  </si>
  <si>
    <t>10.1109/8.8597</t>
  </si>
  <si>
    <t>2-s2.0-0024067961</t>
  </si>
  <si>
    <t>['surface aperture', 'radiation fields', 'presented together', 'numerical patterns', 'flare angles', 'experimental results', 'experimental patterns', 'cone length', 'beamwidth increases', 'beamwidth decreases', 'antenna axis', '75 ¬∞,']</t>
  </si>
  <si>
    <t>To obtain the radiation fields of finite biconical horn antennas, the field of an equivalent Huygens source on the spherical-surface aperture and the field of an infinite biconical horn antenna with spherical transverse electromagnetic (TEM) waves are obtained. First, for the symmetrical biconical horn antenna of ka = 1.57 and 3.14 (a = cone length) with equal flare angle, numerical patterns are presented together with experimental results. Curves of the beamwidth versus cone length are presented for various flare angles. At flare angles above about 75¬∞, the beamwidth increases with the cone length, while at flare angles below about 75¬∞, the beamwidth decreases with the cone length in this region of ka. Next, for the asymmetrical biconical horn antenna, with two different flare angles (including a conical coaxial type and a discone type), the numerical and the experimental patterns are presented. For the asymmetrical biconical horn antenna, the pattern main lobe direction, with respect to the antenna axis, may be adjusted by using suitable flare angles. ¬© 1988 IEEE</t>
  </si>
  <si>
    <t>1306-1310</t>
  </si>
  <si>
    <t>60002561;60002561</t>
  </si>
  <si>
    <t>7202171465;6602716743</t>
  </si>
  <si>
    <t>Nagasawa, Koji;Matsuzuka, Isamu</t>
  </si>
  <si>
    <t>Nihon University</t>
  </si>
  <si>
    <t>Nagasawa K.</t>
  </si>
  <si>
    <t>Radiation Field Consideration of Biconical Horn Antenna with Different Flare Angles</t>
  </si>
  <si>
    <t>10.1109/8.8608</t>
  </si>
  <si>
    <t>2-s2.0-0024068018</t>
  </si>
  <si>
    <t>['weakly dependent', 'results obtained', 'rectangular waveguide', 'mode approximation', 'modal solution', 'conducting cylinder', 'arbitrary angle', 'aperture orientation', 'admittance presented']</t>
  </si>
  <si>
    <t>Theory and experiment are compared for the admittance presented to a rectangular waveguide which terminates at an arbitrary angle in the surface of a conducting cylinder. Results obtained by a single-mode approximation from both the modal solution and an alternative asymptotic solution demonstrate good agreement with experiment. The admittance is shown to be weakly dependent on aperture orientation for moderately large cylinders. ¬© 1988 IEEE</t>
  </si>
  <si>
    <t>1217-1220</t>
  </si>
  <si>
    <t>Bird, Trevor S.</t>
  </si>
  <si>
    <t>Melbourne</t>
  </si>
  <si>
    <t>Commonwealth Scientific and Industrial Research Organization</t>
  </si>
  <si>
    <t>Bird T.S.</t>
  </si>
  <si>
    <t>Admittance of Rectangular Waveguide Radiating from a Conducting Cylinder</t>
  </si>
  <si>
    <t>10.1109/8.8598</t>
  </si>
  <si>
    <t>2-s2.0-0024068050</t>
  </si>
  <si>
    <t>['wave waveguides', 'theoretical prediction', 'surface impedance', 'good efficiency', 'field analysis', 'effect suggests', 'considerable change', 'antenna efficiency', 'actual slots', '50 percent', '4 ghz']</t>
  </si>
  <si>
    <t>Coupling between slots and slow-wave waveguides in a radial line slot antenna (RLSA) is discussed. Field analysis of the waveguide with a surface impedance wall reveals a considerable change in the propagation constant due to coupling. Experiments are performed to confirm these results and to obtain the surface impedance for actual slots. The change in the propagation constant causes the antenna efficiency to exhibit its maxima at two separated frequencies. A good efficiency of 60 and 50 percent has been measured at 11.6 and 12.4 GHz, respectively, and confirms a theoretical prediction. This effect suggests the possibility of broadband planar antennas. ¬© 1988 IEEE</t>
  </si>
  <si>
    <t>1221-1226</t>
  </si>
  <si>
    <t>60031126;60031126;60031126;60031126;60031126</t>
  </si>
  <si>
    <t>6506428566;7201844599;7402174027;35495699200;7201747933</t>
  </si>
  <si>
    <t>Sasazawa, Hideo;Oshima, Yasuhide;Sakurai, Kimio;Ando, Makoto;Goto, Naohisa</t>
  </si>
  <si>
    <t>Sasazawa H.</t>
  </si>
  <si>
    <t>Slot Coupling in a Radial Line Slot Antenna for 12-GHz Band Satellite TV Reception</t>
  </si>
  <si>
    <t>10.1109/8.8599</t>
  </si>
  <si>
    <t>2-s2.0-0024068051</t>
  </si>
  <si>
    <t>['simulation examples', 'real world', 'proposed approach', 'physical meaning', 'decision criterion']</t>
  </si>
  <si>
    <t>The ideal point source (or target) does not exist in the real world. However, it is needed in both theory and practice. An approach and a decision criterion are provided to evaluate the ‚Äúpointness‚Äù of a source, and a simple test procedure is derived. The physical meaning of this procedure is described, and the proposed approach is demonstrated by simulation examples. ¬© 1988 IEEE</t>
  </si>
  <si>
    <t>1332-1335</t>
  </si>
  <si>
    <t>60006297;60006297</t>
  </si>
  <si>
    <t>7201362743;6603267176</t>
  </si>
  <si>
    <t>Lei, Tianhu;Dorny, C. Nelson</t>
  </si>
  <si>
    <t>University of Pennsylvania</t>
  </si>
  <si>
    <t>Lei T.</t>
  </si>
  <si>
    <t>A Novel Method for Recognition of Point Sources</t>
  </si>
  <si>
    <t>10.1109/8.8614</t>
  </si>
  <si>
    <t>2-s2.0-0024068137</t>
  </si>
  <si>
    <t>2261/83</t>
  </si>
  <si>
    <t>['uniqueness theorem', 'solved using', 'sie formulation', 'rod antennas', 'radiation patterns', 'moment method', 'integral equations', 'excellent agreement', 'calculated values']</t>
  </si>
  <si>
    <t>A system of integral equations (SIE) based on the uniqueness theorem that uses only electric equivalent currents (EEC) is formulated to analyze problems composed of conductors and dielectrics. This SIE is solved using the moment method (MM) in its formulation for bodies of revolution (BOR) for several short dielectric-rod antennas. Radiation patterns have been considered to test the SIE formulation and excellent agreement between measurements and calculated values has been obtained. ¬© 1988 IEEE</t>
  </si>
  <si>
    <t>1311-1313</t>
  </si>
  <si>
    <t>Catedra, Manuel F.</t>
  </si>
  <si>
    <t>Madrid</t>
  </si>
  <si>
    <t>Universidad Polit√©cnica de Madrid</t>
  </si>
  <si>
    <t>Catedra M.F.</t>
  </si>
  <si>
    <t>Analysis of Bodies of Revolution Composed of Conductors and Dielectrics Using Only Electric Equivalent Currents: Application to Small Horns with Dielectric Core</t>
  </si>
  <si>
    <t>10.1109/8.8609</t>
  </si>
  <si>
    <t>2-s2.0-0024068165</t>
  </si>
  <si>
    <t>['spherical coordinates', 'polarization levels', 'polarization level', 'microstrip hed', 'low cross', 'linear array', 'inherent limitations', 'hed perpendicular', 'hed along', 'field expressions', 'directed toward', 'array direction']</t>
  </si>
  <si>
    <t>The cross-polarization level, inherent in radiation from a small horizontal electric dipole (HED) on a flat grounded dielectric substrate, is investigated in detail. The study is directed toward the design of a very low cross-polarization level in a linear array of microstrip antenna elements. Field expressions for a microstrip HED are derived in spherical coordinates with respect to the array direction. In particular, two important cases, namely, an HED along the array direction (i.e., parallel polarization) and an HED perpendicular to array direction (i.e., perpendicular polarization) are investigated. Extensive numerical examples for the cross-polarization levels are given. It is shown that, in general, there are inherent limitations in achieving very low cross-polarization levels. ¬© 1988 IEEE</t>
  </si>
  <si>
    <t>1197-1203</t>
  </si>
  <si>
    <t>60000221;60000221;60000221</t>
  </si>
  <si>
    <t>7004169306;7402592343;7403319959</t>
  </si>
  <si>
    <t>Hoorfar, Ahmad;Gupta, Kuldip C.;Chang, David C.</t>
  </si>
  <si>
    <t>Boulder</t>
  </si>
  <si>
    <t>University of Colorado Boulder</t>
  </si>
  <si>
    <t>Hoorfar A.</t>
  </si>
  <si>
    <t>Cross-Polarization Level in Radiation from a Microstrip Dipole Antenna</t>
  </si>
  <si>
    <t>10.1109/8.8595</t>
  </si>
  <si>
    <t>2-s2.0-0024068331</t>
  </si>
  <si>
    <t>['transverse magnetic', 'solved using', 'slotted parallel', 'plate waveguide', 'numerical integration', 'moment method', 'integral equation', 'functional form']</t>
  </si>
  <si>
    <t>An integral equation for the slot electric field in transverse magnetic (TM) scattering and radiation by a slotted parallel-plate waveguide is solved using the moment method. By employing piecewise sinusoidal functions for expansion and testing in the moment method technique, a generalized admittance matrix associated with the slot is obtained in functional form as opposed to numerical integration. ¬© 1988 IEEE</t>
  </si>
  <si>
    <t>1227-1230</t>
  </si>
  <si>
    <t>Chuang, C. W.</t>
  </si>
  <si>
    <t>Chuang C.W.</t>
  </si>
  <si>
    <t>Generalized Admittance Matrix for a Slotted Parallel-Plate Waveguide</t>
  </si>
  <si>
    <t>10.1109/8.8600</t>
  </si>
  <si>
    <t>2-s2.0-0024068542</t>
  </si>
  <si>
    <t>ECS 87000 1</t>
  </si>
  <si>
    <t>['typical volume', 'thermal model', 'spatially limited', 'simulated using', 'section array', 'scanning properties', 'scanned field', 'pelvic regions', 'new phased', 'longitudinal directions', 'grating lobes', 'characteristic focus', 'body portals', 'array consists', 'array configuration']</t>
  </si>
  <si>
    <t>A new phased-array applicator geometry for deep localized hyperthermia is presented. The array consists of rectangular transducer elements forming a section of a cylinder that conforms to the body portals in the abdominal and pelvic regions. Focusing and scanning properties of the cylindrical-section array are investigated in homogeneous lossy media using appropriate computer simulations. The characteristic focus of this array is shown to be spatially limited in both transverse and longitudinal directions with intensity gain values suitable for deep hyperthermia applications. The ability of the cylindrical-section phased array to generate multiple foci using the field conjugation method is examined. The effect of the grating lobes on the power deposition pattern of the scanned field is shown to be minimal. Steadystate temperature distributions are simulated using a three-dimensional (3-D) thermal model of the normal tissue layers surrounding a tumor of typical volume. Finally, the advantages and the limitations of this array configuration are discussed. ¬© 1988 IEEE</t>
  </si>
  <si>
    <t>561-572</t>
  </si>
  <si>
    <t>IEEE Transactions on Ultrasonics, Ferroelectrics, and Frequency Control</t>
  </si>
  <si>
    <t>60000745;60000745;60000745;60000745</t>
  </si>
  <si>
    <t>7005935683;7202896836;6701651109;7103033158</t>
  </si>
  <si>
    <t>Ebbini, Emad S.;Umemura, Shin Ichiro;Ibbini, Mohammed;Cain, Charles A.</t>
  </si>
  <si>
    <t>Ebbini E.S.</t>
  </si>
  <si>
    <t>A Cylindrical-Section Ultrasound Phased-Array Applicator for Hyperthermia Cancer Therapy</t>
  </si>
  <si>
    <t>10.1109/58.8034</t>
  </si>
  <si>
    <t>2-s2.0-0024068735</t>
  </si>
  <si>
    <t>['wave code', 'two types', 'relevant experiments', 'might contribute', 'indeed exceeded', 'first type', 'electric fields', 'edge plasma']</t>
  </si>
  <si>
    <t>Two types of parametric decay instabilities were observed in the scrape-off layer of ASDEX during hydrogen second harmonic heating, in a single as well as in a two ion species plasma. The first type was identified as decay into an ion Bernstein wave and an ion cyclotron quasi-mode, and the second as decay into an ion Bernstein wave and a low frequency electron quasi-mode. The parametric decay processes are due to the high electric fields near the fast wave antennas. Theoretical growth rate calculations predict a threshold for the electric fields near the antennas. In the relevant experiments the electric fields, estimated from a full-wave code, indeed exceeded the thresholds. These parametric decay processes, as well as the harmonics of the generator frequency also seen in the scrape-off layer, provide a mechanism that might contribute to the observed direct energy deposition in the edge plasma and to ICRF induced impurity production. ¬© 1988 IOP Publishing Ltd.</t>
  </si>
  <si>
    <t>1603-1609</t>
  </si>
  <si>
    <t>60004280;60004280;60026838;60026838;60026838;60022195</t>
  </si>
  <si>
    <t>6602572553;7006718297;7003267283;7005473290;6603938100;7006050699</t>
  </si>
  <si>
    <t>Van Nieuwenhove, R.;Van Oost, G.;Noterdaeme, J. M.;Brambilla, M.;Gernhardt, J.;Porkolab, M.</t>
  </si>
  <si>
    <t>Germany;United States;Belgium</t>
  </si>
  <si>
    <t>Garching bei Munchen;Cambridge;Brussels</t>
  </si>
  <si>
    <t>Max Planck Institute for Plasma Physics;Massachusetts Institute of Technology;Koninklijke Militaire School - Ecole Royale Militaire</t>
  </si>
  <si>
    <t>60026838;60022195;60004280</t>
  </si>
  <si>
    <t>Van Nieuwenhove R.</t>
  </si>
  <si>
    <t>Parametric decay in the edge plasma of ASDEX during fast wave heating in the ion cyclotron frequency range</t>
  </si>
  <si>
    <t>10.1088/0029-5515/28/9/009</t>
  </si>
  <si>
    <t>2-s2.0-0024069046</t>
  </si>
  <si>
    <t>['weathered granodiorite', 'theoretical calculations', 'measurements traversing', 'input impedance', 'impedance measurements', 'antenna input']</t>
  </si>
  <si>
    <t>Calculations and measurements of the input impedance of horizontal dipole antennas close to the Earth have been carried out, and the results have been compared with those of other workers. Antenna impedance measurements over both very highly and very poorly conducting ground planes were found to be consistent with theoretical calculations. Finally, a series of measurements traversing an interface between basalt and weathered granodiorite, both covered with soil, indicated that antenna input-impedance measurements can be useful for geological field surveys.</t>
  </si>
  <si>
    <t>818-823</t>
  </si>
  <si>
    <t>Sep</t>
  </si>
  <si>
    <t>60019870;60019870</t>
  </si>
  <si>
    <t>56914765300;7003771490</t>
  </si>
  <si>
    <t>Nicol, J. L.;Ridd, P. V.</t>
  </si>
  <si>
    <t>Townsville</t>
  </si>
  <si>
    <t>James Cook University</t>
  </si>
  <si>
    <t>Nicol J.</t>
  </si>
  <si>
    <t>Antenna input impedance: Experimental confirmation and geological application</t>
  </si>
  <si>
    <t>10.1139/p88-134</t>
  </si>
  <si>
    <t>2-s2.0-0024069124</t>
  </si>
  <si>
    <t>['real aperture', 'radio astronomy', 'preliminary design', 'performance characterization', 'noise floor', 'interferometric array', 'geoscience application', 'fundamental differences', 'entire field', 'brightness temperature', 'attractive alternative', 'appropriate configuration', 'antenna main', 'antenna elements', 'also presented']</t>
  </si>
  <si>
    <t>Interferometric aperture synthesis is presented as an alternative to real aperture mesurements of the earth's brightness temperature from low earth orbit. Real apertures become unpractically large as the spatial resolution requirements from space at microwave frequencies increase. Image synthesis techniques developed for radio astronomy that utilize the interference pattern formed by cross-correlating a pair of spatially separated antenna elements offer an attractive alternative to the real aperture. Fundamental differences in the requirements of an earth viewing microwave sensor from those of a radio telescope present new engineering challenges when using the techniques of radio astronomy in a geoscience application. In particular, the brightness temperature distribution of an earth remote sensor typically fills the entire field of view of the individual antenna elements, whereas the flux density incident on a radio telescope antenna often originates from a relatively small percentage of the antenna main-beam. The relationship between the brightness temperature distribution under observation and the noise floor on the image of that distribution which results from interferometric aperture synthesis is developed. Resulting antenna design considerations concerning the appropriate configuration of antenna elements in an interferometric array are derived. A preliminary design and performance characterization of a 1.4-GHz interferometric radiometer that is presently under construction is also presented. ¬© 1988 IEEE</t>
  </si>
  <si>
    <t>597-611</t>
  </si>
  <si>
    <t>60014313;60014313;60014313;60006337</t>
  </si>
  <si>
    <t>7004931900;7101802161;7103174511;7005621665</t>
  </si>
  <si>
    <t>Ruf, Christopher S.;Swift, Calvin T.;Tanner, Alan B.;Le Vine, David M.</t>
  </si>
  <si>
    <t>Amherst MA;Greenbelt</t>
  </si>
  <si>
    <t>University of Massachusetts Amherst;NASA Goddard Space Flight Center</t>
  </si>
  <si>
    <t>60014313;60006337</t>
  </si>
  <si>
    <t>Ruf C.</t>
  </si>
  <si>
    <t>Interferometric Synthetic Aperture Microwave Radiometry for the Remote Sensing of the Earth</t>
  </si>
  <si>
    <t>10.1109/36.7685</t>
  </si>
  <si>
    <t>2-s2.0-0024070948</t>
  </si>
  <si>
    <t>['¬© 1988', 'rights reserved', 'electrical engineers']</t>
  </si>
  <si>
    <t>Antennas | Reflector antennas</t>
  </si>
  <si>
    <t>A single data set phase retrieval algorithm applied to a complex data set improves corrupted phase data and provides an antenna metrology result commensurate with the accuracy of the amplitude. ¬© 1988, The Institution of Electrical Engineers. All rights reserved.</t>
  </si>
  <si>
    <t>1243-1244</t>
  </si>
  <si>
    <t>60001881;60001881;60001881</t>
  </si>
  <si>
    <t>7403369332;7202404090;6603451186</t>
  </si>
  <si>
    <t>Anderson, A. P.;Mccormack, J. E.M.;Junkin, G.</t>
  </si>
  <si>
    <t>Anderson A.</t>
  </si>
  <si>
    <t>Phase retrieval enhancement of antenna metrology data</t>
  </si>
  <si>
    <t>10.1049/el:19880846</t>
  </si>
  <si>
    <t>2-s2.0-0024071245</t>
  </si>
  <si>
    <t>['transmission modes', 'radiation patterns', 'noticeable effect', 'metallic surfaces', 'flat surfaces', 'experimental study', 'edge profile', 'computer model']</t>
  </si>
  <si>
    <t>A computer model has been developed in parallel with an experimental study to determine the performance of two offset frequency selective subreflectors, consisting of arrays of concentric rings laid on ABS and expanded polystyrene formers. Radiation patterns in the reflection and transmission modes are compared with those for flat surfaces with the same edge profile, and in reflection with metallic surfaces. The curvature of the subreflectors was small, but still had a noticeable effect on the linear crosspolar patterns in transmission.</t>
  </si>
  <si>
    <t>284-290</t>
  </si>
  <si>
    <t>Sep-Dec</t>
  </si>
  <si>
    <t>60010818;60010818;60010818;60010818</t>
  </si>
  <si>
    <t>57206216732;55582327600;35562114200;7201840709</t>
  </si>
  <si>
    <t>Mok, T. S.;Allam, A. M.M.A.;Vardaxoglou, J. C.;Parker, E. A.</t>
  </si>
  <si>
    <t>Canterbury</t>
  </si>
  <si>
    <t>University of Kent</t>
  </si>
  <si>
    <t>Mok T.</t>
  </si>
  <si>
    <t>Curved and plane frequency selective surfaces: A study of two offset subreflectors</t>
  </si>
  <si>
    <t>10.1049/jiere.1988.0071</t>
  </si>
  <si>
    <t>2-s2.0-0024071359</t>
  </si>
  <si>
    <t>36-42</t>
  </si>
  <si>
    <t>57198296245;55424903600</t>
  </si>
  <si>
    <t>Mcbride, Alan L.;Cook, Christopher V.</t>
  </si>
  <si>
    <t>Mcbride A.</t>
  </si>
  <si>
    <t>Vsat Maintenance And Installation</t>
  </si>
  <si>
    <t>10.1109/35.7658</t>
  </si>
  <si>
    <t>2-s2.0-0024071512</t>
  </si>
  <si>
    <t>6603561155;7407078805</t>
  </si>
  <si>
    <t>Naderi, F. Michael;Wu, William W.</t>
  </si>
  <si>
    <t>Naderi F.M.</t>
  </si>
  <si>
    <t>Advanced Satellite Concepts For Future Generation Vsat Networks</t>
  </si>
  <si>
    <t>10.1109/35.7656</t>
  </si>
  <si>
    <t>2-s2.0-0024071730</t>
  </si>
  <si>
    <t>Center for Innovative Technology</t>
  </si>
  <si>
    <t>CIT</t>
  </si>
  <si>
    <t>['simple amplification', 'relatively uniform', 'recent interest', 'output voltage', 'miniature e', 'microwave components', 'field probes', 'field probe', 'field measurements', 'experimentally verified', 'emp studies', 'comparing results', 'calibration techniques', 'calibration technique', 'calibration accuracy', 'anechoic chamber', 'amplification system']</t>
  </si>
  <si>
    <t>-Recent interest in miniature E-field probes for field measurements in microwave components and EMP studies has led to the need for simple amplification and calibration techniques. Here, the amplification and signal conditioning system for a miniature nonperturbing RF E-field probe is described. Further, a simple calibration procedure using an X-band slotted waveguide is presented. Unlike conventional techniques requiring antenna measurements in an anechoic chamber, it requires less power and space. Measurement results demonstrate 1) relatively small field perturbation due to the probe and 2) a region in the waveguide where the field is relatively uniform and suitable for calibration. Calibration accuracy is further established by comparing results with those obtained via antenna measurements in an anechoic chamber. To establish the calibration technique, the probe-amplification system is analyzed, leading to a gain equation relating the output voltage and measured field intensity, which is experimentally verified. ¬© 1988 IEEE</t>
  </si>
  <si>
    <t>434-438</t>
  </si>
  <si>
    <t>60021918;60021918;60021918;60021918</t>
  </si>
  <si>
    <t>7403178904;7003735231;6508185637;7003331685</t>
  </si>
  <si>
    <t>Ng, K. T.;Batchman, T. E.;Pavlica, Steve;Veasey, D. L.</t>
  </si>
  <si>
    <t>Charlottesville</t>
  </si>
  <si>
    <t>University of Virginia</t>
  </si>
  <si>
    <t>Amplification and Calibration for Miniature E-Field Probes</t>
  </si>
  <si>
    <t>10.1109/19.7470</t>
  </si>
  <si>
    <t>2-s2.0-0024071884</t>
  </si>
  <si>
    <t>['‚ äúpower', 'signal reception', 'side signal', 'reduce co', 'radiation problems', 'new types', 'mono receivers', 'effective fidelity', 'earliest days', 'center tune', 'carrier frequency', 'allows listeners']</t>
  </si>
  <si>
    <t>The Independent Sideband system of AM Stereo can, by use of special audio processing, significantly improve mono reception. The resulting transmitted signal, called a ‚ÄúPOWER-side‚Äù signal, allows listeners to ‚Äúsideband tune‚Äù with new types of mono receivers so as to reduce co and adjacent channel interference, improve the effective fidelity of the AM receiver, and make the receiver's tuning significantly less critical. Furthermore, due to the inequality of low frequency sideband components, the system reduces selective fading, antenna null distortion and re-radiation problems when the POWER-side signal is received by both ‚Äúsideband tuned‚Äù mono receivers as well as digitally tuned stereo and mono receivers which center tune to the carrier frequency. Most importantly, this type of wave substantially reduces co-channel ‚Äúbeating‚Äù effects that have, since the earliest days of broadcasting, plagued AM signal reception. ¬© 1988 IEEE</t>
  </si>
  <si>
    <t>407-420</t>
  </si>
  <si>
    <t>Kahn, Leonard R.</t>
  </si>
  <si>
    <t>Kahn L.R.</t>
  </si>
  <si>
    <t>Power-side‚Ñ¢</t>
  </si>
  <si>
    <t>10.1109/11.7313</t>
  </si>
  <si>
    <t>2-s2.0-0024071974</t>
  </si>
  <si>
    <t>['ww bound', 'snr ),', 'simulations show', 'possible existence', 'noise ratio', 'music algorithm', 'higher snr', 'high signal', 'classical beamforming', 'bound predicts']</t>
  </si>
  <si>
    <t>In this correspondence, we apply the Weiss-Weinstein (WW) bound to an 8 x 8 element, uniform array antenna, for a single source impinging on the array. We evaluate the WW bound for this problem, and compare it to simulations of the MUSIC algorithm and Classical Beamforming. The simulations show that for high signal-to-noise ratio (SNR), the WW bound is met by both algorithms; however, the threshold for MUSIC and Classical Beamforming occurs at a higher SNR than the bound predicts. This suggests the possible existence of other spectrum estimation algorithms with much lower thresholds than those currently used today. ¬© 1988 IEEE</t>
  </si>
  <si>
    <t>1533-1534</t>
  </si>
  <si>
    <t>60031828;60031828</t>
  </si>
  <si>
    <t>7103256004;7101764513</t>
  </si>
  <si>
    <t>Nohara, T. J.;Haykin, S.</t>
  </si>
  <si>
    <t>Hamilton</t>
  </si>
  <si>
    <t>McMaster University</t>
  </si>
  <si>
    <t>Nohara T.J.</t>
  </si>
  <si>
    <t>Application of the Weiss-Weinstein Bound to a Two-Dimensional Antenna Array</t>
  </si>
  <si>
    <t>10.1109/29.90386</t>
  </si>
  <si>
    <t>2-s2.0-0024072048</t>
  </si>
  <si>
    <t>['year 2005', 'policy indicates', 'omega program', 'including antennas', 'deliberations leading', 'current activity', 'continuing operations', 'capital investment', 'biennial updates', '1988 institute']</t>
  </si>
  <si>
    <t>Much of the current activity in the Omega program is in support of U.S. policy statements contained in the 1986 Federal Radionavigation Plan. The policy indicates we should plan on continuing operations until at least the year 2005. This calls for an examination of which system elements may need a capital investment for service life extension. We have begun necessary studies and can report preliminary results. Transmitting station equipments, including antennas, are being considered for redesign or replacement. Investigations also involve system monitors, system control software, and system propagation corrections. The studies will continue for the next few years and contribute to deliberations leading to biennial updates to the Federal Radionavigation Plan. 1988 Institute of Navigation</t>
  </si>
  <si>
    <t>309-315</t>
  </si>
  <si>
    <t>Navigation</t>
  </si>
  <si>
    <t>Fall 1988</t>
  </si>
  <si>
    <t>WENZEL, ROBERT J.</t>
  </si>
  <si>
    <t>Alexandria</t>
  </si>
  <si>
    <t>USCG</t>
  </si>
  <si>
    <t>WENZEL R.</t>
  </si>
  <si>
    <t>Omega Navigation System‚ÄîA Status Report</t>
  </si>
  <si>
    <t>10.1002/j.2161-4296.1988.tb00960.x</t>
  </si>
  <si>
    <t>2-s2.0-0024072179</t>
  </si>
  <si>
    <t>['possible cases', 'input impedance', 'including image', 'ground connection', 'feeding terminal', 'dimensions dealt', 'antenna one']</t>
  </si>
  <si>
    <t>Small, essentially vertical antennas over a highly-conducting ground plane are studied both experimentally and theoretically. The range of dimensions dealt with (including image) is between one-sixth and one-third of a wavelength. Of all possible cases, those studied are limited to configurations with no ground connection other than at the feeding terminal. It is found that by adding extra wires to the basic 'inverted-L' antenna one can increase both the input impedance and the bandwidth.</t>
  </si>
  <si>
    <t>266-274</t>
  </si>
  <si>
    <t>Virani, H. R.</t>
  </si>
  <si>
    <t>Virani &amp; Associates</t>
  </si>
  <si>
    <t>Virani H.</t>
  </si>
  <si>
    <t>Electrically small antennas</t>
  </si>
  <si>
    <t>10.1049/jiere.1988.0068</t>
  </si>
  <si>
    <t>2-s2.0-0024072207</t>
  </si>
  <si>
    <t>['¬© 1988', 'triangular cells', 'successfully used', 'rights reserved', 'rectangular patches', 'paper deals', 'measurements obtained', 'flexible technique', 'electrical engineers', 'cell couples']</t>
  </si>
  <si>
    <t>The paper deals with the analysis of arbitrarily shaped microstrip antennas. A powerful and flexible technique is obtained by combining a mixed potential integral equation, successfully used for rectangular patches, with a method of moments, using a division of the patch into triangular cells and overlapping basis functions, defined over cell couples. The resulting computer algorithm is validated by comparing its predictions with the measurements obtained from an equilateral triangular patch. ¬© 1988, The Institution of Electrical Engineers. All rights reserved.</t>
  </si>
  <si>
    <t>1214-1215</t>
  </si>
  <si>
    <t>118839149;60028186;118839722</t>
  </si>
  <si>
    <t>57194907319;7006665188;7003385210</t>
  </si>
  <si>
    <t>Cnet, P. Pichon;Mosig, J.;Papiernik, A.</t>
  </si>
  <si>
    <t>Lausanne;Nice;</t>
  </si>
  <si>
    <t>Swiss Federal Institute of Technology Lausanne;Laboratoire d'√®lectronique GRECO Microantennes du CNRS Universit√®;Fort de la T√™te de Chien</t>
  </si>
  <si>
    <t>60028186;118839722;118839149</t>
  </si>
  <si>
    <t>Cnet P.P.</t>
  </si>
  <si>
    <t>Input impedance of arbitrarily shaped microstrip antennas</t>
  </si>
  <si>
    <t>10.1049/el:19880825</t>
  </si>
  <si>
    <t>2-s2.0-0024072790</t>
  </si>
  <si>
    <t>['experimental procedure', 'corner reflector', 'band cross', 'aperture dimension']</t>
  </si>
  <si>
    <t>A X-band cross-polarized SAR image taken from an aircraft has been calibrated using 45¬∞-inclined dihedral corner reflectors with an aperture dimension of 15 cm x 25 cm. The experimental procedure, the characteristics of the corner reflector, and the result of the experiment are described. ¬© 1988 IEEE</t>
  </si>
  <si>
    <t>697-700</t>
  </si>
  <si>
    <t>60000809;60000809</t>
  </si>
  <si>
    <t>7007038960;7004253923</t>
  </si>
  <si>
    <t>Hirosawa, Haruto;Matsuzaka, Yukihiko</t>
  </si>
  <si>
    <t>Sagamihara</t>
  </si>
  <si>
    <t>JAXA Institute of Space and Astronautical Science</t>
  </si>
  <si>
    <t>Hirosawa H.</t>
  </si>
  <si>
    <t>Calibration of A Cross-Polarized SAR Image Using Dihedral Corner Reflectors</t>
  </si>
  <si>
    <t>10.1109/36.7697</t>
  </si>
  <si>
    <t>2-s2.0-0024072816</t>
  </si>
  <si>
    <t>['wiley company', 'theoretical design', 'planar antenna', 'model experiments', 'inc .,', 'high efficiency', 'field analysis', 'feeding structures', 'excellent efficiency', '57 percent', '3 percent']</t>
  </si>
  <si>
    <t>A radial line slot antenna is a planar antenna which in principle has high efficiency. An excellent efficiency of no less than 57 percent has been measured in the 12‚ÄêGHz band. To realize the predicted 80 percent efficiency, reflection in the antenna feeding structure should be suppressed. In this paper, field analysis by means of the finite element method (FEM) provides the shapes of the feeding structures which minimize the reflection. Numerical results predict that the antenna overall reflection can be suppressed to less than ‚Äê15 dB. The theoretical design is confirmed by the model experiments in 6‚ÄêGHz band. The optimum design reduces the efficiency degradation due to reflection from 15 to 3 percent. Copyright ¬© 1988 Wiley Periodicals, Inc., A Wiley Company</t>
  </si>
  <si>
    <t>76-91</t>
  </si>
  <si>
    <t>60031126;60031126;60031126;60031126</t>
  </si>
  <si>
    <t>35495699200;55458660700;7403230180;7201747933</t>
  </si>
  <si>
    <t>Ando, Makoto;Ito, Shuji;Kawasaki, Hideji;Goto, Naohisa</t>
  </si>
  <si>
    <t>Ando M.</t>
  </si>
  <si>
    <t>Design of a radial line slot antenna with improved input VSWR</t>
  </si>
  <si>
    <t>10.1002/ecja.4410710909</t>
  </si>
  <si>
    <t>2-s2.0-0024072841</t>
  </si>
  <si>
    <t>['¬© 1988', 'system imperfections', 'rights reserved', 'parameter model', 'mutual coupling', 'electrical engineers', 'circuit components', 'antenna elements', 'adaptive array']</t>
  </si>
  <si>
    <t>Antenna arrays | Antenna theory | Antennas | Receiving antennas</t>
  </si>
  <si>
    <t>A simple S-parameter model is described for a receiving antenna array. The model is useful in studying the effect of system imperfections such as mutual coupling between antenna elements and mismatch of circuit components on the performance of an adaptive array. ¬© 1988, The Institution of Electrical Engineers. All rights reserved.</t>
  </si>
  <si>
    <t>1264-1266</t>
  </si>
  <si>
    <t>60028333;60028333</t>
  </si>
  <si>
    <t>7402101459;7102344747</t>
  </si>
  <si>
    <t>Lo, K. W.;Vu, T. B.</t>
  </si>
  <si>
    <t>UNSW Sydney</t>
  </si>
  <si>
    <t>Lo K.</t>
  </si>
  <si>
    <t>Simple S-Parameter Model For Receiving Antenna Array</t>
  </si>
  <si>
    <t>10.1049/el:19880861</t>
  </si>
  <si>
    <t>2-s2.0-0024073415</t>
  </si>
  <si>
    <t>195-206</t>
  </si>
  <si>
    <t>Ford, E. T.</t>
  </si>
  <si>
    <t>Independent Broadcasting Authority</t>
  </si>
  <si>
    <t>Ford E.T.</t>
  </si>
  <si>
    <t>Use of a finite-element method to predict the scattering of UHF signals off terrain</t>
  </si>
  <si>
    <t>10.1049/jiere.1988.0059</t>
  </si>
  <si>
    <t>2-s2.0-0024073438</t>
  </si>
  <si>
    <t>['time domain', 'seasat scatterometer', 'range gating', 'pulse transmitted', 'paper proposes', 'modified scheme', 'mentioned limitations', 'doppler filtering', 'domain processing', 'digital implementation', 'cw pulse', 'cause problems', 'broadside direction', 'beam ers', 'approaches utilize', 'advanced three', '1 scatterometer']</t>
  </si>
  <si>
    <t>CW pulse | Doppler cell | Doppler filtering | finer cell size | IFOV | LFM | peak power | range gating | Spaceborne wind scatterometer | wider swath</t>
  </si>
  <si>
    <t>The spaceborne scatterometer utilizes the concept of cell segmentation either by range gating (time-domain processing) or by Doppler filtering (frequency-domain processing). The three-beam ERS-1 scatterometer to be launched by ESA during 1989 will use the range gating technique. Doppler filtering was implemented for the SEASAT scatterometer, while the more advanced three-beam scatterometer NSCAT, which is to be flown around 1990 by JPL/NASA, is proposed to have digital implementation of the frequency domain processing approach. Both the approaches utilize a CW pulse and cause problems for smaller cell size and wider swath achievement. These are due to an excessively high peak power requirement in the case of time-domain processing, whereas in the case of frequency-domain processing the limitations arise due to the problems in Doppler cell realization at higher incidence angles for the antenna beam orientation closer to the satellite's broadside direction. This paper proposes a modified scheme where the pulse transmitted is linearly frequency modulated (LFM) and the processing is carried out in the time domain. The proposed scheme takes care of the above-mentioned limitations as caused by CW pulse transmission. ¬© 1988 IEEE</t>
  </si>
  <si>
    <t>532-540</t>
  </si>
  <si>
    <t>60023345;60023345;60023345</t>
  </si>
  <si>
    <t>7004953985;57197687893;7101923659</t>
  </si>
  <si>
    <t>Pillai, N. S.;Jha, A. M.;Misra, Tapan</t>
  </si>
  <si>
    <t>Bengaluru</t>
  </si>
  <si>
    <t>Indian Space Research Organization</t>
  </si>
  <si>
    <t>Pillai N.</t>
  </si>
  <si>
    <t>A Spaceborne LFM Scatterometer for Ocean Surface Wind Vector Measurement‚ÄîA Time Domain Approach</t>
  </si>
  <si>
    <t>10.1109/36.7678</t>
  </si>
  <si>
    <t>2-s2.0-0024073587</t>
  </si>
  <si>
    <t>['typically limited', 'small errors', 'reflector profile', 'reflector antennas', 'corrected similarly', 'copyright 1988', 'analogous problem']</t>
  </si>
  <si>
    <t>Large reflector antennas are typically limited in efficiency and side lobe level by small errors in the reflector profile. Interferometric arrays suffer from an analogous problem, which can be corrected by the ‚Äúself‚Äêcalibration‚Äù technique by exploiting redundant sampling of the aperture plane coherence function. We show that by measuring the focal plane coherence function, the aberrations in reflector antennas can be corrected similarly, and true diffraction limited images obtained. Copyright 1988 by the American Geophysical Union.</t>
  </si>
  <si>
    <t>739-748</t>
  </si>
  <si>
    <t>September-October 1988</t>
  </si>
  <si>
    <t>7004384815;6601988132</t>
  </si>
  <si>
    <t>Cornwell, T. J.;Napier, P. J.</t>
  </si>
  <si>
    <t>Cornwell T.</t>
  </si>
  <si>
    <t>The focal plane coherence function of an imaging antenna and its use in measuring and correcting aberrations</t>
  </si>
  <si>
    <t>10.1029/RS023i005p00739</t>
  </si>
  <si>
    <t>2-s2.0-0024079574</t>
  </si>
  <si>
    <t>['¬© 1988', 'undesirable effects', 'surface distortions', 'rights reserved', 'reflector antennas', 'reflector antenna', 'reducing gain', 'may result', 'ground antennas', 'gravitational effects', 'focal plane', 'experimental study', 'electrical engineers']</t>
  </si>
  <si>
    <t>Antenna feeders | Antennas | Distortion | Satellite links</t>
  </si>
  <si>
    <t>Reflector antennas are subject to surface distortions which may result from thermal or gravitational effects. Surface distortions degrade antenna performance by reducing gain and introducing high sidelobe levels. In the letter, results of an experimental study have been presented to demonstrate how effectively a properly excited array feed in the focal plane of the reflector antenna can compensate for the undesirable effects of slowly varying surface distortions. The application of the array compensation concept could prove to be very useful for future large space or ground antennas. ¬© 1988, The Institution of Electrical Engineers. All rights reserved.</t>
  </si>
  <si>
    <t>1188-1190</t>
  </si>
  <si>
    <t>Rahmat-Samii, Y.</t>
  </si>
  <si>
    <t>Reflector Antenna Distortion Compensation by Array Feeds: An Experimental Verification</t>
  </si>
  <si>
    <t>10.1049/el:19880808</t>
  </si>
  <si>
    <t>2-s2.0-0024084930</t>
  </si>
  <si>
    <t>['¬© 1988', 'wave mode', 'wave antenna', 'rights reserved', 'radiation pattern', 'propagating constants', 'electromagnetic field', 'electrical engineers']</t>
  </si>
  <si>
    <t>Antenna radiation patterns | Antennas | Dielectric waveguides | Leaky wave antennas | NRD guide</t>
  </si>
  <si>
    <t>In the letter the electromagnetic field in the NRD guide leaky-wave antenna is simulated by the spatial netw rk method. The propagating constants of the leaky-wave mode and the radiation pattern are presented here. ¬© 1988, The Institution of Electrical Engineers. All rights reserved.</t>
  </si>
  <si>
    <t>1164-1166</t>
  </si>
  <si>
    <t>7102481164;7403004870;57214925937</t>
  </si>
  <si>
    <t>Terashima, K.;Yoshida, N.;Fukai, I.</t>
  </si>
  <si>
    <t>Terashima K.</t>
  </si>
  <si>
    <t>Analysis of Radiation Characteristics of Nrd Guide Leaky-Wave Antenna by Spatial Network Method</t>
  </si>
  <si>
    <t>10.1049/el:19880791</t>
  </si>
  <si>
    <t>2-s2.0-0024085144</t>
  </si>
  <si>
    <t>['¬© 1988', 'rights reserved', 'letter describes', 'experimental results', 'electrical engineers']</t>
  </si>
  <si>
    <t>Antenna arrays | Antenna theory | Antennas | Feed horns | Mutual coupling | Planar arrays</t>
  </si>
  <si>
    <t>Software for accurately modelling finite planar arrays of identical circular multimode horns with arbitrary wall contours has been developed and validated. The letter describes the analysis concept followed, and presents a comparison between theoretical and experimental results. ¬© 1988, The Institution of Electrical Engineers. All rights reserved.</t>
  </si>
  <si>
    <t>1150-1151</t>
  </si>
  <si>
    <t>60072501;60002286;60004541</t>
  </si>
  <si>
    <t>7202647526;8690149700;6701433161</t>
  </si>
  <si>
    <t>K&amp;#x00DC;Hn, E.;Wolf, H.;Viskum, H.</t>
  </si>
  <si>
    <t>Germany;United States;Netherlands</t>
  </si>
  <si>
    <t>Darmstadt;Washington, D.C.;Leiden</t>
  </si>
  <si>
    <t>Forschungsinstitut der Deutschen Bundespost;INTELSAT;Airbus Group SE</t>
  </si>
  <si>
    <t>60072501;60004541;60002286</t>
  </si>
  <si>
    <t>K&amp;#x00DC;Hn E.</t>
  </si>
  <si>
    <t>Computer Analysis of Finite Planar Arrays of Circular Multimode Horns</t>
  </si>
  <si>
    <t>10.1049/el:19880781</t>
  </si>
  <si>
    <t>2-s2.0-0024085237</t>
  </si>
  <si>
    <t>['¬© 1988', 'systematic investigation', 'rights reserved', 'radiation patterns', 'feed structure', 'electrical engineers', 'coupling behaviour']</t>
  </si>
  <si>
    <t>Antennas | Dielectric resonators | Dielectrics and dielectric devices | Microstrip</t>
  </si>
  <si>
    <t>A systematic investigation of the excitation of a cylindrical dielectric resonator antenna was undertaken to illustrate the possibility of such a feed structure and to characterise the coupling behaviour and radiation patterns of the system. ¬© 1988, The Institution of Electrical Engineers. All rights reserved.</t>
  </si>
  <si>
    <t>1156-1157</t>
  </si>
  <si>
    <t>6506685005;7402507033</t>
  </si>
  <si>
    <t>Kranenburg, R. A.;Long, S. A.</t>
  </si>
  <si>
    <t>Kranenburg R.</t>
  </si>
  <si>
    <t>Microstrip Transmission Line Excitation of Dielectric Resonator Antennas</t>
  </si>
  <si>
    <t>10.1049/el:19880785</t>
  </si>
  <si>
    <t>2-s2.0-0024087505</t>
  </si>
  <si>
    <t>['tore supra', 'throat opening', 'therefore important', 'pump limiters', 'plasma edge', 'particle flows', 'frequency antennas', 'edge components', 'antenna face', 'also reduces', '8 percent']</t>
  </si>
  <si>
    <t>Design of edge components for a plasma device requires a description of heat and particle flows at the edge of the device. In a tokamak, the ripple of the toroidal field affects the direction of such flows by affecting the direction of the field. In Tore Supra, in particular, the ripple is large ( less than equivalent to 8 percent at the outboard edge). This causes a substantial (factor of less than equivalent to 2) increase in heat flux deposited onto the limiter and antenna face. It also reduces the particle removal efficiency of the pump limiters by increasing the distance between the throat opening and the plasma edge. It is therefore important to include the ripple when designing plasma edge components such as pump limiters and radio-frequency antennas. A simple, but accurate, scheme for field line tracing is found and used to study this effect. Modeling of the ripple is discussed.</t>
  </si>
  <si>
    <t>288-298</t>
  </si>
  <si>
    <t>Fusion Technology</t>
  </si>
  <si>
    <t>60024266;60024266;60024266;60024266;60024266</t>
  </si>
  <si>
    <t>57206714817;7004640071;7006251522;7102374956;6602649795</t>
  </si>
  <si>
    <t>Klepper, C. Christopher;Uckan, Taner;Mioduszewski, Peter K.;McGrath, Robert T.;Hertout, P.</t>
  </si>
  <si>
    <t>Oak Ridge</t>
  </si>
  <si>
    <t>Oak Ridge National Laboratory</t>
  </si>
  <si>
    <t>Klepper C.C.</t>
  </si>
  <si>
    <t>CONSIDERATION OF THE MAGNETIC FIELD RIPPLE IN THE DESIGN OF PLASMA EDGE COMPONENTS FOR TORE SUPRA.</t>
  </si>
  <si>
    <t>10.13182/fst88-a20262</t>
  </si>
  <si>
    <t>2-s2.0-0024087613</t>
  </si>
  <si>
    <t>['received signals', 'large number', 'good agreement', 'field tested', 'feedpoint spacing', 'element lengths', 'element array', 'diversity antenna', 'circular array', 'array configuration', '6 x', '463 mhz', '1 x']</t>
  </si>
  <si>
    <t>A circular array of outward sloping monopoles is analyzed as a diversity antenna for vehicle rooftop mounting. The monopoles are assumed to approximate minimum scattering antennas, have sinusoidal current distributions, and reside on an infinite, perfectly conducting ground plane. The envelopes of the received signals are considered Rayleigh distributed. The advantage of the array configuration is that the feedpoint spacing can be made almost arbitrarily small even for a large number of branches. A three-element array with element lengths of 0.6 X and feedpoint spacing 0.1 X, operating at 463 MHz was field tested and the results are in good agreement with the analysis. ¬© 1988 IEEE</t>
  </si>
  <si>
    <t>1365-1374</t>
  </si>
  <si>
    <t>60016302;60022134;60031159</t>
  </si>
  <si>
    <t>7201481830;7403571081;6507119324</t>
  </si>
  <si>
    <t>Vaughan, Rodney G.;Andersen, J. Bach;Langhorn, M. H.</t>
  </si>
  <si>
    <t>Netherlands;Denmark;New Zealand</t>
  </si>
  <si>
    <t>Noordwijk aan Zee;Aalborg;</t>
  </si>
  <si>
    <t>ESTEC - European Space Research and Technology Centre;Aalborg University;New Zealand Department of Scientific and Industrial Research</t>
  </si>
  <si>
    <t>60031159;60022134;60016302</t>
  </si>
  <si>
    <t>Vaughan R.G.</t>
  </si>
  <si>
    <t>Circular Array of Outward Sloping Monopoles for Vehicular Diversity Antennas</t>
  </si>
  <si>
    <t>10.1109/8.8622</t>
  </si>
  <si>
    <t>2-s2.0-0024087706</t>
  </si>
  <si>
    <t>14-78-C-0049</t>
  </si>
  <si>
    <t>['thin slot', 'surface currents', 'radiation patterns', 'radiation integral', 'patch region', 'partly covers', 'numerical results', 'magnetic line', 'line sources', 'independent calculations', 'impedance surface', 'frequency approximation', 'fields radiated', 'ferrite material', 'electrically large', 'currents induced']</t>
  </si>
  <si>
    <t>A high-frequency approximation is presented for the fields radiated by a magnetic line or line dipole source which is located on an impedance surface patch that partly covers an electrically large, perfectly conducting convex cylinder. Such a configuration can, for example, model a thin slot in a perfectly conducting convex cylinder that is coated with a patch of dielectric/ferrite material. Relatively simple asymptotic approximations are developed for the currents induced on the impedance surface by the line sources, and the radiation patterns are calculated by incorporating these surface currents into the radiation integral. The latter integral exists only over the patch region as it employs a perfectly conducting cylinder Green's function which is expressed in terms of a uniform geometrical theory of diffraction (UTD) solution obtained previously. Numerical results are presented and shown to compare very well with other independent calculations and a measurement. ¬© 1988 IEEE</t>
  </si>
  <si>
    <t>1407-1417</t>
  </si>
  <si>
    <t>60011688;60003500</t>
  </si>
  <si>
    <t>7004122396;35579308700</t>
  </si>
  <si>
    <t>Ersoy, Levent;Pathak, Prabhakar H.</t>
  </si>
  <si>
    <t>Palo Alto;Columbus</t>
  </si>
  <si>
    <t>Space Systems Loral;The Ohio State University</t>
  </si>
  <si>
    <t>Ersoy L.</t>
  </si>
  <si>
    <t>An Asymptotic High-Frequency Analysis of the Radiation by a Source on a Perfectly Conducting Convex Cylinder with an Impedance Surface Patch</t>
  </si>
  <si>
    <t>10.1109/8.8628</t>
  </si>
  <si>
    <t>2-s2.0-0024087823</t>
  </si>
  <si>
    <t>['traditional theodolite', 'tape technique', 'surface accuracies', 'reflector surface', 'recent applications', 'large antennas', 'antennas 18']</t>
  </si>
  <si>
    <t>Some refinements are described to the traditional theodolite and tape technique for surveying the reflector surface of large antennas. In recent applications (to antennas 18 and 22 m in diameter) surface accuracies of 0.25 mm root mean square (rms) have been achieved. ¬© 1988 IEEE</t>
  </si>
  <si>
    <t>1481-1484</t>
  </si>
  <si>
    <t>60029470;60029470;60029470</t>
  </si>
  <si>
    <t>7004146312;7101948992;6506648388</t>
  </si>
  <si>
    <t>Kesteven, M. J.;Parsons, B. F.;Yabsley, D. E.</t>
  </si>
  <si>
    <t>Kesteven M.J.</t>
  </si>
  <si>
    <t>Antenna Reflector Metrology: The Australia Telescope Experience</t>
  </si>
  <si>
    <t>10.1109/8.8636</t>
  </si>
  <si>
    <t>2-s2.0-0024087939</t>
  </si>
  <si>
    <t>['¬± 1', 'various distortion', 'short backfire', 'several f', 'seven elements', 'seven element', 'results indicate', 'provide uniform', 'presented showing', 'plane fields', 'paraboloidal reflectors', 'one ring', 'obtained independently', 'numerical results', 'etc .)', 'either seven', 'dynamic nature', 'distortion models', 'contour plots', 'beamsteering performance', 'array parameters', 'array element', 'also presented', 'algorithmic procedure', 'additional ring', '5 bw', '37 elements', '19 elements']</t>
  </si>
  <si>
    <t>An algorithmic procedure is described for the synthesis of planar array feeds for paraboloidal reflectors to provide simultaneously electronic correction of systematic reflector surface distortions as well as a vernier electronic beamsteering capability. Several f/D ratios and distortion models were examined that are typical of large paraboloidal reflectors. Numerical results are presented showing that, for the range of distortion models considered, significant on-axis gain restoration can be achieved with a one ring (seven element) array (i.e., 0.7 dB recovered of a 1 dB distortion loss with an optimal single feed, for a representative case). However, with seven elements, the array parameters that maximize system gain, do not provide uniform (i.e., near constant gain) beamsteering (¬±1 BW) and an additional ring (19 elements) is required. For arrays with either seven or 19 elements, the results indicate that the use of high aperture efficiency elements in the array (disk-on-rod, short backfire, etc.) yields higher system gain than can be obtained with elements having lower aperture efficiency (e.g. open-ended waveguides). With 37 elements (i.e., three rings), excellent gain and beamsteering performance to ¬±1.5 BW is obtained independently of the assumed effective aperture of the array element. Contour plots of the focal-plane fields are also presented for various distortion and beam scan angle cases, showing the dynamic nature of the problem. The results obtained show the effectiveness of the array feed approach. ¬© 1988 IEEE</t>
  </si>
  <si>
    <t>1351-1358</t>
  </si>
  <si>
    <t>60087684;60009037</t>
  </si>
  <si>
    <t>7004460410;7003977774</t>
  </si>
  <si>
    <t>Blank, Stephen J.;Imbriale, William A.</t>
  </si>
  <si>
    <t>Old Westbury;Pasadena</t>
  </si>
  <si>
    <t>New York Institute of Technology;Jet Propulsion Laboratory</t>
  </si>
  <si>
    <t>Blank S.J.</t>
  </si>
  <si>
    <t>Array Feed Synthesis for Correction of Reflector Distortion and Vernier Beamsteering</t>
  </si>
  <si>
    <t>10.1109/8.8620</t>
  </si>
  <si>
    <t>2-s2.0-0024088021</t>
  </si>
  <si>
    <t>N00014-78-(2-0049</t>
  </si>
  <si>
    <t>['thin screen', 'small holes', 'rayleigh scattering', 'exact solution', 'dipole expansion']</t>
  </si>
  <si>
    <t>The Rayleigh scattering from small holes in a thin screen was studied. The backscattered fields calculated from a dipole expansion were compared to those from an exact solution and measurements for a single, electrically small hole. ¬© 1988 IEEE</t>
  </si>
  <si>
    <t>1495-1497</t>
  </si>
  <si>
    <t>6603046815;7202838408</t>
  </si>
  <si>
    <t>Dominek, Allen K.;Peters, Leon</t>
  </si>
  <si>
    <t>Dominek A.K.</t>
  </si>
  <si>
    <t>RCS Measurement of Small Circular Holes</t>
  </si>
  <si>
    <t>10.1109/8.8641</t>
  </si>
  <si>
    <t>2-s2.0-0024088022</t>
  </si>
  <si>
    <t>NAVY-N60530-84-C0095</t>
  </si>
  <si>
    <t>['rectangular patches', 'proposed model', 'evaluate two', 'analysis used']</t>
  </si>
  <si>
    <t>A multiport network model (MNM) for two-port rectangular microstrip patch antennas is introduced. This model is capable of accounting for the feedline-patch junction reactances as well as for the mutual coupling among the edges of the patch. This model is used to evaluate two-port transmission characteristics of rectangular patches. Experimental results verify the validity of the proposed model and the method of analysis used. ¬© 1988 IEEE</t>
  </si>
  <si>
    <t>1337-1342</t>
  </si>
  <si>
    <t>60000221;60000221</t>
  </si>
  <si>
    <t>6602836798;7402592343</t>
  </si>
  <si>
    <t>Benalla, Abdelaziz;Gupta, Kuldip C.</t>
  </si>
  <si>
    <t>Benalla A.</t>
  </si>
  <si>
    <t>Multiport Network Model and Transmission Characteristics of Two-Port Rectangular Microstrip Patch Antennas</t>
  </si>
  <si>
    <t>10.1109/8.8618</t>
  </si>
  <si>
    <t>2-s2.0-0024088039</t>
  </si>
  <si>
    <t>['primary feed', 'paraboloidal reflector', 'numerical analysis', 'helix diameter', 'helical antenna', 'frequency range', 'forwardfire radiation', 'farfield pattern', 'backfire helix', 'also described']</t>
  </si>
  <si>
    <t>Numerical analysis of a helical antenna is made in the presence of a finite grid ground plane. It is found that the transition from forwardfire radiation to backfire radiation occurs as the ground plane diameter is reduced to the order of the helix diameter. The investigation of a backfire helix with a small ground plane shows that a circularly polarized wave is radiated over a frequency range of more than 1 to 1.3. An application of the backfire helix to a primary feed for a paraboloidal reflector is also described, in which the FarField pattern is evaluated by the physical optics approximation. ¬© 1988 IEEE</t>
  </si>
  <si>
    <t>1359-1364</t>
  </si>
  <si>
    <t>55633340100;56405174700;7003298527</t>
  </si>
  <si>
    <t>Nakano, Hisamatsu;Yamauchi, Junji;Mimaki, Hiroaki</t>
  </si>
  <si>
    <t>Backfire Radiation from a Monofilar Helix with a Small Ground Plane</t>
  </si>
  <si>
    <t>10.1109/8.8621</t>
  </si>
  <si>
    <t>2-s2.0-0024088101</t>
  </si>
  <si>
    <t>['troposphere using', 'theoretical formulation', 'propagation models', 'propagation model', 'parabolic approximation', 'independent surface', 'elevation angle', 'computational method', 'computational implementation', 'calm sea', 'brief discussion', 'based ducts', 'antenna pattern', 'antenna altitude', 'also presented', 'allows specification']</t>
  </si>
  <si>
    <t>A computational method for predicting electromagnetic wave propagation in the troposphere using the parabolic approximation of the Helmholtz wave equation is described. The model represents propagation over a spherical, finitely conducting earth and allows specification of frequency, polarization, antenna pattern, antenna altitude, and elevation angle. Most importantly, the method enables calculations to be performed using either ideal or measured refractivity profiles that vary in both altitude and range. A brief discussion of the theoretical formulation and computational implementation of the propagation model is presented, followed by examples that demonstrate various features. Example calculations include 3 GHz propagation over a calm sea in the presence of both range-dependent and range-independent surface-based ducts as well as in standard atmosphere conditions. Comparisons with two other propagation models are also presented. ¬© 1988 IEEE</t>
  </si>
  <si>
    <t>1464-1470</t>
  </si>
  <si>
    <t>Dockery, G. Daniel</t>
  </si>
  <si>
    <t>Dockery G.D.</t>
  </si>
  <si>
    <t>Modeling Electromagnetic Wave Propagation in the Troposphere Using the Parabolic Equation</t>
  </si>
  <si>
    <t>10.1109/8.8634</t>
  </si>
  <si>
    <t>2-s2.0-0024088159</t>
  </si>
  <si>
    <t>['uncorrected level', 'surface tolerance', 'surface distortions', 'suitable redesign', 'subreflector configurations', 'steered away', 'small number', 'rigid panels', 'reflector antenna', 'plate subreflector', 'large dual', 'gravitational distortions', 'geometrical optics', 'computer modeling', 'cassegrain system', 'also investigated', 'actuator motions', '33 percent']</t>
  </si>
  <si>
    <t>The performance of a large dual-reflector antenna is limited by the surface tolerance of its reflectors. Gravitational distortions may greatly increase surface errors when the antenna is steered away from its position of adjustment. In a Cassegrain system it is possible to reduce the effect of main reflector errors by the suitable redesign of the subreflector. A new deformable subreflector is proposed. The subreflector is built of an aggragate of rigid panels which are controlled by a small number of actuators. An algorithm is described to calculate the actuator motions for a set of given surface distortions. It is assumed that the surface distortions, at different elevation angles, are known a priori. Geometrical optics is used to describe the aperture field distribution and to predict the improvement in performance. Computer modeling of main and subreflectors is used to test the design. This design is suggested for the improvement of a hypothetical radio telescope. In this example it is predicted that the effective surface errors, due to gravitational distortions, may be reduced to 33 percent of their uncorrected level with a 48-plate subreflector. Compensation with other subreflector configurations is also investigated. ¬© 1988 IEEE</t>
  </si>
  <si>
    <t>1343-1350</t>
  </si>
  <si>
    <t>60016849;60016849</t>
  </si>
  <si>
    <t>7103001312;23040652300</t>
  </si>
  <si>
    <t>Lawson, Peter R.;Yen, Jui Lin</t>
  </si>
  <si>
    <t>Toronto</t>
  </si>
  <si>
    <t>University of Toronto</t>
  </si>
  <si>
    <t>Lawson P.R.</t>
  </si>
  <si>
    <t>A Piecewise Deformable Subreflector for Compensation of Cassegrain Main Reflector Errors</t>
  </si>
  <si>
    <t>10.1109/8.8619</t>
  </si>
  <si>
    <t>2-s2.0-0024088183</t>
  </si>
  <si>
    <t>['radiation condition', 'electromagnetic waves']</t>
  </si>
  <si>
    <t>Appropriate infinite elements fitted to triangular or quadratic finite element net and corresponding base functions satisfying Sommerfeld's radiation condition of electromagnetic waves are introduced. ¬© 1988 IEEE</t>
  </si>
  <si>
    <t>1490-1491</t>
  </si>
  <si>
    <t>60030035;60030035</t>
  </si>
  <si>
    <t>7003762585;56618972400</t>
  </si>
  <si>
    <t>Petre, Peter;Zombory, L√°szl√≥</t>
  </si>
  <si>
    <t>Hungary</t>
  </si>
  <si>
    <t>Budapest</t>
  </si>
  <si>
    <t>Budapest University of Technology and Economics</t>
  </si>
  <si>
    <t>Petre P.</t>
  </si>
  <si>
    <t>Infinite Elements and Base Functions for Rotationally Symmetric Electromagnetic Waves</t>
  </si>
  <si>
    <t>10.1109/8.8639</t>
  </si>
  <si>
    <t>2-s2.0-0024088185</t>
  </si>
  <si>
    <t>['reciprocity method', 'preferred one', 'practical purposes', 'often equivalent', 'mutual impedance', 'mutual admittance', 'magnetic currents', 'current distributions', 'complex conjugate']</t>
  </si>
  <si>
    <t>In the literature two integral expressions exist that give the mutual impedance between dipoles. Derivations are given for both expressions, and a comparison is made. This leads to the conclusion that the expression without complex conjugate, based on reciprocity, has to be preferred. The expression with complex conjugate, the induced electromotive force (emf) method, is not exact. For practical purposes, however, both are often equivalent. For the mutual admittance between slots in a conducting ground plane, or magnetic currents, the conclusions are reversed: the induced emf method is the preferred one, while the reciprocity method is only valid for purely real slot excitations or current distributions. ¬© 1988 IEEE</t>
  </si>
  <si>
    <t>1375-1381</t>
  </si>
  <si>
    <t>60025063;60025063</t>
  </si>
  <si>
    <t>7005721326;7003998197</t>
  </si>
  <si>
    <t>Nauwelaers, Bart K.J.C.;Van De Capelle, Antoine R.</t>
  </si>
  <si>
    <t>3000 Leuven</t>
  </si>
  <si>
    <t>KU Leuven</t>
  </si>
  <si>
    <t>Nauwelaers B.K.J.C.</t>
  </si>
  <si>
    <t>Integrals for the Mutual Coupling Between Dipoles or Between Slots: With or Without Complex Conjugate?</t>
  </si>
  <si>
    <t>10.1109/8.8623</t>
  </si>
  <si>
    <t>2-s2.0-0024088199</t>
  </si>
  <si>
    <t>['upper right', 'upper left', 'study show', 'slightly extended', 'radiation occurring', 'model predicts', 'lower right', 'lower left', 'incorporating changes', 'degradation due', 'complex permittivity', 'antenna surface', '78 ¬∞', '45 ¬∞', '1 db']</t>
  </si>
  <si>
    <t>A theory is presented to determine the effects of the multiple dielectric thermal protection system on the Space Shuttle Orbiter S-band quad antennas. The circularly polarized antennas are designated as upper right, upper left, lower right and lower left. Each antenna provides coverage in the respective roll quadrant. A new ray optics approach is developed which includes internal reflections from the Orbiter metallic skin and multiple dielectric layers. The results of the computer program developed in this study show that the beamwidth of the two upper quad antennas is narrowed by the thermal protection system. The beam narrowing effects become noticeable when the angle from the normal to the antenna surface exceeds 45¬∞. The model predicts that the beamwidth of the two lower quad antennas is slightly extended with peaks in the radiation occurring at angles of 45¬∞ and 78¬∞ from the normal to the antenna surface. The results also show that the thermal protection system will cause significant depolarization of a circularly polarized signal as the angle from the normal to the antenna surface is increased. Heating of the thermal protection surface or degradation due to multiple missions may also be predicted by incorporating changes in the complex permittivity as a function of temperature. Heating and multiple mission effects are found to be less than 1 dB. ¬© 1988 IEEE</t>
  </si>
  <si>
    <t>1389-1395</t>
  </si>
  <si>
    <t>Lindsey, Jefferson F.</t>
  </si>
  <si>
    <t>Carbondale</t>
  </si>
  <si>
    <t>Southern Illinois University Carbondale</t>
  </si>
  <si>
    <t>Lindsey J.F.</t>
  </si>
  <si>
    <t>The Effects of the Thermal Protection System on the Space Shuttle S-Band Quad Antennas</t>
  </si>
  <si>
    <t>10.1109/8.8625</t>
  </si>
  <si>
    <t>2-s2.0-0024088201</t>
  </si>
  <si>
    <t>['rectangular half', 'radiating edges', 'input impedance', 'coaxial line', 'antennas may', 'accurately computed']</t>
  </si>
  <si>
    <t>Rectangular half-wavelength microstrip antennas, fed by a coaxial line at the centre of one of the radiating edges, are treated as lossy transmission lines open-circuited at one of the ends. Closed form expressions are developed by which the input impedance of these antennas may be very accurately computed.</t>
  </si>
  <si>
    <t>351-352</t>
  </si>
  <si>
    <t>Oct</t>
  </si>
  <si>
    <t>60020825;60020825;60020825;60020825;60020825</t>
  </si>
  <si>
    <t>7102557021;57211297849;57214311665;6701556104;56366712800</t>
  </si>
  <si>
    <t>Bhattacharjee, A. K.;Chaudhuri, S. R.Bhadra;Mukherjee, A.;Poddar, D. R.;Chowdhury, S. K.</t>
  </si>
  <si>
    <t>Bhattacharjee A.K.</t>
  </si>
  <si>
    <t>Input impedance of rectangular microstrip antennas</t>
  </si>
  <si>
    <t>10.1049/ip-h-2.1988.0072</t>
  </si>
  <si>
    <t>2-s2.0-0024088430</t>
  </si>
  <si>
    <t>['wave diffraction', 'tlm method', 'te modes', 'surface waves', 'standingwave patterns', 'patch resonator', 'patch must', 'observed simulationresults', 'magnetic fields', 'increasing departure', 'hopf analysis', 'francis group', 'finite dimensions', 'boundary conditionsof', 'boundaries toset', 'analysis indicates']</t>
  </si>
  <si>
    <t>By applying the Wiener-Hopf analysis of wave diffraction at an infinite edge located over a grounded dielectric sheet the division of energy between reflection, radiation into space and radiation into surface waves in the dielectric can be predictedas a function of the ratio of thickness to free space wavelength (k 0 b).These predictions have been tested by simulating the behaviour of a patch resonator using the Johns Transmission Line Matrix method. The electric and magnetic fields at the surface of the dielectric sheet demonstrate an increasing departure from their expectedvariations as the value of k 0 bincreases, leading to conditions in whichthe field patterns show anomalous variations which cannot be explained by the Wiener-Hopf analysis. It is concluded that, although the onset of these conditions agrees withk 0 b values for which the surfacemodes of the infinite edge conditions wouldoccur, the influence of the finite dimensions of the patch must be more closelyanalysed. Such an analysis indicates that bothTM and TE modes can be initiated. Because of the nature of the boundary conditionsof the TLM method the observed simulationresults are accountedfor by surface waves being initiated by the patch resonator, travellingacross the surface of the substrateandbeingreflected at these boundaries toset up standingwave patterns. ¬© 1988 Taylor &amp; Francis Group, LLC.</t>
  </si>
  <si>
    <t>849-864</t>
  </si>
  <si>
    <t>Watkins, J.</t>
  </si>
  <si>
    <t>King's College London</t>
  </si>
  <si>
    <t>Watkins J.</t>
  </si>
  <si>
    <t>The onset of anomalous wave generation in patchantennas</t>
  </si>
  <si>
    <t>10.1080/00207218808945286</t>
  </si>
  <si>
    <t>2-s2.0-0024088754</t>
  </si>
  <si>
    <t>['¬© 1988', 'rights reserved', 'radiating element', 'power output', 'fet source', 'fet oscillator', 'feedback loop', 'electrical engineers', '7 ghz', '17 mw']</t>
  </si>
  <si>
    <t>Antennas | FETs | Microstrip | Transmission lines</t>
  </si>
  <si>
    <t>An FET source has been integrated with a microstrip patch antenna to form an active radiating module. The patch antenna serves both as a radiating element and a resonator in the feedback loop for the FET oscillator. Power output of 17 mW was achieved at 5.7 GHz. ¬© 1988, The Institution of Electrical Engineers. All rights reserved.</t>
  </si>
  <si>
    <t>1347-1348</t>
  </si>
  <si>
    <t>60020547;60020547;60020547</t>
  </si>
  <si>
    <t>7404879378;7003548524;35586242100</t>
  </si>
  <si>
    <t>Chang, K.;Hummer, k. A.;Gopalakrishnan, G. K.</t>
  </si>
  <si>
    <t>Chang K.</t>
  </si>
  <si>
    <t>Active Radiating Element Using Fet Source Integrated With Microstrip Patch Antenna</t>
  </si>
  <si>
    <t>10.1049/el:19880916</t>
  </si>
  <si>
    <t>2-s2.0-0024088969</t>
  </si>
  <si>
    <t>31-35</t>
  </si>
  <si>
    <t>Communicating from space</t>
  </si>
  <si>
    <t>10.1109/45.9970</t>
  </si>
  <si>
    <t>2-s2.0-0024089402</t>
  </si>
  <si>
    <t>['within 1', 'resonant frequency', 'resonant frequencies', 'microstrip antennas', 'integral equation', 'fitting formula', 'earlier work', 'database built', 'aided design', '0 %.']</t>
  </si>
  <si>
    <t>A further study is made of the resonant frequency of circular microstrip patches. Based on earlier work, the resonant frequency problem is formulated in terms of an integral equation. Galerkin's method is used to calculate the resonant frequencies of nonaxial symmetric modes in different circular microstrip patches. Using the database built by Galerkin's method, a curve-fitting formula is developed to reproduce the accurate resonant frequency rapidly. The accuracy of this formula is within 1.0%. This formula is useful for the computer-aided design of microstrip antennas and microwave integrated circuits.</t>
  </si>
  <si>
    <t>289-292</t>
  </si>
  <si>
    <t>57190242812;26643168800</t>
  </si>
  <si>
    <t>Liu, Q.;Chew, W. C.</t>
  </si>
  <si>
    <t>Liu Q.</t>
  </si>
  <si>
    <t>Curve-fitting formulas for fast determination of accurate resonant frequency of circular microstrip patches</t>
  </si>
  <si>
    <t>10.1049/ip-h-2.1988.0060</t>
  </si>
  <si>
    <t>2-s2.0-0024090196</t>
  </si>
  <si>
    <t>['velocity error', 'platform tilt', 'master navigator', 'errors induced', 'bias errors']</t>
  </si>
  <si>
    <t>Synthetic Aperture Radar (SAR) motion can be compensated by using an antenna mounted strapdown inertial measurement unit (IMU) as the motion sensing system, but sensor and system errors affect SAR image quality. Strapdown IMU errors include gyro and accelerometer scale factor and bias errors, velocity error, platform tilt and errors induced by limited inertial sensor bandwidth. The effects of these errors on SAR image quality are presented in terms of the SAR impulse response and a motion compensation system conceptualization is described where an antenna-mounted strapdown IMU transfer-aligns to the aircraft's master navigator. ¬© 1988 IEEE</t>
  </si>
  <si>
    <t>32-35</t>
  </si>
  <si>
    <t>Kennedy, Thomas A.</t>
  </si>
  <si>
    <t>Kennedy T.A.</t>
  </si>
  <si>
    <t>Strapdown Inertial Measurement Units For Motion Compensation For Synthetic Aperture Radars</t>
  </si>
  <si>
    <t>10.1109/62.9371</t>
  </si>
  <si>
    <t>2-s2.0-0024090247</t>
  </si>
  <si>
    <t>['utilises sub', 'usual two', 'simultaneous synthesis', 'particular approach', 'optimum sum', 'independent synthesis', 'excitation matching', 'difference patterns', 'dealing directly', 'best compromise', 'array weights', 'array excitations', 'appropriately adjusting']</t>
  </si>
  <si>
    <t>Methods are available for the independent synthesis of array excitations which provide either optimum sum or optimum difference pattern performance. In the paper a technique is described to effect the simultaneous synthesis of both sum and difference patterns of a linear antenna array which utilises sub-arraying to increase the number of degrees of freedom above that available with the usual two-section feed network. The particular approach (referred to here as excitation matching) attempts to obtain an optimum sum (difference) and a 'best compromise' difference (sum) pattern, by dealing directly with the independently optimum excitations and appropriately adjusting the sub-array weights.</t>
  </si>
  <si>
    <t>293-296</t>
  </si>
  <si>
    <t>McNamara, Derek A.</t>
  </si>
  <si>
    <t>McNamara D.</t>
  </si>
  <si>
    <t>Synthesis of sub-arrayed monopulse linear arrays through matching of independently optimum sum and difference excitations</t>
  </si>
  <si>
    <t>10.1049/ip-h-2.1988.0061</t>
  </si>
  <si>
    <t>2-s2.0-0024090253</t>
  </si>
  <si>
    <t>['surface waves', 'sommerfeld integrals', 'rigorous analysis', 'paper deals', 'numerically approximating', 'numerical integration', 'multilayered medium', 'layered medium', 'image theory', 'exponential functions', 'distance limitation', 'discrete images']</t>
  </si>
  <si>
    <t>The paper deals with the evaluation of Sommerfeld integrals that appear in the rigorous analysis of radiating objects embedded in a layered medium. The discrete images of a horizontal electric dipole above or within a multilayered medium, can be obtained by numerically approximating the kernel in a Sommerfeld type integral, using a series of exponential functions with different complex coefficients. The distance limitation of the image theory expression is eliminated by cooperating the contribution of the surface waves. The validity of the image theory is examined by the method of numerical integration.</t>
  </si>
  <si>
    <t>297-303</t>
  </si>
  <si>
    <t>60080101;60080101;60080101</t>
  </si>
  <si>
    <t>56042261700;57206006267;7006002142</t>
  </si>
  <si>
    <t>Fang, D. G.;Yang, J. J.;Delisle, G. Y.</t>
  </si>
  <si>
    <t>Fuzhou</t>
  </si>
  <si>
    <t>East China Institute of Technology</t>
  </si>
  <si>
    <t>Fang D.</t>
  </si>
  <si>
    <t>Discrete image theory for horizontal electric dipoles in a multilayered medium</t>
  </si>
  <si>
    <t>10.1049/ip-h-2.1988.0062</t>
  </si>
  <si>
    <t>2-s2.0-0024090254</t>
  </si>
  <si>
    <t>['theoretical results', 'studied using', 'put forward', 'moment method', 'inclined slots', 'impedance parameters', 'good agreement', 'function theories', 'experimental measurement', 'equivalence circuits', 'dyadic green', 'coupling properties']</t>
  </si>
  <si>
    <t>The electromagnetic boundary value problem of finite thickness orthogonal waveguides coupled by inclined slots is studied using a moment method and dyadic Green's function theories. The coupling properties between two inclined slots are analysed and a model of equivalence circuits is put forward. Theoretical results are presented for scattering and impedance parameters of slots. In general, these are in good agreement with the experimental measurement.</t>
  </si>
  <si>
    <t>313-318</t>
  </si>
  <si>
    <t>60031031;60031031</t>
  </si>
  <si>
    <t>56716228900;57220831494</t>
  </si>
  <si>
    <t>Hanyang, W.;Wei, W.</t>
  </si>
  <si>
    <t>Jinan</t>
  </si>
  <si>
    <t>Shandong University</t>
  </si>
  <si>
    <t>Hanyang W.</t>
  </si>
  <si>
    <t>Moment method analysis of a feeding system in a slotted-waveguide antenna</t>
  </si>
  <si>
    <t>10.1049/ip-h-2.1988.0064</t>
  </si>
  <si>
    <t>2-s2.0-0024090801</t>
  </si>
  <si>
    <t>['uniformly distributed', 'systematically investigated', 'sufficiently suppressed', 'strongly localized', 'shielding strips', 'moment method', 'main interest', 'important results', 'faraday shield', 'experimental investigation', 'end effect', 'analytical simplicity', 'also performed']</t>
  </si>
  <si>
    <t>Characteristics of a half-turn loop antenna having a Faraday shield have been systematically investigated. The main interest is to clarify the Faraday shield effects on the near-zone electric field distribution. For analytical simplicity, a loop antenna located on an infinite conducting plane and radiating into semi-infinite vacuum space has been analyzed by using the moment method. Some important results have been obtained: In the presence of the Faraday shield, undesirable field components have been confirmed to be sufficiently suppressed and the heating component Ey, which otherwise is strongly localized as an end effect, has been found to be distributed uniformly along the antenna in the case of a short electric length. It is found that the shielding strips should be uniformly distributed over the entire region around the half-turn loop antenna. An experimental investigation is also performed to confirm the validity of the analysis. ¬© 1988 IEEE</t>
  </si>
  <si>
    <t>574-580</t>
  </si>
  <si>
    <t>60008435;60008435-60022990</t>
  </si>
  <si>
    <t>57203953646;56779495700</t>
  </si>
  <si>
    <t>Sawaya, Kunio;Adachi, Saburo</t>
  </si>
  <si>
    <t>Chofu;Sendai</t>
  </si>
  <si>
    <t>Japan Aerospace Exploration Agency;Tohoku University</t>
  </si>
  <si>
    <t>60022990;60008435</t>
  </si>
  <si>
    <t>Faraday Shield Effects on a Half-Turn Loop Antenna Used for ICRF Plasma Heating</t>
  </si>
  <si>
    <t>10.1109/27.8968</t>
  </si>
  <si>
    <t>2-s2.0-0024090825</t>
  </si>
  <si>
    <t>['system parameters', 'paper discusses', 'isodoppler contours', 'geometric limits', 'error analysis', 'clutter cells', 'careful measurements', 'calibration considerations']</t>
  </si>
  <si>
    <t>For the large angle bistatic geometries selected for this experiment, the isorange and isodoppler contours are aligned nearly parallel, thereby precluding normal processing for resolution. This causes the clutter cells to be large and elongated and impacts the achievable calibration accuracy for a clutter measurement system. In order to achieve an accuracy of approximately ¬± 4 dB, careful measurements of system parameters are required. This paper discusses the geometric limits, calibration considerations, and error analysis for such a system. ¬© 1988 IEEE</t>
  </si>
  <si>
    <t>27-31</t>
  </si>
  <si>
    <t>115425966;116437658;60023201</t>
  </si>
  <si>
    <t>7005187912;7801420936;7006175795</t>
  </si>
  <si>
    <t>Wicks, Michael;Stremler, Ferrel;Anthony, Stephen</t>
  </si>
  <si>
    <t>United States;United States;Italy</t>
  </si>
  <si>
    <t>Ann Arbor;ST. LOUIS;Rome</t>
  </si>
  <si>
    <t>Altarum Institute;University of Wisconsin;Rome Air Development Center</t>
  </si>
  <si>
    <t>60023201;116437658;115425966</t>
  </si>
  <si>
    <t>Wicks M.</t>
  </si>
  <si>
    <t>Airborne Ground Clutter Measurement System Design Considerations</t>
  </si>
  <si>
    <t>10.1109/62.9370</t>
  </si>
  <si>
    <t>2-s2.0-0024091190</t>
  </si>
  <si>
    <t>['width parameter', 'width effects', 'sufficient accuracy', 'slot scattering', 'scattering parameters', 'radiating slots', 'prior knowledge', 'paper includes', 'functional relationships', 'experimental observations', 'efficient implementation', 'discussed fully', 'dimensional parameters', 'considerably aided', 'cad developments', 'admittance characteristics']</t>
  </si>
  <si>
    <t>The moment method solution for the scattering parameters of radiating slots in waveguides has recently been shown to be of sufficient accuracy to form the basis of a purely theoretical CAD synthesis package for slotted-waveguide array antennas. However, the efficient implementation of such a package can be considerably aided if some prior knowledge of the functional relationships between the slot scattering or admittance characteristics, and its dimensional parameters is available. These relationships have been discussed fully, in the literature, for all dimensional parameters with the exception, curiously, of the width parameter. The paper includes some theoretical and experimental observations of those width effects that are most relevant to CAD developments.</t>
  </si>
  <si>
    <t>319-322</t>
  </si>
  <si>
    <t>7007049394;7102450073</t>
  </si>
  <si>
    <t>Sangster, A. J.;McCormick, A. H.I.</t>
  </si>
  <si>
    <t>Sangster A.</t>
  </si>
  <si>
    <t>Resonance characteristics of waveguide slot radiators with moderate width-to-length ratios</t>
  </si>
  <si>
    <t>10.1049/ip-h-2.1988.0065</t>
  </si>
  <si>
    <t>2-s2.0-0024091195</t>
  </si>
  <si>
    <t>['¬© 1988', 'rights reserved', 'picosecond photoconductors', 'electrical engineers', 'antenna bandwidth', '150 ghz']</t>
  </si>
  <si>
    <t>Antennas | Broadband antennas | Optoelectronics | Transient electromagnetics | Transmission lines</t>
  </si>
  <si>
    <t>Exponentially tapered coplanar stripline antennas are characterised for the generation of broadband transient radiation with excitations from picosecond photoconductors. The measured radiation spectrum extends up to 150 GHz. The dependence of the antenna bandwidth on its geometry is investigated. ¬© 1988, The Institution of Electrical Engineers. All rights reserved.</t>
  </si>
  <si>
    <t>1318-1319</t>
  </si>
  <si>
    <t>60011048;60011048;60011048;60011048</t>
  </si>
  <si>
    <t>6602459372;7004102516;7003917289;6604060955</t>
  </si>
  <si>
    <t>Pastol, Y.;Arjavalingam, G.;Halbout, J. M.;Kopcsay, G. V.</t>
  </si>
  <si>
    <t>Yorktown Heights</t>
  </si>
  <si>
    <t>IBM Research</t>
  </si>
  <si>
    <t>Pastol Y.</t>
  </si>
  <si>
    <t>Characterisation Of An Optoelectronically Pulsed Broadband Microwave Antenna</t>
  </si>
  <si>
    <t>10.1049/el:19880896</t>
  </si>
  <si>
    <t>2-s2.0-0024091247</t>
  </si>
  <si>
    <t>['œü across', 'symmetrical networks', 'output ports', 'odd multiples', 'butler matrices', 'also shown']</t>
  </si>
  <si>
    <t>This short paper deals with the positions and magnitudes of fixed phase shifters used in Butler matrices with 90¬∞ hybrids. These matrices are symmetrical networks which produce phase shifts that are odd multiples of œÜ across the output ports. Simplified design procedures are detailed for positioning the fixed phase shifters, and their magnitudes are given for a 32 √ó 32 matrix. A 16 √ó 16 matrix is also shown and procedures for a matrix of any order are indicated.</t>
  </si>
  <si>
    <t>359-360</t>
  </si>
  <si>
    <t>Macnamara, T. M.</t>
  </si>
  <si>
    <t>Leatherhead</t>
  </si>
  <si>
    <t>ERA Technology Ltd</t>
  </si>
  <si>
    <t>Macnamara T.</t>
  </si>
  <si>
    <t>Positions and magnitudes of fixed phase shifters in butler matrices incorporating 90¬∞ hybrids</t>
  </si>
  <si>
    <t>10.1049/ip-h-2.1988.0075</t>
  </si>
  <si>
    <t>2-s2.0-0024091286</t>
  </si>
  <si>
    <t>['small adjustments', 'riccati equation', 'return loss', 'iterative procedure', 'frequency response', 'excellent agreement', 'coaxial cable', 'accurate design']</t>
  </si>
  <si>
    <t>Based on the solution of Riccati equation a design of a microstrip exponentially tapered transmission line for matching two real impedances is worked out. An iterative procedure is used to yield the phase constant leading to an accurate design. The design is used to match a helix to a coaxial cable. A comparison of theoretical and experimental results shows an excellent agreement. It is found that small adjustments in the return loss and flattening of the frequency response is possible with a metallic tuning foil.</t>
  </si>
  <si>
    <t>426-429</t>
  </si>
  <si>
    <t>IETE Technical Review (Institution of Electronics and Telecommunication Engineers, India)</t>
  </si>
  <si>
    <t>60002874;60002874</t>
  </si>
  <si>
    <t>57213453102;55547130349</t>
  </si>
  <si>
    <t>Mathur, S. P.;Sinha, Ashok K.</t>
  </si>
  <si>
    <t>Design of microstrip exponentially tapered lines to match helical antennas to standard coaxial transmission lines</t>
  </si>
  <si>
    <t>10.1080/02564602.1988.11438369</t>
  </si>
  <si>
    <t>2-s2.0-0024091406</t>
  </si>
  <si>
    <t>['using shore', 'using narrow', 'signal reception', 'ship paths', 'sea reflection', 'results obtained', 'results indicate', 'quantitative analysis', 'performed based', 'maximum power', 'incoherent power', 'incoherent component', 'field experiments', 'elevation angles', 'coherent component', 'calm sea', 'beam antennas', '5 ghz', '21 db', '13 dbi']</t>
  </si>
  <si>
    <t>Quantitative analysis of the coherent and incoherent power of sea reflected waves at 1.5 GHz was performed based on the multipath fading data obtained by field experiments. The experiments were carried out by using shore-to-shore, satellite-to-shore, and satellite-to-ship paths, and antennas with gains from 13 dBi to 21 dB/ were used for signal reception. Results indicate that, in rough sea conditions where the incoherent component is dominant, the power of the incoherent component can reach the maximum power of the coherent component (generated in calm sea) in most cases, except for a few cases such as when measured by using narrow-beam antennas or elevation angles below 7‚Ä¢. Based on the results obtained, a simple prediction method of multipath fading caused by sea reflection is presented. ¬© 1988 IEEE</t>
  </si>
  <si>
    <t>1098-1104</t>
  </si>
  <si>
    <t>113191532;113191532</t>
  </si>
  <si>
    <t>7102618328;7005154210</t>
  </si>
  <si>
    <t>Karasawa, Yoshlo;Shiokawa, Takayasu</t>
  </si>
  <si>
    <t>Predio Meguro Science Laboratory</t>
  </si>
  <si>
    <t>Karasawa Y.</t>
  </si>
  <si>
    <t>A Simple Prediction Method for L-Band Multipath Fading in Rough Sea Conditions</t>
  </si>
  <si>
    <t>10.1109/26.7526</t>
  </si>
  <si>
    <t>2-s2.0-0024091427</t>
  </si>
  <si>
    <t>['¬© 1988', 'rights reserved', 'radiation pattern', 'far field', 'electrical engineers', 'computed using', 'cavity model', 'analytical expressions']</t>
  </si>
  <si>
    <t>Antenna radiation patterns | Antennas | Microstrip | Waveguide antennas</t>
  </si>
  <si>
    <t>The radiation pattern of a square patch mounted diagonally on a cylinder is computed using the cavity model. Analytical expressions for the far field are presented and calculations are compared with measurements. ¬© 1988, The Institution of Electrical Engineers. All rights reserved.</t>
  </si>
  <si>
    <t>1321-1322</t>
  </si>
  <si>
    <t>Hamadallah, M.</t>
  </si>
  <si>
    <t>Issy-les-Moulineaux</t>
  </si>
  <si>
    <t>Orange Labs</t>
  </si>
  <si>
    <t>Hamadallah M.</t>
  </si>
  <si>
    <t>Radiation Pattern Of Square Patch Mounted Diagonally On Cylinder</t>
  </si>
  <si>
    <t>10.1049/el:19880898</t>
  </si>
  <si>
    <t>2-s2.0-0024091599</t>
  </si>
  <si>
    <t>['two radars', 'system developed', 'slant range', 'remote sensing', 'realtime processor', 'realtime imagery', 'polarized antennas', 'lower resolution', 'key specifications', 'incidence angles', 'high quality', 'either side', 'data products', 'channel receivers', 'canada centre', 'antenna steering', '80 ¬∞.', '63 km', '4 km']</t>
  </si>
  <si>
    <t>The new airborne synthetic aperture radar (SAR) system developed for the Canada Centre for Remote Sensing is described. It consists of two radars at C and X-Bands. Each radar incorporates dual-channel receivers and dual-polarized antennas; a high quality, 7-look, RealTime processor; a sensitivity time control for range dependent gain control; a motion compensation system for antenna steering in azimuth and elevation, and baseband I and Q signal phase rotation. The system also features a high power transmitter with a low power backup. It maps to either side of the aircraft, at high (5.6 m slant range, 6 m azimuth) or low (20 m slant range, 10 m azimuth) resolution, at incidence angles which in high resolution span 0¬∞ to 80¬∞. In the higher resolution mode, the slant range swath width is 16.4 km; while it is 63 km for the lower resolution, wide swath mode, with 4096 range cells in each case. This paper briefly describes the radar operating parameters, data products, key specifications and the motion compensation scheme used. Properties of the RealTime imagery are discussed and examples of C-Band SAR data in the three operating modes are presented. ¬© 1988 IEEE</t>
  </si>
  <si>
    <t>60005603;60005603;60005603;60004205</t>
  </si>
  <si>
    <t>7006165751;35576152300;7402932533;57209828482</t>
  </si>
  <si>
    <t>Livingstone, C. E.;Gray, A. L.;Hawkins, R. K.;Olsen, R. B.</t>
  </si>
  <si>
    <t>Canada;Norway</t>
  </si>
  <si>
    <t>Ottawa;Trondheim</t>
  </si>
  <si>
    <t>Canada Centre for Remote Sensing;SINTEF Foundation for Scientific and Industrial Research</t>
  </si>
  <si>
    <t>60005603;60004205</t>
  </si>
  <si>
    <t>Livingstone C.E.</t>
  </si>
  <si>
    <t>Ccrs C/X-Airborne Synthetic Aperture Radar: An R And D Tool For The Ers-1 Time Frame</t>
  </si>
  <si>
    <t>10.1109/62.9368</t>
  </si>
  <si>
    <t>2-s2.0-0024091768</t>
  </si>
  <si>
    <t>['shaped beams', 'radiation characteristics', 'optical synthesis', 'evaluates efficiently', 'double integral']</t>
  </si>
  <si>
    <t>A technique is proposed that evaluates efficiently the coefficients of a spherical wave expansion and is applicable to the optical synthesis of shaped beams. The method which extends previously published work, avoids the need to directly evaluate numerically a double integral to compute each coefficient. Examples are given of the technique when applied to Westcott's far-field optical synthesis procedure. The use of a tapered optical field distribution to improve the radiation characteristics of a shaped beam antenna is demonstrated.</t>
  </si>
  <si>
    <t>327-332</t>
  </si>
  <si>
    <t>Spherical wave expansions for shaped beam synthesis</t>
  </si>
  <si>
    <t>10.1049/ip-h-2.1988.0067</t>
  </si>
  <si>
    <t>2-s2.0-0024091893</t>
  </si>
  <si>
    <t>1 pol CA42745-01A1</t>
  </si>
  <si>
    <t>['surface integral', 'spatial distribution', 'interstitial antennas', 'equivalent phantoms', 'biological tissue']</t>
  </si>
  <si>
    <t>The spatial distribution of microwave energy absorbed per unit mass (the specific absorption rate, or SAR) in biological tissue is calculated for a class of interstitial antennas. The insulated interstitial applicator is simulated as an asymmetrically driven antenna. An expression for the electric field intensity near the antenna is derived and calculated by direct numerical evaluation of a surface integral over the insulation. The predicted SAR patterns obtained using the calculated electric field intensity and the tissue conductivity agree very well with the measured SAR distributions around three different applicators in muscle-equivalent phantoms. ¬© 1988 IEEE</t>
  </si>
  <si>
    <t>1438-1444</t>
  </si>
  <si>
    <t>60008724;60008724;60008724;60008724</t>
  </si>
  <si>
    <t>55876267500;7801566499;6507004320;7004721662</t>
  </si>
  <si>
    <t>Zhang, Yang;Dubal, Nilesh V.;Takemoto-Hambleton, Randall;Joines, William T.</t>
  </si>
  <si>
    <t>Durham</t>
  </si>
  <si>
    <t>Duke University</t>
  </si>
  <si>
    <t>Zhang Y.</t>
  </si>
  <si>
    <t>The Determination of the Electromagnetic Field and SAR Pattern of an Interstitial Applicator in a Dissipative Dielectric Medium</t>
  </si>
  <si>
    <t>10.1109/22.6092</t>
  </si>
  <si>
    <t>2-s2.0-0024092081</t>
  </si>
  <si>
    <t>['‚ àí1', 'strongly dependent', 'selectively excited', 'proper phasing', 'left rotating', 'ion heating', 'icrf waves', 'azimuthal spectrum', 'azimuthal mode', 'antenna set', 'antenna field']</t>
  </si>
  <si>
    <t>A rotating field antenna set ‚Äî a pair of two closely spaced dual half-turn antennas ‚Äî is used to tailor the azimuthal spectrum of the antenna field. It is demonstrated that the azimuthal mode of ICRF waves can be controlled by proper phasing of the antenna set. Ion heating is shown to be strongly dependent on the azimuthal mode number. When the antenna set is operated in the m = ‚àí1 (left rotating) mode, the m = ‚àí1 modified ion cyclotron wave is selectively excited, resulting in efficient ion heating. ¬© 1988 IOP Publishing Ltd.</t>
  </si>
  <si>
    <t>1765-1770</t>
  </si>
  <si>
    <t>60011001;60032179;60032179;60032179;116289914</t>
  </si>
  <si>
    <t>56102798000;35356029400;56760500900;7006072211;37013964200</t>
  </si>
  <si>
    <t>Yasaka, Y.;Majeski, R.;Browning, J.;Hershkowitz, N.;Roberts, D.</t>
  </si>
  <si>
    <t>United States;Japan;United States</t>
  </si>
  <si>
    <t>Madison;Kyoto;</t>
  </si>
  <si>
    <t>University of Wisconsin-Madison;Kyoto University;Magnetic Fusion Energy Technology Fellow</t>
  </si>
  <si>
    <t>60032179;60011001;116289914</t>
  </si>
  <si>
    <t>Yasaka Y.</t>
  </si>
  <si>
    <t>ICRF heating with mode control provided by a rotating field antenna</t>
  </si>
  <si>
    <t>10.1088/0029-5515/28/10/005</t>
  </si>
  <si>
    <t>2-s2.0-0024092106</t>
  </si>
  <si>
    <t>['waves heating', 'tail generation', 'spatial profiles', 'rf losses', 'power transferred', 'planck code', 'optimum conditions', 'loading resistance', 'ion temperature', 'impurity production', 'h transition', 'bulk electrons', 'asdex tokamak']</t>
  </si>
  <si>
    <t>Asdex plasma | Heating analysis | Heating profile | Icrf wave | Loading resistance | Peripheral phenomena | Tail | Tokamak</t>
  </si>
  <si>
    <t>ICRF (ion cyclotron range of frequencies) waves heating in an ASDEX tokamak are analyzed. The excitation, propagation and absorption are studied by using a global wave code. This analysis is combined with a Fokker-Planck code. The waveform in the plasma, the loading resistance and the reactance of the antenna are calculated for both the minority ion heating and the second harmonlc resonance heating. Attention is given to the change of the antenna loading associated with the L/H transition. Optimum conditions for the loading are discussed. In the minority heating case, the tail generation and thermalization are analyzed. Spatial profiles of the tail-ion temperature and the power transferred to the bulk electrons and ions are obtained. Central as well as off-central heating cases are investigated. The effect of the reactive electric field is discussed in connection with rf losses and impurity production. ¬© 1988 IOP Publishing Ltd.</t>
  </si>
  <si>
    <t>1947-1959</t>
  </si>
  <si>
    <t>10 R</t>
  </si>
  <si>
    <t>60030788;60030788-60011001;60030788-60023147;60030788-60023147;60030788-60026838;60030788-60026838</t>
  </si>
  <si>
    <t>35352798500;13306390500;7005509402;36091525800;22969242500;7003267283</t>
  </si>
  <si>
    <t>Ito, Sanae I.;Itoh, Kimitaka;Fukuyama, Atsushi;Morishita, Takayuki;Steinmetz, Karl;Noterdaeme, Jean M.</t>
  </si>
  <si>
    <t>Japan;Germany;Japan;Japan</t>
  </si>
  <si>
    <t>Higashihiroshima;Garching bei Munchen;Okayama;Kyoto</t>
  </si>
  <si>
    <t>Hiroshima University;Max Planck Institute for Plasma Physics;Okayama University;Kyoto University</t>
  </si>
  <si>
    <t>60030788;60026838;60023147;60011001</t>
  </si>
  <si>
    <t>Ito S.</t>
  </si>
  <si>
    <t>ICRF heating analysis on ASDEX plasmas</t>
  </si>
  <si>
    <t>10.1143/JJAP.27.1947</t>
  </si>
  <si>
    <t>2-s2.0-0024092402</t>
  </si>
  <si>
    <t>['sidelobe reception', 'present paper', 'one station', 'important problem', 'gain antenna', 'aspect angle', 'antenna appears']</t>
  </si>
  <si>
    <t>Certain radio systems have a narrow beam directive antenna at the one station and a low-gain antenna at the other station. An important problem when operating such systems is to discriminate between mainlobe and sidelobe reception. In the present paper, a novel discrimination method is presented. This method takes advantage of the fact that a broadband signal transmitted or received over a directive antenna may suffer distortions which depend on the aspect angle under which this antenna appears from the other station. ¬© 1988 IEEE</t>
  </si>
  <si>
    <t>1105-1109</t>
  </si>
  <si>
    <t>60009941;60009941</t>
  </si>
  <si>
    <t>7005997210;36893861200</t>
  </si>
  <si>
    <t>Baier, Paul W.;Rausch, Peter</t>
  </si>
  <si>
    <t>Kaiserslautern</t>
  </si>
  <si>
    <t>Technische Universit√§t Kaiserslautern</t>
  </si>
  <si>
    <t>Baier P.</t>
  </si>
  <si>
    <t>Discrimination Between Mainlobe and Sidelobe Reception by Signal Distortion Analysis</t>
  </si>
  <si>
    <t>10.1109/26.7527</t>
  </si>
  <si>
    <t>2-s2.0-0024092529</t>
  </si>
  <si>
    <t>['substrates illustrating', 'simple configurations', 'several microwave', 'invisibility achievable', 'innovation centres', 'field radiation', 'electromagnetic window', 'dominant effect', 'development concerning', 'close proximity', 'antenna aperture', 'also includes', 'also functions']</t>
  </si>
  <si>
    <t>The dichroic microstrip antenna concept is reported which enables an antenna aperture to function at two widely separated frequencies FH and fL. The innovation centres on the utilisation of printed frequency selective mesh conductors as microstrip patch antennas at fL, which in turn become transparent to near-field radiation at fH from another microstrip array in close proximity. An approximate analysis shows that the mesh perimeter scattering has a dominant effect on the degree of invisibility achievable, and for simple configurations the NEC computer program models the behaviour which also includes a leaky wave action. Radiation pattern measurements on several microwave and millimetre dual band arrays using low permittivity (Œµr = 1.05) substrates illustrating the concept are presented and a further development concerning an array that also functions as an electromagnetic window.</t>
  </si>
  <si>
    <t>304-312</t>
  </si>
  <si>
    <t>7403018268;6602536785</t>
  </si>
  <si>
    <t>James, J. R.;Andrasic, G.</t>
  </si>
  <si>
    <t>James J.</t>
  </si>
  <si>
    <t>Superimposed dichroic microstrip antenna arrays</t>
  </si>
  <si>
    <t>10.1049/ip-h-2.1988.0063</t>
  </si>
  <si>
    <t>2-s2.0-0024092694</t>
  </si>
  <si>
    <t>['well suited', 'theoretical results', 'simple model', 'input resistance', 'input impedance', 'inductive reactance', 'good agreement', 'fringing field', 'experimental data', 'dynamic permittivity', 'classical methods', 'cad ).']</t>
  </si>
  <si>
    <t>We present a simple model for the input impedance of a rectangular microstrip patch antenna. This model is well suited for computer aided design (CAD). It is based on classical methods: (a) the cavity model determining the frequency and the input resistance at resonance, (b) the dynamic permittivity of a rectangular microstrip patch antenna (to take into account the influence of the fringing field at the edges of the rectangular patch antenna) and (c) the resonant parallel RLC circuit with an inductive reactance. This model is valid for electrically thick substrates. The theoretical results are in good agreement with experimental data.</t>
  </si>
  <si>
    <t>323-326</t>
  </si>
  <si>
    <t>Simple model for the input impedance of coax-fed rectangular microstrip patch antenna for CAD</t>
  </si>
  <si>
    <t>10.1049/ip-h-2.1988.0066</t>
  </si>
  <si>
    <t>2-s2.0-0024092695</t>
  </si>
  <si>
    <t>['vision track', 'video tape', 'video camera', 'subject recorded', 'subject jumped', 'single transmitter', 'signals due', 'reproducer systems', 'real time', 'qrs complex', 'optical fiber', 'observed synchronously', 'marker ropes', 'fm radip', 'equally useful', 'electromagnetic wave', 'ecg signals', 'ecg could', 'diving platform', 'continuous recording', 'conductive transmission', 'clear difference', 'audio track', 'also recorded']</t>
  </si>
  <si>
    <t>A technique for human ECG telemetry that is equally useful on land and in water, i.e., amphibious ECG telemetry, with a single transmitter was developed. For the ECG on land, an electromagnetic wave of 79 MHz FM VHF was used, while for the ECG under water, a 77 kHz FM current was used. The VHF was received by an aerial of an FM radip and the current by two underwater antennas along course-marker ropes. When a subject jumped from a diving platform into the water, continuous recording of ECG signals was possible with only a short time disturbance of the signals due to change in posture of the subject before jumping. This indicates rapid switching from electromagnetic to conductive transmission. The ECG was exhibited with an oscilloscope at its real time by interposing an isolator with an optical fiber between the receiver and the reproducer systems for safety. ECG signals were also recorded on the audio track of video tape through a video camera, and so the behavior of the subject recorded on the vision track of the tape and the ECG could be observed synchronously. The ECG's on land and during surface or underwater swimming showed a clear difference in the QRS complex and T wave. ¬© 1988 IEEE</t>
  </si>
  <si>
    <t>881-884</t>
  </si>
  <si>
    <t>60024488;60024488;60024488;60024488;60024488;60024488;60024488;60024488;60024488</t>
  </si>
  <si>
    <t>6506824671;7404274516;36476522300;55628564598;7003931864;6603090277;7401677652;16445636400;55697138500</t>
  </si>
  <si>
    <t>Utsuyama, Noboru;Yamaguchi, Hisao;Obara, Shigeru;Tanaka, Hiroyuki;Fukuta, Seiichi;Nakahira, Jun;Tanabe, Shingo;Bando, Eizo;Miyamoto, Hiroshi</t>
  </si>
  <si>
    <t>Tokushima</t>
  </si>
  <si>
    <t>Tokushima University Faculty of Medicine</t>
  </si>
  <si>
    <t>Utsuyama N.</t>
  </si>
  <si>
    <t>Telemetry of Human Electrocardiograms in Aerial and Aquatic Environments</t>
  </si>
  <si>
    <t>10.1109/10.7297</t>
  </si>
  <si>
    <t>2-s2.0-0024094413</t>
  </si>
  <si>
    <t>ECS-8307032</t>
  </si>
  <si>
    <t>['wavelength achieves', 'various sites', 'treatment modality', 'tip section', 'substantial increase', 'sar distribution', 'results show', 'resonant length', 'resonant dipoles', 'muscle phantom', 'little effect', 'junction regardless', 'insertion depth', 'distribution near', 'dimensions studied', 'coaxial antennas', 'catheter wall', 'antenna tip', 'antenna designs', '915 mhz']</t>
  </si>
  <si>
    <t>Many research centers are investigating interstitial microwave antenna array hyperthermia (IMAAH) systems as a treatment modality for tumors at various sites. This paper presents theoretical and experimental specific absorption rate (SAR, W/kg) distributions for single insulated antennas operating at 915 MHz in muscle phantom; SAR is deduced from measured temperature rise. These coaxial antennas were typically 1‚Äì2 mm in diameter and 5‚Äì10 cm in length. Results show that dipoles with lengths much shorter than their resonant length have a characteristically large reactive input impedance component and a substantially smaller absolute SAR magnitude than resonant dipoles. Over the range of dimensions studied, the thickness of the catheter wall has little effect on the SAR distribution. All cases investigated demonstrate that the maximum SAR occurs near the junction regardless of insertion depth. Furthermore, the insertion depth has little effect on the radial SAR distribution or the distribution near the antenna tip. If the length of the tip section is shorter than resonant length, the radial SAR pattern decreases. As predicted by theory, experimental results show that an antenna with the tip section equal to a quarter-wavelength and the insertion depth equal to a half-wavelength achieves a substantial increase in the longitudinal power distribution compared to other antenna designs that were evaluated. ¬© 1988 IEEE</t>
  </si>
  <si>
    <t>851-857</t>
  </si>
  <si>
    <t>55471810700;6602167161;7003830659;7005534211</t>
  </si>
  <si>
    <t>Jones, Kenneth M.;Mechling, Joyce A.;Trembly, B. Stuart;Strohbehn, John W.</t>
  </si>
  <si>
    <t>Jones K.</t>
  </si>
  <si>
    <t>SAR Distributions for 915 MHz Interstitial Microwave Antennas Used in Hyperthermia for Cancer Therapy</t>
  </si>
  <si>
    <t>10.1109/10.7292</t>
  </si>
  <si>
    <t>2-s2.0-0024095213</t>
  </si>
  <si>
    <t>['results validate', 'rectangular waveguide', 'plane scanning', 'permits e', 'longitudinal slots', 'eight array', 'design procedure']</t>
  </si>
  <si>
    <t>Elliott's design procedure for arrays of longitudinal slots in one broad wall of each rectangular waveguide is extended to the case that the waveguides have ridges in the opposite broad walls. External mutual coupling has been taken into account. A two-by-eight array was constructed and tested; the results validate the theory. Ridging is significant because it permits E-plane scanning from broadside to endfire. ¬© 1988 IEEE</t>
  </si>
  <si>
    <t>1531-1536</t>
  </si>
  <si>
    <t>101047617;60027550</t>
  </si>
  <si>
    <t>56109731000;57220065537</t>
  </si>
  <si>
    <t>Kim, David Y.;Elliott, Robert S.</t>
  </si>
  <si>
    <t>Los Angeles;Chatsworth</t>
  </si>
  <si>
    <t>University of California, Los Angeles;MDM Inc</t>
  </si>
  <si>
    <t>60027550;101047617</t>
  </si>
  <si>
    <t>Kim D.Y.</t>
  </si>
  <si>
    <t>A Design Procedure for Slot Arrays Fed by Single-Ridge Waveguide</t>
  </si>
  <si>
    <t>10.1109/8.9701</t>
  </si>
  <si>
    <t>2-s2.0-0024103868</t>
  </si>
  <si>
    <t>['variable phase', 'specified gain', 'power methods', 'circular array', 'antenna elements']</t>
  </si>
  <si>
    <t>Antenna array optimization by a biquadratic programming method is formulated with variable phase (analog and digital) and constant amplitude excitation. The method can optimize an antenna performance index expressible as a ratio of Hermitian quadratic forms. Power gain optimization and least squares pattern synthesis with a specified gain are illustrated. A linear, planar, and circular array with dipole or circular loop elements is optimized while mutual coupling effects between antenna elements are taken into account. The method shows much more rapid convergence characteristics compared with the Rosenbrock and Fletcher-Power methods. ¬© 1988 IEEE</t>
  </si>
  <si>
    <t>1545-1550</t>
  </si>
  <si>
    <t>Hirasawa, Kazuhiro</t>
  </si>
  <si>
    <t>Hirasawa K.</t>
  </si>
  <si>
    <t>The Application of a Biquadratic Programming Method to Phase-Only Optimization of Antenna Arrays</t>
  </si>
  <si>
    <t>10.1109/8.9703</t>
  </si>
  <si>
    <t>2-s2.0-0024103869</t>
  </si>
  <si>
    <t>['type integrals', 'physical interpretation', 'identify closed', 'form integrals', 'field expressions', 'far field', 'easily remembered', 'closed form', 'allow us']</t>
  </si>
  <si>
    <t>A method to evaluate the Sommerfeld-Weyl-type integral rapidly in the far field is reviewed. With such a method, one can perform ‚Äúback-of-the-envelope‚Äù derivations for the Far-Field expressions of Sommerfeld-Weyl-type integrals. First, the stationary phase point of the integrand is identified, which can be easily remembered from its physical interpretation. Next, we identify closed-form integrals that allow us to integrate the rapidly varying part of the integrand in closed form. ¬© 1988 IEEE</t>
  </si>
  <si>
    <t>1654-1657</t>
  </si>
  <si>
    <t>Chew, W. C.</t>
  </si>
  <si>
    <t>A Quick Way to Approximate a Sommerfeld-Weyl-Type Integral</t>
  </si>
  <si>
    <t>10.1109/8.9724</t>
  </si>
  <si>
    <t>2-s2.0-0024103886</t>
  </si>
  <si>
    <t>['vector processor', 'uniform intervals', 'tensor products', 'surface coordinates', 'rays traced', 'purpose two', 'purpose method', 'polar coordinates', 'parametric representation', 'ordinary one', 'order convergence', 'interpolation method', 'inflection points', 'dimensional splines', 'dimensional interpolant', 'cross sections', 'cartesian component', 'calculations involved', 'bicubic spline', 'aperture disk', 'also integrated']</t>
  </si>
  <si>
    <t>An interpolation method for shaped reflector antennas and similar smooth surfaces is developed using cubic spline interpolants in a parametric representation. Ordinary one-dimensional splines are combined in tensor products to give a two-dimensional interpolant for each Cartesian component of points on the surface. The two independent variables are the polar coordinates of rays traced from an aperture disk. This ray tracing maps a grid of lines from the aperture to the surface being interpolated and gives a general-purpose method for interpolating smooth surfaces. The polar coordinates are partitioned into uniform intervals, which simplifies the calculations. The interpolant is differentiated to provide partial derivatives of the surface coordinates, and these derivatives are combined to give surface normals and Jacobians. The bicubic spline is also integrated to give a general-purpose two-dimensional integration routine. The parametric form makes it easy to find a variety of cross sections, boundaries, inflection points, and other characteristics of the surface. The method has fourth-order convergence, and almost all of the calculations involved can be performed on a vector processor. ¬© 1988 IEEE</t>
  </si>
  <si>
    <t>1560-1565</t>
  </si>
  <si>
    <t>Baker, Lynn A.</t>
  </si>
  <si>
    <t>Ithaca</t>
  </si>
  <si>
    <t>Cornell University</t>
  </si>
  <si>
    <t>Baker L.</t>
  </si>
  <si>
    <t>The ‚ÄúClamshell Problem‚Äù-Interpolation of Shaped Reflectors and Other Smooth Surfaces</t>
  </si>
  <si>
    <t>10.1109/8.9705</t>
  </si>
  <si>
    <t>2-s2.0-0024103957</t>
  </si>
  <si>
    <t>DA-AG-84-K-0076</t>
  </si>
  <si>
    <t>['resonant frequencies', 'radiation patterns', 'numerical solution', 'numerical results', 'novel design', 'experimental data', 'characteristic equation', 'also calculated']</t>
  </si>
  <si>
    <t>The characteristics of a coupled slot resonator suitable for novel design of an integrated planar antenna are analyzed. The analysis is based on the spectral domain immittance matrix approach, and all the wave phenomena associated with the structure are incorporated. The resonant frequencies in the even and odd resonance modes are evaluated from the numerical solution of the characteristic equation. The radiation patterns are also calculated. Some numerical results are compared with experimental data. ¬© 1988 IEEE</t>
  </si>
  <si>
    <t>1620-1624</t>
  </si>
  <si>
    <t>60013372;60013372;60013372</t>
  </si>
  <si>
    <t>8321667800;36041035600;7202062608</t>
  </si>
  <si>
    <t>Wang, T. H.;Itoh, T.;Ling, H.</t>
  </si>
  <si>
    <t>Austin</t>
  </si>
  <si>
    <t>The University of Texas at Austin</t>
  </si>
  <si>
    <t>Wang T.H.</t>
  </si>
  <si>
    <t>Spectral Domain Analysis of a Coupled Slot Antenna</t>
  </si>
  <si>
    <t>10.1109/8.9715</t>
  </si>
  <si>
    <t>2-s2.0-0024103986</t>
  </si>
  <si>
    <t>['systematically reduced', 'phase planarity', 'measurement values', 'measurement error', 'measured signal', 'measured samples', 'illuminating field', 'field criterion', 'error produced']</t>
  </si>
  <si>
    <t>Two theoretical models for radar cross section (RCS) measurements of electrically large targets consisting of multiple independent point scatterers are developed to determine the accuracy with which sample averages approximate true average RCS. Two specific sources of measurement error are addressed. The Far-Field criterion is shown to depend on antenna beamwidth rather than phase planarity of the illuminating field at the target, resulting in a greatly reduced requirement for separation between radar and target. The effect of clutter on the measured signal is found by determination of the joint probability density between the target and the measurement values, and the variance of the error produced by the clutter is shown to be systematically reduced by averaging a number of measured samples. ¬© 1988 IEEE</t>
  </si>
  <si>
    <t>1587-1593</t>
  </si>
  <si>
    <t>60021706;60021706</t>
  </si>
  <si>
    <t>7103294269;7201514175</t>
  </si>
  <si>
    <t>Welsh, Byron M.;Link, Jon N.</t>
  </si>
  <si>
    <t>Edwards AFB</t>
  </si>
  <si>
    <t>Edwards Air Force Base</t>
  </si>
  <si>
    <t>Welsh B.M.</t>
  </si>
  <si>
    <t>Accuracy Criteria for Radar Cross Section Measurements of Targets Consisting of Multiple Independent Scatterers</t>
  </si>
  <si>
    <t>10.1109/8.9709</t>
  </si>
  <si>
    <t>2-s2.0-0024104048</t>
  </si>
  <si>
    <t>1-5-29350</t>
  </si>
  <si>
    <t>['tunnel diodes', 'pin diodes', 'multiple loadings', 'gunn diodes', 'dipoles loaded', 'active diodes']</t>
  </si>
  <si>
    <t>The problem of scattering from dipoles arbitrarily loaded with passive and active diodes is solved by the method of moments. Results are presented for the tumble average scattering cross section of dipoles loaded with PIN diodes, and negative resistance diodes such as tunnel diodes and Gunn diodes. Single as well as multiple loadings are considered. ¬© 1988 IEEE</t>
  </si>
  <si>
    <t>1649-1651</t>
  </si>
  <si>
    <t>7004052021;7601396617</t>
  </si>
  <si>
    <t>Janaswamy, Ramakrishna;Lee, Shung Wu</t>
  </si>
  <si>
    <t>Janaswamy R.</t>
  </si>
  <si>
    <t>Scattering from Dipoles Loaded with Diodes</t>
  </si>
  <si>
    <t>10.1109/8.9722</t>
  </si>
  <si>
    <t>2-s2.0-0024104049</t>
  </si>
  <si>
    <t>DASG-60-84-C-0091</t>
  </si>
  <si>
    <t>['unbalanced feed', 'transverse electric', 'substrate thickness', 'space constraints', 'single probe', 'scan volume', 'pronounced surface', 'plane scan', 'performance trends', 'patch resonance', 'patch dimensions', 'limited primarily', 'large fraction', 'element suitable', 'element spacing', 'broadside scan', 'becomes pronounced']</t>
  </si>
  <si>
    <t>The performance trends of large phased arrays with probe-fed microstrip patch elements are discussed. In view of space constraints, this paper is limited primarily to single probe (unbalanced feed) for rectangular grid arrays with rectangular patch geometry. For balanced feed treatment, the reader is referred to Liu et al. in Proceedings Phased Array 1985 Symposium. The effects of substrate thickness and permittivity, patch dimensions and element spacing are considered. Pronounced surface and leaky wave effects which tend to limit the scan volume are found. Interaction between the patch resonance at broadside scan and the leaky wave resonances leads to an E-plane scan bandwidth tradeoff. In the H-plane scan a transverse electric (TE)-type guided wave resonance is found which becomes pronounced when the H-plane patch dimension is a large fraction of the H-plane element spacing. This leads to a limitation of the H-plane patch dimension in the rectangular grid arrays. Based on the performance trends, a proposed element design procedure is presented and illustrated by design of an element suitable for wide angle scan over ¬± 5 percent frequency band. ¬© 1988 IEEE</t>
  </si>
  <si>
    <t>1501-1509</t>
  </si>
  <si>
    <t>60108318;60108318;60108318</t>
  </si>
  <si>
    <t>7409791535;7005831705;6602805535</t>
  </si>
  <si>
    <t>Liu, Chung Cytz;Hessel, Alexander;Shmoys, Jerry</t>
  </si>
  <si>
    <t>NYU Tandon School of Engineering</t>
  </si>
  <si>
    <t>Liu C.C.</t>
  </si>
  <si>
    <t>Performance of Probe-Fed Microstrip-Patch Element Phased Arrays</t>
  </si>
  <si>
    <t>10.1109/8.9697</t>
  </si>
  <si>
    <t>2-s2.0-0024104070</t>
  </si>
  <si>
    <t>['theoretical data', 'ground plane', 'good agreement', 'experimental 19', 'dipole antennas']</t>
  </si>
  <si>
    <t>The element gain pattern for finite phased arrays of dual-polarized crossed V-dipole antennas over ground plane is addressed. The method of moments is used to predict the center element gain pattern. An experimental 19-element passively terminated planar array is described, and center-element gain pattern measurements are presented. The theoretical data are shown to be in good agreement with measurements. ¬© 1988 IEEE</t>
  </si>
  <si>
    <t>1629-1633</t>
  </si>
  <si>
    <t>Fenn, Alan J.</t>
  </si>
  <si>
    <t>Massachusetts Institute of Technology</t>
  </si>
  <si>
    <t>Fenn A.J.</t>
  </si>
  <si>
    <t>Element Gain Pattern Prediction for Finite Arrays of V-Dipole Antennas Over Ground Plane</t>
  </si>
  <si>
    <t>10.1109/8.9717</t>
  </si>
  <si>
    <t>2-s2.0-0024104071</t>
  </si>
  <si>
    <t>['surface errors', 'planning studies', 'modified template', 'measured data', 'current satellites', 'beam scanning', 'based upon', 'aperture blockage', 'agree well']</t>
  </si>
  <si>
    <t>A modified template is proposed for shaped-beam satellite antenna patterns for use in orbit-planning studies of fixed satellite service. Based upon a previously discussed simple model, the template now includes the effects of beam scanning, aperture blockage, and surface errors. It is found to agree well with the measured data on current satellites and is a reasonable upper bound specification for future satellite antennas. ¬© 1988 IEEE</t>
  </si>
  <si>
    <t>1633-1637</t>
  </si>
  <si>
    <t>Rao, K. Sudhakar</t>
  </si>
  <si>
    <t>Edmonton</t>
  </si>
  <si>
    <t>L-3 Communications SPAR Aerospace Limited</t>
  </si>
  <si>
    <t>Rao K.S.</t>
  </si>
  <si>
    <t>A Template for Shaped-Beam Satellite Antenna Patterns</t>
  </si>
  <si>
    <t>10.1109/8.9718</t>
  </si>
  <si>
    <t>2-s2.0-0024104088</t>
  </si>
  <si>
    <t>['tenna arrays', 'restricted coefficients', 'equa magnitude', 'employing coefficients', 'discussed briefly']</t>
  </si>
  <si>
    <t>A nearly ideal notch filter, employing coefficients of equa magnitude, is described. Applications to the design of transmitting an tenna arrays are discussed briefly. The construction is based upon ear lier work of the author involving polynomials with restricted coefficients. ¬© 1988 IEEE</t>
  </si>
  <si>
    <t>1783-1784</t>
  </si>
  <si>
    <t>Byrnes, J. S.</t>
  </si>
  <si>
    <t>University of Massachusetts Boston</t>
  </si>
  <si>
    <t>A Notch Filter Employing Coefficients of Equal Magnitude</t>
  </si>
  <si>
    <t>10.1109/29.9016</t>
  </si>
  <si>
    <t>2-s2.0-0024104174</t>
  </si>
  <si>
    <t>1537-1544</t>
  </si>
  <si>
    <t>Johnson, Richard L.</t>
  </si>
  <si>
    <t>Southwest Research Institute</t>
  </si>
  <si>
    <t>Johnson R.L.</t>
  </si>
  <si>
    <t>Antenna Array Design for Covariance-Based Direction-Finding Methods</t>
  </si>
  <si>
    <t>10.1109/8.9702</t>
  </si>
  <si>
    <t>2-s2.0-0024104189</t>
  </si>
  <si>
    <t>['test results', 'surface condition', 'simplified model', 'shed water', 'rf attenuation', 'rain rate', 'radome attenuation', 'performance directly', 'panels treated', 'nearly independent', 'much stronger', 'microwave performance', 'limitations imposed', 'increases slowly', 'hydrophobic paint', 'h except', 'experimental program', '29 mm']</t>
  </si>
  <si>
    <t>Modern antenna radomes are made of materials that tend to shed water to minimize their RF attenuation when wet. Very little has been published about the microwave performance of these materials, so an experimental program was devised to measure this performance directly. Radome attenuation was measured as a function of frequency, rain rate, rain incidence angle, RF incidence angle, and polarization. The tests were performed on 1) new clean radome panels, 2) used dirty radome panels, 3) cleaned used radome panels, and 4) panels treated with hydrophobic paint. The results show weak loss dependence upon frequency over the 13-20 GHz frequency range of interest, which increases slowly with rain rate from 2.5 to 29 mm/h except for surfaces which are wettable, where the dependence on rate is much stronger. Loss is nearly independent of rain incidence angle, but is strongly a function of surface condition. Hydrophobic paint is shown to be very effective. The test setup used, limitations imposed by the ‚Äúreal world,‚Äù and a simplified model of radome loss derived from the test results are described. ¬© 1988 IEEE</t>
  </si>
  <si>
    <t>1566-1570</t>
  </si>
  <si>
    <t>60011688;60011688</t>
  </si>
  <si>
    <t>7005722883;7401998449</t>
  </si>
  <si>
    <t>Dietrich, Fred J.;West, Donald B.</t>
  </si>
  <si>
    <t>Dietrich F.J.</t>
  </si>
  <si>
    <t>An Experimental Radome Panel Evaluation</t>
  </si>
  <si>
    <t>10.1109/8.9706</t>
  </si>
  <si>
    <t>2-s2.0-0024104207</t>
  </si>
  <si>
    <t>['metallic wall', 'measured bandwidth', 'ground plane', 'good agreement', 'dielectric substrate', 'cavity model']</t>
  </si>
  <si>
    <t>A simple theory based on a cavity model is used to analyze a quarter-wavelength flat element, without a dielectric substrate, which is connected to the ground plane in one of its sides by a metallic wall. The bandwidth of the element is computed from this model. Very good agreement is obtained between the computed and the measured bandwidth for elements in the S band. ¬© 1988 IEEE</t>
  </si>
  <si>
    <t>1615-1616</t>
  </si>
  <si>
    <t>60017563;60017563</t>
  </si>
  <si>
    <t>6602720975;23032510000</t>
  </si>
  <si>
    <t>Pinhas, S.;Shtrikman, S.</t>
  </si>
  <si>
    <t>Pinhas S.</t>
  </si>
  <si>
    <t>Comparison Between Computed and Measured Bandwidth of Quarter-Wave Microstrip Radiators</t>
  </si>
  <si>
    <t>10.1109/8.9713</t>
  </si>
  <si>
    <t>2-s2.0-0024104209</t>
  </si>
  <si>
    <t>['technique involves', 'steepest descent', 'significantly affect', 'results indicate', 'required phases', 'planar arrays', 'performance indices', 'optimum patterns', 'generator phases', 'earlier work', 'array gain']</t>
  </si>
  <si>
    <t>A method of obtaining lowest possible peak sidelobe levels given a specified sidelobe envelope by phase-only variation of the generator phases is presented. A generalization of earlier work by the authors, this technique involves the optimization of a piecewise differentiable objective function using the method of steepest descent to obtain desired generator phases given prescribed excitation magnitudes. The method has been applied to both linear and planar arrays of radiators, with single-mode mutual coupling effects included to provide realistic data. Values for the various array performance indices are presented, and results indicate that introduction of a sidelobe taper improves the array gain while raising the peak sidelobe level somewhat. Inclusion of mutual coupling effects alters the required phases for optimum patterns but does not significantly affect the performance indices of the array. ¬© 1988 IEEE</t>
  </si>
  <si>
    <t>1624-1629</t>
  </si>
  <si>
    <t>60025488;60025488</t>
  </si>
  <si>
    <t>Salt Lake City</t>
  </si>
  <si>
    <t>The University of Utah</t>
  </si>
  <si>
    <t>Mutual Coupling and Sidelobe Tapers in Phase-Only Antenna Synthesis for Linear and Planar Arrays</t>
  </si>
  <si>
    <t>10.1109/8.9716</t>
  </si>
  <si>
    <t>2-s2.0-0024104249</t>
  </si>
  <si>
    <t>NAS-1-183 10</t>
  </si>
  <si>
    <t>['reflector system', 'reflector antenna', 'realizable q', 'parametric study', 'feed elements', 'experimental data', 'earlier paper', 'conclusions based', 'central beam', 'also evaluated']</t>
  </si>
  <si>
    <t>The results of an earlier paper by Rahmat-Samii et al., regarding realizable patterns from feed elements which are part of an array which feeds a reflector antenna, are extended. The earlier paper used a cosq 0 model for the element radiation pattern, while here we perform a parametric study, employing a model which assumes a central beam of cosq Œ∏ shape, with a constant sidelobe level outside the central beam. Realizable q-values are constrained by the maximum directivity based on feed element area. The optimum aperture efficiency [excluding array feed network losses] in an array-reflector system is also evaluated as a function of element spacing using this model, as well as the model of the earlier paper. Experimental data for tapered slot antenna (TSA) arrays are in agreement with the conclusions based on the model. ¬© 1988 IEEE</t>
  </si>
  <si>
    <t>1637-1641</t>
  </si>
  <si>
    <t>60014313;60014313;60014313;60009037</t>
  </si>
  <si>
    <t>7003389714;35617942000;7102110120;57006932700</t>
  </si>
  <si>
    <t>Yngvesson, K. S.;Johansson, J. F.;Rahmat-Samii, Y.;Kim, Y. S.</t>
  </si>
  <si>
    <t>Amherst MA;Pasadena</t>
  </si>
  <si>
    <t>University of Massachusetts Amherst;Jet Propulsion Laboratory</t>
  </si>
  <si>
    <t>60014313;60009037</t>
  </si>
  <si>
    <t>Yngvesson K.S.</t>
  </si>
  <si>
    <t>Realizable Feed-Element Patterns and Optimum Aperture Efficiency in Multibeam Antenna Systems</t>
  </si>
  <si>
    <t>10.1109/8.9719</t>
  </si>
  <si>
    <t>2-s2.0-0024104268</t>
  </si>
  <si>
    <t>['topped beams', 'shaped region', 'shaped patterns', 'shaped pattern', 'representative example', 'important application', 'generally complex', 'desired pattern', 'controlled ripple', 'array distributions']</t>
  </si>
  <si>
    <t>Shaped patterns, such as csc2 Œ∏ ‚ãÖ cos Œ∏ and flat-topped beams, can be produced by properly excited equispaced linear arrays. An earlier synthesis procedure, which accomplishes this with controlled ripple in the shaped region and controlled sidelobe levels elsewhere, results in array distributions that are generally complex. It is shown here that if the shaped pattern is symmetric and has 2M filled nulls, there are 2M complex symmetric distributions, 2M pure real asymmetric distributions, and 22M ‚Äì 2M+1 complex asymmetric distributions that will produce the desired pattern. By adding 2M elements to the array, one can find a symmetric pure real distribution that will achieve the same result. A representative example is offered to illustrate the procedure. This has important application to standing-wave-fed planar arrays with quadrantal symmetry via use of the collapsed distribution principle. ¬© 1988 IEEE</t>
  </si>
  <si>
    <t>1645-1649</t>
  </si>
  <si>
    <t>7410200582;57220065537</t>
  </si>
  <si>
    <t>Kim, Y. U.;Elliott, Robert S.</t>
  </si>
  <si>
    <t>Kim Y.U.</t>
  </si>
  <si>
    <t>Shaped-Pattern Synthesis Using Pure Real Distributions</t>
  </si>
  <si>
    <t>10.1109/8.9721</t>
  </si>
  <si>
    <t>2-s2.0-0024104320</t>
  </si>
  <si>
    <t>['theoretical formulas', 'previous theories', 'power radiated', 'input impedances', 'feed position', 'comprehensive analysis', 'characteristics obtained', 'cavity model', 'antenna based']</t>
  </si>
  <si>
    <t>Although the equilateral triangular patch antenna had been analyzed by means of the cavity model without feed source and by means of a geometrical optics model, there were some limitations in the previous theories. We present the results of a comprehensive analysis of this antenna based on the cavity model with a coaxial feed source. First the theoretical formulas are given. The characteristics obtained from the theory are then presented, including radiation patterns, percentages of power radiated, total Q factors, input impedances, and their variations with feed position. A number of disagreements with previously published results are noted, and a comparison with experiment is given. ¬© 1988 IEEE</t>
  </si>
  <si>
    <t>1510-1518</t>
  </si>
  <si>
    <t>60021624;60002798;102016296</t>
  </si>
  <si>
    <t>7501501369;55510527400;7003504220</t>
  </si>
  <si>
    <t>Lee, Kai Fong;Luk, Kwai Man;Dahele, Jashwant S.</t>
  </si>
  <si>
    <t>United States;Hong Kong;United Kingdom</t>
  </si>
  <si>
    <t>Toledo;Hong Kong;Swindon</t>
  </si>
  <si>
    <t>The University of Toledo;Chinese University of Hong Kong;School of Electrical Engineering and Science (SEES) RMCS(Cranfield)</t>
  </si>
  <si>
    <t>Lee K.F.</t>
  </si>
  <si>
    <t>Characteristics of the Equilateral Triangular Patch Antenna</t>
  </si>
  <si>
    <t>10.1109/8.9698</t>
  </si>
  <si>
    <t>2-s2.0-0024104350</t>
  </si>
  <si>
    <t>NAG3-536</t>
  </si>
  <si>
    <t>['sidelobe canceller', 'received signals', 'potential application', 'performance evaluation', 'parameter control', 'main channel', 'interfering signals', 'interference encountered', 'experimental results', 'digital processing', 'array weights', 'algorithm implementation', '30 db', '10 db']</t>
  </si>
  <si>
    <t>An experimental adaptive antenna system to suppress weak interfering signals is described. It is a sidelobe canceller with two auxiliary elements. Modified feedback loops, as suggested by Gupta and Ksienski, are used to control the array weights. The received signals are simulated in hardware for parameter control. Digital processing is used for algorithm implementation and performance evaluation. The experimental results are presented, and show that interfering signals as much as 10 dB below the thermal noise level in the main channel are suppressed by 20-30 dB. Such a system has potential application in suppressing the interference encountered in direct broadcast satellite communication systems. ¬© 1988 IEEE</t>
  </si>
  <si>
    <t>1551-1559</t>
  </si>
  <si>
    <t>60003500;60003500;60003500;60003500</t>
  </si>
  <si>
    <t>16141609500;24541951100;7102202358;6602247520</t>
  </si>
  <si>
    <t>Ward, James;Walton, Eric K.;Gupta, Inder J.;Ksienski, Aharon A.</t>
  </si>
  <si>
    <t>Ward J.</t>
  </si>
  <si>
    <t>An Experimental Adaptive Array to Suppress Weak Interfering Signals</t>
  </si>
  <si>
    <t>10.1109/8.9704</t>
  </si>
  <si>
    <t>2-s2.0-0024104371</t>
  </si>
  <si>
    <t>['theoretical results', 'resonant frequency', 'radiation patterns', 'odd mode', 'major axes', 'input impedance', 'good agreement', 'even mode', 'elliptical ring', 'elliptical patch', 'ellipses instead', 'conventional structures', 'broadside direction', 'axial ratio', 'also found', '45 ¬∞', '1 db']</t>
  </si>
  <si>
    <t>Analysis of a confocal elliptical annular ring microstrip antenna is carried out using the ‚Äúgeneralized transmission line model.‚Äù From the theoretical results it is found that a circularly polarized wave can be obtained over a wider frequency range compared to conventional structures. It is also found that unlike the elliptical patch the resonant frequency for the odd mode is lower than that of the even mode. Therefore, for a left-handed circularly polarized wave the feed is to be placed at an angle -45¬∞ with the major axes of the ellipses instead of +45 as in the elliptical patch. An elliptical ring is fabricated, and its input impedance and the radiation patterns are tested. Very good agreement between the theory and the experiment is obtained. Experimental radiation patterns show an excellent circularly polarized wave the axial ratio of which is less than 1 dB in the broadside direction. ¬© 1988 IEEE</t>
  </si>
  <si>
    <t>1526-1530</t>
  </si>
  <si>
    <t>Theoretical and Experimental Investigation of the Elliptical Annual Ring Antenna</t>
  </si>
  <si>
    <t>10.1109/8.9700</t>
  </si>
  <si>
    <t>2-s2.0-0024104407</t>
  </si>
  <si>
    <t>DAAM3-86-K-0087</t>
  </si>
  <si>
    <t>['wave frequencies', 'successfully demonstrated', 'scan phased', 'oscillator system', 'novel technique', 'monolithic fabrication', 'method attractive', 'locked 10', 'ghz model', 'control limited', 'beam shift', 'array antennas']</t>
  </si>
  <si>
    <t>An interinjection-locked 10-GHz model of a millimeter-wave phased array system has been built and tested. It has been successfully demonstrated that this novel technique can be used to control limited-scan phased-array antennas. A beam shift of ¬±5¬∞ has been achieved with only one phase shifter in a four-oscillator system. Adaptability to monolithic fabrication and a reduction in the number of phase shifters required make this method attractive for use at millimeter-wave frequencies. ¬© 1988 IEEE</t>
  </si>
  <si>
    <t>1641-1645</t>
  </si>
  <si>
    <t>60015272;60014313</t>
  </si>
  <si>
    <t>7402679648;7102375534</t>
  </si>
  <si>
    <t>Morgan, William A.;Stephan, Karl D.</t>
  </si>
  <si>
    <t>Dallas;Amherst MA</t>
  </si>
  <si>
    <t>Texas Instruments;University of Massachusetts Amherst</t>
  </si>
  <si>
    <t>Morgan W.A.</t>
  </si>
  <si>
    <t>An X-Band Experimental Model of a Millimeter-Wave Interinjection-Locked Phased Array System</t>
  </si>
  <si>
    <t>10.1109/8.9720</t>
  </si>
  <si>
    <t>2-s2.0-0024104408</t>
  </si>
  <si>
    <t>N00014-84-K-0465</t>
  </si>
  <si>
    <t>['transverse electromagnetic', 'theoretical analysis', 'source pulse', 'pulse excitation', 'near region', 'measured electric', 'form solutions', 'field pulses', 'experimental study', 'electromagnetic fields', 'conical antenna', 'conformal mapping', 'characteristic parameters']</t>
  </si>
  <si>
    <t>A new angular antenna-the V-conical antenna-has been investigated. The characteristics of such an antenna are frequency-independent, and the electromagnetic fields are pure spherical waves (transverse electromagnetic (TEM)-mode) even in the near region. The theoretical analysis of the V-conical antenna makes use of conformal mapping. Closed-form solutions for the fields, currents, and characteristic parameters are obtained. The formulas are simple and precise. The experimental study of an antenna of this type is conducted under pulse excitation. The shape of the measured electric-field pulses is the same as that of the source pulse from a picosecond pulse generator. The measured field patterns are very close to those predicted by the theory. Such a structure with a tapered resistive termination is an ideal directional pulse antenna or electromagnetic pulse simulator. ¬© 1988 IEEE</t>
  </si>
  <si>
    <t>1519-1525</t>
  </si>
  <si>
    <t>60009982;60009982;60009982</t>
  </si>
  <si>
    <t>36347602500;35586046100;7404816148</t>
  </si>
  <si>
    <t>Shen, Hao Ming;King, Ronold W.P.;Tsun Wu, Tai</t>
  </si>
  <si>
    <t>Shen H.M.</t>
  </si>
  <si>
    <t>V-Conical Antenna</t>
  </si>
  <si>
    <t>10.1109/8.9699</t>
  </si>
  <si>
    <t>2-s2.0-0024104467</t>
  </si>
  <si>
    <t>EE 03 1</t>
  </si>
  <si>
    <t>['time variation', 'slope pattern', 'power pattern', 'planar array', 'one obtained', 'nonsinusoidal waves', 'linear array', 'gaussian pulses', 'gaussian pulse', 'energy pattern', 'domain analysis', 'computer plots', 'antenna patterns', 'amplitude pattern']</t>
  </si>
  <si>
    <t>antenna pattern | beam | forming | Gaussian pulse | Nonsinusoidal wave | planar array</t>
  </si>
  <si>
    <t>In Part I of this series of papers, antenna patterns for nonsinusoidal waves with the time variation of a Gaussian pulse, received (or radiated) by a linear array of sensors (or radiators) were derived. Computer plots of the peak-amplitude pattern, peak-power pattern, energy pattern, and slope pattern were presented. In this paper, the above antenna patterns are derived for a planar array of sensors (or radiators) receiving (or radiating) Gaussian pulses. Based on the characteristics of the Gaussian pulse, which are presented in Part I, the principle of frequency-domain array beam forming with Gaussian pulses is described. An expression for the antenna energy pattern based on the frequency-domain analysis is derived and plotted for comparison to the one obtained in Part I from the time-domain analysis. ¬© 1988 IEEE</t>
  </si>
  <si>
    <t>513-522</t>
  </si>
  <si>
    <t>Antenna Patterns of Nonsinusoidal Waves with the Time Variation of a Gaussian Pulse‚ÄîPart II</t>
  </si>
  <si>
    <t>10.1109/15.8765</t>
  </si>
  <si>
    <t>2-s2.0-0024104630</t>
  </si>
  <si>
    <t>DE-ACW-76DP00789</t>
  </si>
  <si>
    <t>['two dimensions', 'total electric', 'three dimensions', 'slot width', 'slot formalism', 'problem serves', 'magnetic fields', 'length slot', 'finite plate', 'evaluation involves', 'electromagnetics codes', 'data show']</t>
  </si>
  <si>
    <t>A thin-slot formalism [1] for use with finite-difference time domain (FDTD) electromagnetics codes has been evaluated in both two and three dimensions. This formalism allows narrow slots to be modeled in the wall of a scatterer without reducing the spatial grid size to the slot width. In two dimensions, the evaluation involves the calculation of the total fields near two infinitesimally thin coplanar strips separated by a gap. A method-of-moments (MoM) solution of the same problem serves as a benchmark for comparison. Results in two dimensions show that up to 10 percent error can be expected in total electric and magnetic fields both near (Œª/40) and far (1 A) from the gap. In three dimensions, the evaluation is similar. The finite-length slot is placed in a finite plate and an MoM surface patch solution is used for the benchmark. These data show that slightly larger errors can be expected. ¬© 1988 IEEE</t>
  </si>
  <si>
    <t>523-528</t>
  </si>
  <si>
    <t>7402367377;7005459476</t>
  </si>
  <si>
    <t>Turner, C. David;Bacon, Larry D.</t>
  </si>
  <si>
    <t>Turner C.D.</t>
  </si>
  <si>
    <t>Evaluation of a Thin-Slot Formalism for Finite-Difference Time-Domain Electromagnetics Codes</t>
  </si>
  <si>
    <t>10.1109/15.8766</t>
  </si>
  <si>
    <t>2-s2.0-0024104694</t>
  </si>
  <si>
    <t>F 29601-B2-C-0092</t>
  </si>
  <si>
    <t>['vertical conductors', 'underground systems', 'simulator plates', 'note addresses', 'networks simulate', 'network concept', 'frequency source', 'example network', 'earth interface', 'distributed source', 'developmental phase', 'design considerations', 'buried line', 'artificially elongate', 'appropriate low', 'also presented', 'actual design']</t>
  </si>
  <si>
    <t>A buried transmission line formed by vertical conductors can function as a wave guiding structure in producing a part of the electromagnetic field distribution caused by a distributed source at the air-earth interface. Such a structure, when excited by an appropriate low-frequency source, is a viable EMP simulation technique for use with underground systems. In the developmental phase of such a technology, there exists a need to artificially elongate the buried line by using lumped element networks. In effect, such networks simulate the simulator plates and earth. This note addresses such a network concept and its design considerations. The actual design, fabrication, and testing of an example network are also presented. ¬© 1988 IEEE</t>
  </si>
  <si>
    <t>60006150;60006150;60006150;60015710;</t>
  </si>
  <si>
    <t>7601429970;7006683704;55727789400;7201780943;57202638730</t>
  </si>
  <si>
    <t>Chen, Yung G.;Crumley, Randy;Lloyd, Sam;Baum, Carl E.;Giri, David V.</t>
  </si>
  <si>
    <t>Kirtland;San Diego</t>
  </si>
  <si>
    <t>Kirtland Air Force Base;Maxwell Technologies</t>
  </si>
  <si>
    <t>60015710;60006150</t>
  </si>
  <si>
    <t>Chen Y.G.</t>
  </si>
  <si>
    <t>Lumped Element Networks for Replacing Sections of a Buried Transmission Line</t>
  </si>
  <si>
    <t>10.1109/15.8758</t>
  </si>
  <si>
    <t>2-s2.0-0024104899</t>
  </si>
  <si>
    <t>['wiley company', 'straight using', 'standard deviation', 'results show', 'proposed method', 'paper describes', 'near future', 'inc .,', 'height estimation', 'geometrical relation', 'fan beam', 'estimation accuracy', 'data taken', 'cruising altitude', 'constant speed', 'computer simulation', 'barometric sensors', 'azimuth errors', 'approximately 100', 'always show', 'aircraft independently', 'aircraft flying', '1sãä ).', '06 deg']</t>
  </si>
  <si>
    <t>Information on the three‚Äêdimensional position of aircraft is necessary for air traffic control. The current height information of aircraft does not always show a geometric altitude since it is based on an onboard barometric altimetry system. Therefore, a method for monitoring the height of aircraft independently of barometric sensors is desirable. This paper describes a method of height estimation for an aircraft flying at a constant speed, level and straight using a radar for air traffic control currently in use or to be used in the near future, and presents the results of consideration on the estimation accuracy of the proposed method. In this method, the data taken by approximately ten times the scans by a fan beam are used for height estimation based on the curve which fits under the assumptions that the data acquisition area is nearly 10 NM the distance from the antenna. Height estimation accuracy by this method is evaluated by a computer simulation. The results show that height estimation accuracy depends strongly on the data acquisition area (that is, the geometrical relation between aircraft and the radar sensor), and the influence of range measurement accuracy is predominant at a cruising altitude of 29,000 ft (= 8.84 km). The height estimation accuracy is estimated to be approximately 100 m (1sÃÄ) under the best conditions assuming that the standard deviation of range measurement errors is 30 m (1sÃÄ) and that of azimuth errors is 0.06 deg (1sÃÄ). Copyright ¬© 1988 Wiley Periodicals, Inc., A Wiley Company</t>
  </si>
  <si>
    <t>Nagaoka, Sakae</t>
  </si>
  <si>
    <t>Electronic Navigation Research Institute</t>
  </si>
  <si>
    <t>Nagaoka S.</t>
  </si>
  <si>
    <t>Height estimation of a cruising aircraft via a radar for air traffic control</t>
  </si>
  <si>
    <t>10.1002/ecja.4410711110</t>
  </si>
  <si>
    <t>2-s2.0-0024105261</t>
  </si>
  <si>
    <t>['total momentum', 'solar panel', 'smaller subcharges', 'rights reserved', 'relatively rigid', 'range ).', 'normal impact', 'like fashion', 'law implies', 'ensuring damage', 'detonated via', 'cluster configuration', 'charge mass', 'bare charge', 'also shown']</t>
  </si>
  <si>
    <t>Consider a planform target subjected to a normal impact of explosive products generated by detonating a bare charge in space. It is suggested that the loading impulse may be approximated by the total momentum of that portion of the fluid which impacts at the target. By assuming an impulsive dynamic response and that the ensuring damage is proportional to the kinetic energy imparted to the structure by the blast, a particularly simple law results: damage ~ W2/R4 (where PFis the charge mass and R the range). This model is an idealization of a solar panel (or antenna) extended in a paddle-like fashion from a relatively rigid and massive core structure. It is also shown that this law implies that no advantage can be realized by rearranging the mass of a single bare charge in a cluster configuration of smaller subcharges that are dispersed and detonated via an idealized "isotropic" scheme. ¬© American Institute of Aeronautics and Astronautics, Inc., 1988, All rights reserved.</t>
  </si>
  <si>
    <t>400-404</t>
  </si>
  <si>
    <t>60033012;60033012</t>
  </si>
  <si>
    <t>6603943935;6603784266</t>
  </si>
  <si>
    <t>Falcovitz, Joseph;Fuhs, Alien E.</t>
  </si>
  <si>
    <t>Monterey</t>
  </si>
  <si>
    <t>Falcovitz J.</t>
  </si>
  <si>
    <t>Impulsive loading from a bare explosive charge in space</t>
  </si>
  <si>
    <t>10.2514/3.26019</t>
  </si>
  <si>
    <t>2-s2.0-0024105654</t>
  </si>
  <si>
    <t>['¬© 1988', 'simple structures', 'rights reserved', 'resonant frequency', 'microstrip antennas', 'microstrip antenna', 'lossy medium', 'experimental measurements', 'electrical engineers', 'biomedical applications']</t>
  </si>
  <si>
    <t>Antennas | Dielectrics | Microstrip | Planar antennas</t>
  </si>
  <si>
    <t>Microstrip antennas are used for biomedical applications; however, their modelling is not easy. We present an approach to simulating a microstrip antenna with a dielectric protective layer radiating into a lossy medium. Using a classical spectral domain approach (SDA) model, calculations of the resonant frequency have been performed, and compared with experimental measurements for simple structures of microstrip antenna with different geometric parameters. ¬© 1988, The Institution of Electrical Engineers. All rights reserved.</t>
  </si>
  <si>
    <t>1464-1465</t>
  </si>
  <si>
    <t>60104665;60104665;60104665;60104665;60104665</t>
  </si>
  <si>
    <t>56255060000;6603655976;7003474680;7004024214;7004583077</t>
  </si>
  <si>
    <t>Pribetich, J.;Ledee, R.;Kennis, P.;Pribetich, P.;Chive, M.</t>
  </si>
  <si>
    <t>Lille</t>
  </si>
  <si>
    <t>Universit√© de Lille</t>
  </si>
  <si>
    <t>Pribetich J.</t>
  </si>
  <si>
    <t>Modelling Of Microstrip Antenna With Dielectric Protective Layer For Lossy Medium</t>
  </si>
  <si>
    <t>10.1049/el:19881000</t>
  </si>
  <si>
    <t>2-s2.0-0024105829</t>
  </si>
  <si>
    <t>['unfavorable conditions', 'successfully applied', 'pulse generator', 'processing time', 'plastic pipes', 'plastic pipe', 'output power', 'outdoor sites', 'observation depth', 'fast enough', 'developed system', 'detection capability', 'color images', 'clearly reconstructed', 'buried metallic', 'average number', 'amplifier gain', 'also employed', '5 cm']</t>
  </si>
  <si>
    <t>A subsurface radar system for imaging buried pipes was developed. The system is capable of reconstructing clear pipe images under unfavorable conditions such as large attenuation rate of the radio waves propagating in soil. Output power of a pulse generator, amplifier gain, and average number are controlled by moving the observation depth in order to improve the detection capability. Fast image processing methods are also employed. The system was successfully applied to imaging of buried metallic and plastic pipes. A steel pipe buried at a depth of 2.5 m and a plastic pipe at 1 m, both 6.5 cm in diameter, were clearly reconstructed as color images. Both the antenna scanning speed and processing time were fast enough to apply the developed system to actual detection work at outdoor sites. ¬© 1988 IEEE</t>
  </si>
  <si>
    <t>733-740</t>
  </si>
  <si>
    <t>60003381;60003381;60003381;60003381;60021825</t>
  </si>
  <si>
    <t>6603646240;7006938849;35617433500;7003276059;37043167900</t>
  </si>
  <si>
    <t>Michiguchi, Yoshihiro;Hiramoto, Kazuo;Nishi, Masatsugi;Ootaka, Toshihide;Okada, Masumi</t>
  </si>
  <si>
    <t>Minato;Tokyo</t>
  </si>
  <si>
    <t>Tokyo Gas Co., Ltd.;Hitachi, Ltd.</t>
  </si>
  <si>
    <t>60021825;60003381</t>
  </si>
  <si>
    <t>Michiguchi Y.</t>
  </si>
  <si>
    <t>Advanced Subsurface Radar System for Imaging Buried Pipes</t>
  </si>
  <si>
    <t>10.1109/36.7704</t>
  </si>
  <si>
    <t>2-s2.0-0024105885</t>
  </si>
  <si>
    <t>['wiley company', 'tilt angle', 'shaped surfaces', 'reflected ray', 'radial direction', 'main dish', 'low sidelobes', 'inc .,', 'geometric optics', 'favorable characteristics', 'conditions imposed', 'assumed direction', 'aperture diameter', '50 œª']</t>
  </si>
  <si>
    <t>When we shape reflector surfaces of an offset dual reflector antenna for a given desired aperture distribution, we create a phenomenon in which the direction of the reflected ray by the shaped surfaces and an assumed direction of radiation by geometric optics do not coincide. Hence, the characteristics of cross‚Äêpolarized waves are degraded. If we shape the surfaces at a tilt angle of the main dish with respect to the direction of the main radiation pattern, we found that the directional errors become extremely small between the direction of the actually reflected ray and that of the assumed direction of radiation by geometric optics for an optimum tilt angle. At this tilt angle, we can shape the reflector surfaces satisfying almost all of the conditions imposed by geometric optics. When we shape the surfaces at the optimum tilt angle, we obtain continuous surfaces which generate a desired axisymmetric aperture distribution along the radial direction. We can design an offset dual reflector antenna with low sidelobes and favorable characteristics for cross‚Äêpolarized waves. Based on this theory, we built an experimental offset Gregorian‚Äêtype antenna with aperture diameter of about 50 Œª. Measured results revealed excellent characteristics for cross‚Äêpolarized waves and those for sidelobes. Thus, we confirmed the validity of the theory of shaping reflector surfaces. Copyright ¬© 1988 Wiley Periodicals, Inc., A Wiley Company</t>
  </si>
  <si>
    <t>87-94</t>
  </si>
  <si>
    <t>60025555;60025555</t>
  </si>
  <si>
    <t>7003370991;35564404500</t>
  </si>
  <si>
    <t>Karikomi, Masahiro;Kagoshima, Kenichi</t>
  </si>
  <si>
    <t>Karikomi M.</t>
  </si>
  <si>
    <t>Optimum primary radiator tilt angle of a shaped offset dual reflector antenna</t>
  </si>
  <si>
    <t>10.1002/ecja.4410711109</t>
  </si>
  <si>
    <t>2-s2.0-0024106029</t>
  </si>
  <si>
    <t>['¬© 1988', 'theoretical results', 'rights reserved', 'radiation resistance', 'good agreement', 'electrical engineers', 'babinet principle']</t>
  </si>
  <si>
    <t>Antennas | Dielectrics | Resonance | Striplines</t>
  </si>
  <si>
    <t>The radiation resistance of a large bandwidth stripline circular slot directional antenna is deduced from that for an equivalent circular loop with sinusoidal current distribution when the Babinet principle is applied. Theoretical results are in good agreement with experiment. ¬© 1988, The Institution of Electrical Engineers. All rights reserved.</t>
  </si>
  <si>
    <t>1449-1450</t>
  </si>
  <si>
    <t>Dubost, G.</t>
  </si>
  <si>
    <t>Rennes</t>
  </si>
  <si>
    <t>Universite de Rennes 1</t>
  </si>
  <si>
    <t>Dubost G.</t>
  </si>
  <si>
    <t>Large Bandwidth Circular Slot At Resonance With Directional Radiation</t>
  </si>
  <si>
    <t>10.1049/el:19880990</t>
  </si>
  <si>
    <t>2-s2.0-0024106535</t>
  </si>
  <si>
    <t>['¬© 1988', 'thereby establishing', 'rights reserved', 'reflection coefficient', 'radome configuration', 'electrical engineers', 'common axis']</t>
  </si>
  <si>
    <t>Antenna feeders | Antenna theory | Antennas | Reflector antennas</t>
  </si>
  <si>
    <t>A simple asymptotic expression for the reflection coefficient at the feed of a reflector-radome configuration, consisting of bodies of revolution having a common axis, is obtained by the complex source point method. This expression is shown to be valid in situations in which the corresponding geometric optical formulation fails, thereby establishing a generalisation of the real ray result. ¬© 1988, The Institution of Electrical Engineers. All rights reserved.</t>
  </si>
  <si>
    <t>1496-1497</t>
  </si>
  <si>
    <t>60022403;60022403</t>
  </si>
  <si>
    <t>35614064400;7007155351</t>
  </si>
  <si>
    <t>Einziger, P. D.;Cory, H.</t>
  </si>
  <si>
    <t>Einziger P.D.</t>
  </si>
  <si>
    <t>Reflection Coefficient At Feed Of Radome-Covered Reflector Antenna By Complex Source Point Method</t>
  </si>
  <si>
    <t>10.1049/el:19881021</t>
  </si>
  <si>
    <t>2-s2.0-0024106690</t>
  </si>
  <si>
    <t>['near field', 'low heights', 'horizontal plane', 'far field', 'derived asymptotically', 'buried objects']</t>
  </si>
  <si>
    <t>The plane-wave spectrum technique is used to derive the fields of horizontal currents located in a horizontal plane above the earth. The far field is derived asymptotically, and the near field is computed by two-dimensional fast Fourier transform. Specific numerical results are presented for a pair of oppositely directed dipoles, and the results have application to detection of buried objects. When the antenna is located at low heights, the field is enhanced in the earth and decreased in air. ¬© 1988 IEEE</t>
  </si>
  <si>
    <t>726-732</t>
  </si>
  <si>
    <t>Hill D.</t>
  </si>
  <si>
    <t>Fields of Horizontal Currents Located Above the Earth</t>
  </si>
  <si>
    <t>10.1109/36.7703</t>
  </si>
  <si>
    <t>2-s2.0-0024107325</t>
  </si>
  <si>
    <t>['wide applications', 'results presented', 'resolution pattern', 'resistive overburden', 'recent past', 'often improve', 'judicious combination', 'geometric approaches', 'field data', 'experimental work']</t>
  </si>
  <si>
    <t>During the recent past, electromagnetic depth sounding has had wide applications in hard rock hydrogeology and engineering geological problems, particularly when direct current resistivity sounding fails to work over a resistive overburden with a high contact resistance. Scale model studies have established that layered earth structures can be resolved by central frequency sounding (CFS) through a judicious combination of parametric and geometric approaches. In view of the utility of scale model studies, which often improve the approach towards interpretation of field data, experimental work has been carried out for CFS and compared with dipole frequency sounding (DFS) in order to establish the resolution pattern of CFS on laboratory simulated models. Results presented for homogeneous and two-layer earth models for conductive substratum agree well with the actual parameter values of the models. ¬© 1988 IEEE</t>
  </si>
  <si>
    <t>749-752</t>
  </si>
  <si>
    <t>60004750;60004750</t>
  </si>
  <si>
    <t>7006683068;6602532647</t>
  </si>
  <si>
    <t>Shastri, Nimmagadda L.;Patra, Hari P.</t>
  </si>
  <si>
    <t>Kharagpur</t>
  </si>
  <si>
    <t>Indian Institute of Technology Kharagpur</t>
  </si>
  <si>
    <t>Shastri N.</t>
  </si>
  <si>
    <t>Multifrequency Sounding Results of Laboratory Simulated Homogeneous and Two-Layer Earth Models</t>
  </si>
  <si>
    <t>10.1109/36.7706</t>
  </si>
  <si>
    <t>2-s2.0-0024107326</t>
  </si>
  <si>
    <t>Institute of Turkish Studies</t>
  </si>
  <si>
    <t>ITS</t>
  </si>
  <si>
    <t>['vector fields', 'temporal sampling', 'specific examples', 'spatial sampling', 'signal fields', 'signal detection', 'signal detectability', 'scalar forms', 'received processes', 'processing gains', 'potentially exploited', 'physical models', 'performance measures', 'often adequate', 'new results', 'linear combinations', 'less sensitive', 'include first', 'identify fully', 'highly non', 'general sources', 'gaussian emi', 'field reception', 'emi environment', 'emc problem', 'electromagnetic compatibility', 'directing beams', 'critical elements', 'correlated components', 'coherent cases', 'canonical theory', 'canonical formulation', 'beam forming', 'band signals', 'algorithms associated', '8 db']</t>
  </si>
  <si>
    <t>In most applications of statistical communication theory (SCT) to problems of interest in electromagnetic compatibility (EMC) studies, the (vector) noise and signal fields in question have been analyzed in terms of their dominant scalar component. Although such a procedure is often adequate, it is incomplete and less sensitive. This is because the contributions of other, correlated components, and the full physical model are neglected. These features can be potentially exploited further to enhance signal extraction, reduce electromagnetic interference (EMI) effects, and identify fully the critical elements of the EMC problem in question. Here the perennially important problem of threshold or weak-signal detection in highly non-gaussian EMI is extended now explicitly to vector fields, and narrow-band signals and interference. The emphasis is on a canonical formulation, illustrated by a number of specific examples. Spatial sampling with adaptive beam forming, as well as temporal sampling and all relevant vector field components, must be included for maximum processing gain. The algorithms associated with (threshold) detection are expectedly more complex than in the previously treated scalar cases. However, in important practical cases, specifically when the noise field components are independent, in the coherent cases they simplify to linear combinations of the earlier, scalar forms. New results for a canonical theory of these vector detection cases are presented. Jointly and asymptotically locally optimum algorithms and performance measures are obtained. These results provide statistical-physical models of the EMI environment, and they include first-order probability distributions of vector EMI noise fields and received processes, with specific examples of EMI fields generated by randomly distributed electric and magnetic dipole sources, as well as more general sources. The effects of beam forming, self-directing beams, multiple field components, fading, and doppler ‚Äúsmear‚Äù on signal detectability are included. Processing gains in the vector cases vis-a-vis a single scalar component can be 0(3 dB), for far-field reception [and up to 0(8 dB) in the quasi-static cases]. ¬© 1988 IEEE</t>
  </si>
  <si>
    <t>538-552</t>
  </si>
  <si>
    <t>Middleton, David</t>
  </si>
  <si>
    <t>Middleton D.</t>
  </si>
  <si>
    <t>Threshold Vector Field Detectors</t>
  </si>
  <si>
    <t>10.1109/15.8768</t>
  </si>
  <si>
    <t>2-s2.0-0024107332</t>
  </si>
  <si>
    <t>['technology drivers', 'technology applicable', 'satellite communications', 'new technology', 'make satellites', 'major driver', 'intelsat series', 'examined based', 'allow introduction']</t>
  </si>
  <si>
    <t>Technology drivers for commercial communications satellites are examined based on history of the INTELSAT series of satellites, today's marketplace and future directions outgrowing from today's state of the art. Examples of technology applicable to future commercial communications satellites are presented. It is concluded that technology directed towards improving the economics of satellite communications will continue to be a major driver of future communications satellite payloads; such new technology will make satellites more efficient, more competitive with other media and allow introduction of services which we cannot imagine today. ¬© 1988 IEEE</t>
  </si>
  <si>
    <t>60007742;60007742;60007742;60007742</t>
  </si>
  <si>
    <t>7004465295;7102764296;6603599107;7005406017</t>
  </si>
  <si>
    <t>Mahle, Christoph E.;Geller, Bernard D.;Potukuchi, J. Ram;Hyde, Geoffrey</t>
  </si>
  <si>
    <t>Clarksburg</t>
  </si>
  <si>
    <t>Comsat Laboratories</t>
  </si>
  <si>
    <t>Mahle C.E.</t>
  </si>
  <si>
    <t>Advanced Communications Satellite Technology</t>
  </si>
  <si>
    <t>10.1109/62.17924</t>
  </si>
  <si>
    <t>2-s2.0-0024107388</t>
  </si>
  <si>
    <t>['time variation', 'slope pattern', 'rectangular pulse', 'power pattern', 'linear transient', 'gaussian pulses', 'gaussian pulse', 'gaussian one', 'energy pattern', 'e .,', 'considerable improvement', 'computer plots', 'best approximates', 'autocorrelation function', 'antenna theory', 'antenna patterns', 'amplitude pattern']</t>
  </si>
  <si>
    <t>angular resolution | antenna patterns | antenna radiation | Gaussian pulse | Nonsinusoidal wave</t>
  </si>
  <si>
    <t>The development of antenna theory for nonsinusoidal electromagnetic waves has been based on the idealized rectangular pulse. In practice, an antenna that is designed to operate in the mode of an electric hertzian dipole would radiate a pulse that best approximates a Gaussian one when the driving current consists of a linear transient. In this paper, the principle of radiation of nonsinusoidal electromagnetic waves with the time variation of Gaussian pulses is discussed. The properties of the Gaussian pulse are presented, i.e., the autocorrelation function, energy spectral density, and spectrum. Antenna patterns, such as peak-amplitude pattern, peak-power pattern, energy pattern, and slope pattern are derived for a Gaussian pulse received (or radiated) by a linear array antenna. Computer plots of the derived antenna patterns are presented that show a considerable improvement in the angular resolution capability over that of the antenna patterns that have been derived for a rectangular pulse. ¬© 1988 IEEE</t>
  </si>
  <si>
    <t>504-512</t>
  </si>
  <si>
    <t>Antenna Patterns of Nonsinusoidal Waves with the Time Variation of a Gaussian Pulse‚ÄîPart I</t>
  </si>
  <si>
    <t>10.1109/15.8764</t>
  </si>
  <si>
    <t>2-s2.0-0024107470</t>
  </si>
  <si>
    <t>['surface impedances', 'successful conclusion', 'radiation pattern', 'mentioned antenna', 'complete analysis']</t>
  </si>
  <si>
    <t>A complete analysis of the radiation pattern of a center-fed axially symmetric loaded spherical reflector antenna is brought to a successful conclusion. The surface of the above-mentioned antenna is assumed to be loaded by materials whose effect is described in terms of surface impedances. The effect of this loading on the radiation pattern of a perfectly conducting spherical reflector is investigated. ¬© 1988 IEEE</t>
  </si>
  <si>
    <t>561-563</t>
  </si>
  <si>
    <t>60020484;60020484</t>
  </si>
  <si>
    <t>7003893885;6602185395</t>
  </si>
  <si>
    <t>Yazgan, Erdem;G√ñksel, Huseyin</t>
  </si>
  <si>
    <t>Ankara</t>
  </si>
  <si>
    <t>Hacettepe √úniversitesi</t>
  </si>
  <si>
    <t>Yazgan E.</t>
  </si>
  <si>
    <t>The Effect of Surface Loading on the Radiation Pattern of a Spherical Reflector</t>
  </si>
  <si>
    <t>10.1109/15.8770</t>
  </si>
  <si>
    <t>2-s2.0-0024107471</t>
  </si>
  <si>
    <t>['working prototype', 'theoretical analysis', 'system could', 'simultaneously measure', 'results demonstrate', 'resultant flow', 'relative phase', 'near fields', 'magnetic responses', 'frequency information', 'em sources', 'displays 1', 'completely describe', 'antenna sensor']</t>
  </si>
  <si>
    <t>Electric dipoles | electromagnetic compatibility | electromagnetic fields | magnetic loops | near-zone fields | Poynting vector</t>
  </si>
  <si>
    <t>A unique, single-element antenna measurement scheme that can simultaneously measure the electric, magnetic, and time-dependent Poynting vectors of electromagnetic (EM) fields is described. The electric and magnetic responses of the antenna sensor are separated by a 0¬∞/180¬∞ hybrid junction. The resulting two RF voltages, along with relative phase and frequency information, are transmitted to a remotely located vector analyzer by a pair of well-matched fiber optic downlinks. The remote receiver measures and displays 1) the electric dipole response, 2) the magnetic loop response, and 3) the time phase difference between the two. This information is sufficient to determine the time-dependent Poynting vector. Both a theoretical analysis and a discussion of experimental measurements performed, which describe the capabilities and performance of a working prototype of the antenna measurement scheme, are presented. The results demonstrate that a three-axis (isotropic) version of this system could be used to measure the near fields of EM sources, as well as to completely describe the resultant flow of energy. ¬© 1988 IEEE</t>
  </si>
  <si>
    <t>495-503</t>
  </si>
  <si>
    <t>6602766065;35578175900</t>
  </si>
  <si>
    <t>Driver, Lanny D.;Kanda, Motohisa</t>
  </si>
  <si>
    <t>Driver L.D.</t>
  </si>
  <si>
    <t>An Optically Linked Electric and Magnetic Field Sensor for Poynting Vector Measurements in the Near Fields of Radiating Sources</t>
  </si>
  <si>
    <t>10.1109/15.8763</t>
  </si>
  <si>
    <t>2-s2.0-0024107848</t>
  </si>
  <si>
    <t>['strong anomaly', 'specific calculations', 'source produces', 'numerical results', 'model ungrounded', 'magnetic dipoles', 'induced current', 'grounded conductors', 'either insulated', 'borehole configuration', 'arbitrary orientation']</t>
  </si>
  <si>
    <t>Formulations for the excitation of currents on an infinitely long conductor by electric or magnetic dipoles of arbitrary orientation are presented. The conductor can be either insulated or bare to model ungrounded or grounded conductors. Specific calculations are presented for a vertical magnetic dipole source because this source produces the appropriate horizontal polarization and could be used in a borehole-to-borehole configuration. Numerical results for the induced current and secondary magnetic field indicate that long conductors produce a strong anomaly over a broad frequency range. The secondary magnetic field decays slowly in the direction of the conductor and eventually becomes larger than the dipole source field. ¬© 1988 IEEE</t>
  </si>
  <si>
    <t>720-725</t>
  </si>
  <si>
    <t>Magnetic Dipole Excitation of a Long Conductor in a Lossy Medium</t>
  </si>
  <si>
    <t>10.1109/36.7702</t>
  </si>
  <si>
    <t>2-s2.0-0024107951</t>
  </si>
  <si>
    <t>['¬© 1988', 'satellite communications', 'satellite broadcasting', 'rights reserved', 'principal effect', 'potential applications', 'metallic mesh', 'letter describes', 'good agreement', 'exact analysis', 'electrical engineers', 'approximate theory']</t>
  </si>
  <si>
    <t>Antenna theory | Antennas | Reflector antennas</t>
  </si>
  <si>
    <t>Reconfigurable shaped reflector antennas have potential applications in satellite communications and satellite broadcasting. When a metallic mesh is employed pillowing occurs between the points at which the reflector is constrained. The letter describes an approximate theory to explain the behaviour, and results are obtained which are in good agreement with exact analysis. The new theory allows key features to be identified which show that the principal effect is to produce gain loss, and furthermore that for an isotropic mesh tension does not influence this loss. ¬© 1988, The Institution of Electrical Engineers. All rights reserved.</t>
  </si>
  <si>
    <t>1467-1468</t>
  </si>
  <si>
    <t>7003443054;23062556900;7006192058</t>
  </si>
  <si>
    <t>Poulton, G. T.;Zhou, H.;Clarricoats, P. J.B.</t>
  </si>
  <si>
    <t>Poulton G.</t>
  </si>
  <si>
    <t>Approximate Theory For Radiation From Mesh Reflectors</t>
  </si>
  <si>
    <t>10.1049/el:19881002</t>
  </si>
  <si>
    <t>2-s2.0-0024108003</t>
  </si>
  <si>
    <t>ECS-8305953</t>
  </si>
  <si>
    <t>['radiation characteristics', 'helical antenna', 'dielectric core', 'axial mode']</t>
  </si>
  <si>
    <t>The circuit and radiation characteristics of a helical antenna of square cross section with a dielectric core are studied. The effect of the core dielectric constant on the characteristics of one, two, and three-turn helices driven in the axial mode is examined. Comparisons between theory and measurement are included. ¬© 1988 IEEE</t>
  </si>
  <si>
    <t>429-436</t>
  </si>
  <si>
    <t>60019947;60022659</t>
  </si>
  <si>
    <t>Casey, John P.;Bansal, Rajeev</t>
  </si>
  <si>
    <t>Storrs;New London</t>
  </si>
  <si>
    <t>University of Connecticut;US Naval Underwater Systems Center</t>
  </si>
  <si>
    <t>60022659;60019947</t>
  </si>
  <si>
    <t>Casey J.P.</t>
  </si>
  <si>
    <t>Square Helical Antenna with a Dielectric Core</t>
  </si>
  <si>
    <t>10.1109/15.8756</t>
  </si>
  <si>
    <t>2-s2.0-0024108466</t>
  </si>
  <si>
    <t>['¬© 1988', 'rigid construction', 'rights reserved', 'planar antennas', 'low cost', 'inverted patch', 'integrated radome', 'indexing terms', 'high efficiency', 'element array', 'electrical engineers', 'broad bandwidth']</t>
  </si>
  <si>
    <t>The SSFIP (strip-slot-foam-inverted patch) antenna presents significant advantages over standard microstrip antennas: very broad bandwidth, high efficiency, low crosspolarisation level, integrated radome, lightweight and rigid construction and low cost. A 16-element array with more than 16 dB gain and 21‚Ä¢1% bandwidth for SWR ‚â§ 2 shows what can be achieved. Indexing terms: Antennas, Planar antennas, Microstrip. ¬© 1988, The Institution of Electrical Engineers. All rights reserved.</t>
  </si>
  <si>
    <t>1433-1435</t>
  </si>
  <si>
    <t>Z&amp;#x00DC;rcher, J. F.</t>
  </si>
  <si>
    <t>Z&amp;#x00DC;rcher J.</t>
  </si>
  <si>
    <t>The Ssfip: A Global Concept For High-Performance Broadband Planar Antennas</t>
  </si>
  <si>
    <t>10.1049/el:19880979</t>
  </si>
  <si>
    <t>2-s2.0-0024108580</t>
  </si>
  <si>
    <t>['¬© 1988', 'three radiometers', 'skynoise measurements', 'site separation', 'since 1984', 'rights reserved', 'rhine valley', 'results obtained', 'research institute', 'radiometer sites', 'pointed towards', 'olympus satellite', 'noise measurements', 'letter presents', 'good agreement', 'envisaged position', 'electrical engineers', 'diversity experiment', 'deutsche bundespost', '30 ghz']</t>
  </si>
  <si>
    <t>Radiometers | Radiowave propagation | Rain</t>
  </si>
  <si>
    <t>Since 1984, the Research Institute of the Deutsche Bundespost has carried out a diversity experiment at 30 GHz with three radiometers in the Rhine valley. The antennas have been pointed towards the envisaged position of ESA's Olympus satellite, which is due for launch in 1989. The sky-noise measurements have been supplemented by concurrent rain intensity recordings at the radiometer sites as well as other localities to enlarge the database for studying the site diversity gain as a function of site separation. The letter presents some of the results obtained, and shows in particular that predictions from Hodge's empirical diversity model are in good agreement with our rain and skynoise measurements. ¬© 1988, The Institution of Electrical Engineers. All rights reserved.</t>
  </si>
  <si>
    <t>1529-1531</t>
  </si>
  <si>
    <t>60072501;60072501</t>
  </si>
  <si>
    <t>6603729361;26541493500</t>
  </si>
  <si>
    <t>Dintelmann, F.;R&amp;#x00DC;CKER, F.</t>
  </si>
  <si>
    <t>Darmstadt</t>
  </si>
  <si>
    <t>Forschungsinstitut der Deutschen Bundespost</t>
  </si>
  <si>
    <t>Dintelmann F.</t>
  </si>
  <si>
    <t>30GHz Skynoise Site Diversity And Concurrent Rain Rate Measurements</t>
  </si>
  <si>
    <t>10.1049/el:19881044</t>
  </si>
  <si>
    <t>2-s2.0-0024108605</t>
  </si>
  <si>
    <t>['two methods', 'substantial reduction', 'concisely described']</t>
  </si>
  <si>
    <t>Two methods of reducing the wide-angle radiation levels of a prime-fed parabolic dish to mitigate the EMI it causes are concisely described; by combining both methods a substantial reduction in EMI can be achieved. ¬© 1988 IEEE</t>
  </si>
  <si>
    <t>583-586</t>
  </si>
  <si>
    <t>60102558;60102558</t>
  </si>
  <si>
    <t>7006637880;7404914867</t>
  </si>
  <si>
    <t>Knop, C. M.;Cheng, Y. B.</t>
  </si>
  <si>
    <t>Joliet</t>
  </si>
  <si>
    <t>Andrew Corporation</t>
  </si>
  <si>
    <t>Knop C.M.</t>
  </si>
  <si>
    <t>A Note on the Mitigation of EMI Caused by Wide-Angle Radiation from Parabolic-Dish Antennas</t>
  </si>
  <si>
    <t>10.1109/15.8775</t>
  </si>
  <si>
    <t>2-s2.0-0024108678</t>
  </si>
  <si>
    <t>['sheath helix', 'radiation pattern', 'nondissipative media', 'integral equation', 'good approximation', 'free space', 'finite length', 'current distribution', 'copyright 1988']</t>
  </si>
  <si>
    <t>The sheath helix is an anisotropically conducting cylindrical tube that represents a good approximation to an actual helix consisting of many turns per wavelength. In this paper an integral equation for the current distribution along a finite length, axisymmetrically driven helical sheath antenna in a general homogeneous medium is solved by the method of moments to obtain the current distribution and radiation pattern of the antenna. The characteristics of various helical sheath antennas in both dissipative and nondissipative media are presented. Comparisons are made of the current distributions along multifilar thin‚Äêwire helical antennas and helical sheath antennas in free space. Copyright 1988 by the American Geophysical Union.</t>
  </si>
  <si>
    <t>1141-1151</t>
  </si>
  <si>
    <t>November-December 1988</t>
  </si>
  <si>
    <t>Finite length helical sheath antenna in a general homogeneous medium</t>
  </si>
  <si>
    <t>10.1029/RS023i006p01141</t>
  </si>
  <si>
    <t>2-s2.0-0024111638</t>
  </si>
  <si>
    <t>['vector helmholtz', 'rf heating', 'real problems', 'obtain accurate', 'finite element', 'field regions', 'exterior solutions', 'exterior fields', 'antenna design', 'also necessary']</t>
  </si>
  <si>
    <t>Spherical vector wave functions, forming a complete basis set for the solution of the vector Helmholtz's equation, have been known for approximately 80 years. However, only recently have computers become powerful enough to consider wave functions of sufficiently high order to represent the exterior fields for real problems in scattering, RF heating, and antenna design. In addition to raw computer power, it is also necessary to calculate the spherical vector wave functions using methods which avoid numerical instabilities. Spherical vector wave functions can then be used both as exterior solutions and as finite element-like basis functions in the interior, coupled by minimization of discontinuity at the boundaries. In this way, one can obtain accurate and rapidly computed numerical solutions of the vector Helmholtz's equation in both the near-field and far-field regions. ¬© 1988 IEEE</t>
  </si>
  <si>
    <t>2919-2921</t>
  </si>
  <si>
    <t>IEEE Transactions on Magnetics</t>
  </si>
  <si>
    <t>Bedrosian, Gary</t>
  </si>
  <si>
    <t>Niskayuna</t>
  </si>
  <si>
    <t>GE Global Research</t>
  </si>
  <si>
    <t>Bedrosian G.</t>
  </si>
  <si>
    <t>Spherical vector wave functions for hybrid finite element / boundary element electromagnetic scattering problems</t>
  </si>
  <si>
    <t>10.1109/20.92288</t>
  </si>
  <si>
    <t>2-s2.0-0024111731</t>
  </si>
  <si>
    <t>['physical interpretation', 'optimum solution', 'optimum combining', 'many interpretations', 'likely algorithm', 'freedom available', 'enough degrees', 'emphasized throughout', 'diversity antennas', 'also identified', 'adaptive algorithm']</t>
  </si>
  <si>
    <t>Optimum combining for diversity antennas at the mobile is discussed. Effectively, the aim is to add the wanted signal vectors in a maximum ratio sense, while interferers are weighted so that their resultant is in a permanent deep fade. Even if there are not enough degrees of freedom available to accomplish this fully, an optimum solution can still be found. Many interpretations from conventional array technology do not apply to the mobile communications case and the mechanism of optimum combining for array branch signals rather than discrete spatial signals is reviewed. Physical interpretation of the formulation is emphasized throughout. Problems with the adaptive algorithm and its implementation are also identified. Sample matrix inversion is shown to be a likely algorithm to apply in vehicular mobile communications receivers. A worst case example gives an idea of the required computation rates. ¬© 1989 IEEE</t>
  </si>
  <si>
    <t>181-188</t>
  </si>
  <si>
    <t>Vaughan, Rodney G.</t>
  </si>
  <si>
    <t>New Zealand</t>
  </si>
  <si>
    <t>New Zealand Department of Scientific and Industrial Research</t>
  </si>
  <si>
    <t>Vaughan R.</t>
  </si>
  <si>
    <t>On Optimum Combining at the Mobile</t>
  </si>
  <si>
    <t>10.1109/25.31122</t>
  </si>
  <si>
    <t>2-s2.0-0024111740</t>
  </si>
  <si>
    <t>['rf antenna', 'moment method', 'experimental results', 'electromagnetic field', 'current distribution', 'computation results', 'computation accuracy']</t>
  </si>
  <si>
    <t>In the design of the RF antenna for MRI. its size and structure are determined so that they provide desired distribution of electromagnetic field. The moment method using point matching formulation was used for the computation of electromagnetic field due to the antenna and current distribution on the antenna. In order to verify the computation accuracy of the moment method, comparison between computation results and experimental results are performed. In addition, the effect of loading the RF antenna with capacitors to improve the uniformity of the current distribution has been studied. ¬© 1988 IEEE</t>
  </si>
  <si>
    <t>2591-2593</t>
  </si>
  <si>
    <t>60023147;60023147;60023147;60103375</t>
  </si>
  <si>
    <t>35451628800;55628565614;7101984805;7403991238</t>
  </si>
  <si>
    <t>Tsuboi, H.;Tanaka, H.;Misaki, T.;Fujita, M.</t>
  </si>
  <si>
    <t>Tokyo;Okayama</t>
  </si>
  <si>
    <t>Fuji Electric Co., Ltd.;Okayama University</t>
  </si>
  <si>
    <t>60103375;60023147</t>
  </si>
  <si>
    <t>Tsuboi H.</t>
  </si>
  <si>
    <t>Electromagnetic field analysis of rf antenna for mri</t>
  </si>
  <si>
    <t>10.1109/20.92183</t>
  </si>
  <si>
    <t>2-s2.0-0024112061</t>
  </si>
  <si>
    <t>14-86-K-0539</t>
  </si>
  <si>
    <t>['thus limiting', 'stationary target', 'short enough', 'reconstructed image', 'real two', 'radio image', 'noise ratio', 'moving targets', 'known velocity', 'dimensional case', 'different velocities']</t>
  </si>
  <si>
    <t>The detection of moving targets by passive radio temperature measurements is studied. A radio image is reconstructed by linear spatial filtering of simultaneous measured brightness samples, obtained by multiple regularly spaced antenna beams. With fixed spatial filters, the receiver integration time must be short enough to freeze target motion, thus limiting the signal-to-noise ratio obtained in the reconstructed image. For isolated point targets, matched spatial filters maximize the signal-to-noise ratio in the reconstructed image. A time-varying matched spatial filter can compensate for the motion of a target with known velocity. We show in the one-dimensional case that such a time-varying matched filter yields the same signal-to-noise ratio in the reconstructed image as would be obtained for a stationary target with a fixed matched filter. This result will provide the basis for treating multiple targets with different velocities, detected by a bank of time-varying matched filters, in the real two-dimensional case. ¬© 1988 IEEE</t>
  </si>
  <si>
    <t>1528-1537</t>
  </si>
  <si>
    <t>Rowe, Harrison E.</t>
  </si>
  <si>
    <t>Hoboken</t>
  </si>
  <si>
    <t>Stevens Institute of Technology</t>
  </si>
  <si>
    <t>Rowe H.</t>
  </si>
  <si>
    <t>Radio Imaging of Moving Targets: The One-Dimensional Case</t>
  </si>
  <si>
    <t>10.1109/18.21292</t>
  </si>
  <si>
    <t>2-s2.0-0024112489</t>
  </si>
  <si>
    <t>['usually used', 'useful differences', 'three approximations', 'mathematical structure', 'make clear', 'fraunhofer approximations', 'antenna theories', 'also discussed']</t>
  </si>
  <si>
    <t>The Fraunhofer approximations as usually used in diffraction, radiation, and antenna theories have some important and very useful differences. This paper examines three kinds of Fraunhofer approximations in applications to the propagation of a scalar field amplitude from sources to detectors. Each of the three approximations is examined to make clear the differences in their conditions for validity and mathematical structure. Some differences in their applications are also discussed. This paper is not subject to U.S. copyright. Published in 1988 by the American Geophysical Union.</t>
  </si>
  <si>
    <t>1085-1093</t>
  </si>
  <si>
    <t>Carter, William H.</t>
  </si>
  <si>
    <t>Carter W.</t>
  </si>
  <si>
    <t>Three different kinds of Fraunhofer approximations: 1. Propagation of the field amplitude</t>
  </si>
  <si>
    <t>10.1029/RS023i006p01085</t>
  </si>
  <si>
    <t>2-s2.0-0024112534</t>
  </si>
  <si>
    <t>['side lobes', 'sbf structure', 'sbf operation', 'microwave frequency', 'grating lobes', 'gain optimization', 'existing designs', 'evaluated experimentally']</t>
  </si>
  <si>
    <t>An earlier design technique of grating lobe filtering has been extended to the short back fire antenna at microwave frequency. The part of the SBF structure itself has been utilized as a grating lobe filter which ensures both SBF operation for gain optimization and suppression of side lobes and grating lobes. The antenna has been designed and developed at X-band and evaluated experimentally for its performance. The gain has improved by 7.0db while sidelobes and grating lobes are suppressed to 17.5db and 25.0db, respectively to meet system specifications. This has resulted in an improvement over existing designs.</t>
  </si>
  <si>
    <t>463-465</t>
  </si>
  <si>
    <t>Nov-Dec</t>
  </si>
  <si>
    <t>60023345;60023345</t>
  </si>
  <si>
    <t>55491681600;6701379515</t>
  </si>
  <si>
    <t>Sharma, S. B.;Calla, O. P.N.</t>
  </si>
  <si>
    <t>Sharma S.</t>
  </si>
  <si>
    <t>Gain Optimisation with suppressed side lobes and grating lobes in SBF antenna</t>
  </si>
  <si>
    <t>10.1080/03772063.1988.11436771</t>
  </si>
  <si>
    <t>2-s2.0-0024112862</t>
  </si>
  <si>
    <t>['scattering properties', 'present method', 'passive scatterers', 'linear antennas', 'latter case', 'francis group', 'antenna gain', 'also used', 'accurate form']</t>
  </si>
  <si>
    <t>A method is developed that enables the solution of scattering by a finite numberof cylinders in a convenient and accurate form. It is based on an analytic formulation using the boundary value problem and an application of a point matching technique. The method is then applied to study the scattering properties of both conducting anddielectric cylinders. It is also used to determine the size and spacing of passive scatterers to improve the directivity of linear antennas. In the latter case, a combination of the present method and a space perturbation technique is utilized to optimize the antenna gain. ¬© 1988 Taylor &amp; Francis Group, LLC.</t>
  </si>
  <si>
    <t>1013-1029</t>
  </si>
  <si>
    <t>7005734279;8092251400</t>
  </si>
  <si>
    <t>El-Gamal, M. Z.;Shafai, L.</t>
  </si>
  <si>
    <t>El-Gamal M.Z.</t>
  </si>
  <si>
    <t>Scattering of electromagnetic waves by arrays of conducting and dielectric cylinders</t>
  </si>
  <si>
    <t>10.1080/00207218808945303</t>
  </si>
  <si>
    <t>2-s2.0-0024119092</t>
  </si>
  <si>
    <t>Association pour la Recherche sur le Cancer</t>
  </si>
  <si>
    <t>Sup6rieur</t>
  </si>
  <si>
    <t>['œ ≤-', '¬© 1988', 'vitro study', 'serial reaction', 'second one', 'reducing terminus', 'rapid hydrolysis', 'process explains', 'peptidic backbone', 'oligosaccharides sharing', 'oligosaccharide specific', 'model glycoasparagine', 'latter act', 'initiation steps', 'immediately follows', 'directional phenomenon', 'different rates', 'different antennae', 'carbohydrate chain', 'acetylglucosamine residue', '3 enzymes']</t>
  </si>
  <si>
    <t>aspartylglucosaminidase | aspartylglucosaminidase or L-aspartamido-Œ≤-N-acetyl glucosamine aminohydrolase (EC 3.5.1.26) | catabolism | endo-N-acetyl-Œ≤-D-glucosaminidase | Enzymes endochitobiase or endo-N-acetyl-Œ≤-D-glucosaminidase (EC 3.2.1.96) | lysosomes | N-glycosylproteins</t>
  </si>
  <si>
    <t>In vitro study of the initiation steps of catabolism of N-glycosylproteins in rat liver lysosomes has led to the evidence that the degradation of the carbohydrate chain is an ordered and bi-directional phenomenon: 1. 1) The first one starts at the reducing terminus, immediately follows the degradation of the peptidic backbone by proteases and involves a serial reaction of 3 enzymes, respectively, 1) an Œ±-L-fucosidase, 2) an aspartylglucosaminidase, and 3) an acidic 'oligosaccharide specific' endo-N-acetyl-Œ≤-D-hexosaminidase, that we propose calling endo-chitobiase. 2. 2) The second one is the commonly admitted sequential recurrent degradatio n by exoglycosidases. This process explains the presence of oligosaccharides sharing a single terminal reducing N-acetylglucosamine residue in human lysosomal storage diseases. Using a model glycoasparagine as a substrate, we followed the above mentioned hydrolysis reactions by 1H NMR spectroscopy. The kinetic data revealed a rapid hydrolysis of the substrate via pathway 1 prior to the action of exoglycosidases. Moreover, the latter act at different rates on the different antennae of the substrate. ¬© 1988.</t>
  </si>
  <si>
    <t>1505-1510</t>
  </si>
  <si>
    <t>Biochimie</t>
  </si>
  <si>
    <t>60104665;60104665;60104665</t>
  </si>
  <si>
    <t>7103289522;7102942184;56377616100</t>
  </si>
  <si>
    <t>Strecker, G√©rard;Michalski, Jean Claude;Montreuil, Jean</t>
  </si>
  <si>
    <t>Strecker G.</t>
  </si>
  <si>
    <t>Lysosomal catabolic pathway of N-glycosylprotein glycans</t>
  </si>
  <si>
    <t>10.1016/0300-9084(88)90287-8</t>
  </si>
  <si>
    <t>2-s2.0-0024119269</t>
  </si>
  <si>
    <t>['x 10', 'sgr b2', 'results indicate', 'recent predictions', 'northern peak', 'molecule chemistry', 'magnitude greater', 'line emission', 'column density', 'approximately 10', '2 orders']</t>
  </si>
  <si>
    <t>A survey of the 4(04)-3(03) and 1(01)-0(00) transitions of HOCO+ has been made toward several molecular clouds. The HOCO+ molecule was not observed in any sources except Sgr B2 and Sgr A. The 5(05)-4(04) and 4(14)-3(13) transitions were also detected toward Sgr B2. The results indicate that gas phase CO2 is not a major carbon reservoir in typical molecular clouds. In Sgr B2, the HOCO+ antenna temperature exhibits a peak approximately 2' north of the Sgr B2 central position (Sgr B2[M]) and the 4(04)-3(03) line emission is extended over a approximately 10' x 10' region. The column density of HOCO+ at the northern peak in Sgr B2 is approximately 3 x 10(14) cm-2, and the fractional abundance relative to H2 &gt; or = 3 x 10(-10), which is about 2 orders of magnitude greater than recent predictions of quiescent cloud ion-molecule chemistry.</t>
  </si>
  <si>
    <t>175-181</t>
  </si>
  <si>
    <t>0004637X</t>
  </si>
  <si>
    <t>The Astrophysical journal</t>
  </si>
  <si>
    <t>60013894;60013894;60013894</t>
  </si>
  <si>
    <t>7003681367;7103105241;7005981409</t>
  </si>
  <si>
    <t>Minh, Y. C.;Irvine, W. M.;Ziurys, L. M.</t>
  </si>
  <si>
    <t>University of Massachusetts System</t>
  </si>
  <si>
    <t>Minh Y.</t>
  </si>
  <si>
    <t>Observations of interstellar HOCO+: abundance enhancements toward the galactic center.</t>
  </si>
  <si>
    <t>10.1086/166827</t>
  </si>
  <si>
    <t>2-s2.0-0024121463</t>
  </si>
  <si>
    <t>['remotely controlling', 'phased array', 'phase resolution', 'phase rates', 'local oscillators', '18 ¬∞']</t>
  </si>
  <si>
    <t>A method of remotely controlling the phase and phase rates of low-frequency reference signals using digital techniques is described. These signals can in turn be used to control the phase of a microwave local oscillator in a phased array. The system, which was designed to control the phase of the local oscillators in a new radio astronomy array called the ‚ÄúAustralia Telescope,‚Äù gives a phase resolution of 0.18¬∞ and phase rates of up to 2 √ó 104 rad s-1. ¬© 1988 IEEE.</t>
  </si>
  <si>
    <t>626-630</t>
  </si>
  <si>
    <t>60029470;60029470</t>
  </si>
  <si>
    <t>7003513670;56221265300</t>
  </si>
  <si>
    <t>Percival, T. M.P.;Young, A. C.</t>
  </si>
  <si>
    <t>Percival T.M.P.</t>
  </si>
  <si>
    <t>Accurate Digital Control and Rotation of the Phase of Microwave Signals</t>
  </si>
  <si>
    <t>10.1109/19.9827</t>
  </si>
  <si>
    <t>2-s2.0-0024124038</t>
  </si>
  <si>
    <t>['tm01 modes', 'inexpensive multi', 'dual mode', 'dominant mode', 'difference patterns', 'corrugated horn']</t>
  </si>
  <si>
    <t>A design of an inexpensive multi-mode tracking feed antenna, for a circularly polarized signal is described. It uses the TE11 and TM01 modes, in a smooth circular waveguide, to obtain the sum and difference patterns. The higher order mode, TM01 generated within the feed is separated from the dominant mode, TE11 by using the resonant mode filter printed on a thin dielectric material. The design of the resonant mode filter is described in some detail. The use of a printed resonant ring with a dual mode horn makes the design particularly inexpensive. Sum and difference patterns with both the dual mode and the corrugated horn are presented for comparison.</t>
  </si>
  <si>
    <t>381-386</t>
  </si>
  <si>
    <t>Dec</t>
  </si>
  <si>
    <t>Patel, P. D.</t>
  </si>
  <si>
    <t>Buffalo</t>
  </si>
  <si>
    <t>Bell Aerospace Textron</t>
  </si>
  <si>
    <t>Patel P.</t>
  </si>
  <si>
    <t>Inexpensive multi-mode satellite tracking feed antenna</t>
  </si>
  <si>
    <t>10.1049/ip-h-2.1988.0080</t>
  </si>
  <si>
    <t>2-s2.0-0024128846</t>
  </si>
  <si>
    <t>['¬© 1988', 'transmitted twice', 'time diversity', 'rights reserved', 'predicted values', 'one antenna', 'measured values', 'good agreement', 'electrical engineers', 'data symbol']</t>
  </si>
  <si>
    <t>Radiocommunication | Receivers</t>
  </si>
  <si>
    <t>Time diversity, in which the same data are transmitted several times, is attractive in digital land mobile radio and is simple to implement because only one antenna is required. Expressions for the level crossing rate (LCR) and average fade duration (AFD) are derived in this paper for a system in which each data symbol is transmitted twice (two-branch diversity). As far as LCR is concerned, the expected diversity advantages can be obtained for a data repetition period, normalised by the maximum Doppler frequency, of about 0.2. For a large data repetition period, the AFD is halved. Measured values of LCR and AFD, obtained from 900 MHz signals received at a base station site, are in good agreement with predicted values. ¬© 1988, The Institution of Electrical Engineers. All rights reserved.</t>
  </si>
  <si>
    <t>501-506</t>
  </si>
  <si>
    <t>IEE Proceedings F: Communications Radar and Signal Processing</t>
  </si>
  <si>
    <t>60025555;60020661;60020661</t>
  </si>
  <si>
    <t>7103400688;7005186888;57194930997</t>
  </si>
  <si>
    <t>Adachi, F.;Feeney, M. T.;Parson, J. D.</t>
  </si>
  <si>
    <t>Level crossing rate and average fade duration for time diversity reception in Rayleigh fading conditions</t>
  </si>
  <si>
    <t>10.1049/ip-f-1.1988.0059</t>
  </si>
  <si>
    <t>2-s2.0-0024128861</t>
  </si>
  <si>
    <t>['weight vectors', 'technique based', 'quartic function', 'ordinate origin', 'order case', 'new set', 'constraints ensure', 'beampattern dependency', 'array beam']</t>
  </si>
  <si>
    <t>The paper first examines the issue of the beampattern dependency on the choice of phase center location, when a narrow band beamformer is subjected to directional and spatial derivative constraints. It is shown that the norm of the weight vectors for a zero-plus-first and zero-plus-first-plus-second derivative constrained beam-formers, under white noise conditions, is a quadratic and a quartic function of a parameter which specifies the phase center location. The paper then presents a technique based on a power response approach, for deriving a new set of constraints for controlling the beampattern spatial derivates. The new set of constraints ensure that the array beam-pattern is independent of the choice of the phase center co-ordinate origin. It is shown that for the first-order case, the constraint is linear, but for the second-order case, the constraint is quadratic.</t>
  </si>
  <si>
    <t>414-419</t>
  </si>
  <si>
    <t>Er, M. H.</t>
  </si>
  <si>
    <t>Nanyang Technological University</t>
  </si>
  <si>
    <t>Adaptive antenna array under directional and spatial derivative constraints</t>
  </si>
  <si>
    <t>10.1049/ip-h-2.1988.0086</t>
  </si>
  <si>
    <t>2-s2.0-0024129393</t>
  </si>
  <si>
    <t>['theoretical study', 'single mode', 'design aspects', 'antenna system', 'allowable tolerances']</t>
  </si>
  <si>
    <t>Using an accurate mutual coupling array analysis technique, a theoretical study of the design aspects of an array fed contour beam reflector antenna of the INTELSAT VI type is made. Emphasis is given to the determination of allowable tolerances on the antenna and BFN design parameters, whilst remaining within the main performance constraints of the antenna system. Both single mode and dual mode horn element arrays are considered and their relative merits compared.</t>
  </si>
  <si>
    <t>408-413</t>
  </si>
  <si>
    <t>60022109;60022109;60022109;60022109;60022109</t>
  </si>
  <si>
    <t>7005244140;7006460227;6506145678;7006827241;57197164875</t>
  </si>
  <si>
    <t>Parini, C. G.;Brian, D.;Kalatizadeh, Y.;Olver, A. D.;Raghavan, K.</t>
  </si>
  <si>
    <t>Parini C.</t>
  </si>
  <si>
    <t>Design aspects and tolerances in array fed contour beam antennas of INTELSAT VI type</t>
  </si>
  <si>
    <t>10.1049/ip-h-2.1988.0085</t>
  </si>
  <si>
    <t>2-s2.0-0024130248</t>
  </si>
  <si>
    <t>['wiley company', 'usual method', 'service areas', 'rainfall attenuation', 'proposed approach', 'population distribution', 'paper proposes', 'output power', 'inc .,', 'giving rise', 'equipment configuration', 'described requires', 'beam power']</t>
  </si>
  <si>
    <t>The satellite‚Äêfed millimeter‚Äêwave personal communication system that is described requires a satellite with a multi‚Äêbeam antenna in order to guarantee the required link availability in point‚Äêto‚Äêpoint communications between numerous widely distributed small Earth stations. The usual method of antenna beam allocation requires high beam power in the downlink, giving rise to realizability problems due to limitations on the output power of the millimeter‚Äêwave transmitter. This paper proposes an approach to optimizing the allocation of downlink antenna beams in which the beams are assigned to service areas that are chosen with reference to population distribution, rainfall attenuation in the millimeter‚Äêwave region, and constraints on beam power. A computer simulation based on nationwide rainfall attenuation and population distribution data indicates that the proposed approach is more effective than with the usual beam allocation method. The equipment configuration of the satellite is described. Copyright ¬© 1988 Wiley Periodicals, Inc., A Wiley Company</t>
  </si>
  <si>
    <t>70-77</t>
  </si>
  <si>
    <t>24281871400;35494400100;55724594000;35466077200</t>
  </si>
  <si>
    <t>Shimada, Masaaki;Yoshimoto, Shigetoshi;Suzuki, Yoshiaki;Iida, Takashi</t>
  </si>
  <si>
    <t>Shimada M.</t>
  </si>
  <si>
    <t>Antenna‚Äêbeam allocation for a satellite‚Äêfed millimeter‚Äêwave personal communication system</t>
  </si>
  <si>
    <t>10.1002/ecja.4410711208</t>
  </si>
  <si>
    <t>2-s2.0-0024131833</t>
  </si>
  <si>
    <t>['topped beam', 'shaped region', 'planar aperture', 'elliptical boundary', 'controlled ripple', 'controlled height', 'circular boundary', 'aperature distribution', '2m solutions']</t>
  </si>
  <si>
    <t>A pattern synthesis procedure is developed for a planar aperture with a circular boundary. A œÜ-symmetric continuous distribution is assumed and required to produce a flat-topped beam with controlled ripple, surrounded by ring side lobes of controlled height. With M filled-in nulls in the shaped region, there are 2M solutions for the aperature distribution. Sampling can yield the excitation of a circular grid planar array. Linear stretching extends the results to an elliptical boundary.</t>
  </si>
  <si>
    <t>366-370</t>
  </si>
  <si>
    <t>106127911;106127911</t>
  </si>
  <si>
    <t>57220065537;7101778980</t>
  </si>
  <si>
    <t>Elliott, R. S.;Stern, G. J.</t>
  </si>
  <si>
    <t>Albany</t>
  </si>
  <si>
    <t>University of California</t>
  </si>
  <si>
    <t>Elliott R.S.</t>
  </si>
  <si>
    <t>Shaped patterns from a continuous planar aperture distribution</t>
  </si>
  <si>
    <t>10.1049/ip-h-2.1988.0077</t>
  </si>
  <si>
    <t>2-s2.0-0024132609</t>
  </si>
  <si>
    <t>['xpd data', 'wiley company', 'used widely', 'separation angle', 'reflected waves', 'received power', 'propagation paths', 'prediction method', 'predicted values', 'predict xpd', 'paper proposes', 'multipath fading', 'model predicts', 'inc .,', 'fairly accurate', 'fade depth', 'deep fading', 'c parameter', '10 db']</t>
  </si>
  <si>
    <t>This paper proposes a prediction method for cross‚Äêpolarization discrimination (XPD) during multipath fading on line‚Äêof‚Äêsight propagation paths that encounter strong surface‚Äêreflected waves. This prediction method is required for the design of radio‚Äêrelay systems. First, the so‚Äêcalled C parameter has been used widely to predict XPD but without any clear physical explanation. It is equivalent to the mean‚Äêsquared value of the cross‚Äêpolar component of received power during deep fading, when the fade depth is 10 dB or larger, if the cross‚Äêpolar component is normalized to the co‚Äêpolar component of the received power during normal (i.e., nonfading) conditions. A two‚Äêray interference and direct‚Äêwave depression (i.e., mean‚Äêvalue depression) model was developed. This model predicts the value of the C parameter by using such propagation path conditions as the separation angle between the direct and reflected waves and antenna directivity pattern. Finally, this prediction method was found to be fairly accurate by comparison of predicted values with XPD data, obtained from propagation paths with strongly reflected waves. Copyright ¬© 1988 Wiley Periodicals, Inc., A Wiley Company</t>
  </si>
  <si>
    <t>99-108</t>
  </si>
  <si>
    <t>35921848600;7102399345;36799333300</t>
  </si>
  <si>
    <t>Sasaki, Osamu;Hosoya, Yoshio;Yoshikawa, Makoto</t>
  </si>
  <si>
    <t>Sasaki O.</t>
  </si>
  <si>
    <t>A prediction method for cross‚Äêpolarization discrimination on line‚Äêof‚Äêsight radio links with strong surface reflections</t>
  </si>
  <si>
    <t>10.1002/ecja.4410711211</t>
  </si>
  <si>
    <t>2-s2.0-0024133894</t>
  </si>
  <si>
    <t>['¬© taylor', 'wire diameter', 'variations predicted', 'test region', 'salted soil', 'predictions based', 'line approximation', 'larger conductors', 'laboratory measurements', 'induced current', 'francis group', 'electromagnetically similar', 'current induced', 'buried conductors', 'actual variation']</t>
  </si>
  <si>
    <t>Laboratory measurements of the current induced in buried conductors were made and are compared to predictions based on the transmission-line approximation. The measurements were made in a test region of salted soil that was illuminated with a repetitive transient wave from a Large Linear antenna. The small wires buried in the salted soil are electromagnetically similar to larger conductors in typical natural soils. The actual variation of induced current with angle of incidence, depth of burial, and wire diameter are compared with the variations predicted from the transmission-Line approximation. ¬© Taylor &amp; Francis Group, LLC.</t>
  </si>
  <si>
    <t>365-373</t>
  </si>
  <si>
    <t>Vance, Edward F.</t>
  </si>
  <si>
    <t>Vance E.</t>
  </si>
  <si>
    <t>Current induced in buried conductors</t>
  </si>
  <si>
    <t>10.1080/02726348808908221</t>
  </si>
  <si>
    <t>2-s2.0-0024134841</t>
  </si>
  <si>
    <t>['spatial region', 'small quantity', 'quadratic constraint', 'power response', 'paper presents', 'new technique', 'matrix factorization', 'linear constraints', 'eigenvector constraints', 'efficient representation', 'computational complexity', 'broad null', 'array signals', 'approach taken', 'also known']</t>
  </si>
  <si>
    <t>The paper presents a new technique for synthesis antenna array pattern with controlled broad nulls. The approach taken in the paper is to integrate the power response of the array over a spatial region of interest and force it to be less than or equal to a small quantity. The optimal weight vector is obtained by minimizing the weight vector norm subject to a linear and a quadratic constraint. Numerical techniques based on matrix factorization are proposed to reduce the computational complexity. Subsequently, a set of linear constraints, also known as eigenvector constraints, are used to approximate the effect of the quadratic constraint in order to maintain a broad null over the spatial region of interest. This set of eigenvectors can be viewed as an efficient representation of array signals of specified angular occupancy.</t>
  </si>
  <si>
    <t>375-380</t>
  </si>
  <si>
    <t>Technique for antenna array pattern synthesis with controlled broad nulls</t>
  </si>
  <si>
    <t>10.1049/ip-h-2.1988.0079</t>
  </si>
  <si>
    <t>2-s2.0-0024135375</t>
  </si>
  <si>
    <t>['worst case', 'wiley company', 'used sometimes', 'snow accretion', 'signal reception', 'sheet radomes', 'satellite communication', 'nonuniform accretion', 'large attenuation', 'inc .,', 'changed greatly', 'antenna pattern', 'antenna characteristics']</t>
  </si>
  <si>
    <t>Sheet radomes are used sometimes to prevent the degradation of antenna characteristics during snowfalls at simple Earth stations for satellite communication. If the snow accretion over the radome is uniform, the antenna has only a slightly lower level of signal reception. However, if the snow accretion over the radome is not uniform, there may be a large attenuation. In this paper we clarified the mechanism of the degraded antenna pattern due to a nonuniform accretion of snow over the radome. In the worst case, the antenna pattern is changed greatly and we showed that there was up to 40‚ÄêdB attenuation along the boresight of the antenna. We measured the process of changing the antenna pattern as the snow accretion changed with the passage of time. We clarified these processes. Copyright ¬© 1988 Wiley Periodicals, Inc., A Wiley Company</t>
  </si>
  <si>
    <t>109-117</t>
  </si>
  <si>
    <t>60022313;60022313;60022313;60022313</t>
  </si>
  <si>
    <t>57211784393;55495528400;7202758788;57207762039</t>
  </si>
  <si>
    <t>Shimba, Minoru;Sato, Kazuhiro;Koike, Hiroo;Sato, Takashi</t>
  </si>
  <si>
    <t>Shimba M.</t>
  </si>
  <si>
    <t>Degradation of antenna pattern by snow accretion on radome</t>
  </si>
  <si>
    <t>10.1002/ecja.4410711212</t>
  </si>
  <si>
    <t>2-s2.0-0024136808</t>
  </si>
  <si>
    <t>DAAG 29-85-K-0247</t>
  </si>
  <si>
    <t>['two larger', 'quantizer designed', 'phased array', 'paper derives', 'output image', 'optimization criterion', 'information destroys', 'image integrity', 'hard limiting', 'finer quantization', 'equal numbers', 'eight bits', 'bits assigned', 'aperture data', 'acceptable imagery', '4 bits', '3 bits', '1 bit']</t>
  </si>
  <si>
    <t>This paper derives an optimum quantization scheme for compressing the aperture data in a microwave antenna array. The optimization criterion is maximization of the quality of the output image from the system. The procedure can be applied to a quantizer designed for any number of bits per sample. It is shown that hard limiting the input to a phased array while leaving the phase unaltered preserves much of the image integrity. Amplitude-only information destroys it. Hard limiting plus one bit of phase information sometimes suffices. Hard limiting plus two bits of signal phase per sample often results in acceptable imagery. A minimum of 4 bits of information per complex signal sample guarantees a relatively good image provided that 3 bits are used to represent the phase and 1 bit is used to represent the amplitude. Eight bits are required to ensure a high fidelity image. When the number of bits per data sample is no more than 8, the number of bits assigned to phase should be two larger than the number of bits assigned to amplitude. For finer quantization, equal numbers of bits should be assigned to amplitude and phase. ¬© 1988 IEEE</t>
  </si>
  <si>
    <t>1889-1898</t>
  </si>
  <si>
    <t>7402178018;7102870158</t>
  </si>
  <si>
    <t>Liang, Zhongjie;Steinberg, Bernard D.</t>
  </si>
  <si>
    <t>Liang Z.</t>
  </si>
  <si>
    <t>Optimum Data Quantization in Microwave Imagery and Its Effect Upon Image Quality</t>
  </si>
  <si>
    <t>10.1109/29.9033</t>
  </si>
  <si>
    <t>2-s2.0-0024137980</t>
  </si>
  <si>
    <t>['sum pattern', 'sidelobe levels', 'nulls except', 'measurement errors', 'main beam', 'less affected', 'direction finding', 'difference patterns', 'difference pattern', 'angular accuracy']</t>
  </si>
  <si>
    <t>It is shown that by using Chebyshev weights for the sum pattern while forcing the difference pattern to have the same nulls except for one pair next to the main beam, the performance of a monopulse phased array in direction finding is approved in the sense that the angular accuracy is less affected by the measurement errors of the sum and difference signal power and the sidelobe levels of both the sum and difference patterns are reduced.</t>
  </si>
  <si>
    <t>391-394</t>
  </si>
  <si>
    <t>Improving performance of monopulse phased array in direction finding</t>
  </si>
  <si>
    <t>10.1049/ip-h-2.1988.0082</t>
  </si>
  <si>
    <t>2-s2.0-0024138125</t>
  </si>
  <si>
    <t>['sidelobe constraints', 'separate sets', 'principal features', 'difference modes']</t>
  </si>
  <si>
    <t>A quadratic programming method is described for studying simultaneous sum and difference synthesis compromises, and establishing performance bounds, under the restriction of a two-section array feed network. A composite objective function is minimised, subject to a union of separate sets of sidelobe constraints, for the sum and difference modes of operation, to avoid a conflicting constraint set. Examples are given to illustrate the principal features of the method.</t>
  </si>
  <si>
    <t>371-374</t>
  </si>
  <si>
    <t>McNamara, D. A.</t>
  </si>
  <si>
    <t>Synthesis of sum and difference patterns for two-section monopulse arrays</t>
  </si>
  <si>
    <t>10.1049/ip-h-2.1988.0078</t>
  </si>
  <si>
    <t>2-s2.0-0024140249</t>
  </si>
  <si>
    <t>['¬© 1988', 'theoretical value', 'temperature distribution', 'rf probe', 'peak positions', 'measured directly', 'major part', 'joule loss', 'japan society', 'frequency range', 'faraday shield', 'dimensionally scanning', 'consequently gives', 'conductive casing', 'bxis found', 'applied physics', 'antenna casing', '120 mhz']</t>
  </si>
  <si>
    <t>Faraday shield | ICRF | Joule loss | JT-60 | Magnetic field | Resistance | Temperature rise | Test antenna | Three-dimensional scanning</t>
  </si>
  <si>
    <t>Joule loss on a Faraday shield of JT-60 ICRF test antenna with a conductive casing is investigated at the frequency range of 120 MHz. The magnetic field radiated from the antenna is measured by three-dimensionally scanning an rf probe both inside and outside the antenna casing. The magnetic field perpendicular to the Faraday shield, Bxis found to be the largest component near the Faraday shield. It consequently gives the major part of the joule loss on the Faraday shield. The temperature distribution of the Faraday shield due to joule loss is measured directly with a thermocamera. It is confirmed that the area of the high temperature rise is consistent with the peak positions of the Bxfield. Faraday shield resistance which is estimated from power measurements agrees with the theoretical value. ¬© 1988 The Japan Society of Applied Physics.</t>
  </si>
  <si>
    <t>2378-2382</t>
  </si>
  <si>
    <t>12R</t>
  </si>
  <si>
    <t>60015658;60015658;60015658;60015658;60015658-60018735;60015658-60018735</t>
  </si>
  <si>
    <t>35352771100;7005938557;25624866400;7404269925;7005393593;7202619509</t>
  </si>
  <si>
    <t>Fujii, Tsuneyuki;Saigusa, Mikio;Ikeda, Yoshitaka;Kimura, Haruyuki;Hirashima, Teruhisa;Uehara, Munenori</t>
  </si>
  <si>
    <t>Tokyo;Kashiwa</t>
  </si>
  <si>
    <t>Toshiba Corporation;Japan Atomic Energy Agency</t>
  </si>
  <si>
    <t>60018735;60015658</t>
  </si>
  <si>
    <t>Fujii T.</t>
  </si>
  <si>
    <t>Joule loss on a faraday shield of JT-60 ICRF test antenna</t>
  </si>
  <si>
    <t>10.1143/JJAP.27.2378</t>
  </si>
  <si>
    <t>2-s2.0-0024141379</t>
  </si>
  <si>
    <t>['thin dipoles', 'printed ones', 'numerical results', 'microstrip elements', 'hand calculations', 'asymptotic expansion']</t>
  </si>
  <si>
    <t>A method of evaluating mutual impedances between thin dipoles is presented. They may be free or printed ones. It involves an asymptotic expansion of a bidimensional Fourier integral. Very simple algebraic expressions are derived, which are convenient for hand calculations. The numerical results are more accurate than previously. The technique is extended to include the presence of an infinite ground plane. Then, using the stationary phase method, simple coupling equations are derived for microstrip elements.</t>
  </si>
  <si>
    <t>395-399</t>
  </si>
  <si>
    <t>Gera, A. E.</t>
  </si>
  <si>
    <t>Ashdod</t>
  </si>
  <si>
    <t>Elta Electronics Industries Ltd.</t>
  </si>
  <si>
    <t>Gera A.</t>
  </si>
  <si>
    <t>Simple expressions for mutual impedances</t>
  </si>
  <si>
    <t>10.1049/ip-h-2.1988.0083</t>
  </si>
  <si>
    <t>2-s2.0-0024143256</t>
  </si>
  <si>
    <t>['proper choice', 'optimal synthesis', 'optimal array', 'iterative process', 'flexible method', 'first approximation']</t>
  </si>
  <si>
    <t>We present an efficient and flexible method for the optimal synthesis of a shaped beam linear array in the paper. This method is capable of dealing with unconstrained as well as constrained synthesis problems. It is based on an iterative process, whose convergence depends on a proper choice of the first approximation. This choice is discussed in detail, and some examples are presented which show the effectiveness of the method in finding the optimal array for a given power pattern.</t>
  </si>
  <si>
    <t>400-407</t>
  </si>
  <si>
    <t>60017293;60017293;60017293</t>
  </si>
  <si>
    <t>7006413404;7006097620;7003742703</t>
  </si>
  <si>
    <t>Franceschetti, G.;Mazzarella, G.;Panariello, G.</t>
  </si>
  <si>
    <t>Naples</t>
  </si>
  <si>
    <t>Universit√† degli Studi di Napoli Federico II</t>
  </si>
  <si>
    <t>Franceschetti G.</t>
  </si>
  <si>
    <t>Array synthesis with excitation constraints</t>
  </si>
  <si>
    <t>10.1049/ip-h-2.1988.0084</t>
  </si>
  <si>
    <t>2-s2.0-0024144182</t>
  </si>
  <si>
    <t>['¬© 1988', 'transmitting range', 'signal processor', 'respective lifetime', 'radio signals', 'performance control', 'paper describes', 'nonsocial influences', 'longterm shifts', 'laboratory mice', 'hr due', 'hr acquisition', 'experimental responses', 'continuous registration', 'continuous reception', 'battery size', 'artifact distinction', '5 g']</t>
  </si>
  <si>
    <t>Artifact distinction | Baseline acquisition | Continuous longterm measurement | Heartrate a function of nonsocial and social environment | Implantation | Interbeat intervals | Miniature ECG-transmitters | Small animals | True heartrate</t>
  </si>
  <si>
    <t>This paper describes a miniature telemetry system which is capable of precise, reliable longterm registration of heartrate (HR) in animals as small as laboratory mice. The ECG-transmitters have a weight of 0.9-1.5 g and a respective lifetime of 3-6 months depending on battery size. With suitable receiving antennas, transmitting range is sufficient for continuous reception in 200 m2 enclosures. The radio signals are demodulated in a signal processor and the ECG is converted to HR on the base of single interbeat intervals. General technical problems of telemetry like miniaturization, performance control, HR acquisition and artifact distinction are discussed. The experimental approach emphasizes the necessity of continuous registration of HR as a reference for experimental responses. Longterm shifts of HR due to social and nonsocial influences as well as experimental feedback effects are demonstrated and discussed. ¬© 1988.</t>
  </si>
  <si>
    <t>567-576</t>
  </si>
  <si>
    <t>Physiology and Behavior</t>
  </si>
  <si>
    <t>St√∂hr, W.</t>
  </si>
  <si>
    <t>Bayreuth</t>
  </si>
  <si>
    <t>Universit√§t Bayreuth</t>
  </si>
  <si>
    <t>St√∂hr W.</t>
  </si>
  <si>
    <t>Longterm heartrate telemetry in small mammals: A comprehensive approach as a prerequisite for valid results</t>
  </si>
  <si>
    <t>10.1016/0031-9384(88)90210-7</t>
  </si>
  <si>
    <t>2-s2.0-0024154750</t>
  </si>
  <si>
    <t>['¬© 1988', 'would form', 'various depths', 'though power', 'thermal conduction', 'temperature produced', 'temperature generated', 'temperature distribution', 'static muscle', 'position relative', 'phantoms midway', 'nodes resulted', 'measured along', 'maximum power', 'long axes', 'insertion depths', 'highest power', 'geometric basis', 'four antennas', 'equivalent phantoms', 'central axis', 'array volume', 'antenna nodes']</t>
  </si>
  <si>
    <t>Hyperthermia | Interstitial microwave | Thermal conduction</t>
  </si>
  <si>
    <t>The distribution of power and temperature generated by 915 MHz interstitial microwave antenna arrays was studied in static muscle-equivalent phantoms and both perfused and non-perfused canine thigh muscle. These arrays, which would form the geometric basis of larger volume implants, consisted of four parallel antennas oriented such that transverse to their long axes they formed the corners of a square. Arrays with 2 and 3 cm sides were compared at various depths of insertion where the nodes for all four antennas were coincident at the same depth. The position relative to the antenna nodes of the maximum power and highest temperature within the array volume varied with the depth of insertion of the antennas. Though power dropped rapidly distal to the nodes at all depths, a shift in the location of the maximum power proximal to the nodes resulted in an increase in the effective heating volume at certain insertion depths. For 2 cm array spacing the highest power and temperature were measured along the central axis of the array at all insertion depths. However, arrays using 3 cm spacing generated their maximum power adjacent to the antennas with only 50% of this level occurring along the central axis. When the temperature produced by 3 cm arrays was measured in phantoms midway through simulated 30minute hyperthermia treatments, the effect of thermal conduction on the temperature distribution was evident. Though power was only 50% centrally, the highest temperatures occurred there. This same pattern of central heating occurred in perfused canine muscle demonstrating the importance of conductive and conductive heat redistribution in reducing thermal gradients within the array volume. ¬© 1988.</t>
  </si>
  <si>
    <t>537-545</t>
  </si>
  <si>
    <t>60017412;60017412;60017412;60017412;60017412;60017412;60017412;60017412</t>
  </si>
  <si>
    <t>7003404727;7202034362;7402636587;7003633051;6603711444;7005922444;7005600011;7003833067</t>
  </si>
  <si>
    <t>Denman, David L.;Foster, Alvis E.;Lewis, G. Cooper;Redmond, Kevin P.;Elson, Howard R.;Breneman, John C.;Kereiakes, James G.;Aron, Bernard S.</t>
  </si>
  <si>
    <t>The distribution of power and heat produced by interstitial microwave antenna arrays: II. The role of antenna spacing and insertion depth</t>
  </si>
  <si>
    <t>0360-3016(88)90271-4</t>
  </si>
  <si>
    <t>10.1016/0360-3016(88)90271-4</t>
  </si>
  <si>
    <t>2-s2.0-0024159915</t>
  </si>
  <si>
    <t>['steering signal', 'sra gives', 'sra ).', 'readily implemented', 'proposed h', 'performance degradation', 'new system', 'new approach', 'conventional array', 'coincide approximately', 'circuit inserting', 'approach proposed', 'antenna parameters', 'accelerated scanning']</t>
  </si>
  <si>
    <t>A new approach is described which offers an accelerated scanning rate for a Howells-Applebaum adaptive superresolution array (H-A SRA). Analytical considerations clarify the causes of performance degradation of the H-A SRA at a high scanning rate. Then a suitable steering signal and implementation of an H-A weight control loop (H-A loop) for accelerated scanning are proposed. Furthermore, the weight solution determined by this method is shown to coincide approximately with the optimum Wiener one under some specific signal conditions and antenna parameters. Computer simulations show that the proposed H-A SRA gives a much better scanning performance than the conventional array. The new system is readily implemented by improving the circuit inserting the steering signal in the H-A loop. Therefore, the approach proposed is very effective. ¬© 1988 IEEE</t>
  </si>
  <si>
    <t>1700-1706</t>
  </si>
  <si>
    <t>6603767346;35516180700;7404897527</t>
  </si>
  <si>
    <t>Ohmiya, Manabu;Ogawa, Yasutaka;Itoh, Kiyohiko</t>
  </si>
  <si>
    <t>Ohmiya M.</t>
  </si>
  <si>
    <t>Howells-Applebaum Adaptive Superresolution Array for Accelerated Scanning</t>
  </si>
  <si>
    <t>10.1109/8.14391</t>
  </si>
  <si>
    <t>2-s2.0-0024167851</t>
  </si>
  <si>
    <t>ECS-8617534</t>
  </si>
  <si>
    <t>['output ports', 'model parameters', 'mode filters', 'mode cavities', 'experimental verification', 'either air', 'canonical dual', 'band isolation', 'asymmetric responses', 'accurate model']</t>
  </si>
  <si>
    <t>An accurate model of coaxial probes used as input and output ports in dual-mode cavities (either air-filled or dielectric-loaded) is presented. The model precisely predicts such empirically observed phenomena as limited out-of-band isolation, generation of extra transmission zeros, and asymmetric responses. The model parameters can be determined from simple measured data. It is shown how the model can be used in the analysis and synthesis of canonical dual-mode filters. Experimental verification of the model for several configurations showed excellent agreement with theory. ¬© 1988 IEEE</t>
  </si>
  <si>
    <t>1740-1746</t>
  </si>
  <si>
    <t>60020304;60020304;115871706</t>
  </si>
  <si>
    <t>7006596510;56075907000;7005861863</t>
  </si>
  <si>
    <t>Zaki, Kawthar;Chen, Chunming;Atia, Ali E.</t>
  </si>
  <si>
    <t>College Park;Clarksburg</t>
  </si>
  <si>
    <t>University of Maryland, College Park;COMSAT</t>
  </si>
  <si>
    <t>60020304;115871706</t>
  </si>
  <si>
    <t>Zaki K.</t>
  </si>
  <si>
    <t>A Circuit Model of Probes in Dual-Mode Cavities</t>
  </si>
  <si>
    <t>10.1109/22.17408</t>
  </si>
  <si>
    <t>2-s2.0-0024168128</t>
  </si>
  <si>
    <t>1593-1615</t>
  </si>
  <si>
    <t>60000745;60009037;60009037</t>
  </si>
  <si>
    <t>55197051100;55511318500;7004364211</t>
  </si>
  <si>
    <t>Mittra, Raj;Chan, Chi H.;Cwik, Tom</t>
  </si>
  <si>
    <t>Pasadena;Urbana</t>
  </si>
  <si>
    <t>Jet Propulsion Laboratory;University of Illinois Urbana-Champaign</t>
  </si>
  <si>
    <t>60009037;60000745</t>
  </si>
  <si>
    <t>Mittra R.</t>
  </si>
  <si>
    <t>Techniques for Analyzing Frequency Selective Surfaces-a Review</t>
  </si>
  <si>
    <t>10.1109/5.16352</t>
  </si>
  <si>
    <t>2-s2.0-0024168193</t>
  </si>
  <si>
    <t>421-424</t>
  </si>
  <si>
    <t>Konishi, Yoshihiro</t>
  </si>
  <si>
    <t>ICHIKAWA</t>
  </si>
  <si>
    <t>Konishi Y.</t>
  </si>
  <si>
    <t>Special Issue on Satellite Broadcasting</t>
  </si>
  <si>
    <t>10.1109/11.16482</t>
  </si>
  <si>
    <t>2-s2.0-0024168194</t>
  </si>
  <si>
    <t>['useful tool', 'theoretical predictions', 'specific antenna', 'reciprocity theorem', 'radome stratification', 'radome green', 'method based', 'experimental results', 'dielectric stratifications', 'degradations induced', 'defined numerically', 'computer code', 'asymptotic expression', 'antenna location', 'also presented']</t>
  </si>
  <si>
    <t>The performance of a radome covered antenna is evaluated by a method based on the reciprocity theorem. In this way it is possible to identify the asymptotic expression of the radome Green's function which allows the characterization of the radome by itself, independently of any specific antenna. The concept of modified aperture distribution, which radiating in free space produces the same pattern as the radome covered antenna, is introduced. This can be a useful tool for the design of the radome stratification and for the optimization of the antenna location. On the basis of this formulation a computer code has been developed which can analyze the degradations induced by radomes whose surfaces and dielectric stratifications can be defined numerically. Comparisons between theoretical predictions and experimental results are also presented. ¬© 1988 IEEE</t>
  </si>
  <si>
    <t>1707-1713</t>
  </si>
  <si>
    <t>60012162;60012162;60012162</t>
  </si>
  <si>
    <t>Orta, Renato;Tascone, Riccardo;Zich, Rodolfo</t>
  </si>
  <si>
    <t>Turin</t>
  </si>
  <si>
    <t>Politecnico di Torino</t>
  </si>
  <si>
    <t>Performance Degradation of Dielectric Radome Covered Antennas</t>
  </si>
  <si>
    <t>10.1109/8.14392</t>
  </si>
  <si>
    <t>2-s2.0-0024168471</t>
  </si>
  <si>
    <t>435-438</t>
  </si>
  <si>
    <t>56838365900;6504327770</t>
  </si>
  <si>
    <t>Maegele, By Manfred;Hentrich, Thomas</t>
  </si>
  <si>
    <t>Maegele B.M.</t>
  </si>
  <si>
    <t>The german tv-sat broadcasting satellite system</t>
  </si>
  <si>
    <t>10.1109/11.16485</t>
  </si>
  <si>
    <t>2-s2.0-0024169711</t>
  </si>
  <si>
    <t>34-38</t>
  </si>
  <si>
    <t>7202175358;7409242885;7005560433</t>
  </si>
  <si>
    <t>Logan, James C.;Li, Shing Ted;Olson, Irving C.</t>
  </si>
  <si>
    <t>Logan J.</t>
  </si>
  <si>
    <t>A role model for electromagnetic systems design</t>
  </si>
  <si>
    <t>10.1109/45.31570</t>
  </si>
  <si>
    <t>2-s2.0-0024169964</t>
  </si>
  <si>
    <t>['wave ratio', 'radiation impedances', 'first found', 'feed network', 'corporate feed', 'antenna pattern', 'antenna parameters']</t>
  </si>
  <si>
    <t>An analysis of the mutual coupling effects between a finite phased array of dipoles and its feed network is presented. The feed network is typically a corporate feed consisting of split-tee power dividers cascading to form a certain power distribution over the aperture. A simple iterative approach is used to solve for the interaction between elements and feed. The radiation impedances of a finite dipole array are first found for a given voltage excitation. These radiation impedances are then used as loads for the feed network, and n + 1 port network problem is analyzed. Due to the interaction between the feed network and the dipoles, the antenna parameters such as mismatch, antenna pattern, and gain are all affected. These effects can be determined from the anal-array with a corporate feed are given to show the resultant voltage standing-wave ratio (VSWR) of the feed and pattern degradation due to the mutual coupling effects. ¬© 1988 IEEE</t>
  </si>
  <si>
    <t>1681-1699</t>
  </si>
  <si>
    <t>56771967800;7102122144</t>
  </si>
  <si>
    <t>Min Lee, Kuan;Chu, Ruey Shi</t>
  </si>
  <si>
    <t>Min Lee K.</t>
  </si>
  <si>
    <t>Analysis of Mutual Coupling Between a Finite Phased Array of Dipoles and Its Feed Network</t>
  </si>
  <si>
    <t>10.1109/8.14390</t>
  </si>
  <si>
    <t>2-s2.0-0024169965</t>
  </si>
  <si>
    <t>['linear polarization', 'first developed', 'efficiency characteristics', 'design method', 'circular polarization', 'basic characteristics']</t>
  </si>
  <si>
    <t>A design for a linearly polarized radial line slot antenna (RLSA) is proposed. The RLSA was first developed to receive direct broadcasts from satellites by means of circular polarization, and its high-efficiency characteristics have been reported. A novel slot arrangement is presented which couples to the rotationally symmetric guided waves to produce a uniform aperture distribution with linear polarization. The basic characteristics are measured, and the design method is verified. ¬© 1988 IEEE</t>
  </si>
  <si>
    <t>1675-1680</t>
  </si>
  <si>
    <t>35495699200;36842659400;35481283400;7201747933</t>
  </si>
  <si>
    <t>Ando, Makoto;Numata, Tomoyuki;Takada, Jun Ichi;Goto, Naohisa</t>
  </si>
  <si>
    <t>A Linearly Polarized Radial Line Slot Antenna</t>
  </si>
  <si>
    <t>10.1109/8.14389</t>
  </si>
  <si>
    <t>2-s2.0-0024171155</t>
  </si>
  <si>
    <t>['wires used', 'wave incidence', 'schottky impedance', 'reflector antennas', 'reflection properties', 'reflection coefficient', 'polarizations show', 'mesh drastically', 'internal impedance', 'grid structure', 'different angles', 'contact points', 'calculated values']</t>
  </si>
  <si>
    <t>In many space applications for reflector antennas, the reflector is made of flexible conducting mesh material. The wires used to construct the grids are plated over with highly conducting materials, such as gold or silver. However, even in these cases oxidation occurs at the contact points, forming an undesirable Schottky barrier. The conjugate gradient method in conjunction with the fast Fourier transform is employed to solve the problem of scattering from such a grid structure. An internal impedance is utilized to account for the effects of the Schottky impedance at the contact points and the effects of finite substrate conductivity. Calculated values of the reflection coefficient for different angles of wave incidence and polarizations show that the Schottky impedance affects the reflection properties of this type of mesh drastically. ¬© 1988 IEEE</t>
  </si>
  <si>
    <t>1714-1721</t>
  </si>
  <si>
    <t>60022144;60022144;60004923</t>
  </si>
  <si>
    <t>35465847700;7201819541;57212887845</t>
  </si>
  <si>
    <t>Christodoulou, Christos G.;Yin, Shanxian;Kauffman, J. Frank</t>
  </si>
  <si>
    <t>Orlando;Raleigh</t>
  </si>
  <si>
    <t>University of Central Florida;NC State University</t>
  </si>
  <si>
    <t>60022144;60004923</t>
  </si>
  <si>
    <t>Christodoulou C.G.</t>
  </si>
  <si>
    <t>Effects of the Schottky Impedance of Wire Contact Points on the Reflection Properties of a Mesh</t>
  </si>
  <si>
    <t>10.1109/8.14393</t>
  </si>
  <si>
    <t>2-s2.0-0024171879</t>
  </si>
  <si>
    <t>['shaped reflector', 'proved necessary', 'problems associated', 'physical optics', 'particularly necessary', 'minimize alteration', 'lower frequencies', 'higher frequencies', 'geometrical theory', 'focal point', 'design process', 'design criteria', 'also discussed', 'acceptable image']</t>
  </si>
  <si>
    <t>Retrofitting an antenna that was originally designed without a beamwaveguide (BWG) introduces special difficulties because it is desirable to minimize alteration of the original mechanical truss work and to image the actual feed without distortion at the focal point of the dual-shaped reflector. To obtain an acceptable image, certain geometrical optics (GO) design criteria are followed as closely as possible. The problems associated with applying these design criteria to a 34-m dual-shaped Deep Space Network (DSN) antenna are discussed. The use of various diffraction analysis techniques in the design process is also discussed. The geometrical theory of diffraction (GTD) and fast Fourier transform (FFT) algorithms are particularly necessary at the higher frequencies, while physical optics (PO) and spherical wave expansions (SWE) proved necessary at the lower frequencies. ¬© 1988 IEEE</t>
  </si>
  <si>
    <t>1779-1787</t>
  </si>
  <si>
    <t>35613310900;6602934055;7003293983;7003977774;6602718391</t>
  </si>
  <si>
    <t>Veruttipong, Thavath;Withington, James R.;Galindo-Israel, Victor;Imbriale, William A.;Bathker, Dan A.</t>
  </si>
  <si>
    <t>Veruttipong T.</t>
  </si>
  <si>
    <t>Design Considerations for Beamwaveguide in the NASA Deep Space Network</t>
  </si>
  <si>
    <t>10.1109/8.14400</t>
  </si>
  <si>
    <t>2-s2.0-0024172622</t>
  </si>
  <si>
    <t>439-442</t>
  </si>
  <si>
    <t>Georgy, Jean</t>
  </si>
  <si>
    <t>Georgy J.</t>
  </si>
  <si>
    <t>Satellite broadcasting in france</t>
  </si>
  <si>
    <t>10.1109/11.16486</t>
  </si>
  <si>
    <t>2-s2.0-0024173154</t>
  </si>
  <si>
    <t>DAAL001-86-C-OOO2</t>
  </si>
  <si>
    <t>['wave source', 'radiation patterns', 'radiating elements', 'power combined', 'monolithically integrated', 'microstrip resonator', 'loop antenna', 'linear arrays', 'interelement spacing', 'inexpensive millimeter', 'element numbers', 'devices operating', 'chip millimeter']</t>
  </si>
  <si>
    <t>GaAs IMPATT diodes were monolithically integrated with a microstrip resonator and a loop antenna to produce a single-chip millimeter-wave transmitter module. Devices operating at 43.3 GHz produced 27 mW CW output power with 7.2 percent conversion efficiency. Linear arrays of such radiating elements were produced and radiation patterns were determined as a function of interelement spacing and element numbers. This monolithic oscillator chip was also directly coupled to and power combined in waveguides, producing an inexpensive millimeter-wave source. ¬© 1988 IEEE</t>
  </si>
  <si>
    <t>1670-1676</t>
  </si>
  <si>
    <t>60015272;60015272</t>
  </si>
  <si>
    <t>7004380165;7006749133</t>
  </si>
  <si>
    <t>Camilleri, Natalino;Bayraktaroglu, Burhan</t>
  </si>
  <si>
    <t>Dallas</t>
  </si>
  <si>
    <t>Texas Instruments</t>
  </si>
  <si>
    <t>Camilleri N.</t>
  </si>
  <si>
    <t>Monolithic Millimeter-Wave IMPATT Oscillator and Active Antenna</t>
  </si>
  <si>
    <t>10.1109/22.17398</t>
  </si>
  <si>
    <t>2-s2.0-0024173418</t>
  </si>
  <si>
    <t>['simple expression', 'radiation field', 'radiation characteristics', 'loop antenna', 'derived using', 'current expanded', 'arbitrary configuration', 'also used']</t>
  </si>
  <si>
    <t>The analysis of a printed wire antenna of arbitrary configuration is presented. The electric field tangential to the wire is derived using the current expanded by piecewise sinusoidal functions. These functions are also used to form the impedance matrix elements. Use of the stationary phase method leads to a simple expression for the radiation field. The numerical analyses based on the present formulation reveal the radiation characteristics of a zigzag dipole antenna, a loop antenna, and a round spiral antenna. ¬© 1988 IEEE</t>
  </si>
  <si>
    <t>1667-1674</t>
  </si>
  <si>
    <t>60027550;60027550;60027550</t>
  </si>
  <si>
    <t>55633340100;6603937704;7004468161</t>
  </si>
  <si>
    <t>Nakano, Hisamatsu;Kerner, Stephen R.;Alexopoulos, Nic√ìlaos G.</t>
  </si>
  <si>
    <t>The Moment Method Solution for Printed Wire Antennas of Arbitrary Configuration</t>
  </si>
  <si>
    <t>10.1109/8.14388</t>
  </si>
  <si>
    <t>2-s2.0-0024173432</t>
  </si>
  <si>
    <t>['principal planes', 'practical geometry', 'particular use', 'offset configuration', 'limitation affecting', 'experimental unit', 'confirm computations', 'certain feed', 'beam ellipticity', 'aperture blockage']</t>
  </si>
  <si>
    <t>It is shown that dual parabolic cylindrical reflectors can be designed to yield elliptical beam shapes with an arbitrary beam ellipticity, defined as the ratio of the beamwidths in the principal planes. The only limitation affecting the beam ellipticity is the practical geometry of the antenna in a particular use, where certain feed or sub-reflector dimensions may not be desirable. To confirm computations, an experimental unit was designed to yield a beam ellipticity of about 12, and was fed by a dielectric rod feed to reduce the aperture blockage. The measured patterns closely match the computations. An offset configuration which may be used to eliminate feed blockage is investigated. Its performance is verified by an offset experimental unit.</t>
  </si>
  <si>
    <t>99-105</t>
  </si>
  <si>
    <t>Canadian Journal of Electrical and Computer Engineering</t>
  </si>
  <si>
    <t>7004817270;8092251400</t>
  </si>
  <si>
    <t>Sanad, M. S.A.;Shafai, L.</t>
  </si>
  <si>
    <t>Sanad M.S.A.</t>
  </si>
  <si>
    <t>Generation of elliptical beams of an arbitrary beam ellipticity and low cross-polarization using offset dual parabolic cylindrical reflectors</t>
  </si>
  <si>
    <t>10.1109/CJECE.1988.6593005</t>
  </si>
  <si>
    <t>2-s2.0-0024173856</t>
  </si>
  <si>
    <t>AST 83-11849</t>
  </si>
  <si>
    <t>['tunnel junction', 'theoretical model', 'rf coupling', 'performance compared', 'noise measurements', 'mauna kea', 'astronomical spectroscopy', '761 ghz', '492 ghz', '33 k', '115 ghz', '1100 k']</t>
  </si>
  <si>
    <t>A quasi-optical heterodyne receiver using a Pb alloy superconductor-insulator-superconductor (SIS) tunnel junction as the detector and a planar logarithmic spiral antenna for the RF coupling is described, and its performance compared with a theoretical model. Noise measurements were made in the laboratory at frequencies between 115 GHz and 761 GHz, yielding double sideband (DSB) noise temperatures ranging from 33 K to 1100 K. The receiver has also been used for astronomical spectroscopy on the Caltech Submillimeter Observatory (Mauna Kea, Hawaii) at 115, 230, 345, and 492 GHz. ¬© 1988 IEEE</t>
  </si>
  <si>
    <t>1720-1726</t>
  </si>
  <si>
    <t>60031581;60021378;60031581;60031581;60031581</t>
  </si>
  <si>
    <t>6603300492;56125728800;6701768711;7402905844;7401766885</t>
  </si>
  <si>
    <t>B√ºttgenbach, Thomas H.;Miller, Ronald E.;Wengler, Michael J.;Watson, Dan M.;Phillips, T. G.</t>
  </si>
  <si>
    <t>Pasadena;Murray</t>
  </si>
  <si>
    <t>California Institute of Technology;Nokia Bell Labs</t>
  </si>
  <si>
    <t>60031581;60021378</t>
  </si>
  <si>
    <t>B√ºttgenbach T.</t>
  </si>
  <si>
    <t>A Broad-Band Low-Noise SIS Receiver for Submillimeter Astronomy</t>
  </si>
  <si>
    <t>10.1109/22.17405</t>
  </si>
  <si>
    <t>2-s2.0-0024174181</t>
  </si>
  <si>
    <t>['uhf band', 'theoretical model', 'street level', 'rooftops gives', 'path loss', 'numerical computation', 'measured range', 'good agreement', 'extensive measurements', 'elevated antenna', 'antennas located', 'absorbing screens']</t>
  </si>
  <si>
    <t>Urban communications systems in the UHF band, such as cellular mobile radio, depend on propagation between an elevated antenna and antennas located at street level. While extensive measurements of path loss have been reported, no theoretical model has been developed that explains the effect of buildings on the propagation. The development of such a model is given in which the rows or blocks of buildings are viewed as diffracting cylinders lying on the earth. Representing the buildings as absorbing screens, the propagation process reduces to multiple forward diffraction past a series of screens. Numerical computation of the diffraction effect yields a power law dependence for the field that is within the measured range. Accounting for diffraction down to street level from the rooftops gives an overall path loss whose absolute value is in good agreement with average measured path loss. ¬© 1988 IEEE</t>
  </si>
  <si>
    <t>1788-1796</t>
  </si>
  <si>
    <t>60081033;60108318</t>
  </si>
  <si>
    <t>6508320453;7005129354</t>
  </si>
  <si>
    <t>Walfisch, Joram;Bertoni, Henry L.</t>
  </si>
  <si>
    <t>United States;Israel</t>
  </si>
  <si>
    <t>New York;Tel Aviv-Yafo</t>
  </si>
  <si>
    <t>NYU Tandon School of Engineering;Ministry of Defence, Government of Israel</t>
  </si>
  <si>
    <t>60108318;60081033</t>
  </si>
  <si>
    <t>Walfisch J.</t>
  </si>
  <si>
    <t>A Theoretical Model of UHF Propagation in Urban Environments</t>
  </si>
  <si>
    <t>10.1109/8.14401</t>
  </si>
  <si>
    <t>2-s2.0-0024176460</t>
  </si>
  <si>
    <t>['working principles', 'various types', 'planar antennas', 'high gain', 'direct broadcast', 'dbs reception', 'basic configurations']</t>
  </si>
  <si>
    <t>Direct broadcast from a satellite (DBS) requires a circularly polarized antenna with high gain and low axial ratio. Recently, various types of planar antennas have been studied and developed for DBS reception at 12 GHz band because of their advantages. This paper summarizes properties and classification of the planar antennas commercialized or reported by now. Next, described are the basic configurations, working principles and performances of various planar antennas. ¬© 1988 IEEE</t>
  </si>
  <si>
    <t>457-464</t>
  </si>
  <si>
    <t>60002787;60103907;</t>
  </si>
  <si>
    <t>57223664212;6602515710;26651144600</t>
  </si>
  <si>
    <t>Ito, Koichi;Ohmaru, Kenji;Konishi, Yoshihiro</t>
  </si>
  <si>
    <t>Tokyo;Chiba</t>
  </si>
  <si>
    <t>Nippon Hoso Kyokai;Chiba University</t>
  </si>
  <si>
    <t>60103907;60002787</t>
  </si>
  <si>
    <t>Ito K.</t>
  </si>
  <si>
    <t>Planar antennas for satellite reception</t>
  </si>
  <si>
    <t>10.1109/11.16489</t>
  </si>
  <si>
    <t>2-s2.0-0024177302</t>
  </si>
  <si>
    <t>['tvro technology', 'tvro system', 'technical issues', 'scrambling technology', 'oriented subjects', 'mac system', 'future trend', 'formers include', 'dbs receiving', 'classified according', 'also estimated']</t>
  </si>
  <si>
    <t>The technical issues on DBS receiving are thoroughly elucidated dividing them into system and component-oriented subjects. The formers include the relation of DBS and TVRO system, TVRO technology, scrambling technology, PCM audio system, MAC system and HDTV. The latters are classified according to the stream of the signal, that is, an antenna, LNB, and a receiver. The future trend is also estimated both for systems and components. ¬© 1988 IEEE</t>
  </si>
  <si>
    <t>26651144600;7102690103</t>
  </si>
  <si>
    <t>Konishi, Yoshihiro;Fukuoka, Yoshiro</t>
  </si>
  <si>
    <t>Satellite Receiver Technologies</t>
  </si>
  <si>
    <t>10.1109/11.16488</t>
  </si>
  <si>
    <t>2-s2.0-0024177727</t>
  </si>
  <si>
    <t>['planar quasi', 'oscillating mixer', 'optical receivers', 'noise figure', 'mesfet circuit', 'hemt circuit', 'compactly integrate', '5 db']</t>
  </si>
  <si>
    <t>Planar quasi-optical receivers that compactly integrate a coupled slot antenna and a HEMT or MESFET balanced self-oscillating mixer on the same substrate are developed for applications in microwave and millimeter-wave receiver arrays. Both the HEMT and the MESFET circuit are designed and demonstrated at X-band. The HEMT circuit exhibits an isotropic conversion gain of 4.5 dB and a noise figure of 6.5 dB at X-band. The isotropic conversion gain of the HEMT circuit is 7.5 dB higher than the mixer diode circuit previously reported. ¬© 1988 IEEE</t>
  </si>
  <si>
    <t>1701-1705</t>
  </si>
  <si>
    <t>60013372;60013372</t>
  </si>
  <si>
    <t>7003389437;36041035600</t>
  </si>
  <si>
    <t>Quasi-Optical HEMT and MESFET Self-Oscillating Mixers</t>
  </si>
  <si>
    <t>10.1109/22.17402</t>
  </si>
  <si>
    <t>2-s2.0-0024178330</t>
  </si>
  <si>
    <t>U.S. Naval Research Laboratory</t>
  </si>
  <si>
    <t>N00014-86K-2013</t>
  </si>
  <si>
    <t>NRL</t>
  </si>
  <si>
    <t>['wave spectral', 'voigt configuration', 'numerical results', 'nonreciprocal properties', 'nonreciprocal phase', 'geometric dimensions', 'general anisotropy', 'domain approach', 'attenuation properties', '85 ghz']</t>
  </si>
  <si>
    <t>A full-wave spectral-domain approach for general anisotropy is used to determine the nonreciprocal phase and attenuation properties of slot and microstrip line structures. Dominant mode dispersive behavior is controlled by the semiconductor substrate characteristics, geometric dimensions, and magnetic field bias magnitude and angle in the Voigt configuration. Numerical results are presented to establish the nonreciprocal properties up to 85 GHz. ¬© 1988 IEEE</t>
  </si>
  <si>
    <t>1850-1860</t>
  </si>
  <si>
    <t>60027271;60020304;60020304</t>
  </si>
  <si>
    <t>7006017795;56218788500;7006596510</t>
  </si>
  <si>
    <t>Krowne, Clifford M.;Mostafa, Ayman A.;Zaki, Kawthar A.</t>
  </si>
  <si>
    <t>Washington, D.C.;College Park</t>
  </si>
  <si>
    <t>Naval Research Laboratory;University of Maryland, College Park</t>
  </si>
  <si>
    <t>60027271;60020304</t>
  </si>
  <si>
    <t>Krowne C.</t>
  </si>
  <si>
    <t>Slot and Microstrip Guiding Structures Using Magnetoplasmons for Nonreciprocal Millimeter-Wave Propagation</t>
  </si>
  <si>
    <t>10.1109/22.17422</t>
  </si>
  <si>
    <t>2-s2.0-0024178349</t>
  </si>
  <si>
    <t>['ventral surface', 'posture assumed', 'may serve', 'antenna wiping']</t>
  </si>
  <si>
    <t>Two behaviours previously undescribed in this genus are reported: antenna wiping, a movement of the palps of the maxillipeds which may serve to clean the antennae; bunch is a posture assumed by some animals when disturbed, and may serve to protect the ventral surface, especially that of females carrying eggs. -from Author</t>
  </si>
  <si>
    <t>91-92</t>
  </si>
  <si>
    <t>New Zealand Natural Sciences</t>
  </si>
  <si>
    <t>Matheson, T.</t>
  </si>
  <si>
    <t>Christchurch</t>
  </si>
  <si>
    <t>University of Canterbury</t>
  </si>
  <si>
    <t>Matheson T.</t>
  </si>
  <si>
    <t>Two previously unreported behaviours of Hemigrapsus crenulatus Milne- Edwards (Brachyura: Grapsidae) from New Zealand</t>
  </si>
  <si>
    <t>2-s2.0-0024181132</t>
  </si>
  <si>
    <t>['vehicle orientation', 'triangulating locations', 'marked animals', 'inclement weather', 'held units', 'fiding device', 'azimuth determination']</t>
  </si>
  <si>
    <t>Radio tracking wildlife often requires working in inclement weather and demands high mobility for triangulating locations of radio-marked animals. Under these circumstances, a vehicle-mounted telemetry antenna equipped with a direction-fiding device is superior to hand-held units. A method of azimuth determination that is independent of vehicle orientation is described. -from Authors</t>
  </si>
  <si>
    <t>65-67</t>
  </si>
  <si>
    <t>Wildlife Society Bulletin</t>
  </si>
  <si>
    <t>60024303;60024303</t>
  </si>
  <si>
    <t>6503850651;7003706993</t>
  </si>
  <si>
    <t>Balkenbush, J. A.;Hallett, D. L.</t>
  </si>
  <si>
    <t>Columbia</t>
  </si>
  <si>
    <t>Missouri Department of Conservation</t>
  </si>
  <si>
    <t>Balkenbush J.</t>
  </si>
  <si>
    <t>An improved vehicle-mounted telemetry system</t>
  </si>
  <si>
    <t>2-s2.0-0024191307</t>
  </si>
  <si>
    <t>['provides ship', 'properly combining', 'mk iii', 'heading additional', 'fix station', 'bearing angle', 'azimuth angle']</t>
  </si>
  <si>
    <t>The recently released ARTEMIS Mk IV system, the successor of the Mk III-S, provides ship's Heading additional to the basic position data of Azimuth and Distance. The Heading is derived by properly combining the Azimuth angle as measured at the FIX station and the Bearing angle of the MOBILE (MOB) stations' antenna. Because Azimuth and Bearing are measured with identical and highly accurate angle encoders, the expected Heading accuracy is of the same order as that for Azimuth and Bearing. -Author</t>
  </si>
  <si>
    <t>21-26</t>
  </si>
  <si>
    <t>Hydrographic Journal</t>
  </si>
  <si>
    <t>Van Der Ree, A.</t>
  </si>
  <si>
    <t>Van Der Ree A.</t>
  </si>
  <si>
    <t>New! ARTEMIS Mk IV system provides ship's Heading</t>
  </si>
  <si>
    <t>2-s2.0-0024193384</t>
  </si>
  <si>
    <t>['swimming orthogonally', 'swam vertically', 'stop swimming', 'sink pattern', 'search pattern', 'reduced mouthparts', 'mechanoreceptive females', 'mechanoreceptive copepod', 'juvenile stages', 'feeding males', 'encounter rate', 'directional swimming', 'antennal setules', 'antennae oriented', 'alternate mode', '7 mm']</t>
  </si>
  <si>
    <t>Mechanoreceptive females, with enlarged feeding appendages and elongated antennal setae, must find prey to feed. Non-feeding males, with reduced mouthparts and antennal setules, must find females to inseminate before exhausting the lipid reserves accumulated during juvenile stages. Directional swimming by the female predatory copepod supports the predictions of models in which encounter rate was maximized by swimming orthogonally to their mates and their prey. The female swam horizontally in a turn-and-search pattern to intersect the male which swam vertically in a swim-up-and-sink pattern. Adult female copepods generally swam smoothly and continuously at an average swimming speed of 7 mm.s-1, with antennae oriented into the flow not disturbed by their own movements. Dart-and-stop swimming by Acartia fossae may be an alternate mode of escape from a mechanoreceptive copepod, which cannot sense prey when they are not moving. -from Author</t>
  </si>
  <si>
    <t>395-403</t>
  </si>
  <si>
    <t>Bulletin of Marine Science</t>
  </si>
  <si>
    <t>Yen, J.</t>
  </si>
  <si>
    <t>Honolulu</t>
  </si>
  <si>
    <t>School of Ocean and Earth Science and Technology</t>
  </si>
  <si>
    <t>Yen J.</t>
  </si>
  <si>
    <t>Directionality and swimming speeds in predator-prey and male-female interactions of Euchaeta rimana, a subtropical marine copepod</t>
  </si>
  <si>
    <t>2-s2.0-0024194184</t>
  </si>
  <si>
    <t>['tortanus discaudatus', 'swimming speed', 'strongly correlated', 'sensory hairs', 'selection patterns', 'prey sensory', 'omnivorous species', 'oithona spinirostris', 'neocalanus cristatus', 'necessarily reflected', 'motile prey', 'major differences', 'labidocera trispinosa', 'first antennae', 'euchaeta elongata', 'different degrees', 'corycaeus anglicus', 'capture appendages', 'calanus pacificus', '4 orders']</t>
  </si>
  <si>
    <t>Relationships among predation rates, selection patterns, swimming speed and orientation, and morphology of prey sensory and capture appendages were examined for Calanus pacificus, Corycaeus anglicus, Euchaeta elongata, Labidocera trispinosa, Neocalanus cristatus, Oithona spinirostris and Tortanus discaudatus. Among these species, the ratio of preferred prey size to predator size ranges over 4 orders of magnitude while length-scaled, maximum clearance rates vary 1000-fold. Different degrees of adaptation to carnivory are evident from the morphologies of prey capture appendages, but predatory superiority inferred from these adaptations is not necessarily reflected in predator-prey size relationships or clearance rates relative to more omnivorous species. Except for Neocalanus, optimal prey size is strongly correlated with size of the prey capture appendage. Major differences in the size, structure and distribution of sensory hairs on the first antennae of these species suggest marked differences in their abilities to detect and respond to motile prey, but most variability in maximum clearance rates is explained by differences in mean swimming speeds. -Authors</t>
  </si>
  <si>
    <t>509-529</t>
  </si>
  <si>
    <t>60013791;60013791</t>
  </si>
  <si>
    <t>7101722555;6508020410</t>
  </si>
  <si>
    <t>Landry, M. R.;Fagerness, V. L.</t>
  </si>
  <si>
    <t>University of Hawai ªi at MƒÅnoa</t>
  </si>
  <si>
    <t>Landry M.</t>
  </si>
  <si>
    <t>Behavioral and morphological influences on predatory interactions among marine copepods</t>
  </si>
  <si>
    <t>2-s2.0-0024194185</t>
  </si>
  <si>
    <t>['¬© 1988', 'unknown station', 'unknown points', 'two satellites', 'two receivers', 'spatial distribution', 'satellite positions', 'rights reserved', 'receiver antennas', 'positioning errors', 'observed simultaneously', 'observational fact', 'geometric interpretation', 'geodetic society', 'four satellites', 'baseline orientations', 'also discussed']</t>
  </si>
  <si>
    <t>A geometric interpretation is proposed for the GPS interf erometric positioning which utilizes double differenced carrier beat phase observables. It is concluded that positions of receiver antennas at unknown points are determined geometrically referring only to satellite positions, but not to the fixed position involved in observations. An explanation is given for the observational fact that the spatial distribution of the positioning errors is independent of baseline orientations. In this interpretation a hyperboloid is assigned to a double differenced phase which is associated with two satellites and two receivers. The intersection of three hyperboloids determines uniquely the position of the unknown station when a total of four satellites is observed simultaneously. Satellite constellation requirements for a reliable GPS observation are also discussed in the framework of this geometric interpretation. ¬© 1988, The Geodetic Society of Japan. All rights reserved.</t>
  </si>
  <si>
    <t>125-135</t>
  </si>
  <si>
    <t>Journal of the Geodetic Society of Japan</t>
  </si>
  <si>
    <t>57194931622;7403222524;6603168370</t>
  </si>
  <si>
    <t>Murakami, Makoto;Tsuji, Hiromichi;Kuroishi, Yuki</t>
  </si>
  <si>
    <t>Murakami M.</t>
  </si>
  <si>
    <t>A geometric Interpretation of the GPS Interferometric Positioning</t>
  </si>
  <si>
    <t>10.11366/sokuchi1954.34.125</t>
  </si>
  <si>
    <t>2-s2.0-0024196291</t>
  </si>
  <si>
    <t>R01GM027241</t>
  </si>
  <si>
    <t>['strains deleted', 'specific proteins', 'quantitative alteration', 'pufx gene', 'protein complexes', 'photosynthetic membranes', 'normal ratios', 'light energy', 'genes encoding', 'deletion results', 'correct assembly', 'bound light', 'antenna complexes', 'affected genetically']</t>
  </si>
  <si>
    <t>The polycistronic puf operon of Rhodobacter capsulatus encodes protein components for the photosynthetic reaction center and one of the two antenna complexes involved in the capture of light energy. We report here that deletions within specific puf genes alter the synthesis and/or assembly in the photosynthetic membranes of pigment-protein complexes not affected genetically by the deletion. The pufX gene is required for normal ratios of antenna complexes, and its deletion results in an increase of membrane-bound light-harvesting I (LHI) complex-specific proteins. Expression of pufQ in strains deleted for the genes encoding the LHI and the photosynthetic reaction center (RC) yields a novel A868 peak that has not been associated with any of the pigment-protein complexes described previously. While deletions in the RC-coding region resulted in decreased LHI absorbance, no quantitative alteration in membrane-bound LHI protein was observed, suggesting that an intact RC complex is required for correct assembly of LHI in the membrane.</t>
  </si>
  <si>
    <t>5814-5821</t>
  </si>
  <si>
    <t>60032838;60032838</t>
  </si>
  <si>
    <t>16137779500;35476774500</t>
  </si>
  <si>
    <t>Klug, G.;Cohen, S. N.</t>
  </si>
  <si>
    <t>Stanford</t>
  </si>
  <si>
    <t>Stanford University School of Medicine</t>
  </si>
  <si>
    <t>Klug G.</t>
  </si>
  <si>
    <t>Pleiotropic effects of localized Rhodobacter capsulatus puf operon deletions on production of light-absorbing pigment-protein complexes.</t>
  </si>
  <si>
    <t>10.1128/jb.170.12.5814-5821.1988</t>
  </si>
  <si>
    <t>2-s2.0-0024197376</t>
  </si>
  <si>
    <t>R01HD014474</t>
  </si>
  <si>
    <t>['¬© 1988', 'would make', 'tip linkages', 'tallest stereocilia', 'tallest rows', 'successive stereocilium', 'successive stereocilia', 'separate function', 'parallel rows', 'one lower', 'one goes', 'necessarily longer', 'mechanical oscillations', 'many stereocilia', 'lower steps', 'lower rows', 'less likely', 'hair cells', 'going directly', 'final step', 'disproportionately longer', 'disproportionate lengths', 'displaced mechanically', 'adjacent rows', '60 ¬∞', '1 2']</t>
  </si>
  <si>
    <t>Hair cell | Short | Tall</t>
  </si>
  <si>
    <t>The final step in the staircase of tall hair cells is longer than lower steps, whereas the final step of the staircase of short hair cells is about the same increment in height as the lower steps. Furthermore the stereocilia in the final step of the staircase in tall hair cells are thinner and contain fewer actin filaments than the stereocilia at this step in short hair cells. Thus, the disproportionate lengths and widths of stereocilia in tall hair cells make them sensitive 'antennae' to mechanical oscillations. In contrast, the stereocilia in short hair cells are more robust and the increment between the tallest rows and the next tallest row is not disproportionately longer than that of the lower rows which would make the whole bundle stiffer and less likely to be displaced mechanically, a morphology more consistent with a separate function. Apart from these differences between tall and short hair cells, there are two features common to all hair cells. First, as one goes directly up the staircase in the 1,0 lattice plane, a plane we refer to as the 1,00 lattice plane, each successive stereocilium is taller than the one lower down. If, instead of going directly up the staircase, one goes up at 60¬∞ to the 1.00 lattice plane, successive stereocilia are not necessarily longer than those below. Second, in looking up the staircase on the 1.00 lattice plane we see that the stereocilia are ordered into parallel rows. Adjacent rows are offset from each other by 1 2 the width of a stereocilium. Thus, in order for all the next to tallest stereocilia in adjacent rows in the 1,00 lattice plane to contact a stereocilium on the final step, all of which are the same height, the final step must minimally contain twice as many stereocilia as lower steps in the staircase. This is what is observed. Both of these features are necessary if the number of tip linkages from taller to less tall stereocilia is to be maximized. ¬© 1988.</t>
  </si>
  <si>
    <t>71-82</t>
  </si>
  <si>
    <t>Hearing Research</t>
  </si>
  <si>
    <t>60006297;;60006385</t>
  </si>
  <si>
    <t>7005919223;6603747912;7004081928</t>
  </si>
  <si>
    <t>Tilney, Lewis G.;Tilney, Mary S.;Cotanche, Douglas A.</t>
  </si>
  <si>
    <t>Boston;Philadelphia</t>
  </si>
  <si>
    <t>Boston University School of Medicine;University of Pennsylvania</t>
  </si>
  <si>
    <t>60006385;60006297</t>
  </si>
  <si>
    <t>Tilney L.</t>
  </si>
  <si>
    <t>New observations on the stereocilia of hair cells of the chick cochlea</t>
  </si>
  <si>
    <t>0378-5955(88)90079-2</t>
  </si>
  <si>
    <t>10.1016/0378-5955(88)90079-2</t>
  </si>
  <si>
    <t>2-s2.0-0024216185</t>
  </si>
  <si>
    <t>['treated first', 'real coefficients', 'new method', 'geostationary satellite', 'geometrical interpretation', 'best solution']</t>
  </si>
  <si>
    <t>A new method of computing feed excitation coefficients for contoured-beam reflector antennas is presented. The case of real coefficients and patterns is treated first and a geometrical interpretation is used to develop the method and to show the uniqueness of the best solution. The technique is then extended for the optimisation of complex excitation coefficients and applied to a 29-feed reflector antenna for the coverage of China from a geostationary satellite. -Authors</t>
  </si>
  <si>
    <t>289-298</t>
  </si>
  <si>
    <t>ESA Journal</t>
  </si>
  <si>
    <t>60016930;60016930</t>
  </si>
  <si>
    <t>57196090765;7003941584</t>
  </si>
  <si>
    <t>Wu, J.;Roederer, A.</t>
  </si>
  <si>
    <t>Beijing University of Posts and Telecommunications</t>
  </si>
  <si>
    <t>Wu J.</t>
  </si>
  <si>
    <t>A maximin optimisation method for contoured-beam satellite antennas</t>
  </si>
  <si>
    <t>2-s2.0-0024218651</t>
  </si>
  <si>
    <t>['wiley blackwell', 'seasonal changes', 'rights reserved', 'poor quality', 'males ),', 'levels typical', 'leaf fall', 'late winter', 'late summer', 'growth check', 'first antenna', 'field experiment', 'fat content', 'early summer', 'dry weight', 'body length']</t>
  </si>
  <si>
    <t>SUMMARY. 1. Seasonal changes in population size structure of Gammarus pulex L. in a Cotswold stream appeared to indicate a growth check in late summer. 2. The relationships between dry weight and body length, and between the number of primary flagellar segments on the first antenna and either dry weight or body length provided further evidence of a reduction in growth in mid and late summer. 3. Body fat content was minimal (4% of dry weight) at the end of summer, when large particulate organic detritus was scarce or of poor quality, and maximal in late winter (17.9% dry weight in females; 9.4% in males), after a period of high food availability. In a field experiment, the fat content of animals in summer was raised to levels typical of winter by providing high quality food. 4. Field and experimental evidence together strongly infer that this population of G. pulex was subject to severe food limitation from early summer until leaf fall in autumn. Copyright ¬© 1988, Wiley Blackwell. All rights reserved</t>
  </si>
  <si>
    <t>333-343</t>
  </si>
  <si>
    <t>Freshwater Biology</t>
  </si>
  <si>
    <t>GEE, JOHN H.R.</t>
  </si>
  <si>
    <t>Oxford</t>
  </si>
  <si>
    <t>University of Oxford</t>
  </si>
  <si>
    <t>GEE J.</t>
  </si>
  <si>
    <t>Population dynamics and morphometries of Gammarus pulex L.: evidence of seasonal food limitation in a freshwater detritivore</t>
  </si>
  <si>
    <t>10.1111/j.1365-2427.1988.tb00355.x</t>
  </si>
  <si>
    <t>2-s2.0-0024222117</t>
  </si>
  <si>
    <t>['vigorous flap', 'swimming legs', 'rheotactic capabilities', 'potentially vulnerable', 'orientation response', 'first antennae', 'feeding diaptomids', 'feeding currents', 'diaptomus nauplii', 'body contact', 'avoid predation', 'algae revealed', 'additional use', 'actual attack', 'active captures', '5000 frames']</t>
  </si>
  <si>
    <t>High-speed (5000 frames.s-1) of Diaptomus pallidus feeding on algae revealed a transition from passive to active captures as cell size increased, where the transition from passive to active captures was distinguished by the additional use of the swimming legs and maxillipeds to aid in capture. When feeding on microzooplankton, Diaptomus may also employ its first antennae and a more vigorous flap of its swimming legs in an actual attack or orientation response to facilitate prey capture. Many of the microzooplankton which are potentially vulnerable to predation by suspension-feeding diaptomids have rheotactic capabilities which permit them to detect the feeding currents of Diaptomus before body contact and avoid predation through a rapid escape response. The most effective rheotactic escape response is exhibited by Diaptomus nauplii. -from Authors</t>
  </si>
  <si>
    <t>60000060;60000060</t>
  </si>
  <si>
    <t>7201705406;6701704903</t>
  </si>
  <si>
    <t>Williamson, C. E.;Vanderploeg, H. A.</t>
  </si>
  <si>
    <t>Bethlehem</t>
  </si>
  <si>
    <t>Lehigh University</t>
  </si>
  <si>
    <t>Williamson C.</t>
  </si>
  <si>
    <t>Predatory suspension-feeding in Diaptomus: prey defenses and the avoidance of cannibalism</t>
  </si>
  <si>
    <t>2-s2.0-0024224134</t>
  </si>
  <si>
    <t>National Institute of Neurological Disorders and Stroke</t>
  </si>
  <si>
    <t>F32NS007602</t>
  </si>
  <si>
    <t>NINDS</t>
  </si>
  <si>
    <t>['treated animals', 'synaptic glomeruli', 'resulting lobes', 'provided evidence', 'previous results', 'previous observations', 'olfactory glomeruli', 'microscopic structure', 'hydroxyurea show', 'glial cells', 'experiments complement', 'electron microscopes', 'electroantennogram responses', 'antennal lobe', 'antennal input', 'afferent axons', '88 ).']</t>
  </si>
  <si>
    <t>antenna system | glia | invertebrate | neuronal‚Äêglial interactions</t>
  </si>
  <si>
    <t>Previous observations (Oland and Tolbert: J. Comp. Neurol. 255:196‚Äì207, '87, Soc. Neurosci. Abstr. 13:1144, '87; Oland et al.: J. Neurosci. 8:353‚Äì367, '88) have provided evidence that the afferent‚Äêaxon‚Äêinduced development of synaptic glomeruli in the antennal lobe of the moth Manduca sexta depends upon an interaction between ingrowing sensory axons and the glial cells of the antennal lobe. In order to differentiate between the roles of glial cells and of afferent axons on the partitioning of the lobe into glomeruli, we have used the antimitotic agent hydroxyurea to produce lobes deficient in glial cells but retaining sensory input. The resulting lobes were analyzed in the light and electron microscopes, and the integrity of their antennal input was evaluated by examining the gross and microscopic structure of the antennae, the number of antennal afferent axons, and electroantennogram responses to odors. Our results with hydroxyurea show that in treated animals with adequate antennal input the degree to which the antennallobe neuropil becomes glomerular varies with the number of glial cells remaining in the lobe; when less than approximately one‚Äêquarter of the normal glial complement is present, glomeruli do not develop at all. These experiments complement and extend previous experiments in which the number of glial cells was reduced with radiation (Oland et al.: J. Neurosci. 8:353‚Äì367, '88). The fact that the present results mimic the previous results with radiation strongly suggest that glial cells do mediate the afferent‚Äêaxon‚Äêinduced formation of olfactory glomeruli in the moth. Copyright ¬© 1988 Alan R. Liss, Inc.</t>
  </si>
  <si>
    <t>377-387</t>
  </si>
  <si>
    <t>Journal of Comparative Neurology</t>
  </si>
  <si>
    <t>60023927-60023324;60023927-60023324</t>
  </si>
  <si>
    <t>7004335896;7102144017</t>
  </si>
  <si>
    <t>Oland, Lynne A.;Tolbert, Leslie P.</t>
  </si>
  <si>
    <t>Washington, D.C.;Tucson</t>
  </si>
  <si>
    <t>Georgetown University;Arizona Research Laboratories</t>
  </si>
  <si>
    <t>60023927;60023324</t>
  </si>
  <si>
    <t>Oland L.A.</t>
  </si>
  <si>
    <t>Effects of hydroxyurea parallel the effects of radiation in developing olfactory glomeruli in insects</t>
  </si>
  <si>
    <t>10.1002/cne.902780307</t>
  </si>
  <si>
    <t>2-s2.0-0024235785</t>
  </si>
  <si>
    <t>['wiley blackwell', 'triangular disk', 'structural integrity', 'structural differences', 'special emphasis', 'rights reserved', 'polyacrylamide gels', 'photosynthetic membranes', 'minor components', 'mg chlorophyll', 'maximum height', 'maximum diameter', 'higher plants', 'high yield', 'elongated particles', 'electron microscopy', 'complex consisted', 'antenna apparatus', '8 nm', '4 kda', '13 nm']</t>
  </si>
  <si>
    <t>A photosystem II core complex was purified with high yield from spinach by solubilization with Œ≤‚Äêdodecylmaltoside. The complex consisted of polypeptides with molecular mass 47, 43, 34, 31, 9 and 4 kDa and some minor components, as detected by silver‚Äêstaining of polyacrylamide gels. There was no indication for the chlorophyll‚Äêa/b‚Äêbinding, light‚Äêharvesting complex polypeptides. The core complex revealed electron‚Äêtransfer activity (1,5‚Äêdiphenylcarbazide ‚Üí 2,6‚Äêdichloroindophenol) of about 30 Œºmol reduced 2,6‚Äêdichloroindophenol/mg chlorophyll/h. The structural integrity was analyzed by electron microscopy. The detergent‚Äêsolubilized protein complex has the shape of a triangular disk with a maximum diameter of 13 nm and a maximum height of 6.8 nm. The shape of this core complex differs considerably from that of cyanobacterial photosystem II membrane fragments, which are elongated particles. The structural differences between both the complexes of higher plants and cyanobacteria are discussed with special emphasis on their association with the antenna apparatus in the photosynthetic membranes. Copyright ¬© 1988, Wiley Blackwell. All rights reserved</t>
  </si>
  <si>
    <t>209-217</t>
  </si>
  <si>
    <t>60011604;116355990;60011604;60011604</t>
  </si>
  <si>
    <t>7004095338;7007149974;7003868616;56216930900</t>
  </si>
  <si>
    <t>IRRGANG, Klaus‚ÄêD ‚ÄêD;BOEKEMA, Egbert J.;VATER, Joachim;RENGER, Gernot</t>
  </si>
  <si>
    <t>Germany;Grenada</t>
  </si>
  <si>
    <t>Berlin;Berlin</t>
  </si>
  <si>
    <t>Technical University of Berlin;Fritz-Haber-Institut</t>
  </si>
  <si>
    <t>60011604;116355990</t>
  </si>
  <si>
    <t>IRRGANG K.</t>
  </si>
  <si>
    <t>Structural determination of the photosystem II core complex from spinach</t>
  </si>
  <si>
    <t>10.1111/j.1432-1033.1988.tb14445.x</t>
  </si>
  <si>
    <t>2-s2.0-0024248215</t>
  </si>
  <si>
    <t>['ventral surface', 'ventral denticles', 'strong alleles', 'pupal period', 'posterior compartment', 'mosaic analysis', 'homozygous clones', 'hedgehog gene', 'hedgehod mutations', 'hedgehod gene', 'embryonic development', 'distal portions', 'anteroposterior polarity', 'antenna occur', '7 days', '6 hr', '25 degrees']</t>
  </si>
  <si>
    <t>Mutations of the hedgehod gene are generally embryonic lethal, resulting in a lawn of denticles on the ventral surface. In strong alleles, no segmentation is obvious and the anteroposterior polarity of ventral denticles is lost. Temperature shift analysis of a temperature-sensitive allele indicates an embryonic activity period for hedgehod between 2.5 and 6 hr of embryonic development (at 25 degrees) and a larval/pupal period from 4 to 7 days of development (at 25 degrees). Mosaic analysis of hedgehod mutations in the adult cuticle indicates a series of defined defects associated with the failure of appropriate hedgehod expression. In particular, defects in the distal portions of the legs and antenna occur in association with homozygous hedgehog clones in the posterior compartment of those structures. Because the defects are associated with homozygous clones, but are not co-extensive, a type of "domineering" nonautonomy is proposed for the activity of the hedgehog gene.</t>
  </si>
  <si>
    <t>1061-1072</t>
  </si>
  <si>
    <t>Genetics</t>
  </si>
  <si>
    <t>Mohler, J.</t>
  </si>
  <si>
    <t>Barnard College</t>
  </si>
  <si>
    <t>Mohler J.</t>
  </si>
  <si>
    <t>Requirements for hedgehod, a segmental polarity gene, in patterning larval and adult cuticle of Drosophila.</t>
  </si>
  <si>
    <t>2-s2.0-0024254534</t>
  </si>
  <si>
    <t>['ground observations', 'baseline interferometry', '3 ghz']</t>
  </si>
  <si>
    <t>Quasat is an Earth-orbiting radio antenna to be used in conjunction with ground-based Very-Long-Baseline Interferometry (VLBI) networks in Europe, the USA, the USSR and Australia to produce radio images at frequencies of 22, 5, 1.6 and 0.3 GHz. By combining simultaneous space and ground observations with baselines of up to 50 000 km, Quasat can provide radio images that are forty to two hundred times sharper than those from Earth-based VLBI networks, and one hundred thousand times sharper than those from the Hubble Space Telescope. -from Authors</t>
  </si>
  <si>
    <t>ESA Bulletin</t>
  </si>
  <si>
    <t>60031159;60031159;60031159</t>
  </si>
  <si>
    <t>57213238906;6507191946;57220417670</t>
  </si>
  <si>
    <t>Frisk, U.;Hawkyard, A.;Cornelisse, J. W.</t>
  </si>
  <si>
    <t>Noordwijk aan Zee</t>
  </si>
  <si>
    <t>ESTEC - European Space Research and Technology Centre</t>
  </si>
  <si>
    <t>Frisk U.</t>
  </si>
  <si>
    <t>Quasat - a 50 000 km-diameter quasar probe</t>
  </si>
  <si>
    <t>2-s2.0-0024257138</t>
  </si>
  <si>
    <t>['wiley blackwell', 'venomous secretions', 'usually mimicked', 'strongly suggest', 'strong mandibles', 'strikingly similar', 'segmented gaster', 'se brazil', 'rights reserved', 'prominent pedipalps', 'potent sting', 'posterior cephalothorax', 'paper describes', 'noxious traits', 'may also', 'lengthened pedicel', 'legs thin', 'inoffensive characteristics', 'hard integument', 'genera zuniga', 'frequently raised', 'first pair', 'eight species', 'detailed structural', 'avoid ants', 'anterior abdomen', 'abdomen simulate']</t>
  </si>
  <si>
    <t>ant Muellerian rings | Ant‚Äêmimicry | Batesian ant‚Äêmimicry | clubionid spiders | salticid spiders</t>
  </si>
  <si>
    <t>This paper describes the morphological and behavioural adaptations responsible for ant‚Äêlike appearance in eight species (genera Zuniga, Synemosyna, Sphecotypus, and Myrmecium) of salticid and clubionid spiders studied in Amazonian and SE Brazil. All ant‚Äêmimicking spiders have body and legs thin, and the shiny integument typical of their models. Light horizontal hair bands and constrictions of the cephalothorax and abdomen simulate, respectively, the head‚Äêthorax joint and segmented gaster of ants. The petiole and postpetiole of the ants are usually mimicked by a lengthened pedicel, together with a narrowing of the posterior cephalothorax and/or anterior abdomen. The prominent pedipalps of the spiders often simulate ant mandibles, but they may also be strikingly similar to an ant's head. All ant‚Äêmimicking spiders walked in a zig‚Äêzag ant‚Äêlike pattern, and frequently raised and moved about the first pair of legs as ‚Äòantennae‚Äô. The mimics were found in the same microhabitats (foliage or ground) as their models, and displayed strong avoidance reactions toward the latter both in the field and in captivity. The inoffensive characteristics of the mimics and the noxious traits of their models (strong mandibles, potent sting, hard integument, venomous secretions) strongly suggest that the spiders are Batesian ant‚Äêmimics. The detailed structural and behavioural adaptations enhancing ant‚Äêmimicry provide strong circumstantial evidence that the selective agents involved must have good visual acuity, and are probably small insectivorous vertebrates (e.g. birds, lizards and toads) or arthropods (e.g. wasps and spiders) which avoid ants. Copyright ¬© 1988, Wiley Blackwell. All rights reserved</t>
  </si>
  <si>
    <t>Biological Journal of the Linnean Society</t>
  </si>
  <si>
    <t>OLIVEIRA, PAULO S.</t>
  </si>
  <si>
    <t>OLIVEIRA P.S.</t>
  </si>
  <si>
    <t>Ant‚Äêmimicry in some Brazilian salticid and clubionid spiders (Araneae: Salticidae, Glubionidae)</t>
  </si>
  <si>
    <t>10.1111/j.1095-8312.1988.tb00443.x</t>
  </si>
  <si>
    <t>2-s2.0-0024257409</t>
  </si>
  <si>
    <t>['visual cues', 'thin wires', 'stimulating ephemerella', 'smaller spines', 'smaller individuals', 'smaller ephemerella', 'small ephemerella', 'size selective', 'simple tactile', 'scorpion posture', 'prey capture', 'predator approach', 'model predators', 'model megarcys', 'megarcys signata', 'megarcys showed', 'mayfly species', 'large ephemerella', 'increase ephemerella', 'hydrodynamic rather', 'historical effectiveness', 'evolutionary relict', 'defensive posturing', 'day preference', 'cerci amputated', 'cercal removal', 'also softer']</t>
  </si>
  <si>
    <t>The behavior of intact Ephemerella infrequens (Ephemeroptera, Ephemerellidae) and Ephemerella with cerci amputated was observed in response to encounters with live predaceous stoneflies (Megarcys signata, Plecoptera: Perlodidae), tethered-live and tethered-model predators, freshly excised stonefly antennae, and thin wires. Incidences of defensive posturing (scorpion posture), movement (crawl, swim, drift) and freezing (no response, stop) behavior were video-taped. Scorpion postures occurred with significantly higher frequency when Ephemerella was touched by live and model Megarcys. Frequency of posturing was not altered by prey orientation toward or away from predators or by direction of predator approach with respect to current. Thus, hydrodynamic rather than simple tactile, chemical or visual cues are probably most important in stimulating Ephemerella to scorpion posture. Cerciless mayflies may have impaired or altered sensory systems, but cercal removal did not increase Ephemerella's risk of predation. Gut content analysis of Megarcys showed that they were size selective on smaller Ephemerella, which are known to scorpion posture with significantly lower frequency than large Ephemerella. The posture is an evolutionary relict, a "ghost of predation past', that is not as effective in smaller individuals, which are also softer-bodied and have smaller spines. Present-day preference for small Ephemerella or other mayfly species over large Ephemerella may be attributed to the historical effectiveness of the scorpion posture, long prey handling times, difficulty in prey capture, or absence of an appropriate behavioral attack stimulus. -from Authors</t>
  </si>
  <si>
    <t>185-193</t>
  </si>
  <si>
    <t>Oikos</t>
  </si>
  <si>
    <t>60007776;60007776</t>
  </si>
  <si>
    <t>7003396980;6507441386</t>
  </si>
  <si>
    <t>Peckarsky, B. L.;Penton, M. A.</t>
  </si>
  <si>
    <t>Peckarsky B.</t>
  </si>
  <si>
    <t>Why do Ephemerella nymphs scorpion posture: a "ghost of predation past'?</t>
  </si>
  <si>
    <t>10.2307/3566061</t>
  </si>
  <si>
    <t>2-s2.0-0024258788</t>
  </si>
  <si>
    <t>['¬© 1988', 'rights reserved', 'realistic implementation', 'ray theory', 'marine applications', 'electrical engineers', 'dielectric load', 'compactness makes']</t>
  </si>
  <si>
    <t>Antenna theory | Antennas | Radar antennas</t>
  </si>
  <si>
    <t>A new design based on ray theory is presented for a phase corrected horn antenna which is shorter than one with a hyperbolic secant refractive index profile. A dielectric load is essential for realistic implementation. With load permittivity decreasing linearly towards the aperture, a smooth flared profile can be obtained. The antenna's compactness makes it useful for marine applications. ¬© 1988, The Institution of Electrical Engineers. All rights reserved.</t>
  </si>
  <si>
    <t>292-294</t>
  </si>
  <si>
    <t>Zielonko, R.</t>
  </si>
  <si>
    <t>Gdansk</t>
  </si>
  <si>
    <t>Gda≈Ñsk University of Technology</t>
  </si>
  <si>
    <t>Zielonko R.</t>
  </si>
  <si>
    <t>Novel Phase-Corrected Horn Antenna of Short Length</t>
  </si>
  <si>
    <t>10.1049/el:19880197</t>
  </si>
  <si>
    <t>2-s2.0-0024276753</t>
  </si>
  <si>
    <t>['rights reserved', 'quadrifilar helices', 'quadrature phasing', 'microstrip circuit', 'gain antennas', 'electrical engineers']</t>
  </si>
  <si>
    <t>Antenna feeders | Antennas | Satellite links</t>
  </si>
  <si>
    <t>An impedance transforming balun feeder system has been devised for low-gain antennas such as quadrifilar helices and spirals, consisting of four coaxial cables and a microstrip circuit. The arrangement allows physically orthogonal ‚Äòbalanced pair‚Äô outputs with quadrature phasing, in space limited configurations. Copyright ¬© 1988, The Institution of Electrical Engineers. All rights reserved.</t>
  </si>
  <si>
    <t>278-279</t>
  </si>
  <si>
    <t>Keen, K. M.</t>
  </si>
  <si>
    <t>Billingshurst</t>
  </si>
  <si>
    <t>Keen Associates</t>
  </si>
  <si>
    <t>Keen K.</t>
  </si>
  <si>
    <t>Simple impedance transforming feed system for low-gain quadrifilar and bifilar satellite terminal antennas</t>
  </si>
  <si>
    <t>10.1049/el:19880186</t>
  </si>
  <si>
    <t>2-s2.0-0024276757</t>
  </si>
  <si>
    <t>['¬© 1988', 'rights reserved', 'nonlinear junctions', 'mounting components', 'mast support', 'electrical engineers', 'commonly encountered', 'antenna towers']</t>
  </si>
  <si>
    <t>Antenna arrays | Antennas | Computer applications | Intermodulation</t>
  </si>
  <si>
    <t>A computer-controlled measurement system is described, developed to investigate intermodulation products generated by nonlinear junctions in antenna towers, mast support and mounting components. Results are presented which suggest that certain mechanical features, commonly encountered in some components, should be regarded as more likely to be associated with this cause of interference. ¬© 1988, The Institution of Electrical Engineers. All rights reserved.</t>
  </si>
  <si>
    <t>1005-1007</t>
  </si>
  <si>
    <t>60010818;60010818;60073878</t>
  </si>
  <si>
    <t>36916492200;36834887200;7201539513</t>
  </si>
  <si>
    <t>Lui, P. L.;Rawlins, A. D.;Watts, D. W.</t>
  </si>
  <si>
    <t>Reading;Canterbury</t>
  </si>
  <si>
    <t>Home Office Central Research Establishment;University of Kent</t>
  </si>
  <si>
    <t>60073878;60010818</t>
  </si>
  <si>
    <t>Lui P.</t>
  </si>
  <si>
    <t>Measurement of Intermodulation Products Generated by Structural Components</t>
  </si>
  <si>
    <t>10.1049/el:19880684</t>
  </si>
  <si>
    <t>2-s2.0-0024277817</t>
  </si>
  <si>
    <t>['¬© 1988', 'source module', 'slot coupling', 'rights reserved', 'optimum coupling', 'electrical engineers']</t>
  </si>
  <si>
    <t>Antennas | Oscillators | Power combining</t>
  </si>
  <si>
    <t>Slot coupled self-oscillating patch antennas are used as efficient source modules for a quasi-optic power combining cavity. Optimum coupling between the antenna and the device, and also the need for slot coupling between the source module and the cavity, is discussed. ¬© 1988, The Institution of Electrical Engineers. All rights reserved.</t>
  </si>
  <si>
    <t>1017-1018</t>
  </si>
  <si>
    <t>60020595;60020595</t>
  </si>
  <si>
    <t>6701816265;6507726865</t>
  </si>
  <si>
    <t>Frayne, P. G.;Riddaway, C. J.</t>
  </si>
  <si>
    <t>Egham</t>
  </si>
  <si>
    <t>Royal Holloway, University of London</t>
  </si>
  <si>
    <t>Frayne P.</t>
  </si>
  <si>
    <t>Efficient Power Combining Quasi-Optic Oscillator</t>
  </si>
  <si>
    <t>10.1049/el:19880692</t>
  </si>
  <si>
    <t>2-s2.0-0024277823</t>
  </si>
  <si>
    <t>['¬© 1988', 'rights reserved', 'pole antenna', 'modified expression', 'measured data', 'input capacitance', 'electrical engineers', 'coplanar stripline', 'computed using', 'calculated results']</t>
  </si>
  <si>
    <t>Antenna theory | Antennas | Capacitors and capacitance</t>
  </si>
  <si>
    <t>The input capacitance of an electrically small tubular mono-pole antenna above a perfectly conducting ground is computed using a modified expression for the capacitance of a coplanar stripline. The calculated results are compared with measured data. ¬© 1988, The Institution of Electrical Engineers. All rights reserved.</t>
  </si>
  <si>
    <t>1021-1022</t>
  </si>
  <si>
    <t>Capacitance of A Small Tubular Antenna</t>
  </si>
  <si>
    <t>10.1049/el:19880695</t>
  </si>
  <si>
    <t>2-s2.0-0024277827</t>
  </si>
  <si>
    <t>['¬© 1988', 'successfully transferred', 'rights reserved', 'periodic antenna', 'electrical engineers']</t>
  </si>
  <si>
    <t>Antenna radiation patterns | Computer aided analysis | Computer applications | EM field theory</t>
  </si>
  <si>
    <t>The NEC2 electromagnetic moment method code has been successfully transferred into the personal computer environment. The Inmos T800 Transputer was used to execute the code. The analysis of a 12 element log-periodic antenna was used as a benchmark to compare execution times. Execution on the Transputer was 1.5 times faster than on a DEC micro VAX computer, and comparable to the speed of a DEC VAX785 computer. ¬© 1988, The Institution of Electrical Engineers. All rights reserved.</t>
  </si>
  <si>
    <t>991-992</t>
  </si>
  <si>
    <t>60001565;60001565;60001565;60001565</t>
  </si>
  <si>
    <t>56260568300;6507132210;7102846355;7005311898</t>
  </si>
  <si>
    <t>Le Roux, J. J.;Bakkes, P. J.;Du Plessis, J. J.;Cloete, J. H.</t>
  </si>
  <si>
    <t>Stellenbosch</t>
  </si>
  <si>
    <t>Stellenbosch University</t>
  </si>
  <si>
    <t>Le Roux J.</t>
  </si>
  <si>
    <t>Execution of The NEC2 Electromagnetic Moment Method Code on The Inmos T800 Transputer</t>
  </si>
  <si>
    <t>10.1049/el:19880674</t>
  </si>
  <si>
    <t>2-s2.0-0024277829</t>
  </si>
  <si>
    <t>['small transcripts', 'shares 61', 'sequence similarity', 'secondary structure', 'rhodospirillum rubrum', 'rhodobacter sphaeroides', 'rhodobacter capsulatus', 'respective half', 'relative stability', 'puf mrna', 'photoreaction center', 'operon puf', 'mole ratio', 'limited cells', 'large transcript', 'intercistronic region', 'initiation codon', 'immediately downstream', 'highly conserved', 'genes coding', 'escherichia coli', 'dyad symmetry', 'differential expression', 'common 5', 'beta polypeptides', 'b880 antenna', 'another region', 'aerated conditions', '617 nucleotides', '20 min']</t>
  </si>
  <si>
    <t>In Rhodospirillum rubrum, the genes coding for the alpha and beta polypeptides of the B880 antenna (pufA,B) and the L and M polypeptides of the photoreaction center (pufL,M) are clustered on operon puf. In oxygen-limited cells, the puf mRNA is present as species of 2561, 640, and 617 nucleotides. Aerated cells contain only traces of these mRNAs. The large mRNA encodes the alpha,beta, L, and M polypeptides, whereas the small mRNAs encode only alpha and beta. S1 nuclease protection mapping showed these transcripts to have a common 5' end, immediately downstream of a region of dyad symmetry and at 166 nucleotides upstream of the initiation codon of pufB. The 3' termini of the small transcripts are located in the intercistronic region between pufA and pufL, downstream of another region of dyad symmetry. This region is highly conserved in Rhodospirillum rubrum, Rhodobacter capsulatus, and Rhodobacter sphaeroides and shares 61% sequence similarity with the repetitive extragenic palindromic sequences of Escherichia coli. The slightly heterogeneous 3' termini of the large transcript are downstream of a region of dyad symmetry characteristic of rho-independent transcription termination. Following a shift from oxygen-limited to aerated conditions, the pufL,M and the pufA,B mRNAs decayed with respective half-lives of 9 and 20 min. These high relative stabilities, attributed to secondary structure, are in accord with the mole ratio (2:1) of the pufA,B/pufL,M messages. While the differential expression of alpha,beta/L,M congruent to 15 is thought to be due, in part, to this relative stability, the main factor may be a more efficient translation initiation for pufA,B than for pufL,M.</t>
  </si>
  <si>
    <t>7639-7645</t>
  </si>
  <si>
    <t>The Journal of biological chemistry</t>
  </si>
  <si>
    <t>60009507;60009507</t>
  </si>
  <si>
    <t>7102324164;7006937587</t>
  </si>
  <si>
    <t>B√©langer, G.;Gingras, G.</t>
  </si>
  <si>
    <t>University of Montreal</t>
  </si>
  <si>
    <t>B√©langer G.</t>
  </si>
  <si>
    <t>Structure and expression of the puf operon messenger RNA in rhodospirillum rubrum.</t>
  </si>
  <si>
    <t>2-s2.0-0024278659</t>
  </si>
  <si>
    <t>['substantially reduced', 'phased arrays', 'performance advantages', 'general application', 'extensive deployment', 'explained mainly', 'development efforts', 'defence applications', 'array radars', "age '."]</t>
  </si>
  <si>
    <t>An attempt is made to give an introduction to the subject of phased array radars. It is argued that phased array radars are finding serious applications and are perhaps now 'coming of age'. In general, we are likely to see a more extensive deployment of phased-array radars in the future. However, a general application will only result when costs are substantially reduced. So far, phased arrays have been explained mainly in defence applications, where operational imperatives justify the cost of the advantages which phase arrays confer. For these advantages to be exploited in other applications, means of achieving the performance advantages at lower cost must be found and MESAR and Multi-Fire are development efforts under way to achieve this aim.</t>
  </si>
  <si>
    <t>363-367</t>
  </si>
  <si>
    <t>IEE Review</t>
  </si>
  <si>
    <t>Pell, C.</t>
  </si>
  <si>
    <t>Pell C.</t>
  </si>
  <si>
    <t>Phased-array radars</t>
  </si>
  <si>
    <t>10.1049/ir:19880149</t>
  </si>
  <si>
    <t>2-s2.0-0024280222</t>
  </si>
  <si>
    <t>['¬© 1988', 'rights reserved', 'new approach', 'hybrid quadric', 'form expressions', 'electromagnetic applications', 'electrical engineers', 'aircraft wings', 'aircraft wing']</t>
  </si>
  <si>
    <t>Aircraft antennas | Antennas | Modelling | Ray analysis</t>
  </si>
  <si>
    <t>A new approach to the modelling of aircraft wings, based on the combination of hybrid quadric (parabolic and circular) cylinders, has been presented for electromagnetic applications. Closed-form expressions have been obtained for ray parameters required in the high-frequency mutual coupling computation of antenna pairs located arbitrarily on an aircraft wing. ¬© 1988, The Institution of Electrical Engineers. All rights reserved.</t>
  </si>
  <si>
    <t>21-22</t>
  </si>
  <si>
    <t>60014097;60014097;60014097;60014097</t>
  </si>
  <si>
    <t>7101680121;7006898765;6701695987;7005329304</t>
  </si>
  <si>
    <t>Jha, R. M.;Bokhari, S. A.;Sudhakar, V.;Mahapatra, P. R.</t>
  </si>
  <si>
    <t>Indian Institute of Science</t>
  </si>
  <si>
    <t>Jha R.</t>
  </si>
  <si>
    <t>Ray Analysis of A Class of Hybrid Cylindrical Aircraft Wings</t>
  </si>
  <si>
    <t>10.1049/el:19880014</t>
  </si>
  <si>
    <t>2-s2.0-0024280363</t>
  </si>
  <si>
    <t>['¬© 1988', 'rights reserved', 'particularly suitable', 'electrical engineers', 'biological materials']</t>
  </si>
  <si>
    <t>Biomedical electronics | Dielectric losses | Electromagnetism | Mathematical techniques</t>
  </si>
  <si>
    <t>The theory of the nonresonant perturbation technique for the measurement of high-frequency electromagnetic field distributions is extended to apply in lossy dielectric materials. The technique is particularly suitable for measuring hyperthermia applicator power absorption patterns and microwave thermography antenna response patterns in biological materials. ¬© 1988, The Institution of Electrical Engineers. All rights reserved.</t>
  </si>
  <si>
    <t>70-72</t>
  </si>
  <si>
    <t>Land, D. V.</t>
  </si>
  <si>
    <t>Glasgow</t>
  </si>
  <si>
    <t>University of Glasgow</t>
  </si>
  <si>
    <t>Land D.</t>
  </si>
  <si>
    <t>Application of the Nonresonant Perturbation Technique to the Measurement of high-Frequency Fields in Biological Phantom Materials</t>
  </si>
  <si>
    <t>10.1049/el:19880047</t>
  </si>
  <si>
    <t>2-s2.0-0024280378</t>
  </si>
  <si>
    <t>['¬© 1988', 'simple method', 'rights reserved', 'rf front', 'results show', 'reflector antenna', 'radiation pattern', 'integrated array', 'initial stage', 'end subsystem', 'electrical engineers', 'cost receive', 'array feed']</t>
  </si>
  <si>
    <t>A simple method of synthesising the radiation pattern of an array feed for a reflector antenna is presented. It forms the initial stage in the design of an integrated array-feed/LNA/ RF front-end subsystem for a low-cost receive-only terminal for domestic satellite communications. Results show that a high illumination efficiency and a low spillover loss may be achieved with a 4 x 4-element planar array. ¬© 1988, The Institution of Electrical Engineers. All rights reserved.</t>
  </si>
  <si>
    <t>39-41</t>
  </si>
  <si>
    <t>Vu, T. B.</t>
  </si>
  <si>
    <t>Vu T.</t>
  </si>
  <si>
    <t>Array Feed for Reflector Antenna Synthesis of Feed Pattern</t>
  </si>
  <si>
    <t>10.1049/el:19880027</t>
  </si>
  <si>
    <t>2-s2.0-0024280382</t>
  </si>
  <si>
    <t>['¬© 1988', 'simple analysis', 'rights reserved', 'permanent magnet', 'measured results', 'electrical engineers']</t>
  </si>
  <si>
    <t>Antenna radiation patterns | Antennas | Micro- strip</t>
  </si>
  <si>
    <t>Measured results are given for a novel microstrip antenna with in-built pattern control capabilities. The antenna element consists of a metal patch etched onto alumina substrate with a thick ferrite overlay, which is then magnetised by a permanent magnet. H-plane patterns showing a 30¬∞ scan are given and a simple analysis of this new device explains the principal mechanisms involved. ¬© 1988, The Institution of Electrical Engineers. All rights reserved.</t>
  </si>
  <si>
    <t>45-47</t>
  </si>
  <si>
    <t>60009658;60009658;60026242</t>
  </si>
  <si>
    <t>7403098104;7403018268;7003442370</t>
  </si>
  <si>
    <t>Henderson, A.;James, J. R.;Fray, A.</t>
  </si>
  <si>
    <t>Salisbury;Swindon</t>
  </si>
  <si>
    <t>Defence Science and Technology Laboratory;Defence College of Management and Technology</t>
  </si>
  <si>
    <t>60026242;60009658</t>
  </si>
  <si>
    <t>Henderson A.</t>
  </si>
  <si>
    <t>Magnetised Microstrip Antenna with Pattern Control</t>
  </si>
  <si>
    <t>10.1049/el:19880031</t>
  </si>
  <si>
    <t>2-s2.0-0024280384</t>
  </si>
  <si>
    <t>['¬© 1988', 'wide applications', 'rights reserved', 'ray analysis', 'electrical engineers', 'conformal antennas', 'analytical method', 'aerospace vehicles']</t>
  </si>
  <si>
    <t>Antennas | Modelling | Ray analysis | Spacecraft antennas</t>
  </si>
  <si>
    <t>An efficient algorithm based on Hertz's principle is presented for ray analysis of nondevelopable hybrid quadric surfaces of revolution. This quasi-analytical method of determining ray geometric parameters as required in high-frequency mutual coupling calculations has wide applications for conformal antennas, including those on aerospace vehicles. ¬© 1988, The Institution of Electrical Engineers. All rights reserved.</t>
  </si>
  <si>
    <t>22-23</t>
  </si>
  <si>
    <t>Ray Analysis of A Class of Nondevelopable Satellite Launch Vehicles</t>
  </si>
  <si>
    <t>10.1049/el:19880015</t>
  </si>
  <si>
    <t>2-s2.0-0024280390</t>
  </si>
  <si>
    <t>['¬© 1988', 'rights reserved', 'mechanical performance', 'lossy magnetic', 'geosynchronous satellite', 'electrical engineers', 'axial ratio', '7 db', '3 ghz']</t>
  </si>
  <si>
    <t>Antenna radiation patterns | Antennas | Satellite links</t>
  </si>
  <si>
    <t>A lossy magnetic-material coated horn is described for providing an earth coverage beam from a geosynchronous satellite. The antenna gives excellent electrical and mechanical performance. It produces an axial ratio of better than 0.7 dB in the frequency range 8.0 to 8.3 GHz. ¬© 1988, The Institution of Electrical Engineers. All rights reserved.</t>
  </si>
  <si>
    <t>868-869</t>
  </si>
  <si>
    <t>Compact Horn for Earth Coverage</t>
  </si>
  <si>
    <t>10.1049/el:19880591</t>
  </si>
  <si>
    <t>2-s2.0-0024280775</t>
  </si>
  <si>
    <t>['¬© 1988', 'rights reserved', 'performance improvement', 'multiple receivers', 'electrical engineers', 'directional antennas']</t>
  </si>
  <si>
    <t>Antennas | Receivers | Telecommunications</t>
  </si>
  <si>
    <t>The performance improvement which can be obtained in a slotted ALOHA channel by the use of directional antennas and multiple receivers is analysed in the letter. ¬© 1988, The Institution of Electrical Engineers. All rights reserved.</t>
  </si>
  <si>
    <t>1540-1542</t>
  </si>
  <si>
    <t>60010365;60010365</t>
  </si>
  <si>
    <t>7401968617;7402612617</t>
  </si>
  <si>
    <t>Lau, C.;Leung, C.</t>
  </si>
  <si>
    <t>Vancouver</t>
  </si>
  <si>
    <t>The University of British Columbia</t>
  </si>
  <si>
    <t>Lau C.</t>
  </si>
  <si>
    <t>Throughput Of Slotted Aloha Channel With Multiple Antennas And Receivers</t>
  </si>
  <si>
    <t>10.1049/el:19881051</t>
  </si>
  <si>
    <t>2-s2.0-0024282057</t>
  </si>
  <si>
    <t>['¬© 1988', 'width millimetre', 'rights reserved', 'electrical engineers', 'antenna measurements', '200 ghz', '180 ghz']</t>
  </si>
  <si>
    <t>Antenna radiation patterns | Antennas</t>
  </si>
  <si>
    <t>A 3 m-width millimetre-wave compact antenna test range for antenna measurements up to 200 GHz has been constructed at Queen Mary College. Measurements of a 400 mm aperture width 90¬∞ offset test antenna operating at 180 GHz are presented, indicating that a 62 dB dynamic range is achievable. ¬© 1988, The Institution of Electrical Engineers. All rights reserved.</t>
  </si>
  <si>
    <t>1552-1554</t>
  </si>
  <si>
    <t>60022109;60018829</t>
  </si>
  <si>
    <t>7005244140;36861134800</t>
  </si>
  <si>
    <t>Parini, C. G.;Prior, C. J.</t>
  </si>
  <si>
    <t>London;Farnborough</t>
  </si>
  <si>
    <t>Queen Mary University of London;BAE Systems plc</t>
  </si>
  <si>
    <t>Parini C.G.</t>
  </si>
  <si>
    <t>Radiation Pattern Measurements Of Electrically Large Antennas Using A Compact Antenna Test Range At 180 GHz</t>
  </si>
  <si>
    <t>10.1049/el:19881059</t>
  </si>
  <si>
    <t>2-s2.0-0024282079</t>
  </si>
  <si>
    <t>['¬© 1988', 'usable patterns', 'tuning range', 'rights reserved', 'return loss', 'operating frequency', 'microstrip antenna', 'ferrite substrate', 'electrical engineers']</t>
  </si>
  <si>
    <t>Antenna radiation patterns | Antennas | Magnetic fields | Microstrip</t>
  </si>
  <si>
    <t>The operating frequency of a microstrip antenna on a ferrite substrate can be tuned by varying the DC magnetic bias field applied to the ferrite. The letter reports experimental work where a 40% tuning range has been obtained, with usable patterns and return loss over this band. ¬© 1988, The Institution of Electrical Engineers. All rights reserved.</t>
  </si>
  <si>
    <t>729-731</t>
  </si>
  <si>
    <t>7006061921;56911863900</t>
  </si>
  <si>
    <t>Pozar, D. M.;Sanchez, V.</t>
  </si>
  <si>
    <t>Pozar D.</t>
  </si>
  <si>
    <t>Magnetic Tuning of a Microstrip Antenna on a Ferrite Substrate</t>
  </si>
  <si>
    <t>10.1049/el:19880491</t>
  </si>
  <si>
    <t>2-s2.0-0024282620</t>
  </si>
  <si>
    <t>['uniformly 14c', 'subunit stoichiometry', 'single copy', 'results suggest', 'preparations indicate', 'one copy', 'native photosystem', 'early ps', 'dimeric structure', 'antenna subunits', 'also present']</t>
  </si>
  <si>
    <t>A native photosystem I (PS I) complex and a PS I core complex depleted of antenna subunits has been isolated from the uniformly 14C-labeled aquatic higher plant, Lemna. These complexes have been analyzed for their subunit stoichiometry by quantitative sodium dodecyl sulfate-polyacrylamide gel electrophoresis methods. The results for both preparations indicate that one copy of each high molecular mass subunit is present per PS I complex and that a single copy of most low molecular mass subunits is also present. These results suggest that iron-sulfur center X, an early PS I electron acceptor proposed to bind to the high molecular mass subunits, contains a single [4Fe-4S] cluster which is bound to a dimeric structure of high molecular mass subunits, each providing 2 cysteine residues to coordinate this cluster.</t>
  </si>
  <si>
    <t>7302-7308</t>
  </si>
  <si>
    <t>55118604500;7102455882</t>
  </si>
  <si>
    <t>Bruce, B. D.;Malkin, R.</t>
  </si>
  <si>
    <t>Bruce B.D.</t>
  </si>
  <si>
    <t>Subunit stoichiometry of the chloroplast photosystem I complex.</t>
  </si>
  <si>
    <t>2-s2.0-0024296782</t>
  </si>
  <si>
    <t>['southern australian', 'slender dactyls', 'sister groups', 'peraeopods 3', 'new taxon', 'francis group', 'et sp', 'autapomorphies peculiar', 'antenna 1', 'aetiopedes appears']</t>
  </si>
  <si>
    <t>Aetiopedes gen. nov | Ampeliscoidea | Amphipoda | Australia | Corophioidea | Isaeidae | Neomegamphopidae</t>
  </si>
  <si>
    <t>Aetiopedes gracilis gen. et sp. nov. (Amphipoda: Isaeidae) is described from southern Australian (Tasmanian, Victorian) shallow coastal sand habitats. The taxon superficially resembles an ampeliscoid having antenna 2 markedly longer than antenna 1 and peraeopods 3-4 with long, slender dactyls. The possibility is raised that glandular peraeopods may be a synapomorphy associating Ampeliscoidea with Corophioidea as sister groups. The structure of peraeopods 3-4 (merochelate), labrum (toothed) and telson (shortened) are all autapomorphies peculiar to the new taxon. Within the Isaeidae, Aetiopedes appears to be closest to Amphideutopus. The relationships of these taxa are discussed in relation to the hypotheses of Barnard &amp; Thomas (1987) on the systematics of the Neomegamphopidae. ¬© 1988 Taylor &amp; Francis Group, LLC.</t>
  </si>
  <si>
    <t>1665-1675</t>
  </si>
  <si>
    <t>Journal of Natural History</t>
  </si>
  <si>
    <t>60014176;60025160</t>
  </si>
  <si>
    <t>55900158000;7202743189</t>
  </si>
  <si>
    <t>Moore, P. G.;Myers, A. A.</t>
  </si>
  <si>
    <t>Ireland;United Kingdom</t>
  </si>
  <si>
    <t>Cork;Millport</t>
  </si>
  <si>
    <t>University College Cork;University Marine Biological Station</t>
  </si>
  <si>
    <t>60025160;60014176</t>
  </si>
  <si>
    <t>Moore P.</t>
  </si>
  <si>
    <t>An enigma from Australia: A new variation on the corophioid theme (Crustacea: Amphipoda)</t>
  </si>
  <si>
    <t>10.1080/00222938800771041</t>
  </si>
  <si>
    <t>2-s2.0-0038725923</t>
  </si>
  <si>
    <t>AST 85-09907</t>
  </si>
  <si>
    <t>['slowly rotating', 'relatively smooth', 'region around', 'position equidistant', 'line joining', 'inversion lines', 'hh 1', 'haro 1', 'emission region', 'disk appears', 'continuum source', 'coincides exactly', 'centralized heating', '2 objects', '1985 ).', '15 pc']</t>
  </si>
  <si>
    <t>Herbig-Haro objects | Kinematics | Molecular clouds | Star formation</t>
  </si>
  <si>
    <t>Summary. Using the 100-m antenna of the Max-Planck-Institut f√ºr Radioastronomie in Effelsberg, FRG, we have observed with 40" resolution the region around the Herbig-Haro 1 and 2 objects in the (1,1) and (2,2) inversion lines of NH3. The integrated intensity peaks at a position equidistant from the objects HH 1 and 2 that coincides exactly with the central exciting source found by Pravdo et al. (1985). The emission region is elongated with its major axis roughly perpendicular to the line joining the HH 1 and 2 objects. By analyzing the kinematics, we conclude that the structure is a relatively smooth, slowly rotating, and expanding (or infalling) disk seen nearly edge-on. The disk radial motion is resolved and occurs at a radius of ~0.15 pc, and the center of the disk appears to be evacuated. This situation is consistent with the absence of centralized heating. There is a condensation about 60" to the west of the central exciting source. Impact on this condensation by a central stellar wind may explain the location of a continuum source and a variable H2O maser at the border of this condensation.</t>
  </si>
  <si>
    <t>235-241</t>
  </si>
  <si>
    <t>Astronomy and Astrophysics</t>
  </si>
  <si>
    <t>60021557-60001754;60021557;60001754;60001754;60020680;60020680;60032442</t>
  </si>
  <si>
    <t>7003522277;7005186449;8233670900;35248640700;7402211489;7402046134;55566294700</t>
  </si>
  <si>
    <t>Marcaide, J. M.;Torrelles, J. M.;G√ºsten, R.;Menten, K. M.;Ho, P. T.P.;Moran, J. M.;Rodr√≠guez, L. F.</t>
  </si>
  <si>
    <t>Mexico;Spain;United States;Germany</t>
  </si>
  <si>
    <t>Ciudad de M√©xico;Granada;Cambridge;Bonn</t>
  </si>
  <si>
    <t>Universidad Nacional Aut√≥noma de M√©xico;Instituto de Astrof√≠sica de Andaluc√≠a - CSIC;Harvard-Smithsonian Center for Astrophysics;Max Planck Institute for Radio Astronomy</t>
  </si>
  <si>
    <t>60032442;60021557;60020680;60001754</t>
  </si>
  <si>
    <t>Marcaide J.M.</t>
  </si>
  <si>
    <t>Observational evidence of a possible collimating agent of the HH1-2 outflow</t>
  </si>
  <si>
    <t>2-s2.0-0040160944</t>
  </si>
  <si>
    <t>['untreated patches', 'significantly increase', 'retention period', 'results indicate', 'patch later', 'parasitisation rates', 'nicholsonian area', 'longer period', 'kairomones may', 'hosts earlier', 'host densities', 'area intensely', 'aqueous extract', 'aphidiid parasitoid']</t>
  </si>
  <si>
    <t>Female Trioxys indicus, an aphidiid parasitoid of the pigeonpea aphid Aphis craccivora, responded to aqueous extract (having kairomones) of the host topically sprayed onto host‚Äêinfested leaves by examining such area intensely with their antennae. After application of host‚Äêextract on the host‚Äêpatches having different host densities, the parasitoid showed following differences in the responses against untreated patches: 1. she did not find the hosts at all at lower host densities (&lt; 10 hosts) instead of retaining there for a longer period while she located the hosts earlier at relatively higher densities; 2. she left the patch later at all host densities; 3. the retention period with host is more at all host densities; 4. the frequency of host‚Äêcontact, prick, oviposition and the Nicholsonian area of discovery was higher at relatively higher host densities (&gt;50), and finally, 5. the sex‚Äêratio of the F1 offspring decreased at all host densities. Results indicate that the use of kairomones can significantly increase the parasitisation rates only at the appropriate host density. At low host density, application of kairomones may be disadvantageous. Zur Bionomie von Trioxys indicus Subba Rao &amp; Sharma (Hym., Aphidiidae), ein Parasitoid von Aphis craccivora Koch. 29. Wirkungen eines Wirtsextrakts auf das Vermehrungsverhalten des Parasitoiden bei unterschiedlicher Wirtsdichte Weibliche Trioxys indicus, eine bei der Blattlaus Aphis craccivora parasitierende Schlupfwespe, reagierten auf einen Kairomone enthaltenden w√§√ürigen Extrakt aus ihren Wirten, der auf von den Wirtsblattl√§usen besiedelte Bl√§tter gespr√ºht wurde, mit intensiver Untersuchung unter Verwendung der Antennen. Nach Applikation des Wirtsextrakts auf Blattlauskolonien verschiedener Individuendichte zeigte die Schlupfwespe folgende Unterschiede des Verhaltens im Vergleich zu unbehandelten Kolonien: 1. Sie fand bei geringer Dichte (&lt; 10 Indiv.) die Wirte nicht oder sp√§ter; 2. sie verlie√ü die Wirte unabh√§ngig von deren Dichte sp√§ter; 3. die Frequenzen von Wirtskontakt, Anstich und Eiablage sowie das Nicholson'sche Entdeckungsareal waren bei relativ h√∂herer Wirtsdichte h√∂her; 4. der Weibchenanteil der F1‚ÄêNachkommen nahm bei allen Wirtsdichten ab. Diese Ergebnisse zeigen, da√ü die Verwendung von Kairomonen die Parasitierungsrate nur bei hinreichender Wirtsdichte steigern kann. Bei niedriger Wirtsdichte kann der Einsatz von Kairomonen sogar sch√§dlich sein. 1988 Blackwell Verlag GmbH</t>
  </si>
  <si>
    <t>408-412</t>
  </si>
  <si>
    <t>Srivastava, M.;Singh, R.</t>
  </si>
  <si>
    <t>Bionomics of Trioxys indicus Subba Rao &amp; Sharma, an aphidiid parasitoid of Aphis craccivora Koch 29. Impact of host‚Äêextract on reproductive behaviour of the parasitoid at different host densities</t>
  </si>
  <si>
    <t>10.1111/j.1439-0418.1988.tb00611.x</t>
  </si>
  <si>
    <t>2-s2.0-0040808653</t>
  </si>
  <si>
    <t>Council for Scientific and Industrial Research, South Africa</t>
  </si>
  <si>
    <t>['¬© 1988', 'wave modulated', 'wave dipoles', 'strongly present', 'simple half', 'results obtained', 'provide coverage', 'monostatic type', 'meteor region', 'meteor echo', 'future improvements', 'doppler shift', 'briefly discussed', 'also presented', '500 hz']</t>
  </si>
  <si>
    <t>A coherent-wave meteor radar system which has been in operation at Grahamstown since April 1986 is described, and some results obtained to date briefly reviewed. The radar is of the monostatic type, operating at a fixed frequency near 28 MHz, square-wave modulated at 500 Hz. The effective antenna pattern, produced by an array of simple half-wave dipoles, consists of two oppositely directed broad beams which provide coverage of all azimuths. The direction of arrival and doppler shift of each meteor echo is determined, enabling wind motions in the meteor region to be deduced. 8, 12 and 24 hr periodicities are present at most times, superimposed on a nearly eastward prevailing wind. A "2-day" oscillation was strongly present in the meridional wind early in 1987. Observations of meteor shower activity are also presented, with some emphasis on the Comet Halley stream. Plans for future improvements to the system are briefly discussed. ¬© 1988.</t>
  </si>
  <si>
    <t>Poole, L. M.G.</t>
  </si>
  <si>
    <t>Grahamstown</t>
  </si>
  <si>
    <t>Rhodes University</t>
  </si>
  <si>
    <t>Poole L.</t>
  </si>
  <si>
    <t>The Grahamstown all-sky meteor radar</t>
  </si>
  <si>
    <t>10.1016/0021-9169(88)90118-3</t>
  </si>
  <si>
    <t>2-s2.0-0041947956</t>
  </si>
  <si>
    <t>['vertebrate odorant', 'tobacco hornworm', 'sexta antennae', 'pbp reveals', 'pbp ),', 'olfactory sensilla', 'manduca sexta', 'male moths', 'first synthesized', 'binding protein', 'also found']</t>
  </si>
  <si>
    <t>cDNA encoding pheromone-binding protein (PBP), the major soluble protein in olfactory sensilla of male moths, has been cloned from the tobacco hornworm, Manduca sexta. A study of the developmental time course of PBP reveals that it is first synthesized just prior to eclosion and that the percentage of antennal mRNA encoding PBP shifts from zero to about 20% at that time. PBP is also found in sensilla from female M. sexta antennae. No amino acid sequence homology is observed between PBP and the vertebrate odorant-binding protein.</t>
  </si>
  <si>
    <t>9851-9855</t>
  </si>
  <si>
    <t>Proceedings of the National Academy of Sciences of the United States of America</t>
  </si>
  <si>
    <t>60017994;60017994;60017994</t>
  </si>
  <si>
    <t>6508099860;6506187953;35519038900</t>
  </si>
  <si>
    <t>Gyorgyi, T. K.;Roby-Shemkovitz, A. J.;Lerner, M. R.</t>
  </si>
  <si>
    <t>New Haven</t>
  </si>
  <si>
    <t>Yale School of Medicine</t>
  </si>
  <si>
    <t>Gyorgyi T.</t>
  </si>
  <si>
    <t>Characterization and cDNA cloning of the pheromone-binding protein from the tobacco hornworm, Manduca sexta: A tissue-specific developmentally regulated protein</t>
  </si>
  <si>
    <t>10.1073/pnas.85.24.9851</t>
  </si>
  <si>
    <t>2-s2.0-0042491956</t>
  </si>
  <si>
    <t>['¬© 1988', 'tunneling appears', 'transformer based', 'superfluid helium', 'small masses', 'single atoms', 'rights reserved', 'resonance detectors', 'resonance amplification', 'resolution comparable', 'promising sensor', 'new kind', 'mechanical detectors', 'measure displacements', 'impedance transformation', 'envisage using', 'allows measuring']</t>
  </si>
  <si>
    <t>We propose new systems for gravitational-wave detection using antennas of the same kind as used in resonance detectors, but giving up the resonance amplification. This, we believe, is possible by driving the impedance transformation to small masses to an extreme. This requires sensors able to measure displacements of extremely small masses. Tunneling appears to us a most promising sensor for this purpose as it allows measuring the displacement of particles as small as single atoms with a resolution comparable to that of other mechanical detectors. Furthermore, we envisage using a new kind of transformer based on superfluid helium. ¬© 1988, American Vacuum Society. All rights reserved.</t>
  </si>
  <si>
    <t>470-471</t>
  </si>
  <si>
    <t>Journal of Vacuum Science and Technology A: Vacuum, Surfaces and Films</t>
  </si>
  <si>
    <t>60011048;60011048</t>
  </si>
  <si>
    <t>22972309300;22970196300</t>
  </si>
  <si>
    <t>Niksch, M.;Binnig, G.</t>
  </si>
  <si>
    <t>Niksch M.</t>
  </si>
  <si>
    <t>Proposal for a novel gravitational-wave sensor</t>
  </si>
  <si>
    <t>10.1116/1.575398</t>
  </si>
  <si>
    <t>2-s2.0-0042492549</t>
  </si>
  <si>
    <t>['transmitting cases', 'solved separately', 'smooth currents', 'resonance behavior', 'receiving characteristics', 'receiving case', 'receiving array', 'received power', 'radial direction', 'patch surface', 'paper examines', 'numerical solutions', 'load impedance', 'input impedance', 'infinite array', 'induced fields', 'ground plane', 'frequency range', 'feed pin', 'entire structure', 'dielectric region', 'current diverging', 'cover interface', 'azimuthal components', 'antenna characteristics', 'accurately determined', 'accurate solutions']</t>
  </si>
  <si>
    <t>This paper examines the receiving characteristics of an infinite array of circular patch antennas. The patches are located on a layer of dielectric, which is situated on a ground plane. Each patch is connected to a load impedance at the ground plane through a feed pin. The entire structure is illuminated by an incident plane wave. The receiving characteristics are obtained over a frequency range of 3 to 1 or more, so that off-resonance behavior and the effect of higher order resonances on the antenna characteristics are important, and need to be accurately determined. The receiving array is decomposed into scattering and transmitting cases which are solved separately, and reconstituted to give the receiving case. Accurate solutions of these cases over a wide frequency bandwidth are pursued, including full effects of the feed pin. The solution is approached through a Green‚Äôs dyadic formulation for sources and induced fields both in the dielectric region and on the dielectric-cover interface. Galerkin‚Äôs method is used to solve for the currents on the patch and feed pin surfaces. The current on each patch surface is expanded as a summation over a set of smooth continuous currents along with a singular current distribution which models the current diverging from the feed pin onto the patch. The smooth currents are separated into radial and azimuthal components which vary in the azimuthal direction sinusoidally, and in the radial direction as Tchebychev polynomials modified by an appropriate edge factor. Numerical solutions for received power and input impedance are obtained. ¬© 1988 VSP.</t>
  </si>
  <si>
    <t>353-378</t>
  </si>
  <si>
    <t>Journal of Electromagnetic Waves and Applications</t>
  </si>
  <si>
    <t>60031707;60031707;60031707;60030821</t>
  </si>
  <si>
    <t>6507717587;7006894465;7410241808;7501722947</t>
  </si>
  <si>
    <t>Blischke, M. A.;Rothwell, E. J.;Chen, K. M.;Lin, J. L.</t>
  </si>
  <si>
    <t>East Lansing;Chicago</t>
  </si>
  <si>
    <t>Michigan State University;Boeing Corporation</t>
  </si>
  <si>
    <t>60031707;60030821</t>
  </si>
  <si>
    <t>Blischke M.A.</t>
  </si>
  <si>
    <t>Receiving and scattering characteristics of circular patch antenna array</t>
  </si>
  <si>
    <t>10.1163/156939388X00279</t>
  </si>
  <si>
    <t>2-s2.0-0342653478</t>
  </si>
  <si>
    <t>['warmer temperatures', 'upwind progress', 'synthetic source', 'station keeping', 'sex pheromone', 'separate experiment', 'results indicate', 'rapid fluctuations', 'previous studies', 'moths flying', 'moth flying', 'important determinants', 'fluctuating output', 'flight arrestment', 'firing rates', 'filamentous structure', 'female moth', 'excessive concentration', 'creates steep', 'cooler compared', 'complete adaptation', 'chilled neurons', 'burst frequency', 'borne plume', 'blend quality', 'antennal neurons', 'abundant components']</t>
  </si>
  <si>
    <t>A wind-borne plume of sex pheromone from a female moth or a synthetic source has a fine, filamentous structure that creates steep and rapid fluctuations in concentration from a male moth flying up the plume's axis. The firing rates from single antennal neurons on Agrotis segetum antennae decreased to nearly zero within seconds after the antennae were placed in a pheromone plume 70 cm downwind of a high-concentration source known from previous studies to cause in-flight arrestment of upwind progress. In a separate experiment, the fluctuating output from chilled neurons on Grapholita molesta antennae became attenuated in response to repetitive, experimentally delivered pheromone pulses. The attenuation was correlated with a previously reported higher percentage of in-flight arrestment exhibited by moths flying at cooler compared to warmer temperatures. These results indicate that two peripheral processes related to excessive concentration, complete adaptation of antennal neurons, or merely the attenuation of fluctuations in burst frequency, are important determinants of when upwind progress by a moth flying in a pheromone plume stops and changes to station keeping. Also, adaptation and attenuation may affect the sensation of blend quality by preferentially affecting cells sensitive to the most abundant components in airborne pheromone blends.</t>
  </si>
  <si>
    <t>9826-9830</t>
  </si>
  <si>
    <t>60029170;60029170;60029170;60029170</t>
  </si>
  <si>
    <t>7402604731;7103226689;7003385545;7004376332</t>
  </si>
  <si>
    <t>Baker, T. C.;Hansson, B. S.;Lofstedt, C.;Lofqvist, J.</t>
  </si>
  <si>
    <t>Sweden</t>
  </si>
  <si>
    <t>Lund</t>
  </si>
  <si>
    <t>Lunds Universitet</t>
  </si>
  <si>
    <t>Baker T.</t>
  </si>
  <si>
    <t>Adaptation of antennal neurons in moths is associated with cessation of pheromone-mediated upwind flight</t>
  </si>
  <si>
    <t>10.1073/pnas.85.24.9826</t>
  </si>
  <si>
    <t>2-s2.0-0342665159</t>
  </si>
  <si>
    <t>['transporting operations', 'shaped carina', 'rainforest logs', 'pronounced ring', 'pleonites 4', 'pleonite 5', 'paralimnoria asterosa', 'limnoria kautensis', 'lacinia mobilis', 'francis group', 'bilobed nature', 'antenna 2', '5 plus']</t>
  </si>
  <si>
    <t>Isopoda | Limnoriidae | Marine borers | Papua new guinea | Taxonomy</t>
  </si>
  <si>
    <t>Limnoria kautensis and Paralimnoria asterosa are two limnoriids new to science. They were found at a depth of 8-9 m in marine conditions burrowing in rainforest logs of timber species sufficiently dense to sink when lost during log-transporting operations. L. kautensis most closely resembles L. pfejferi, from which it can be distinguished by the absence of a Y-shaped carina on pleonite 5, the bilobed nature of the lacinia mobilis of the mandible and differences in the proportions of the maxilliped, flagellum of antenna 2 and uropods. Paralimnoria asterosa differs from the only other member of its genus, P. andrewsi, in having a pronounced ring of basally-sheathed radiating setae on pleonites 4 and 5 plus the pleotelson, and in details of the pattern of carinae, tubercles and depressions on the pleon and pleotelson. ¬© 1988 Taylor &amp; Francis Group, LLC.</t>
  </si>
  <si>
    <t>1507-1516</t>
  </si>
  <si>
    <t>60006905;60025475</t>
  </si>
  <si>
    <t>6603639912;7003659375</t>
  </si>
  <si>
    <t>Cookson, L. J.;Cragg, S. M.</t>
  </si>
  <si>
    <t>United Kingdom;Australia</t>
  </si>
  <si>
    <t>Portsmouth;Kingston</t>
  </si>
  <si>
    <t>University of Portsmouth;CSIRO Forestry and Forest Products</t>
  </si>
  <si>
    <t>60025475;60006905</t>
  </si>
  <si>
    <t>Cookson L.</t>
  </si>
  <si>
    <t>Two new species of Limnoriidae (Isopoda) from Papua New Guinea</t>
  </si>
  <si>
    <t>10.1080/00222938800770931</t>
  </si>
  <si>
    <t>2-s2.0-0344815377</t>
  </si>
  <si>
    <t>['¬© 1988', 'swollen antennae', 'silkworms induced', 'several days', 'sericultural science', 'rights reserved', 'pupal cuticles', 'last instar', 'larvae treated', 'juvenile hormone', 'japanese society', 'inhibitory effect', 'important role', 'imidazole compound', 'ecdysterone injection', 'ecdysteroid titers', '72 hr', '5th instar', '4th instar', '48 hr', '42 ).', '3rd ecdysis']</t>
  </si>
  <si>
    <t>Experiments were carried out to analyse the mechanisms of trimolting of silkworms induced by the treatment with an imidazole compound (KK-42). The variations of the juvenile hormone (JH) titers were estimated from the morphological changes induced by ecdysterone injection. In the larvae treated at the 4th-instar, normal larval ecdysis was observed when ecdysterone was injected at 24hr after treatment with KK-42. Swollen antennae, evaginated wing discs and pupal cuticles were observed when ecdysterone was injected at 48 hr and 72 hr after treatment with KK-42. The morphological changes brought about by the injection of ecdysterone into the trimolters of the last instar (4th instar) which have been induced by treatment of the 3rd instar resembled those of the tetramolters of the 5th instar. Application of KK-42 to the 3rd instar larvae inhibited the increase of ecdysteroid titers for several days after the treatment and the ecdysteroid titers rose remarkedly just before the 3rd ecdysis. Based on these results, it is assumed that the JH titers decreased sharply at 48hr and reached a level of 0 at 72hr after treatment with KK-42 in the 4th instar larvae. The inhibitory effect of KK-42 on the ecdysteroid level may play an important role in the induction of trimolter by the 3rd-instar-treatment. ¬© 1988, The Japanese Society of Sericultural Science. All rights reserved.</t>
  </si>
  <si>
    <t>210-215</t>
  </si>
  <si>
    <t>Journal of Sericultural Science of Japan</t>
  </si>
  <si>
    <t>60010742;60010742;60010742</t>
  </si>
  <si>
    <t>7202220563;24317239100;7403230021</t>
  </si>
  <si>
    <t>Gu, Shi Hong;Iwashita, Yoshimitsu;Kawasaki, Hideki</t>
  </si>
  <si>
    <t>Gu S.H.</t>
  </si>
  <si>
    <t>Endocrinological changes of trimolter silkworms induced by an imidazole compound</t>
  </si>
  <si>
    <t>10.11416/kontyushigen1930.57.210</t>
  </si>
  <si>
    <t>2-s2.0-0347105736</t>
  </si>
  <si>
    <t>['varied systematically', 'south africa2', 'refs 9', 'radio emission', 'photometric data', 'neutrino burst4', 'neutrino burst', 'lower bound', 'least 2', 'interferometer composed', 'forming region', 'epoch 5', 'days preceding', 'baseline inter', 'although signals', '8 ),', '2 mas', '2 days', '10 ),']</t>
  </si>
  <si>
    <t>Following the detection1 of radio emission from SN1987A in the Large Magellanic Cloud, we conducted very-long-baseline inter-ferometry (VLBI) observations with an interferometer composed of a NASA Deep Space Network antenna (DSS42) at Tidbinbilla, Australia and the antenna of the Hartebeesthoek Radio Astronomy Observatory, South Africa2,3. We did not detect any emission from the supernova above a level of ÃÉ20% of the supernova's total flux density, although signals were detected from our two calibrator sources with amplitudes roughly equal to those determined in earlier VLBI observations. We infer that we resolved the supernova's radiosphere and estimate, for an epoch 5.2 days after the neutrino burst4,5, a lower bound on the radiosphere's radius of 1.2 mas. Given the photometric data from the supernova6,7, a distance to the Large Magellanic Cloud of 50 ¬± 5 kpc (ref. 8), and an apparent expansion velocity that varied systematically with time from 18-16 x 103 km s-1 (refs 9 and 10), as estimated from the blue-shifted HŒ± absorption lines on the days preceding our observations, we conclude that 5.2 days after the neutrino burst the supernova's radiosphere was at least 2.5 times larger than the inferred blackbody photosphere, and at least as large as the HŒ± line-forming region. ¬© 1988 Nature Publishing Group.</t>
  </si>
  <si>
    <t>412-415</t>
  </si>
  <si>
    <t>60029470;60026053;60020680;60015009;60015009;60020680;60009037;60006337;60029470;60029470;60026053;60026053;60015009;60015827;60015009</t>
  </si>
  <si>
    <t>7003412348;6602509991;7003729814;7005455500;7402815984;7202507088;7201370075;7403216618;7103106967;57203404889;7103038032;6602198118;24360834200;56482774200;57197639594</t>
  </si>
  <si>
    <t>Jauncey, D. L.;Kemball, A.;Bartel, N.;Whitney, A. R.;Rogers, A. E.E.;Shapiro, I. I.;Preston, R. A.;Clark, T. A.;Harvey, B. R.;Jones, D. L.;Nicolson, G. D.;Nothnagel, A.;Phillips, R. B.;Reynolds, J. E.;Webber, J. C.</t>
  </si>
  <si>
    <t>Australia;South Africa;United States;Australia;United States;United States;United States</t>
  </si>
  <si>
    <t>Melbourne;Krugersdorp;Cambridge;Canberra;Westford;Pasadena;Greenbelt</t>
  </si>
  <si>
    <t>Commonwealth Scientific and Industrial Research Organization;Hartebeesthoek Radio Astronomy Observatory;Harvard-Smithsonian Center for Astrophysics;Australian National University, Mount Stromlo Observatory;MIT Haystack Observatory;Jet Propulsion Laboratory;NASA Goddard Space Flight Center</t>
  </si>
  <si>
    <t>60029470;60026053;60020680;60015827;60015009;60009037;60006337</t>
  </si>
  <si>
    <t>Jauncey D.L.</t>
  </si>
  <si>
    <t>Supernova 1987A: radiosphere resolved with VLBI five days after the neutrino burst</t>
  </si>
  <si>
    <t>10.1038/334412a0</t>
  </si>
  <si>
    <t>2-s2.0-21744448757</t>
  </si>
  <si>
    <t>DPP83-17092</t>
  </si>
  <si>
    <t>['¬© 1988', 'vlf wave', 'subauroral region', 'siple station', 'similar bandwidth', 'signal growth', 'second signal', 'satellite observations', 'results show', 'particle experiments', 'new type', 'low altitude', 'linear polarization', 'like elements', 'lake mistissini', 'involving 200', 'integer multiples', 'hook }.', 'generates left', 'frequencies separated', 'frequencies near', 'form chorus', 'following saturation', 'equatorial plane', 'energetic electrons', 'crudely simulated', 'conjugate point', 'common origin', 'certain combinations', 'briefly reviewed', 'amplified 30', '8000 km', '50 db', '200 db', '1000 hz', '100 hz']</t>
  </si>
  <si>
    <t>The background of VLF wave-particle experiments from Siple Station, Antarctica, is briefly reviewed. Most of these results are interpreted in terms of Doppler shifted cyclotron interaction between energetic electrons and the VLF waves near the equatorial plane. Single frequency ducted signals that exceed a certain 'threshold' intensity are observed at the conjugate point (Roberval, or Lake Mistissini, Quebec) to be amplified 30-50 dB, with temporal growth rates of 30-200 dB/s. Following saturation, variable frequency emissions are triggered. With the addition of a second signal, separated in frequency from the first by Œîf{hook} &lt; 100 Hz, signal growth at both frequencies is reduced and sidebands are generated at frequencies separated from the carriers by integer multiples (up to seven) of Œîf{hook}. The sidebands are attributed to short emissions triggered by the beats between the two input carriers. Midlatitude magnetospheric hiss is crudely simulated by a sequence of 10 ms pulses whose frequencies are chosen randomly within a 400 Hz band. Results show that certain combinations of 10 ms pulses link together to form chorus-like elements, suggesting a common origin for hiss and chorus. In contrast to the equatorial region phenomena are low altitude (1000-8000 km) satellite observations of narrowband Siple pulses showing increases in bandwidth of up to 1000 Hz with impulsive triggered emissions of similar bandwidth; these phenomena are interpreted in terms of a new type of quasi-electrostatic plasma instability in the subauroral region of the magnetosphere, involving 200 m wide field aligned irregularities and occurring at frequencies near the lower hybrid resonance frequency. A new crossed dipole antenna at Siple Station that generates left-hand, right-hand, or linear polarization is used to increase the effective radiated power and to perform polarization experiments. ¬© 1988.</t>
  </si>
  <si>
    <t>279-289</t>
  </si>
  <si>
    <t>Advances in Space Research</t>
  </si>
  <si>
    <t>Helliwell, R. A.</t>
  </si>
  <si>
    <t>STAR Lab</t>
  </si>
  <si>
    <t>Helliwell R.A.</t>
  </si>
  <si>
    <t>VLF wave-injection experiments from Siple Station, Antarctica</t>
  </si>
  <si>
    <t>10.1016/0273-1177(88)90373-0</t>
  </si>
  <si>
    <t>2-s2.0-2242445467</t>
  </si>
  <si>
    <t>['¬© 1988', 'video signal', 'southern portions', 'rights reserved', 'northern portions', 'mountain south', 'metropolitan area', 'master control', 'low power', 'itfs signal', 'francis group', 'four television', 'city receives', 'butte north']</t>
  </si>
  <si>
    <t>The Arizona State University ITFS system televises four channels of classes to remote classroom sites located throughout metropolitan Phoenix. The video signal is carried by underground fiber optic link from four television- equipped classrooms across campus to master control, a transmitter, and an antenna. From there it is beamed to a mountain south of the city for distribution to the southern portions of the metropolitan area. Because the ITFS signal is low power, a transmitter at a butte north of the city receives and telecasts the signal to the northern portions of the metropolitan area. ¬© 1988, Taylor &amp; Francis Group, LLC. All rights reserved.</t>
  </si>
  <si>
    <t>76-80</t>
  </si>
  <si>
    <t>American Journal of Distance Education</t>
  </si>
  <si>
    <t>35955116000;56445895600</t>
  </si>
  <si>
    <t>Wagner, Norman;Craft, Elizabeth H.</t>
  </si>
  <si>
    <t>Wagner N.</t>
  </si>
  <si>
    <t>Instructional Television Fixed Service in Arizona</t>
  </si>
  <si>
    <t>10.1080/08923648809526611</t>
  </si>
  <si>
    <t>2-s2.0-27744601636</t>
  </si>
  <si>
    <t>['wave energy', 'unambiguously separated', 'thermal energy', 'stability theory', 'simple interpretation', 'real part', 'marginal stability', 'linear excitations', 'impedance form', 'imaginary part', 'ignorable coordinate', 'homogeneous media', 'frequency œâ', 'frame rotating', 'energy transferred', 'energy input', 'dispersion relation', 'dimensional equilibrium', 'closely related', 'azimuthal wavenumber', 'arbitrary three', 'antenna theory', 'also discussed']</t>
  </si>
  <si>
    <t>The expressions for wave energy and angular momentum commonly used in homogeneous and near-homogeneous media is generalized to inhomogeneous media governed by a nonlocal conductivity tensor. The expression for wave energy applies to linear excitations in an arbitrary three-dimensional equilibrium, while the expression for angular momentum applies to linear excitations of azimuthally symmetric equilibria. The wave energy Cwave is interpreted as the energy transferred from linear external sources to the plasma if there is no dissipation. With dissipation, such a simple interpretation is lacking as energy is also thermally absorbed. However, for azimuthally symmetric equilibria, the expression for the wave energy in a frame rotating with a frequency œâ can be unambiguously separated from thermal energy. This expression is given by Cwave - œâLwave/l, where Lwave is the wave angular momentum denned in the text and l the azimuthal wavenumber and it is closely related to the real part of a dispersion relation for marginal stability. The imaginary part of the dispersion is closely related to the energy input into a system. Another useful quantity discussed is the impedance form, which can be used for three-dimensional equilibrium without an ignorable coordinate and the expression is closely related to the wave impedance used in antenna theory. Applications to stability theory are also discussed.</t>
  </si>
  <si>
    <t>1532-1543</t>
  </si>
  <si>
    <t>Physics of Fluids</t>
  </si>
  <si>
    <t>60013372;60013372-123721582</t>
  </si>
  <si>
    <t>7005432489;6603043245</t>
  </si>
  <si>
    <t>Berk, H. L.;Pfirsch, D.</t>
  </si>
  <si>
    <t>United States;Germany</t>
  </si>
  <si>
    <t>Austin;Garching bei Munchen</t>
  </si>
  <si>
    <t>The University of Texas at Austin;Max-Planck-Inst fur</t>
  </si>
  <si>
    <t>60013372;123721582</t>
  </si>
  <si>
    <t>Berk H.</t>
  </si>
  <si>
    <t>Relation of wave energy and momentum with the plasma dispersion relation in an inhomogeneous plasma</t>
  </si>
  <si>
    <t>2-s2.0-29444443666</t>
  </si>
  <si>
    <t>['¬© 1988', 'used primarily', 'upper atmosphere', 'strength similar', 'space sciences', 'small semi', 'rights reserved', 'perpendicularnorth drifts', 'period varying', 'partial system', 'mu radar', 'model shows', 'measurements made', 'january 28', 'initial observations', 'hour period', 'half period', 'gitcad campaign', 'free electrons', 'first observations', 'empirical model', 'eight experiments', 'east velocity', 'east drifts', 'doppler radar', 'diurnal component', 'continuous day', 'coherent backscatter', 'array antenna', 'amplitude varying', 'also designed', 'active phased', '7 hours']</t>
  </si>
  <si>
    <t>The MU (Middle and Upper atmosphere) radar of Japan is a 46.5-MHz, pulsemodulated, monostatic, Doppler radar with an active phased-array antenna which consists of 475 crossed Yagis. This system has been used primarily, since its initial observations with a partial system in 1983, to observe the coherent backscatter from irregularities in the troposphere, stratosphere, and mesosphere (MST radar). However, this system was also designed to be able to observe the weak incoherent scatter (IS) from the free electrons of the ionosphere. We report here the first observations of ionospheric electrodynamics using the IS capability of the MU radar. We show several examples of measurements made with one-hour time resolution for one or two days duration and then the mean behavior resulting from an average of eight experiments. We compare these results with an empirical model of electric fields derived from measurements from other incoherent scatter radars. We find good agreement between the model and the MU radar measurements for the perpendicularnorth drifts, except for the existence of some fluctuations with an 8-hour period, which we suspect will disappear from the MU mean behavior once more data are available to average. We also find good agreement between the model and measurements for the diurnal component of the perpendicular-east drifts, but the measurements additionally exhibit a semi-diurnal component of strength similar to that of the diurnal component while the model shows only a small semi-diurnal component. We also show several examples of an apparently strong control of the night-time ionospheric drift by the F-region dynamo mechanism, especially on the shorter time scales. Finally, we show one example of a very unusual oscillatory behavior (amplitude varying from 30 to 60m/s, period varying from 4 to 7 hours) in the perpendicular-east velocity, while the other velocity components remained normal, during a continuous day and a half period during the GITCAD campaign of January 28-30, 1987. ¬© 1988, Society of Geomagnetism and Earth, Planetary and Space Sciences. All rights reserved.</t>
  </si>
  <si>
    <t>963-985</t>
  </si>
  <si>
    <t>Journal of Geomagnetism and Geoelectricity</t>
  </si>
  <si>
    <t>60011001;60011001;60011001;60011001;60011001;60011001;60011001;60011001;60011001</t>
  </si>
  <si>
    <t>57203071710;55398698300;7403584142;35433785500;35425453600;7402952086;56918213100;57194934596;37109438900</t>
  </si>
  <si>
    <t>Oliver, W. L.;Fukao, S.;Sato, T.;Tsuda, T.;Kato, S.;Kimura, I.;Ito, A.;Saryou, T.;Araki, T.</t>
  </si>
  <si>
    <t>Oliver W.</t>
  </si>
  <si>
    <t>Ionospheric Incoherent Scatter Measurements with the MU Radar: Observations of F-region Electrodynamics</t>
  </si>
  <si>
    <t>10.5636/jgg.40.963</t>
  </si>
  <si>
    <t>2-s2.0-33748518567</t>
  </si>
  <si>
    <t>['transition moments', 'results demonstrate', 'qy transition', 'primary photochemistry', 'monomeric bacteriochlorophyll', 'long axis', 'living cells', 'linear dichroism', 'limiting value', 'intact cells', 'independent experiment', 'importance needs', 'highly optimized1', 'directly measured', 'design principles', 'chemical energy', '90 %.']</t>
  </si>
  <si>
    <t>Photosynthesis is an extremely efficient converter of light into chemical energy, with an observed quantum yield for primary photochemistry in the region of 90%. To achieve this the photosynthetic apparatus must be highly optimized1, and some of the design principles that may be involved have been suggested2. A search for the realization of these principles in natural photosynthetic units led to the discovery of predicted strong orientational ordering of the long-wave (Qy) transition moments of light-harvesting bacteriochlorophyll c in the green bacterium Chlorobium limicola3,4. These transition moments have been shown by linear dichroism to be parallel to each other and ideally oriented along the long axis of the chlorosome. A conclusion of such importance needs to be tested in an independent experiment with intact cells, and this we report here. We have directly measured the picosecond polarized fluorescence kinetics for bacteriochlorophyll emissions upon selective polarized light excitation of the Qy transition of bacteriochlorophyll c fluorescence polarization value was found to be Chlorobiaceae and Chloroflexaceae. The measured bacteriochlorophyll c fluorescence polarization value was found to be constant during the lifetime of the bacteriochlorophyll c excited state, reaching a limiting value for monomeric bacteriochlorophyll of 0.42. These results demonstrate that in living cells of green bacteria excitation energy transfer within the bacteriochlorophyll c antenna occurs between chromophores (or their associates) with parallel transition moments. ¬© 1988 Nature Publishing Group.</t>
  </si>
  <si>
    <t>633-634</t>
  </si>
  <si>
    <t>60007457;60068852;60068852</t>
  </si>
  <si>
    <t>7003830809;7005109792;6701855945</t>
  </si>
  <si>
    <t>Fetisova, Zoya G.;Freiberg, Arvi M.;Timpmann, Kiu E.</t>
  </si>
  <si>
    <t>Estonia;Russian Federation</t>
  </si>
  <si>
    <t>Tallinn;Moscow</t>
  </si>
  <si>
    <t>Academia Scientiarum Estoniae;Lomonosov Moscow State University</t>
  </si>
  <si>
    <t>60068852;60007457</t>
  </si>
  <si>
    <t>Fetisova Z.</t>
  </si>
  <si>
    <t>Long-range molecular order as an efficient strategy for light harvesting in photosynthesis</t>
  </si>
  <si>
    <t>10.1038/334633a0</t>
  </si>
  <si>
    <t>2-s2.0-33750537542</t>
  </si>
  <si>
    <t>['several cases', 'resolution properties', 'power received', 'numerical results', 'near field', 'measurement technique', 'measure non', 'imaging properties', 'imaging capabilities', 'function theory', 'dissipation theorem', 'different distances', 'antennas located']</t>
  </si>
  <si>
    <t>The performance of near-field microwave radiometry systems to measure non-invasively the temperature distribution inside dielectric objects is analyzed. A rigorous solution based on the Green's function theory and the fluctuation-dissipation theorem is pursued to determine the power received by an aperture antenna located at the near field of the object to be measured. Resolution properties of this measurement technique are considered to estimate its imaging capabilities. The performance of antennas located at different distances from the object to be measured are examined. It is shown that contacting type antennas are superior as far as imaging properties are considered. Numerical results are presented for several cases. ¬© 1988 VSP.</t>
  </si>
  <si>
    <t>621-633</t>
  </si>
  <si>
    <t>60002947;60002947;60002947</t>
  </si>
  <si>
    <t>7004017835;7102355233;7004520194</t>
  </si>
  <si>
    <t>Cottis, P. G.;Uzunoglu, N. K.;Papakonstantinou, P. S.</t>
  </si>
  <si>
    <t>Athens</t>
  </si>
  <si>
    <t>National Technical University of Athens</t>
  </si>
  <si>
    <t>Cottis P.</t>
  </si>
  <si>
    <t>Measurement of three-dimensional temperature distribution inside dielectric objects using near-field radiometry</t>
  </si>
  <si>
    <t>10.1163/156939388X00323</t>
  </si>
  <si>
    <t>2-s2.0-33751532636</t>
  </si>
  <si>
    <t>['widespread applicability', 'tims imagery', 'tims false', 'tims data', 'tims ).', 'thermal infrared', 'silicate minerals', 'separate silica', 'rich metasedimentary', 'results suggest', 'minerals occur', 'mesozoic batholith', 'including well', 'igneous rocks', 'geologic mapping', 'features allow', 'electromagnetic spectrum', 'color imagery', 'accreted terranes', '2 œºm']</t>
  </si>
  <si>
    <t>Sedimentary and igneous rocks of the northern Sierra accreted terrane and the Sierra Nevada batholith have been distinguished and mapped with the help of data from the airborne thermal infrared multispectral scanner (TIMS). TIMS acquires radiant spectral emittance data in the 8.2 to 12.2 Œºm (thermal infrared) part of the electromagnetic spectrum, where diagnostic spectral emission features of rocks and minerals occur. These features allow the discrimination of major rock types, because a distinct relation exists between the emissivities of the types of silicate minerals in rocks and the colors in the TIMS false-color imagery. Using a computer-enhanced TIMS image, we have been able to separate silica-rich metasedimentary and felsic igneous rocks from intermediate and mafic igneous rocks. In addition, several previously unmapped phases within the Mesozoic batholith were identified and mapped. These rocks are inseparable on conventional color aerial photography, but they are distinguishable on TIMS imagery. These results suggest that TIMS data should have widespread applicability to geologic mapping in many tectonic settings, including well-exposed batholithic belts, accreted terranes, and Precambrian shield areas. ¬© 1988 Geological Society of America.</t>
  </si>
  <si>
    <t>525-528</t>
  </si>
  <si>
    <t>Geology</t>
  </si>
  <si>
    <t>60001769;60001769;60001769</t>
  </si>
  <si>
    <t>6602355143;7003268348;6603669391</t>
  </si>
  <si>
    <t>Lahren, Mary M.;Schweickert, Richard A.;Taranik, James V.</t>
  </si>
  <si>
    <t>Lahren M.</t>
  </si>
  <si>
    <t>Analysis of the northern Sierra accreted terrane, California, with airborne thermal infrared multispectral scanner data</t>
  </si>
  <si>
    <t>10.1130/0091-7613(1988)016&lt;0525:AOTNSA&gt;2.3.CO;2</t>
  </si>
  <si>
    <t>2-s2.0-3643134982</t>
  </si>
  <si>
    <t>['projected onto', 'ms pulsar', 'globular cluster', 'antenna used', 'also report']</t>
  </si>
  <si>
    <t>The presence of an 11-ms pulsar in the direction of the globular cluster M4 and at about the same distance has recently been reported1,2. Because of the large primary beam of the antenna used in the discovery, the relation of the pulsar to the cluster remained uncertain. We have made sensitive radio aperture synthesis observations and show that the pulsar indeed lies within the core of the globular cluster as projected onto the sky. We also report the absence of any other point sources within the core of the cluster having flux densities greater than one-seventh of that of the pulsar. ¬© 1988 Nature Publishing Group.</t>
  </si>
  <si>
    <t>47-49</t>
  </si>
  <si>
    <t>60021907;60031581;60003771</t>
  </si>
  <si>
    <t>7103102779;35395323300;23044691300</t>
  </si>
  <si>
    <t>Goss, W. M.;Kulkarni, Shrinivas R.;Lyne, A. G.</t>
  </si>
  <si>
    <t>United States;United States;United Kingdom</t>
  </si>
  <si>
    <t>Pasadena;Socorro;Manchester</t>
  </si>
  <si>
    <t>California Institute of Technology;National Radio Astronomy Observatory Socorro;The University of Manchester</t>
  </si>
  <si>
    <t>60031581;60021907;60003771</t>
  </si>
  <si>
    <t>Goss W.</t>
  </si>
  <si>
    <t>Radio synthesis observations of the globular cluster M4</t>
  </si>
  <si>
    <t>10.1038/332047a0</t>
  </si>
  <si>
    <t>2-s2.0-36849145289</t>
  </si>
  <si>
    <t>['¬© 1988', 'therapeutic purposes', 'state problem', 'principal axis', 'may therefore', 'inhomogeneous tissues', 'heat transfer', 'good agreement', 'electromagnetic heating', 'electromagnetic field', 'dimensional steady', 'difference means', 'corresponding one', 'cooling owing', 'blood circulation', 'analytical solution']</t>
  </si>
  <si>
    <t>Heat transfer in tissues during electromagnetic heating obtained by a 432 MHz directional antenna for therapeutic purposes is considered. The two-dimensional transient heat conduction equation, which takes into account the electromagnetic heating and the cooling owing to blood circulation is solved by finite-difference means. Solutions in cases of inhomogeneous tissues and of tissues containing large blood vessels are given. Also, the analytical solution of the corresponding one-dimensional steady-state problem in the principal axis of the electromagnetic field is derived. This solution is in good agreement with the two-dimensional numerical solution and may therefore be employed for making quick calculations. ¬© 1988.</t>
  </si>
  <si>
    <t>2005-2012</t>
  </si>
  <si>
    <t>International Journal of Heat and Mass Transfer</t>
  </si>
  <si>
    <t>60002947;60002947</t>
  </si>
  <si>
    <t>35562882800;7007058610</t>
  </si>
  <si>
    <t>Kouremenos, D. A.;Antonopoulos, K. A.</t>
  </si>
  <si>
    <t>Kouremenos D.</t>
  </si>
  <si>
    <t>Heat transfer in tissues radiated by a 432 MHz directional antenna</t>
  </si>
  <si>
    <t>10.1016/0017-9310(88)90111-1</t>
  </si>
  <si>
    <t>2-s2.0-38249027173</t>
  </si>
  <si>
    <t>Division of Polar Programs</t>
  </si>
  <si>
    <t>DPPK-17092</t>
  </si>
  <si>
    <t>PLR</t>
  </si>
  <si>
    <t>['¬© 1988', 'transmitted signal', 'toward halley', 'third harmonic', 'south pole', 'regularly observed', 'propagating modes', 'often weak', 'near 7', 'magnetically east', 'located equatorward', 'large size', 'ionosphere waveguide', 'higher frequencies', 'halley exceeded', 'field strength', 'endfire direction', 'directionally stable', 'broadside direction', 'antenna properties', '74 ¬∞),', '5 khz', '3d harmonic', '3 ),', '1983 receptions', '1500 km']</t>
  </si>
  <si>
    <t>1983 receptions of subionospheric signals radiated from Siple, Antarctica (L = 4.3) to neighboring stations Palmer (L = 2.3), Halley (L = 4.3), and South Pole (Œõ = 74¬∞), each ~ 1500 km from the horizontal (magnetically east-west) VLF transmitting antenna at Siple, were found to be strongly dependent upon azimuth and upon signal frequency. At Palmer, located equatorward in the broadside direction with respect to the antenna, signals near 2.5 kHz were often well defined, while the third harmonic of the transmitted signal, near 7.5 kHz, was not detected. Meanwhile, at Halley, the third harmonic was regularly observed and directionally stable, while the fundamental was often weak or undetectable. The field strength of the third harmonic component at Halley exceeded by ~ 40dB the level of the fundamental, when both were normalized to the same antenna input power. The large size of these effects is attributed in part to antenna properties that favor the endfire direction (toward Halley) at the 3d harmonic of the antenna half wave resonance frequency, and in general provide greater efficiency at higher frequencies. Other factors are high waveguide attenuation in the 2-4 kHz range and azimuth dependent differences in the propagating modes. The observed effects represent a way of extending the effective frequency range of the narrowband Siple antenna system, and also, by using the new crossed dipole configuration at Siple, of selectively probing certain regions of the Earth-ionosphere waveguide. ¬© 1988.</t>
  </si>
  <si>
    <t>60091252;60091252;60025990</t>
  </si>
  <si>
    <t>7201795486;7402501729;55740298800</t>
  </si>
  <si>
    <t>Carpenter, D. L.;Bell, T. F.;Smith, A. J.</t>
  </si>
  <si>
    <t>United States;United Kingdom</t>
  </si>
  <si>
    <t>Stanford;Cambridge</t>
  </si>
  <si>
    <t>STAR Lab;British Antarctic Survey</t>
  </si>
  <si>
    <t>60091252;60025990</t>
  </si>
  <si>
    <t>Carpenter D.L.</t>
  </si>
  <si>
    <t>The Siple VLF transmitter as a multi-frequency probe of the Earth-ionosphere waveguide</t>
  </si>
  <si>
    <t>10.1016/0021-9169(88)90048-7</t>
  </si>
  <si>
    <t>2-s2.0-38249027417</t>
  </si>
  <si>
    <t>['¬© 1988', 'wrapping around', 'walled sensilla', 'ventral side', 'structural variations', 'slightly longer', 'situated primarily', 'sensillum field', 'sensilla coeloconica', 'segmented flagellum', 'react selectively', 'pore tubules', 'pore sensilla', 'pit diameters', 'outer border', 'multiporous single', 'magicicada cassini', 'look similar', 'inflexible sockets', 'head size', 'cyclic terpenoids', '96 mm', '60 large', '2 œºm', '2 dendrites', '10 medium']</t>
  </si>
  <si>
    <t>chemoreceptors | insect-host plant relationship | Periodical cicadas | scanning electron microscopy | transmission electron microscopy</t>
  </si>
  <si>
    <t>The antennae of Magicicada cassini (Homoptera : Cicadidae) (3-4 mm long) look similar in both sexes and consist of scape, pedicel, and a 5-segmented flagellum. The length of flagellar segment 1 varies independently in relation to head size and is slightly longer in females (0.96 mm) than in males (0.89 mm). The ventral side of flagellar segment 1 is covered with sensilla coeloconica comprising about 60 large, 10 medium-sized, and 35 small sensilla with pit diameters of 8-24, 6-10, and 2 Œºm, respectively. The large and the medium-sized sensilla coeloconica are multiporous single-walled sensilla with pore tubules, containing branched entangled dendrites from 3 receptor cells. The small sensilla coeloconica, situated primarily at the outer border of the sensillum field, are no-pore sensilla with inflexible sockets. They contain 2 unbranched dendrites extending to the tip of the peg, and 1 dendrite reaching to its base and wrapping around the other 2 dendrites. Small sensilla campaniformia (cap diameter 3 Œºm) are aligned at the outer border of the sensillum field and continue all along the flagellum. Up to 3 olfactory receptor cells were distinguished on the basis of their nerve impulse amplitudes through extracellular electrophysiological recordings from sensilla coeloconica, presumably large ones. They respond to stimulation by cyclic terpenoids with different but highly overlapping reaction spectra, and react selectively to structural variations of the molecules. No responses to CO2, temperature or moisture were recorded. ¬© 1988.</t>
  </si>
  <si>
    <t>153-167</t>
  </si>
  <si>
    <t>60005460;60005460;60005460;60025778</t>
  </si>
  <si>
    <t>57198155491;7102421135;6602526312;7403336205</t>
  </si>
  <si>
    <t>Klein, Ulla;Bock, Cornelia;Kafka, Wolf A.;Moore, Thomas E.</t>
  </si>
  <si>
    <t>Ann Arbor;Pocking</t>
  </si>
  <si>
    <t>University of Michigan, Ann Arbor;Max Planck Institute for Ornithology</t>
  </si>
  <si>
    <t>60025778;60005460</t>
  </si>
  <si>
    <t>Klein U.</t>
  </si>
  <si>
    <t>Antennal sensilla of Magicicada cassini (fisher) (Homoptera : Cicadidae): Fine structure and electrophysiological evidence for olfaction</t>
  </si>
  <si>
    <t>10.1016/0020-7322(88)90009-8</t>
  </si>
  <si>
    <t>2-s2.0-38249027672</t>
  </si>
  <si>
    <t>['¬© 1988', 'wind velocities', 'upper mesospheric', 'two years', 'spaced antenna', 'six days', 'significantly improved', 'sa radar', 'representative examples', 'preliminary comparison', 'operated adjacent', 'november 1980', 'mf doppler', 'main array', 'backscattering irregularities', 'aspect sensitivity', 'also presented', 'also found', 'adjacent periods', '5 days']</t>
  </si>
  <si>
    <t>Observations of upper mesospheric and lower thermospheric wind velocities obtained simultaneously over six days with MF Doppler and Spaced Antenna (SA) radars at Adelaide, Australia in November 1980 are presented. To obtain these measurements, the large (~ 1 km diameter) Buckland Park MF array was run in a dual beam Doppler radar configuration, and a portable SA radar was operated adjacent to the main array. Hourly mean values of wind velocity show considerable consistency, with cross correlation coefficients of about 0.6-0.8 for the entire observational period. However, agreement between the magnitudes of the wind velocities as measured by each technique is found to be significantly improved when the effect of the aspect sensitivity of the backscattering irregularities on the effective beam pointing angle of the Doppler radar beams is taken into account. This is also found to be true for SA and Doppler radar observations obtained in adjacent periods of 2-5 days over two years with the Buckland Park facility operating alternatively as a Doppler and SA radar. Some representative examples of these results are also presented and discussed. A preliminary comparison between MF Doppler and SA radar derived vertical wind velocities is also briefly considered. ¬© 1988.</t>
  </si>
  <si>
    <t>117-134</t>
  </si>
  <si>
    <t>Reid, Iain M.</t>
  </si>
  <si>
    <t>Reid I.</t>
  </si>
  <si>
    <t>MF Doppler and spaced antenna radar measurements of upper middle atmosphere winds</t>
  </si>
  <si>
    <t>10.1016/0021-9169(88)90049-9</t>
  </si>
  <si>
    <t>2-s2.0-38249028641</t>
  </si>
  <si>
    <t>P 5790</t>
  </si>
  <si>
    <t>['¬© 1988', 'walled sac', 'ventral side', 'valved ostium', 'terminal pore', 'quite voluminous', 'pumping movements', 'head capsule', 'functional type', 'constant diameter', 'connective tissue', 'associated muscles', 'antennal vessel', 'antenna base', 'ancestral condition']</t>
  </si>
  <si>
    <t>Antennal heart | Orthopteromorpha | pharynx musculature | phylogeny</t>
  </si>
  <si>
    <t>The antennal circulatory organs in the earwigs Labidura riparia Pallas (Labiduridae), Forficula auricularia L. and Chelidurella acanthopygia G√©n√© (Forficulidae) (Dermaptera) represent a functional type that has not been found in other insects. An independent organ exists for each antenna, consisting of a pulsatile ampulla connected to an antennal blood vessel. The ampulla is attached to the frontal cuticle medial to the antenna base and forms a thin-walled sac with a valved ostium on its ventral side. The ampulla wall epithelium is not muscular, but consists of elastic connective tissue. The pumping movements are affected by a precerebral frontopharyngeal muscle, which causes systolic compression of the ampulla upon contraction. The elasticity of both the ampulla and a band of connective tissue, which suspends it in the head capsule, passively effect diastole. The antennal vessel is quite voluminous in the head capsule, but narrows remarkably upon entrance into the antenna. It extends with a constant diameter to the apex, where it opens with a terminal pore. At the base of the vessel, near the ampulla, is a very delicate valve flap which prevents hemolymph backflow during diastole. A comparison of the antennal heart types in insects revealed fundamental differences in the attachments and functions of the associated muscles. In the Dermaptera, the involvement of a precerebral frontopharyngeal muscle suggests an ancestral condition. ¬© 1988.</t>
  </si>
  <si>
    <t>Pass, G√ºnther</t>
  </si>
  <si>
    <t>Austria</t>
  </si>
  <si>
    <t>Vienna</t>
  </si>
  <si>
    <t>Universit√§t Wien</t>
  </si>
  <si>
    <t>Pass G.</t>
  </si>
  <si>
    <t>Functional morphology and evolutionary aspects of unusual antennal circulatory organs in Labidura riparia Pallas (Labiduridae), Forficula auricularia L. and Chelidurella acanthopygia g√©n√© (Forficulidae) (Insecta : Dermaptera)</t>
  </si>
  <si>
    <t>0020-7322(88)90004-9</t>
  </si>
  <si>
    <t>10.1016/0020-7322(88)90004-9</t>
  </si>
  <si>
    <t>2-s2.0-38249028952</t>
  </si>
  <si>
    <t>['¬© 1988', 'whose function', 'socketed bristles', 'sensillum basiconicum', 'sensilla diversity', 'sensilla basiconica', 'pedicel together', 'olfactory sensillum', 'olfactory sensilla', 'occurred individually', 'morphological characteristics', 'maxillary palps', 'large numbers', 'dorsomedian side', 'also observed', '6 types', '2 segments', '1 type']</t>
  </si>
  <si>
    <t>diversity | insects | morphology | receptor sensitivity | Receptors</t>
  </si>
  <si>
    <t>Antennae and maxillary palps of both sexes of the Sheep Head fly Hydrotaea irritans (Diptera : Muscidae) were investigated using scanning electron microscopy to describe the types, morphology, and distribution of olfactory sensory structures. Only socketed bristles and microtrichia were found on the scape of the antennae. These structures were also observed on the pedicel together with a group of 7-8 as yet undescribed sensilla, whose function is unknown. Olfactory sensilla were not found on these 2 segments or on the arista. Large numbers of olfactory sensilla and microtrichia were present on the funiculus. The former included sensilla trichodea (thick-walled, multiporous sensilla), sensilla styloconica and 6 types of sensilla basiconica (thin-walled, multiporous sensilla), 4 of which occurred individually and 2 of which were found in groups. An olfactory pit containing groups of thin-walled multiporous sensilla was located on the dorsomedian side of the funiculus. All sensilla basiconica were classified on morphological characteristics. The maxillary palps were covered with microtrichia and socketed bristles, but only 1 type of olfactory sensillum was found. This was a type of sensillum basiconicum that differed from any of those found on the antennae. No differences were found in sensilla diversity and distribution between males and females. ¬© 1988.</t>
  </si>
  <si>
    <t>121-133</t>
  </si>
  <si>
    <t>60010023;60010023;60010023</t>
  </si>
  <si>
    <t>57225292865;6603314377;7404575788</t>
  </si>
  <si>
    <t>Been, T. H.;Schomaker, C. H.;Thomas, G.</t>
  </si>
  <si>
    <t>Groningen</t>
  </si>
  <si>
    <t>University of Groningen</t>
  </si>
  <si>
    <t>Been T.H.</t>
  </si>
  <si>
    <t>Olfactory sensilla on the antenna and maxillary palp of the sheep head fly, Hydrotaea irritans (Fallen) (Diptera : Muscidae)</t>
  </si>
  <si>
    <t>0020-7322(88)90006-2</t>
  </si>
  <si>
    <t>10.1016/0020-7322(88)90006-2</t>
  </si>
  <si>
    <t>2-s2.0-38249029098</t>
  </si>
  <si>
    <t>Max-Planck-Gesellschaft</t>
  </si>
  <si>
    <t>MPG</t>
  </si>
  <si>
    <t>['¬© 1988', 'whole period', 'several ground', 'midnight sector', 'lived spike', 'higher altitudes', 'helmholtz instability', 'enhanced convection', 'electron density', 'based observations', 'auroral arc', '400 km', '100 km']</t>
  </si>
  <si>
    <t>The development of an auroral arc in the midnight sector, from diffuse to discrete with subsequent large scale folding, is studied with the aid of several ground-based observations, including incoherent scatter radar, and data from a HILAT satellite pass. Ion drift velocities in the F-region, as measured by EISCAT, were consistently eastward throughout and after the whole period of development, whilst the ion temperature showed two large enhancements just prior to the appearance of the main auroral fold. The fold moved eastwards and crossed the EISCAT antenna beam, appearing as a short-lived spike in electron density at altitudes between about 100 km and 400 km. The spike in electron density came progressively later at higher altitudes. The observations are interpreted as the result of enhanced convection in the ionosphere and in the magnetosphere. The auroral arc folding is suggested to be caused by the Kelvin-Helmholtz instability in a velocity shear zone in the magnetosphere. ¬© 1988.</t>
  </si>
  <si>
    <t>April 1988/May 1988</t>
  </si>
  <si>
    <t>60004855;60024745;60004855</t>
  </si>
  <si>
    <t>7006665246;7003915908;8654281000</t>
  </si>
  <si>
    <t>Steen, √Ö;Collis, P. N.;H√§ggstr√∂m, I.</t>
  </si>
  <si>
    <t>Kiruna;Kiruna</t>
  </si>
  <si>
    <t>EISCAT Scientific Association;Instiutet f√∂r rymdfysik</t>
  </si>
  <si>
    <t>60024745;60004855</t>
  </si>
  <si>
    <t>Steen A.</t>
  </si>
  <si>
    <t>On the development of folds in auroral arcs</t>
  </si>
  <si>
    <t>10.1016/0021-9169(88)90016-5</t>
  </si>
  <si>
    <t>2-s2.0-38249029212</t>
  </si>
  <si>
    <t>['¬© 1988', 'zero lag', 'wind velocities', 'value equal', 'theory overestimates', 'statistical errors', 'standard techniques', 'real data', 'possible reasons', 'method known', 'made simultaneously', 'first developed', 'fca ).', 'error estimates', 'correlation function', 'correlation falls', '50 %.']</t>
  </si>
  <si>
    <t>This paper is concerned with the statistical errors which are present when wind velocities in the atmosphere are determined by the radar method known as the spaced antenna technique. It is assumed that the (complex) data is processed by the method known as full correlation analysis (FCA). A theory is first developed to give the error in the determination of the position of the maximum of a cross-correlation function and the value of lag such that the auto-correlation falls to a value equal to that of the crosscorrelation at zero lag. These are the basic quantities needed for the application of FCA. These error estimates are tested with a variety of numerically simulated data and shown to be realistic. The results are applied to real data and, using the standard techniques for the propagation of errors, they lead to estimates of the errors in the derived wind velocities. In order to test these estimates, an experiment was carried out in which two independent wind determinations were made simultaneously. The differences were used to obtain experimental estimates of the errors. It was found that the theory overestimates the error in the wind velocities by about 50%. Possible reasons for this are discussed. ¬© 1988.</t>
  </si>
  <si>
    <t>21-32</t>
  </si>
  <si>
    <t>May, P. T.</t>
  </si>
  <si>
    <t>The University of Adelaide</t>
  </si>
  <si>
    <t>May P.</t>
  </si>
  <si>
    <t>Statistical errors in the determination of wind velocities by the spaced antenna technique</t>
  </si>
  <si>
    <t>10.1016/0021-9169(88)90004-9</t>
  </si>
  <si>
    <t>2-s2.0-38249029260</t>
  </si>
  <si>
    <t>['¬© 1988', 'types decreased', 'three types', 'significantly greater', 'sensilla trichodeaii', 'sensilla trichodea', 'radially arranged', 'proximal annulus', 'morphological studies', 'male compared', 'light microscope', 'dark field', 'antennal length', 'almost double']</t>
  </si>
  <si>
    <t>Morphological studies on the antennae of Callosobruchus maculatus showed that the ratio of antennal length to body was almost double in the male compared to that of the female. Scanning with a light microscope and under dark field with polarized light revealed the presence of three types of sensilla (trichodeaI, trichodeaII, and basiconia) in both the sexes. Sensilla were radially arranged on the annuli of the antenna, and the number of sensilla of all types decreased from the distal to proximal annulus. However, the size of both the sensilla trichodea and the number of sensilla trichodeaII was significantly greater in the male compared with the female, suggesting a possible sex pheromone detection role to the sensilla trichodeaII in the male. ¬© 1988.</t>
  </si>
  <si>
    <t>83-86</t>
  </si>
  <si>
    <t>0022474X</t>
  </si>
  <si>
    <t>Journal of Stored Products Research</t>
  </si>
  <si>
    <t>Rup, Pushpinder J.</t>
  </si>
  <si>
    <t>Amritsar</t>
  </si>
  <si>
    <t>Guru Nanak Dev University</t>
  </si>
  <si>
    <t>Rup P.</t>
  </si>
  <si>
    <t>Antenna and antennal sensilla dimorphism in Callosobruchus maculatus (F.) (Coleoptera: Bruchidae)</t>
  </si>
  <si>
    <t>0022474X88900355</t>
  </si>
  <si>
    <t>10.1016/0022-474X(88)90035-5</t>
  </si>
  <si>
    <t>2-s2.0-38249029787</t>
  </si>
  <si>
    <t>['¬© 1988', 'rate greater', 'pheromone blend', 'one exposure', 'multiple stimuli', 'major component', 'disadaptation time', 'characteristic degree', 'adaptation measurements']</t>
  </si>
  <si>
    <t>adaptation | EAG | electroantennogram | Lepidoptera | Pheromone</t>
  </si>
  <si>
    <t>Self- and cross-adaptation measurements were carried out with five different 14-carbon acetates including the major component of the pheromone blend. Each compound was found to produce a characteristic degree of adaptation in the antenna, requiring only one exposure for almost complete expression. Disadaptation time was approx 6 min but there is evidence for a separate adaptation phenomenon when multiple stimuli are delivered at a rate greater than 1 per minute. ¬© 1988.</t>
  </si>
  <si>
    <t>117-123</t>
  </si>
  <si>
    <t>Journal of Insect Physiology</t>
  </si>
  <si>
    <t>Rumbo, E. R.</t>
  </si>
  <si>
    <t>Canberra</t>
  </si>
  <si>
    <t>CSIRO Entomology</t>
  </si>
  <si>
    <t>Rumbo E.</t>
  </si>
  <si>
    <t>Cross- and self-adaptation of electroantennogram responses in the lightbrown apple moth (Epiphyas postvittana)</t>
  </si>
  <si>
    <t>0022-1910(88)90163-1</t>
  </si>
  <si>
    <t>10.1016/0022-1910(88)90163-1</t>
  </si>
  <si>
    <t>2-s2.0-38249031587</t>
  </si>
  <si>
    <t>['¬© 1988', 'wave antennas', 'two requirements', 'signal conversion', 'optimum configuration', 'optimal number', 'multimode gravitational', 'light enough', 'last oscillator', 'freedom beyond', 'constraints imposed']</t>
  </si>
  <si>
    <t>A model for multimode gravitational-wave antennas is presented. A complete sensitivity analysis is carried out for a simplified, but realistic degenerate case. We discuss the optimum configuration, proving that it is set by the two requirements that the last oscillator be light enough to achieve a sufficiently large energy coupling factor and the mass ratio satisfy a simple optimization condition. We show that the constraints imposed by current technology set an optimal number of modes. It is not advantageous to increase the degrees of freedom beyond this value, as this would add thermal noise to the total noise figure, without substantial gain in the efficiency of signal conversion. ¬© 1988 The American Physical Society.</t>
  </si>
  <si>
    <t>2327-2334</t>
  </si>
  <si>
    <t>Bassan, Massimo</t>
  </si>
  <si>
    <t>Bassan M.</t>
  </si>
  <si>
    <t>Multimode resonant gravitational-wave antennas: How many modes is enough?</t>
  </si>
  <si>
    <t>10.1103/PhysRevD.38.2327</t>
  </si>
  <si>
    <t>2-s2.0-4243813119</t>
  </si>
  <si>
    <t>['upon decreasing', 'strongly nonexponential', 'strongly dependent', 'state lifetime', 'state dynamics', 'state decay', 's1 lifetime', 'measurements show', 'light intensity', 'j aggregates', 'intermediate intensities', 'hopping motion', 'gradual increase', 'fluorescence yield', 'exciton annihilation', 'energy migration', 'efficient exciton', 'aggregate size', '400 ps', '2 pulse', '1979 )],']</t>
  </si>
  <si>
    <t>The excited-state dynamics of J aggregates of PIC have been studied by means of picosecond and subpicosecond absorption spectroscopy as well as integrated fluorescence yield measurements. The results of these measurements show that both the lifetime and the fluorescence yield are strongly dependent on excitation pulse intensity. At relatively high light intensity (1014 photons cm-2 pulse-1) the S1 lifetime is essentially pulse limited (&lt;1ps) and the fluorescence yield is very low. Upon decreasing the light intensity a gradual increase of the excited-state lifetime and fluorescence yield is observed. At very low excitation intensity (10 10 photons cm-2 pulse-1) a single exponential lifetime of 400 ps is observed. At intermediate intensities the excited-state decay is strongly nonexponential. The observed intensity dependence of the excited-state dynamics is attributed to efficient exciton-exciton annihilation between the highly mobile singlet excitons. By applying an expression for bimolecular exciton annihilation, derived and used for photosynthetic antenna systems [Paillotin et al., Biophys. J. 25, 513 (1979)], and treating the energy migration as a hopping motion, information about aggregate size and exciton hopping rate was obtained. ¬© 1988 American Institute of Physics.</t>
  </si>
  <si>
    <t>2754-2762</t>
  </si>
  <si>
    <t>The Journal of Chemical Physics</t>
  </si>
  <si>
    <t>60031040;60031040;60059987;60059987</t>
  </si>
  <si>
    <t>7006706612;7004029175;23121768400;7006569102</t>
  </si>
  <si>
    <t>Sundstr√∂m, V.;Gillbro, T.;Gadonas, R. A.;Piskarskas, A.</t>
  </si>
  <si>
    <t>Lithuania;Sweden</t>
  </si>
  <si>
    <t>Vilnius;Umea</t>
  </si>
  <si>
    <t>Vilniaus Universitetas;Ume√• Universitet</t>
  </si>
  <si>
    <t>60059987;60031040</t>
  </si>
  <si>
    <t>Sundstr√∂m V.</t>
  </si>
  <si>
    <t>Annihilation of singlet excitons in J aggregates of pseudoisocyanine (PIC) studied by pico- and subpicosecond spectroscopy</t>
  </si>
  <si>
    <t>10.1063/1.455027</t>
  </si>
  <si>
    <t>2-s2.0-4244168084</t>
  </si>
  <si>
    <t>['¬© 1988', 'typical examples', 'space applications', 'metallic structures', 'last decade', 'important features', 'hot structures', 'going activities', 'emerging metal', 'dimensional stability', 'cost aspects', 'considerable attention', 'carbon fibres', 'breathing engines', 'advanced materials']</t>
  </si>
  <si>
    <t>The last decade has seen the Space applications of composite materials become almost commonplace in the construction of configurations requiring high stiffness and/or dimensional stability, particularly in the field of antennas. As experience has been accumulated, applications for load carrying structures utilizing the inherent high specific strength/stiffness of carbon fibres have become more frequent. Some typical examples of these and their design development criteria are reviewed. As these structures and the use of new plastic matrices emerge, considerable attention has to be given to establishing essential integrity control requirements from both safety and cost aspects. The advent of manned European space flight places greater emphasis on such requirements. Attention is given to developments in the fields of metallic structures with discussion of the advantages and disadvantages of their application. The design and development of hot structures, thermal protection systems and air-breathing engines for future launch vehicles necessitates the use of the emerging metal/matrix and other advanced materials. Some of their important features are outlined. Means of achieving such objectives by greater harmonization within Europe are emphasized. Typical examples of on-going activities to promote such collaboration are described. ¬© 1988.</t>
  </si>
  <si>
    <t>863-874</t>
  </si>
  <si>
    <t>60031159;60031159</t>
  </si>
  <si>
    <t>7201566391;6506128222</t>
  </si>
  <si>
    <t>Eaton, D. C.G.;Slachmuylders, E. J.</t>
  </si>
  <si>
    <t>Eaton D.</t>
  </si>
  <si>
    <t>The use of advanced materials in space structure applications</t>
  </si>
  <si>
    <t>0094-5765(88)90169-5</t>
  </si>
  <si>
    <t>10.1016/0094-5765(88)90169-5</t>
  </si>
  <si>
    <t>2-s2.0-45449121317</t>
  </si>
  <si>
    <t>DE-AC05-840R21400</t>
  </si>
  <si>
    <t>['¬© 1988', 'resonance frequencies', 'method permits', 'magnetic fields', 'dimensional analysis', 'corresponding electric', 'cavity antennas', 'arbitrary shapes']</t>
  </si>
  <si>
    <t>A three-dimensional analysis of cavity antennas is presented. The analysis is based on the finite difference method with a successive overrelaxation convergence scheme. This method permits the calculation of resonance frequencies and corresponding electric and magnetic fields of eigenmodes in cavity antennas with arbitrary shapes. ¬© 1988.</t>
  </si>
  <si>
    <t>168-189</t>
  </si>
  <si>
    <t>Journal of Computational Physics</t>
  </si>
  <si>
    <t>60024266;60024266;60024266;60024266;60024266;60024266;60024266</t>
  </si>
  <si>
    <t>7003426790;23093154200;6603540019;6507884656;7005521707;7401466732;7402222174</t>
  </si>
  <si>
    <t>Whealton, J. H.;Chen, G. L.;Raridon, R. J.;McGaffey, R. W.;Jaeger, E. F.;Bell, M. A.;Hoffman, D. J.</t>
  </si>
  <si>
    <t>Whealton J.H.</t>
  </si>
  <si>
    <t>A 3D Analysis of maxwell's equations for cavities of arbitrary shape</t>
  </si>
  <si>
    <t>10.1016/0021-9991(88)90105-2</t>
  </si>
  <si>
    <t>2-s2.0-45449122162</t>
  </si>
  <si>
    <t>['¬© 1988', 'whereas nasa', 'west australia', 'weilheim antenna', 'tracking stations', 'take place', 'system required', 'system capable', 'successful completion', 'station operated', 'spacecraft operations', 'sometimes overlooked', 'second station', 'provided support', 'provide x', 'paper discusses', 'operations team', 'noise amplifiers', 'necessary control', 'many years', 'launch date', 'interplanetary probe', 'ground segment', 'giotto mission', 'giotto could', 'first venture', 'esa engineering', 'encounter halley', 'early 1985', 'discussed separately', 'directly available', 'design installation', 'deep space', 'control centre', 'commonwealth scientific', 'command station', 'cometary encounter', 'certain phases', 'carnarvon station', 'band tracking', 'authors describing', 'antenna facility', 'also installed', 'activities leading', '98 au']</t>
  </si>
  <si>
    <t>On 2 July 1985, the European Space Agency (ESA) launched an interplanetary probe to encounter Halley's Comet on the night of 13/14 March 1986 at a distance of 0.98 AU from Earth. The mission to Halley's Comet was the Agency's first venture into deep space. The tracking stations necessary to support such a mission were not directly available to ESA at the initiation of the GIOTTO project although facilities operated by NASA's deep space network were later made available for certain phases of the mission, together with the 30-m Weilheim antenna of the DFVLR. ESA's European Space Operations Centre, ESOC therefore developed the new deep space tracking stations especially for support of the GIOTTO mission. One of these stations, the 15-m antenna facility at Carnarvon, West Australia, was designed and installed by ESA as a dedicated S-band and X-band tracking, telemetry and command station. The second station at Parkes, New South Wales, Australia, a 64-m radio telescope owned by the Commonwealth Scientific and Industrial Research Organization (CSIRO) was modified to provide X-band telemetry reception using cryogenic MASER low-noise amplifiers. This station operated by CSIRO with assistance from a ESA engineering and operations team, provided support to the GIOTTO mission for reception of the 46 kbs high speed telemetry format which is vital to success of the GIOTTO mission at time of Cometary Encounter. Additionally, the DFVLR Weilheim station was modified to include the newly developed ESOC deep space tracking system which was also installed at the Carnarvon Station. The paper discusses in some detail the network of tracking stations which provided the Control Centre at ESOC in Darmstadt, F.R.G. with the data which was vital to the success of the mission. Because the launch date of GIOTTO was a date which could not be rescheduled, the design installation, integration and testing of the complete GIOTTO mission operations system was an extremely time critical activity. Without the "ground segment" in a fully functional state, the launch of GIOTTO could not take place. The activities leading to the successful completion of the GIOTTO mission operations system are described in some detail with emphasis on the final testing carried out in early 1985. One important factor which is sometimes overlooked by authors describing the GIOTTO mission is that, whereas NASA has had for many years a world-wide deep space network available for its deep space missions, ESA had to start from scratch in its task of building a system capable of controlling the GIOTTO mission to Halley's Comet. The task of spacecraft operations can never be discussed separately from the system required to provide the necessary control of the mission. This paper will concentrate to some extent in this aspect as experienced during the flight to the comet and the rendezvous on the night of 13 March 1986. ¬© 1988.</t>
  </si>
  <si>
    <t>1033-1043</t>
  </si>
  <si>
    <t>Wilkins, David E.B.</t>
  </si>
  <si>
    <t>European Space Operations Center</t>
  </si>
  <si>
    <t>Wilkins D.</t>
  </si>
  <si>
    <t>Giotto-The mission operations system</t>
  </si>
  <si>
    <t>0094-5765(88)90072-0</t>
  </si>
  <si>
    <t>10.1016/0094-5765(88)90072-0</t>
  </si>
  <si>
    <t>2-s2.0-45449122507</t>
  </si>
  <si>
    <t>['¬© 1988', 'useful part', 'traffic capacities', 'system margins', 'satellite range', 'radiation environment', 'propagation margin', 'particular case', 'orbit optimization', 'operational problems', 'mobile antenna', 'loopus orbit', 'impractical solution', 'geostationary system', 'geostationary approach', 'elevation angle', 'depend critically', 'coverage areas', 'clear advantage', 'also discussed']</t>
  </si>
  <si>
    <t>This paper compares three possible orbit options for satellite mobile systems for Europe: (1) a geostationary system, (2) a 24 h Tundra orbit system and (3) a 12 h Molniya orbit system. A comparison of the traffic capacities and overall systems costs which would be applicable in a first and second generation land mobile system has been made. The estimated traffic capacity of these systems, which depend critically on both the propagation margin and the type of mobile antenna, indicate a clear advantage for inclined orbit systems over the geostationary approach. The CCIR prediction technique was used as the basis for establishing the system margins as a function of elevation angle. The orbit optimization for the elliptical orbit systems requires detailed consideration, as the satellite range, elevation angle and antenna beam patterns alter throughout the "useful part of the orbit" between hand-over points. Both the Molniya and Tundra situations require slightly different considerations. In the Molniya based system the particular case of the Loopus orbit was chosen, i.e. where the Earth tracks nearly touch at the hand-over point. The equivalent Tundra situation gives an impractical solution to coverage areas. Other considerations such as orbit life time, operational problems and radiation environment are also discussed. Comparative cost estimates were deduced for two satellite options. ¬© 1988.</t>
  </si>
  <si>
    <t>1099-1103</t>
  </si>
  <si>
    <t>60023254;105876389;60018829</t>
  </si>
  <si>
    <t>7004504569;55712031000;7202133355</t>
  </si>
  <si>
    <t>Norbury, J. R.;Barton, S. K.;Stuart, J. R.</t>
  </si>
  <si>
    <t>United Kingdom;United Kingdom;United Kingdom</t>
  </si>
  <si>
    <t>Didcot;Farnborough;</t>
  </si>
  <si>
    <t>Rutherford Appleton Laboratory;BAE Systems plc;Satconsult Ltd</t>
  </si>
  <si>
    <t>60023254;60018829;105876389</t>
  </si>
  <si>
    <t>Norbury J.R.</t>
  </si>
  <si>
    <t>Mobile satellite system for Europe-Which is the optimum orbit configuration?</t>
  </si>
  <si>
    <t>0094-5765(88)90193-2</t>
  </si>
  <si>
    <t>10.1016/0094-5765(88)90193-2</t>
  </si>
  <si>
    <t>2-s2.0-45449124277</t>
  </si>
  <si>
    <t>['wiley blackwell', 'west coast', 'rights reserved', 'results indicate', 'nasal cavities', 'may allow', 'male especially', 'holobomolochus confusus', 'gadus morhua', 'first time', 'first antenna', 'external morphology', 'change hosts']</t>
  </si>
  <si>
    <t>Holobomolochus confusus is reported for the first time from the western Atlantic coasts. The external morphology, especially that of the male, of specimens from the nasal cavities of cod, Gadus morhua, from the west coast of Sweden is described and discussed. Sexual dimorphism occurs in the maxillipeds, abdomen, first antenna and in the armature of the legs. The results indicate that the species has a good swimming ability and that this may allow the male especially to change hosts. Copyright ¬© 1988, Wiley Blackwell. All rights reserved</t>
  </si>
  <si>
    <t>Zoologica Scripta</t>
  </si>
  <si>
    <t>60003858;100385193</t>
  </si>
  <si>
    <t>7006460558;6602093093</t>
  </si>
  <si>
    <t>H√ñGLUND, JOHAN;THULIN, JAN</t>
  </si>
  <si>
    <t>Uppsala;Oregrund</t>
  </si>
  <si>
    <t>Uppsala Universitet;National Swedish Environmental Protection Board</t>
  </si>
  <si>
    <t>H√ñGLUND J.</t>
  </si>
  <si>
    <t>The external morphology of the parasitic copepod Holobomolochus confusus (Stock)</t>
  </si>
  <si>
    <t>10.1111/j.1463-6409.1988.tb00113.x</t>
  </si>
  <si>
    <t>2-s2.0-45549111123</t>
  </si>
  <si>
    <t>['¬© 1988', 'variable cross', 'strain energy', 'spacecraft antennae', 'shear deformation', 'rotary inertia', 'robot systems', 'prescribed motion', 'partial velocity', 'multibody systems', 'motion developed', 'method stem', 'method presented', 'joint connections', 'extra set', 'easily coded', 'dynamic analysis', 'constraint equations', 'constrained systems', 'closed loops', 'automatically included', 'also presented']</t>
  </si>
  <si>
    <t>A comprehensive computer algorithm used in the dynamic analysis of multibody systems is presented. The procedures developed use Kane's equations, the strain energy, and modal analysis combined to describe elastic bodies. The equations of motion are expressed in a form where their coefficients are based on the partial velocity and partial angular velocity arrays and are easily coded for computers. Further efficiencies in the method stem from the use of 'relative' rigid body generalized coordinates to eliminate the need to introduce an extra set of constraint equations to describe the joint connections. The equations of motion developed are extended for constrained systems such as closed loops, and some points in the system having prescribed motion. A Pseudo Uptriangular Decomposition method is used to eliminate the unknown generalized constraint forces from Kane's equations. The method presented in this paper is tailored for structures with variable cross-section beam elements such as spacecraft antennae, helicopter rotor blades, robot systems and mechanisms. The effects of rotary inertia as well as shear deformation are automatically included into the equations of motion. A method for obtaining the shape function matrix consisting of assumed dynamic modes is also presented. ¬© 1988.</t>
  </si>
  <si>
    <t>1135-1145</t>
  </si>
  <si>
    <t>Computers and Structures</t>
  </si>
  <si>
    <t>60027561;60027561</t>
  </si>
  <si>
    <t>7005928561;7003398675</t>
  </si>
  <si>
    <t>Amirouche, F. M.L.;Ider, S. K.</t>
  </si>
  <si>
    <t>University of Illinois at Chicago</t>
  </si>
  <si>
    <t>Amirouche F.</t>
  </si>
  <si>
    <t>A recursive formulation of the equations of motion for articulated structures with closed loops-an automated approach</t>
  </si>
  <si>
    <t>10.1016/0045-7949(88)90156-3</t>
  </si>
  <si>
    <t>2-s2.0-45549111517</t>
  </si>
  <si>
    <t>['¬© 1988', 'terrestrial observatory', 'station elements', 'space station', 'situ measurements', 'remotely observing', 'polar platform', 'particle diagnostics', 'natural phenomena', 'manned station', 'locations remote', 'kw power', 'ionospheric plasma', 'early implementation', 'beam power', '1 kw']</t>
  </si>
  <si>
    <t>Plans are underway to implement the Solar-Terrestrial Observatory on the Space Station in the 1990's. As conceived now, the Solar-Terrestrial Observatory includes a cluster of instruments for observing solar activity attached to the Manned Station, a cluster of instruments for remotely observing the terrestrial atmosphere attached to the Polar Platform, and clusters of instruments to make in-situ measurements of the ionospheric plasma on all elements of the Space Station. In addition, small satellite probes are to make additional measurements of natural phenomena and induced plasma perturbations at locations remote from the Space Station elements. During the early implementation of the Solar-Terrestrial Observatory, waves can be produced by several means -- a VLF-HF wave transmitter with a 300 meter tip-tip dipole antenna at KW continuous power, a dc and modulated electron accelerator with a beam power of 1KW, and a 20Km electrodynamic tether which can be modulated to HF at 10's KW power all attached to the Manned Station. A smaller electron accelerator at 1 KW, modulated to HF is to be attached to the Polar Platform. Waves can also be stimulated by the release of chemicals at locations remote from the Station elements. Wave and particle diagnostics are to exist on all Station elements and on the small satellite probes. ¬© 1988.</t>
  </si>
  <si>
    <t>243-252</t>
  </si>
  <si>
    <t>Shawhan, Stanley D.</t>
  </si>
  <si>
    <t>Washington, D.C.</t>
  </si>
  <si>
    <t>Shawhan S.</t>
  </si>
  <si>
    <t>Opportunities for space station wave experiments</t>
  </si>
  <si>
    <t>10.1016/0273-1177(88)90369-9</t>
  </si>
  <si>
    <t>2-s2.0-45549113732</t>
  </si>
  <si>
    <t>['¬© 1988', 'user community', 'tremendous potential', 'thermal characterization', 'technical limitations', 'technical feasibility', 'technical approach', 'structural characterization', 'space science', 'space administration', 'seriously considered', 'radio frequency', 'proven designs', 'paper summarizes', 'national aeronautics', 'making basis', 'include demonstrations', 'immediate application', 'environment interactions', 'different types', 'concepts vary', 'communications division', 'collectively require', 'applications sponsored', 'application commitment']</t>
  </si>
  <si>
    <t>There are classes of application that collectively require a variety of different types of large-aperture space antennas. Fortunately, there are a number of different deployable antenna concepts that have tremendous potential for such applications. However, these concepts vary in maturity from flight-proven designs to extremely innovative configuration definitions. But these promising concepts lack sufficient demonstrations of maturity to be seriously considered in the large size range for immediate application. The reason for this situation is an extremely limited space flight data base in addition to the technical limitations and great costs associated with meaningful ground testing of large, flexible, precision space structures. The user community of such structures, especially the commercial organizations interested in providing a Mobile Communications Satellite (MSAT) on a profit-making basis, will require significant demonstrations of technology readiness prior to application commitment. Such demonstrations will probably be based on a combination of extensive ground testing and subsequent space flight experiments. The Communications Division of the National Aeronautics and Space Administration (NASA) Office of Space Science and Applications sponsored a study at the Jet Propulsion Laboratory (JPL) to determine the technical feasibility and cost of a Shuttle-based flight experiment specifically intended for the MSAT commercial user community. The experiment will include demonstrations of technology in the areas of radio frequency (RF), sensing and control, and structures. This paper summarizes the results of the structural subsystem study. These results include experiment objective and technical approach, experiment structural description, structure/environment interactions, structural characterization, thermal characterization, structural measurement system, and experiment functional description. ¬© 1988.</t>
  </si>
  <si>
    <t>337-345</t>
  </si>
  <si>
    <t>Freeland, Robert E.</t>
  </si>
  <si>
    <t>Freeland R.</t>
  </si>
  <si>
    <t>Mobile communications satellite antenna flight experiment definition</t>
  </si>
  <si>
    <t>10.1016/0094-5765(88)90115-4</t>
  </si>
  <si>
    <t>2-s2.0-45549114403</t>
  </si>
  <si>
    <t>['¬© 1988', 'southern coalsack', 'search area', 'radial velocity', 'optical spectrograph', 'observational velocity', 'made observations', 'hi absorption', 'generally coincident', 'co j', 'australia collaboration', '8 kms', '8 k', '27 ghz', '2 kms', '07 kms']</t>
  </si>
  <si>
    <t>Using the CSIRO 4m mm-wave telescope associated with a high resolution acousto-optical spectrograph which was developed by China-Australia collaboration, we have made observations of the CO J=1-0 transition line towards the Southern Coalsack. The observational velocity-resolution at 115.27 GHz is 0.07 kms-1, antenna HPBW 2!7, and the system temperature 250 K. The typical peak line temperature within the search area is 8 K and the maximum beyond 12 K The average line width is 1.2 kms-1 and radial velocity -5.8 kms-1. The CO temperature distribution is generally coincident with that of the HI absorption, and the higher temperature region shows agreement particularly with the denser formaldehyde region. ¬© 1988.</t>
  </si>
  <si>
    <t>493-497</t>
  </si>
  <si>
    <t>Vistas in Astronomy</t>
  </si>
  <si>
    <t>60014205;60030000</t>
  </si>
  <si>
    <t>57210756039;6602732127</t>
  </si>
  <si>
    <t>Wang Jingsheng, ;Otrupcek, R. E.</t>
  </si>
  <si>
    <t>Australia;China</t>
  </si>
  <si>
    <t>Sydney;Beijing</t>
  </si>
  <si>
    <t>CSIRO Industrial Physics;National Astronomical Observatories Chinese Academy of Sciences</t>
  </si>
  <si>
    <t>60030000;60014205</t>
  </si>
  <si>
    <t>Wang Jingsheng</t>
  </si>
  <si>
    <t>Co observations of the Southern Coalsack</t>
  </si>
  <si>
    <t>008366568890253X</t>
  </si>
  <si>
    <t>10.1016/0083-6656(88)90253-X</t>
  </si>
  <si>
    <t>2-s2.0-45549115215</t>
  </si>
  <si>
    <t>['¬© 1988', 'verification concepts', 'system requirements', 'reduce mass', 'progress combined', 'multibeam concept', 'frequency reuse', 'feed components', 'communications system', 'antenna configuration', 'also stated']</t>
  </si>
  <si>
    <t>An orbit experiment program for high capacity satellite communications system is on progress combined with the experimental satellite ETS-VI, the payload for a H-II test flight. The communications system is based on the multibeam concept in fixed and mobile combined services utilizing Ka, C, and S bands. The antenna configuration is so chosen as to reduce mass by sharing reflectors among various frequencies, and to maintain high performances for frequency reuse. The reflectors, feed components and antenna pointing control devices are designed to meet the system requirements. The integration and the verification concepts are also stated. ¬© 1988.</t>
  </si>
  <si>
    <t>60025555;60025555;60025555;60025555;60025555</t>
  </si>
  <si>
    <t>7005801010;6701523484;6603207362;7102235358;56067374400</t>
  </si>
  <si>
    <t>Yasaka, T.;Ohtomo, I.;Minomo, M.;Kumazawa, H.;Kawakami, Y.</t>
  </si>
  <si>
    <t>Yasaka T.</t>
  </si>
  <si>
    <t>Multi-band multi-beam antenna complex for orbit experiment</t>
  </si>
  <si>
    <t>10.1016/0094-5765(88)90114-2</t>
  </si>
  <si>
    <t>2-s2.0-45549118955</t>
  </si>
  <si>
    <t>ATM-8117275A</t>
  </si>
  <si>
    <t>['¬© 1988', 'well defined', 'two nights', 'tid observation', 'tid characteristics', 'thus suggest', 'second type', 'regions using', 'region surges', 'passed close', 'opposite direction', 'oh structures', 'mf radars', 'horizontal wavelength', 'generally travel', 'downwards ).', 'average spacings', 'antenna arrays', '6 ¬∞', '54 min']</t>
  </si>
  <si>
    <t>We have observed Traveling Ionospheric Disturbances (TIDs) in the night-time D- and E-regions using a 2.66 MHz imaging Doppler interferometer radar. TIDs were observed in two distinct ways. In the first, the TID was manifested as discrete traveling surges, with average spacings of 54 min. The D-region surges were so well defined that they could be tracked as they passed close to overhead by using the phase differences across the antenna arrays. A velocity of 135 m s-1 to the south was measured, giving a horizontal wavelength of 440 km typical of medium scale TIDs. The direction of phase travel relative to the horizontal was -6¬∞ (i.e. downwards). These observations were made during a night of extraordinary OH infrared mesopause structure activity made visible by the presence of a total lunar eclipse. In the second type of TID observation, we show the Doppler interferometer analysis of ripples on the under surface of sporadic-E layers taken on two nights of significant OH infrared and OI 5577 √Ö wave activity. The TIDs were observed to propagate at speeds of 120-300 m s-1, with directions predominately toward the southwest, again typical of medium scale TIDs. These results show definite wave effects on MF radar returns and thus suggest that the measurement of mesospheric bulk winds with MF radars should be approached with some caution. Comparison of the TID characteristics with the OH structure characteristics show that the TIDs travel faster than the OH structures, have longer apparent horizontal wavelengths and generally travel in the opposite direction. ¬© 1988.</t>
  </si>
  <si>
    <t>931-935</t>
  </si>
  <si>
    <t>October 1988/November 1988</t>
  </si>
  <si>
    <t>60031706;105876248;</t>
  </si>
  <si>
    <t>7401507285;6603366505;24396615800</t>
  </si>
  <si>
    <t>Adams, G. W.;Brosnahan, J. W.;Halderman, T. D.</t>
  </si>
  <si>
    <t>Logan;Boulder</t>
  </si>
  <si>
    <t>Utah State University;Tycho Technology, Inc.</t>
  </si>
  <si>
    <t>60031706;105876248</t>
  </si>
  <si>
    <t>Adams G.</t>
  </si>
  <si>
    <t>Direct radar observations of TIDs in the D- and E-regions</t>
  </si>
  <si>
    <t>10.1016/0021-9169(88)90080-3</t>
  </si>
  <si>
    <t>2-s2.0-45549119388</t>
  </si>
  <si>
    <t>['experimental results', 'circular dipole', 'backfire antenna', 'antenna structure', '5 œª']</t>
  </si>
  <si>
    <t>Antenna | Backfire antenna | Circular dipole</t>
  </si>
  <si>
    <t>In this paper, a horizontal small sized (‚âà 0.5 Œª) backfire antenna with the circular dipole is described. The antenna structure and experimental results are given. The experimental results demonstrate that the antenna has better electrical performances. ¬© 1988 Science Press.</t>
  </si>
  <si>
    <t>57-59</t>
  </si>
  <si>
    <t>Journal of Electronics (China)</t>
  </si>
  <si>
    <t>24789254900;55616703100;57225420247;24786130900</t>
  </si>
  <si>
    <t>Ximing, Song;Ruihua, Li;Yufeng, Zhang;Boliang, Rao</t>
  </si>
  <si>
    <t>Ximing S.</t>
  </si>
  <si>
    <t>A horizontal small sized backfire antenna using circular dipole</t>
  </si>
  <si>
    <t>10.1007/BF02778751</t>
  </si>
  <si>
    <t>2-s2.0-51649149729</t>
  </si>
  <si>
    <t>['¬© 1988', 'specific changes', 'small number', 'slight increase', 'selective solubilization', 'rights reserved', 'reaction centre', 'psi depleted', 'protease used', 'possibly due', 'polypeptide chains', 'molecular weight', 'lower efficiency', 'low temperature', 'limiting conditions', 'fluorescence emission', 'extensive proteolysis', 'energy transfer', 'denaturing sds', 'containing band', 'complex containing', 'carlsberg laboratory', '77 k', '720 nm', '650 kd', '5 kd', '300 kd']</t>
  </si>
  <si>
    <t>Chlorophyll-protein | circular dichroism | fluorescence emission | photo-oxidation | polyacrylamide gel electrophoresis</t>
  </si>
  <si>
    <t>A photosystem I (PSI) complex containing about 90‚Äì100 molecules of chlorophyll per reaction centre chlorophyll P700 was isolated by selective solubilization of stacked barley thylakoids. It had a chlorophyll a/b ratio greater than 12, and a low temperature (77 K) fluorescence emission maximum at 720 nm, characteristic of PSI depleted of its light-harvesting antenna complex. The PSI complex remained fully active after extensive proteolysis, which had cleaved the polypeptide chains into fragments of less than 5 kD, but there was only a slight increase in the mobility of the chlorophyll-containing band during non-denaturing SDS-PAGE. Estimates of molecular weight by gel filtration showed a decrease from 650 kD to 300 kD as a result of protease K treatment. This was accompanied by the loss of between 10‚Äì30 chlorophyll molecules, depending on the type of protease used, but there were no specific changes in chlorophyll absorption bands or circular dichroism spectra. There was, however, a loss of fluorescence emission at 720 nm (or 698 nm), which is possibly due to a small number of molecules of chlorophyll a acting as a sink for excitons. Photo-oxidation of P700 under light-limiting conditions was slower after proteolysis, indicating a lower efficiency of energy transfer to the reaction centre. ¬© 1988, Carlsberg Laboratory. All rights reserved.</t>
  </si>
  <si>
    <t>Carlsberg Research Communications</t>
  </si>
  <si>
    <t>60019782-60014441;60019782</t>
  </si>
  <si>
    <t>57197223478;7402414929</t>
  </si>
  <si>
    <t>Hinz, Ursula G.;Simpson, David J.</t>
  </si>
  <si>
    <t>Denmark;Switzerland</t>
  </si>
  <si>
    <t>Copenhagen;Basel</t>
  </si>
  <si>
    <t>Carlsberg Research Center;Friedrich Miescher Institute for Biomedical Research</t>
  </si>
  <si>
    <t>60019782;60014441</t>
  </si>
  <si>
    <t>Hinz U.</t>
  </si>
  <si>
    <t>The protease-resistant core of the reaction centre protein of photosystem I (P700 Chl&lt;inf&gt;a&lt;/inf&gt;-P1)</t>
  </si>
  <si>
    <t>10.1007/BF02904437</t>
  </si>
  <si>
    <t>2-s2.0-52449145504</t>
  </si>
  <si>
    <t>['upper semi', 'upper medium', 'substrate thickness', 'single lobe', 'remote sensing', 'radiation pattern', 'power radiated', 'many lobes', 'lower semi', 'lower medium', 'line source', 'infinite medium', 'bottom surface', 'antenna arrays']</t>
  </si>
  <si>
    <t>The radiation pattern of a line source is calculated for the case where the source is lying on the top or the bottom surface of a lossless dielectric substrate that is mounted on the top of a semi-infinite dielectric medium. It is found that in both cases the pattern along interfaces has a null; that the pattern in the upper semi-infinite medium has a single lobe; and that the pattern in the lower semi-infinite medium has many lobes, the number of which varies with the substrate thickness. It is shown that in both cases the power radiated into the lower medium is more than that radiated into the upper medium. Applications of this calculation in remote sensing, microstrip antenna technology, and antenna arrays are discussed. ¬© 1988 IEEE</t>
  </si>
  <si>
    <t>322-330</t>
  </si>
  <si>
    <t>60031581;60009037</t>
  </si>
  <si>
    <t>7005850584;7005392498</t>
  </si>
  <si>
    <t>Engheta, Nader;Elachi, Charles</t>
  </si>
  <si>
    <t>Pasadena;Pasadena</t>
  </si>
  <si>
    <t>California Institute of Technology;Jet Propulsion Laboratory</t>
  </si>
  <si>
    <t>Engheta N.</t>
  </si>
  <si>
    <t>Radiation Characteristics of a Source in a Thin Substrate Mounted Over a Dielectric Medium</t>
  </si>
  <si>
    <t>10.1109/8.192113</t>
  </si>
  <si>
    <t>2-s2.0-5844292610</t>
  </si>
  <si>
    <t>['mutual resistance', 'modal expansion', 'mobile communications', 'higher order', 'endfire n', 'dominant mode', 'diversity branches', 'azimuthal dependence', 'antenna ),', '3 case', '1 patch']</t>
  </si>
  <si>
    <t>For circular microstrip antennas, single-mode design techniques work well for the dominant mode (n = 1, where n is the azimuthal dependence of the fields in the antenna), but this is not the case for zero-order (n = 0) and higher order (n &gt; 1) modes, where a modal expansion is necessary. The design of higher order dominant mode circular microstrip antennas is addressed, with an example and measurements for the n = 3 case. The application is for roof-mounted vehicular antennas for mobile communications, where the endfire n = 1 patch has rather low gain at low elevation angles. The mutual resistance between feeds for a pair of orthogonally excited modes is investigated for applying the ports as diversity branches. ¬© 1988 IEEE</t>
  </si>
  <si>
    <t>309-321</t>
  </si>
  <si>
    <t>Two-Port Higher Mode Circular Microstrip Antennas</t>
  </si>
  <si>
    <t>10.1109/8.192112</t>
  </si>
  <si>
    <t>2-s2.0-70349786156</t>
  </si>
  <si>
    <t>['technique consists', 'sum mode', 'relative size', 'principal plane', 'monopulse antenna', 'introduced since', 'feed network', 'example presented', 'equalled one', 'aperture diameter', '20 ¬∞']</t>
  </si>
  <si>
    <t>A method to improve in a particular azimuthal sector the difference radiation pattern sidelobe level of a monopulse antenna of the corporate-fed array type is presented. The technique consists of inserting a central fictitious blockage in the difference aperture distribution that has no effect on the sum mode. No excessive feed complexity or losses are introduced since the feed network is realized with only an extra power divider. The method is applied to a monopulse circular aperture with a central fictitious blockage and a prescribed aperture distribution. The relative size of the blockage is optimized to reduce the difference sidelobe level. In an example presented, the peak difference sidelobe level was decreased 8 dB along the principal plane by the introduction of a blockage that equalled one-third the aperture diameter. However, this improvement was at the expense of higher sidelobe levels in planes at azimuthal angles greater than 20¬∞ from the principal plane. ¬© 1988 VSP.</t>
  </si>
  <si>
    <t>535-543</t>
  </si>
  <si>
    <t>Derneryd, A. G.</t>
  </si>
  <si>
    <t>Stockholm</t>
  </si>
  <si>
    <t>Ericsson Radio Systems AB</t>
  </si>
  <si>
    <t>Derneryd A.</t>
  </si>
  <si>
    <t>Optimization of difference pattern sidelobes in the presence of fictitious blockage</t>
  </si>
  <si>
    <t>10.1163/156939388X00143</t>
  </si>
  <si>
    <t>2-s2.0-7044225621</t>
  </si>
  <si>
    <t>665-666</t>
  </si>
  <si>
    <t>Journal of the Physical Society of Japan</t>
  </si>
  <si>
    <t>60025272;60025272;60015658</t>
  </si>
  <si>
    <t>7102082310;7402106635;7004091156</t>
  </si>
  <si>
    <t>Shinohara, Shunjiro;Miyamoto, Kenro;Naito, Osamu</t>
  </si>
  <si>
    <t>The University of Tokyo;Japan Atomic Energy Agency</t>
  </si>
  <si>
    <t>60025272;60015658</t>
  </si>
  <si>
    <t>Shinohara S.</t>
  </si>
  <si>
    <t>Parameter Dependence of Antenna Loading for the Ion Bernstein Wave in a Tokamak</t>
  </si>
  <si>
    <t>10.1143/JPSJ.57.665</t>
  </si>
  <si>
    <t>2-s2.0-77952960740</t>
  </si>
  <si>
    <t>['receive modules', 'preliminary results', 'planar aperture', 'microwave network', 'identical transmit', '5 db']</t>
  </si>
  <si>
    <t>A microwave network is described for use with identical transmit/receive modules such that amplitude tapered aperture distributions are obtained with no loss. High efficiency low sidelobe patterns are calculated for the line source case with sidelobes as low as - 27.5 dB. An optimum minimum loss design is described for arbitrarily low sidelobes. The effects of errors are considered. Preliminary results for the planar aperture are discussed. ¬© 1988 IEEE</t>
  </si>
  <si>
    <t>349-356</t>
  </si>
  <si>
    <t>Dufort, Edward C.</t>
  </si>
  <si>
    <t>Dufort E.C.</t>
  </si>
  <si>
    <t>Low Sidelobe Electronically Scanned Antenna Using Identical Transmit/Receive Modules</t>
  </si>
  <si>
    <t>10.1109/8.192117</t>
  </si>
  <si>
    <t>2-s2.0-77953526400</t>
  </si>
  <si>
    <t>['subreflector surface', 'relative angle', 'reflector geometries', 'radiation characteristics', 'pattern characteristics', 'offset angle', 'geometrical parameters', 'feed illumination', 'feed axis', 'farfield patterns', 'antenna aperture', 'also provided']</t>
  </si>
  <si>
    <t>The radiation characteristics of dual parabolic cylindrical antennas are studied, and the dependence of the principal plane beamwidths and the peak cross polarization on their geometrical parameters is determined. The antenna aperture is rectangular in shape and generates an elliptical beam pattern, whose beamwidth ratio can be controlled by the main and subreflector focal lengths. The farfield patterns are determined by an extended aperture integration method that includes the contributions of the reflected and the main diffracted rays. It is found that the cross polarization depends on the offset angle between the feed axis and the direction of the normal to the subreflector surface and can be minimized by optimizing the relative angle between the reflectors. Other pattern characteristics can normally be controlled by the antenna geometrical parameters and the feed illumination. A procedure for the design of these antennas and the expressions for determining the reflector geometries are also provided. ¬© 1988 IEEE</t>
  </si>
  <si>
    <t>331-338</t>
  </si>
  <si>
    <t>Sanad, Mohamed S.A.;Shafai, Lotfollah</t>
  </si>
  <si>
    <t>Performance and Design Procedure of Dual Parabolic Cylindrical Antennas</t>
  </si>
  <si>
    <t>10.1109/8.192114</t>
  </si>
  <si>
    <t>2-s2.0-78349267494</t>
  </si>
  <si>
    <t>['yet untried', 'tomographic techniques', 'second method', 'resulting formulation', 'radome surface', 'radome structure', 'radome effects', 'radome analysis', 'equivalent sources', 'equivalent currents', 'backpropagation step', 'aperture integration', 'antenna aperture']</t>
  </si>
  <si>
    <t>This paper is comprised of an adaptation of tomographic techniques for the purpose of radome analysis, find a test of the resulting formulation. The formulation combines plane-wave spectrum backpropagation and aperture integration to map transmitted held measurements over a radome surface. This type of analysis allows two methods of compensation for radome effects. The first method consists of modifying the radome structure to equalize the local transmission characteristics. The second method of compensation is yet untried, and utilizes the knowledge of the equivalent sources representing the radome effects on the antenna aperture. These equivalent sources are a by-product of the backpropagation step. Theoretically, compensation for radome effects on the antenna aperture can he accomplished by subtracting these equivalent currents from the original aperture currents. ¬© 1988 VSP.</t>
  </si>
  <si>
    <t>555-571</t>
  </si>
  <si>
    <t>54886418900;7101834198</t>
  </si>
  <si>
    <t>Schindel, R. F.;Blanchard, A. J.</t>
  </si>
  <si>
    <t>Schindel R.</t>
  </si>
  <si>
    <t>The Use of Near Field Probe in the Analysis of Radome Performance</t>
  </si>
  <si>
    <t>10.1163/156939388X00161</t>
  </si>
  <si>
    <t>2-s2.0-84856028972</t>
  </si>
  <si>
    <t>['¬© 1988', 'space sciences', 'significant generation', 'rights reserved', 'quite simple', 'norway ).', 'ground plane', 'electrical power', 'arctic norway']</t>
  </si>
  <si>
    <t>Generation of electrical power at any frequency in this range is quite simple. Significant generation of waves at frequencies below, say, 5 kHz requires antennas some kilometres in length and height above the ground plane. Antenna methods used with some success to probe the magnetosphere and ionosphere are reviewed: balloon lofted vertical monopoles (Alaska and N.Z.), a dipole over ice (Siple), borrowed power lines (arctic Norway and N.Z.), electrojet modulation (U.S.S.R. and Norway). ¬© 1988, Society of Geomagnetism and Earth, Planetary and Space Sciences. All rights reserved.</t>
  </si>
  <si>
    <t>1131-1140</t>
  </si>
  <si>
    <t>Dowden, Richard L.</t>
  </si>
  <si>
    <t>Dunedin</t>
  </si>
  <si>
    <t>University of Otago</t>
  </si>
  <si>
    <t>Dowden R.</t>
  </si>
  <si>
    <t>Generation of VLF and ELF Waves for Active Probing</t>
  </si>
  <si>
    <t>10.5636/jgg.40.1131</t>
  </si>
  <si>
    <t>2-s2.0-84873553233</t>
  </si>
  <si>
    <t>['¬© 1988', 'various particles', 'two factors', 'transversal components', 'trajectory parameters', 'spectrum similar', 'spectral effects', 'spectral component', 'spectra induced', 'special cases', 'single particle', 'single frequency', 'scattering particles', 'scattered waves', 'rights reserved', 'reciprocity properties', 'receiving transducer', 'random variables', 'particles moving', 'multiple scattering', 'moving media', 'motion relative', 'motion produces', 'laser radiation', 'industrial instrumentation', 'gives rise', 'four spectra', 'excitation wave', 'excitation signal', 'doppler effect', 'coherent radiation', 'boundary surfaces', 'arbitrary trajectories', 'antenna output', 'acoustical society']</t>
  </si>
  <si>
    <t>The generalized Doppler effect spectrum produced by particles moving on arbitrary trajectories is analyzed. Scattering by a single particle moving in the farfield of a transmitter and a receiver is considered. It is shown that the Doppler spectrum exciting the particle is due to two factors: The longitudinal (or radial) component of the motion produces a spectrum similar to the conventional Doppler effect, by affecting the phase of the excitation wave. In addition, spectral effects are produced by the particle moving transversely (or angularly) through the spatially modulated radiation pattern of the transmitter. By virtue of the reciprocity properties of transmitters and receivers, each spectral component of the excitation signal again gives rise to spectra induced by the longitudinal and the transversal components of the motion relative to the receiver. The combined Doppler spectrum observed at the receiving transducer or antenna output is a convolution of all four spectra. The behavior of an ensemble of scattering particles is analyzed. The statistics are found by defining the particle and/or the trajectory parameters as random variables. Presently, it is assumed that the particles are identical, their positions are uncorrelated, and multiple scattering is ignored. It is shown that the interference of scattered waves from various particles, manifested in the coherent radiation, gives rise to a spectrum that might be different from that of a single particle. In special cases, the combined spectrum degenerates into a single frequency, and when this is the transmitter's frequency, the Doppler effect completely disappears. This explains the fact that when we have moving media, but the boundary surfaces are at rest, there is no Doppler effect. The results of the present analysis contribute to our understanding of Doppler velocimetry methods using ultrasound or laser radiation in medical and industrial instrumentation. ¬© 1988, Acoustical Society of America. All rights reserved.</t>
  </si>
  <si>
    <t>2012-2019</t>
  </si>
  <si>
    <t>NA</t>
  </si>
  <si>
    <t>Journal of the Acoustical Society of America</t>
  </si>
  <si>
    <t>60027161;60014662</t>
  </si>
  <si>
    <t>7005674896;7006225858</t>
  </si>
  <si>
    <t>Censor, Dan;Newhouse, Vernon L.</t>
  </si>
  <si>
    <t>Israel;United States</t>
  </si>
  <si>
    <t>Beer Sheba;Philadelphia</t>
  </si>
  <si>
    <t>Ben-Gurion University of the Negev;Drexel University</t>
  </si>
  <si>
    <t>Censor D.</t>
  </si>
  <si>
    <t>Generalized Doppler effect: Coherent and incoherent spectra</t>
  </si>
  <si>
    <t>10.1121/1.396381</t>
  </si>
  <si>
    <t>2-s2.0-84888799501</t>
  </si>
  <si>
    <t>['‚ àº6', '‚ àº2', '¬© 1988', 'synechococcus sp', 'shallow trap', 'rights reserved', 'redox state', 'reaction centers', 'rate constant', 'q controls', 'prompt fluorescence', 'picosecond data', 'open rc', 'following results', 'exciton trapping', 'exciton lifetime', 'detailed model', 'closed rc', 'chl antenna', 'charge separation', 'charge recombination', 'biophysical society', 'analysis gives', '7 ps']</t>
  </si>
  <si>
    <t>A detailed model for the kinetics and energetics of the exciton trapping, charge separation, charge recombination, and charge stabilization processes in photosystem (PS) II is presented. The rate constants describing these processes in open and closed reaction centers (RC) are calculated on the basis of picosecond data (Schatz, G. H., H. Brock, and A. R. Holzwarth. 1987. Proc. Natl. Acad. Sci. USA. 84:8414‚Äì8418) obtained for oxygen-evolving PS II particles from Synechococcus sp. with ‚àº80 chlorophylls/P680. The analysis gives the following results. (a) The PS II reaction center donor chlorophyll P680 constitutes a shallow trap, and charge separation is overall trap limited. (b) The rate constant of charge separation drops by a factor of ‚àº6 when going from open (Q-oxidized) to closed (Q-reduced) reaction centers. Thus the redox state of Q controls the yield of radical pair formation and the exciton lifetime in the Chl antenna. (c) The intrinsic rate constant of charge separation in open PS II reaction centers is calculated to be ‚àº2.7 ps-1. (d) In particles with open RC the charge separation step is exergonic with a decrease in standard free energy of ‚àº38 meV. (e) In particles with closed RC the radical pair formation is endergonic by ‚àº12 meV. We conclude on the basis of these results that the long-lived (nanoseconds) fluorescence generally observed with closed PS II reaction centers is prompt fluorescence and that the amount of primary radical pair formation is decreased significantly upon closing of the RC. ¬© 1988, The Biophysical Society. All rights reserved.</t>
  </si>
  <si>
    <t>397-405</t>
  </si>
  <si>
    <t>16460158600;7005752951;35501122300</t>
  </si>
  <si>
    <t>Schatz, G√ºnther H.;Brock, Helmut;Holzwarth, Alfred R.</t>
  </si>
  <si>
    <t>Schatz G.</t>
  </si>
  <si>
    <t>Kinetic and Energetic Model for the Primary Processes in Photosystem II</t>
  </si>
  <si>
    <t>S0006349588829734</t>
  </si>
  <si>
    <t>10.1016/S0006-3495(88)82973-4</t>
  </si>
  <si>
    <t>2-s2.0-84914593918</t>
  </si>
  <si>
    <t>['¬© 1988', 'tritium gas', 'rights reserved', 'rf antenna', 'protective limiter', 'properties affecting', 'poco axf', 'paper describes', 'facing materials', 'divertor applications', 'direct comparison', 'carbon composites', '5q graphite']</t>
  </si>
  <si>
    <t>This paper describes the results of a study of the properties affecting the performance of carbon-carbon composites as plasma-facing materials in magnetic fusion reactors. A composite has already been chosen for the protective limiter of the rf antenna in the Tokamak Fusion Test Reactor and composites are being considered for divertor applications in the Compact Ignition Tokamak. In direct comparison with results for POCO AXF-5Q graphite, the composites were able to survive more severe high heat flux conditions, released less water vapor and gases during the thermal outgassing tests, and retained less tritium during exposure to tritium gas and plasma. ¬© 1988, American Vacuum Society. All rights reserved.</t>
  </si>
  <si>
    <t>2122-2124</t>
  </si>
  <si>
    <t>60015900;60015900;60015900;60007843;60018020</t>
  </si>
  <si>
    <t>7005828952;26643324100;6603727480;6601964836;7005030951</t>
  </si>
  <si>
    <t>Causey, R. A.;Hsu, W. L.;Pontau, A. E.;Croessmann, C. D.;Ulrickson, M. A.</t>
  </si>
  <si>
    <t>Princeton;Livermore;Albuquerque</t>
  </si>
  <si>
    <t>Princeton Plasma Physics Laboratory;Sandia National Laboratories, California;Sandia National Laboratories, New Mexico</t>
  </si>
  <si>
    <t>60018020;60015900;60007843</t>
  </si>
  <si>
    <t>Causey R.</t>
  </si>
  <si>
    <t>Performance testing of carbon-carbon composites as plasma-facing materials for magnetic fusion reactors</t>
  </si>
  <si>
    <t>10.1116/1.575201</t>
  </si>
  <si>
    <t>2-s2.0-84917949026</t>
  </si>
  <si>
    <t>['¬© 1988', 'vibrations caused', 'traffic vibrations', 'traffic amounted', 'rights reserved', 'one percent', 'observation site', 'main cause', 'located near', 'january 18', 'human activities', 'geodetic society', 'diameter antenna', 'collocative measurements', 'accuracy better', 'absolute gravimeter', '194 drops']</t>
  </si>
  <si>
    <t>Collocative measurements by an absolute gravimeter have been carried out at Kashima Space Research Center, Communications Research Laboratory, one of the VLBI IRIS‚ÄìP Networks, from January 18 to 23, 1988. The observation site is located near a manu facturing district and the ground vibrations caused by human activities such as traffic noise extremely affected the measurements. The maximum acceleration due to the traffic amounted to more than 2√ó10‚àí4 ms‚àí2 (20 mGal). The effects of the vibrations caused by the operation of the 26 m diameter antenna. on the other hand, were relatively small compared to the large traffic noise, so we could not detect them at the point about 30 m distant from the antenna. The uncertainty in the results from 194 drops is about 3√ó10‚àí7 ms‚àí2 (30 ¬µGal), which is almost ten times larger than that obtained at Esashi. The main cause of the error can be considered as the traffic vibrations and we can correct their effects with the accuracy better than one percent. ¬© 1988, The Geodetic Society of Japan. All Rights Reserved.</t>
  </si>
  <si>
    <t>60029701;60029701;60029701;114318526</t>
  </si>
  <si>
    <t>55241256800;8721175100;56210349200;56264014800</t>
  </si>
  <si>
    <t>Hanada, Hideo;Tsubokawa, Tsuneya;Tsuruta, Seiitsu;Yoshino, Taizou</t>
  </si>
  <si>
    <t>Mitaka;Kashima Ibaraki</t>
  </si>
  <si>
    <t>National Institutes of Natural Sciences - National Astronomical Observatory of Japan;Communications Research Laboratory</t>
  </si>
  <si>
    <t>60029701;114318526</t>
  </si>
  <si>
    <t>Hanada H.</t>
  </si>
  <si>
    <t>Collocative Measurements by an Absolute Gravimeter at the VLBI Station, Kashima</t>
  </si>
  <si>
    <t>10.11366/sokuchi1954.34.177</t>
  </si>
  <si>
    <t>2-s2.0-84935946979</t>
  </si>
  <si>
    <t>['sidelobe level', 'nevertheless possible', 'many antennas', 'known accurately', 'far field', 'electrical size', 'coupling loss', 'computer programs', 'antenna along']</t>
  </si>
  <si>
    <t>Computer programs are presently in existence to calculate the coupling loss between two antennas provided that the amplitude and phase of the far field are available. However, for many antennas the complex far field is not known accurately. In such cases it is nevertheless possible to specify approximate far fields from a knowledge of the sidelobe level of each antenna along the axis of separation and the electrical size of each antenna. Measurements of nearfield coupling loss between two moderately sized microwave antennas were done to determine the effectiveness of using approximate sidelobe level data instead of the detailed far fields. Comparison of the measured and computed coupling indicates that the use of approximate far fields gives an estimate of the coupling loss with an uncertainty of about ¬± 5 dB. ¬© 1988 IEEE</t>
  </si>
  <si>
    <t>438-441</t>
  </si>
  <si>
    <t>7201841610;7004384154</t>
  </si>
  <si>
    <t>Francis, Michael H.;Stubenrauch, Carl F.</t>
  </si>
  <si>
    <t>Francis M.H.</t>
  </si>
  <si>
    <t>Comparison of Measured and Calculated Antenna Sidelobe Coupling Loss in the Near Field Using Approximate Farfield Data</t>
  </si>
  <si>
    <t>10.1109/8.192127</t>
  </si>
  <si>
    <t>2-s2.0-84939036968</t>
  </si>
  <si>
    <t>IEEE Antennas and Propagation Society Newsletter</t>
  </si>
  <si>
    <t>Schrank, Hal</t>
  </si>
  <si>
    <t>Schrank H.</t>
  </si>
  <si>
    <t>Antenna Designer's Notebook</t>
  </si>
  <si>
    <t>10.1109/MAP.1988.6065672</t>
  </si>
  <si>
    <t>2-s2.0-84939333624</t>
  </si>
  <si>
    <t>['¬© 1988', 'suitable wall', 'rights reserved', 'readily aligned', 'proposed antenna', 'polarisation convertor', 'plate antennas', 'normal axis', 'multilayer construction', 'mounted flat', 'electrical engineers', 'beamforming network']</t>
  </si>
  <si>
    <t>Antennas | Satellite links</t>
  </si>
  <si>
    <t>A novel design approach for circularly polarised flat-plate antennas has been developed. The proposed antenna is of multilayer construction, rotatable about its normal axis, and comprises a polarisation convertor, an array of elements and a beamforming network. In one potentially large application, the reception of satellite broadcast signals in the 12 GHz band, it can be mounted flat on the most suitable wall of an arbitrarily orientated house and be readily aligned. ¬© 1988, The Institution of Electrical Engineers. All rights reserved.</t>
  </si>
  <si>
    <t>173-174</t>
  </si>
  <si>
    <t>Maddocks, M. C.D.</t>
  </si>
  <si>
    <t>British Broadcasting Corporation</t>
  </si>
  <si>
    <t>Maddocks M.</t>
  </si>
  <si>
    <t>Low-Cost Approach for Steerable Flat-Plate Antenna Design with Application to Reception of Broadcasting from Satellite</t>
  </si>
  <si>
    <t>10.1049/el:19880115</t>
  </si>
  <si>
    <t>2-s2.0-84941446158</t>
  </si>
  <si>
    <t>['infinite cylinder', 'hyperthermic heating', 'human limb', 'general excitation', 'fundamental complexity', 'external source', 'either electric', 'analytical procedure']</t>
  </si>
  <si>
    <t>Hyperthermic heating of a human limb, neck or torso is modelled as an infinite cylinder for a general excitation by an external source. The analytical procedure is outlined for determining the internal power dissipation for either electric or magnetic dipole arrays. The case for circumferentially oriented dipoles is considered in detail. The fundamental complexity of the power synthesis problem is pointed out. This problem has yet to be solved. ¬© 1988 VNU science press.</t>
  </si>
  <si>
    <t>77-84</t>
  </si>
  <si>
    <t>Wait, J. R.</t>
  </si>
  <si>
    <t>Wait J.</t>
  </si>
  <si>
    <t>General cylindrical model for focussed power deposition from an external antenna system</t>
  </si>
  <si>
    <t>10.1163/156939387X00261</t>
  </si>
  <si>
    <t>2-s2.0-84941465102</t>
  </si>
  <si>
    <t>['probe position', 'numerical examples', 'near field', 'measured phase', 'key step', 'iterative correction', 'high accuracy']</t>
  </si>
  <si>
    <t>A method is introduced for correcting antenna near field measurements taken in the presence of known probe position errors. The method is based on iterative correction of both the measured phase of the near field and the deduced far field. A key step is the derivation of a simple formula relating the rate of change of the near field phase with probe position to the far field pattern. It is demonstrated, by means of numerical examples, that probe position errors as high as Œª/3; Œª being the wavelength, can be corrected with high accuracy. ¬© 1988 VSP.</t>
  </si>
  <si>
    <t>545-553</t>
  </si>
  <si>
    <t>Mahmoud, S. F.</t>
  </si>
  <si>
    <t>Egypt</t>
  </si>
  <si>
    <t>Giza</t>
  </si>
  <si>
    <t>Cairo University</t>
  </si>
  <si>
    <t>Mahmoud S.</t>
  </si>
  <si>
    <t>Correction of Probe Position Errors in Antenna Near Field To Far Field Transformation</t>
  </si>
  <si>
    <t>10.1163/156939388X00152</t>
  </si>
  <si>
    <t>2-s2.0-84941491689</t>
  </si>
  <si>
    <t>['two sources', 'single antenna', 'lower bounds', 'log approximation', 'finite gf', 'error rate', 'error performance', 'duplex mode', 'detection metric', 'closed form', 'ber ).']</t>
  </si>
  <si>
    <t>Bidirectional relay network | end-to-end bit-error rate (BER) | multiple access channel (MAC) | physical-layer network coding (PNC) | upper and lower bounds</t>
  </si>
  <si>
    <t>We analyze the error performance of the physical-layer network coding (PNC) protocol without channel coding in bidirectional relay networks for binary phase shift keying (BPSK) over Rayleigh fading channels. It is assumed that a bidirectional relay network consists of two sources and a relay, where each node has a single antenna and operates in a half-duplex mode, and the PNC over finite GF(2) is employed. In this system, since the maximum-likelihood (ML) detection metric of the multiple access channel (MAC) at the relay is given by the sum of two exponential functions, it is not possible to utilize the classical Euclidean distance rule. To make the performance analysis tractable, we approximate the ML detection metric by adopting the max-log approximation. Then we derive tight upper and lower bounds in closed form for the average symbol error probability of the MAC at the relay. Finally, we obtain tight upper and lower bounds in closed form for the end-to-end average bit-error rate (BER). ¬© 1988 IEEE</t>
  </si>
  <si>
    <t>1600-1608</t>
  </si>
  <si>
    <t>IEEE Transactions on Power Systems</t>
  </si>
  <si>
    <t>60016005;60016005</t>
  </si>
  <si>
    <t>22634200600;36040390300</t>
  </si>
  <si>
    <t>Ju, Min Chul;Kim, Il Min</t>
  </si>
  <si>
    <t>Kingston</t>
  </si>
  <si>
    <t>Queen‚Äôs University</t>
  </si>
  <si>
    <t>Ju M.C.</t>
  </si>
  <si>
    <t>Error performance analysis of BPSK modulation in physical-layer network-coded bidirectional relay networks</t>
  </si>
  <si>
    <t>10.1109/59.192970</t>
  </si>
  <si>
    <t>2-s2.0-84941867815</t>
  </si>
  <si>
    <t>['yellow green', 'substantially reduced', 'sizable decrease', 'relative increase', 'photosystem ii', 'notable changes', 'membrane regions', 'major reduction', 'lhcii units', 'lhcii oligomer', 'lakoid architecture', 'integral part', 'hierarchy might', 'give rise', 'exclusively associated', 'differential effect', 'cpi *)', 'chi b', 'characteristic changes', 'binding proteins']</t>
  </si>
  <si>
    <t>The light-sensitive chlorophyll b (Chi b)-deficient oil yellow-yellow green (OY-YG) mutant of maize(Zeamays) grown under conditions of high light exhibits differential reductions in the accumulation of the three major Chi b-containing antenna complexes and characteristic changes in thy-lakoid architecture. When observed by freeze-fracture electron microscopy, the most notable changes in the OY-YG thylakoid structure are: (a) a major reduction in the number of 8 nanometer particles of the protoplasmic fracture face of stacked membrane regions (PFs) paralleled by a 60% reduction in the chlorophyll-proteins (CP) associated with the peripheral light harvesting complex (LHCII) for photosystem II (PSII) and which give rise to the LHCII oligomer/monomer (CPII/CPII) bands on mildly dissociated green gels; (b) a sizable decrease in the proportion of 11 to 13 nanometer particles of the protoplasmic fracture face of un-stacked membrane regions (PFu) that parallels the loss of light harvesting complex I (LHCI) antennae from photosystem I (PSI) centers and a 40% reduction of the band containing CP1 and LHCI (CPI*) on mildly dissociating green gels; (c) an unchanged or slightly increased average size of particles of the exoplasmic fracture face of stacked (or appressed) membrane regions (EFs) along with a relative increase in CP29, the postulated bound LHC of PSII, and of CP47 and CP43, PSII core antenna complexes. This latter result sets the OY-YG mutant apart from all other Chi b-deficient mutants studied to date, all of which possess EFs particles that are substantially reduced in size. Based on these findings, we postulate that the bound LHCII associated with EFs particles consists mostly of CP29 chlorophyll proteins and very little, if any, CPII*/CPII chlorophyll proteins. Indeed, the CPIF/CPII chlorophyll proteins may be exclusively associated with the 'peripheral' LHCII units that give rise to 8 nanometer PF particles. The differential effect of the Chi b deficiency on the accumulation of the three main antenna complexes (CPII*/CPH&gt;CPI*&gt;CP29) suggests, furthermore, that there is a hierarchy among Chi b-binding proteins, and that this hierarchy might be an integral part of long-term photoregulation mediating Chi b partitioning in the chloroplast.</t>
  </si>
  <si>
    <t>357-364</t>
  </si>
  <si>
    <t>Plant Physiology</t>
  </si>
  <si>
    <t>60025038-60000221;60013959-60000221;60027550-60000221;60000221</t>
  </si>
  <si>
    <t>7102466527;7006120831;6603155155;7006830237</t>
  </si>
  <si>
    <t>Greene, Ben A.;Allred, D. R.;Morishige, D. T.;Staehelin, L. A.</t>
  </si>
  <si>
    <t>Los Angeles;Berkeley;Gainesville;Boulder</t>
  </si>
  <si>
    <t>University of California, Los Angeles;University of California, Berkeley;University of Florida;University of Colorado Boulder</t>
  </si>
  <si>
    <t>60027550;60025038;60013959;60000221</t>
  </si>
  <si>
    <t>Greene B.A.</t>
  </si>
  <si>
    <t>Hierarchical response of light harvesting chlorophyll-proteins in a light-sensitive chlorophyll b-deficient mutant of maize</t>
  </si>
  <si>
    <t>10.1104/pp.87.2.357</t>
  </si>
  <si>
    <t>2-s2.0-84942788944</t>
  </si>
  <si>
    <t>['wave end', 'wave antennas', 'theoretical derivation', 'rod antennas', 'rights reserved', 'results based', 'numerical results', 'good agreement', 'general expression', 'fire antennas', 'equivalence principle', 'element interaction', 'coupling coefficient', 'broadside array']</t>
  </si>
  <si>
    <t>A method has been devised to derive the coupling coefficient between two infinitely long perfectly conducting surface-wave antennas such as disc-on-rod antennas. This method is based on the Lorentz reciprocity theorem and on the equivalence principle. The theoretical derivation of a general expression for the coupling coefficient as well as numerical results for disc-on-rod antennas are presented in this paper. Results based on this method have been found to be in good agreement with those obtained from an analysis of element interaction in a broadside array of traveling-wave end-fire antennas. ¬© 1988 VSP. All rights reserved.</t>
  </si>
  <si>
    <t>523-533</t>
  </si>
  <si>
    <t>60022403;60022109;60022109</t>
  </si>
  <si>
    <t>7007155351;7005244140;7006827241</t>
  </si>
  <si>
    <t>Cory, H.;Parini, C. G.;Olver, A. D.</t>
  </si>
  <si>
    <t>Israel;United Kingdom</t>
  </si>
  <si>
    <t>Haifa;London</t>
  </si>
  <si>
    <t>Technion - Israel Institute of Technology;Queen Mary University of London</t>
  </si>
  <si>
    <t>60022403;60022109</t>
  </si>
  <si>
    <t>Cory H.</t>
  </si>
  <si>
    <t>Transverse Coupling Between Two Surface Wave Antennas</t>
  </si>
  <si>
    <t>10.1163/156939388X00134</t>
  </si>
  <si>
    <t>2-s2.0-84945634016</t>
  </si>
  <si>
    <t>European Molecular Biology Laboratory</t>
  </si>
  <si>
    <t>EMBL</t>
  </si>
  <si>
    <t>['¬© 1988', 'whatmann de', 'two polypeptides', 'terminal domain', 'short polypeptide', 'short c', 'sequence analyses', 'rights reserved', 'rhodobacter sphaeroides', 'rhodobacter capsulatus', 'primary structures', 'polypeptides show', 'molar ratio', 'hydrophilic n', 'corresponding polypeptides', 'carboxypeptidase degradation', 'b 800', 'antenna polypeptides']</t>
  </si>
  <si>
    <t>Calcium Homeostasis | Phosphate Homeostasis | Vertebrates</t>
  </si>
  <si>
    <t>Spectrally pure B 800‚Äì850 light harvesting complexes of Rhodopseudomonas acidophila 7750 were prepared by chromatography of LDAO-solubilised photosynthetic membranes on Whatmann DE-52 ion exchange resin. Two low molecular mass polypeptides (Œ≤,√ü) have been isolated by organic solvent extraction of the lyophilised B 800‚Äì850 light harvesting complexes. Their primary structures were determined by liquid phase sequencer runs, by the sequence analyses of C-terminal o-iodosobenzoic acid fragments, by hydrazinolysis and by carboxypeptidase degradation.B800‚Äì850-a consists of 53 amino acids and is 45.3% and 50.9% homologous to the B 800-850-a antenna polypeptides of Rhodobacter sphaeroides and Rhodobacter capsulatus, respectively.The second very short polypeptide (B800‚Äì850-√ü,41 amino acids) is 61.0% and 56.1% homologous to the corresponding polypeptides of Rb. sphaeroides and Rb. capsulatus. The molar ratio of the two polypeptides is about 1:1. Both polypeptides show a hydrophilic N-terminal domain, a very hydrophobic central domain and a short C-terminal domain. In both polypeptides the typical His residues, identified in all antenna polypeptides of purple nonsulphur bacteria as possiblebacteriochlorophyll binding sites, were found. ¬© 1988, Walter de Gruyter. All rights reserved.</t>
  </si>
  <si>
    <t>77-83</t>
  </si>
  <si>
    <t>Zeitschrift fur Naturforschung - Section C Journal of Biosciences</t>
  </si>
  <si>
    <t>60025858;60025858;60025858;60025858;60025858</t>
  </si>
  <si>
    <t>56933606100;56933633200;7006674721;7006465617;7006345218</t>
  </si>
  <si>
    <t>Iwan Bissig, I.;Brunisholz, A. Ren√©;Suter, Franz;Cogdell, Richard J.;Zuber, Herbert</t>
  </si>
  <si>
    <t>Zurich ZH,</t>
  </si>
  <si>
    <t>ETH Zurich</t>
  </si>
  <si>
    <t>Iwan Bissig I.</t>
  </si>
  <si>
    <t>The complete amino acid sequences of the b 800‚Äì850 antenna polypeptides from rhodopseudomonas acidophila strain 7750</t>
  </si>
  <si>
    <t>10.1515/znc-1988-1-216</t>
  </si>
  <si>
    <t>2-s2.0-84945747830</t>
  </si>
  <si>
    <t>['¬© 1988', 'waveguide feeds', 'rights reserved', 'reflector antennas', 'mode feeds', 'microstrip antennas', 'lens feeds', 'international journals', 'industrial applications', 'article gives']</t>
  </si>
  <si>
    <t>This article gives an overview of the activity in the areas of reflector antennas and feeds in Norway since 1978. The activity includes cylindrical, symmetrical, spherical, offset, single- and dual-reflectors, and primary dipole feeds, waveguide feeds, hybrid-mode feeds, lens feeds and microstrip antennas. The work has resulted in industrial applications and a number of articles in international journals. ¬© 1988, IEEE. All rights reserved.</t>
  </si>
  <si>
    <t>60013141;106791866;60013141;60013141</t>
  </si>
  <si>
    <t>7101988263;7004080997;55884538900;7003766305</t>
  </si>
  <si>
    <t>Kildal, Per Simon;Pettersen, Terje;Lier, Erik;Aas, Jon Anders</t>
  </si>
  <si>
    <t>Norway;Norway</t>
  </si>
  <si>
    <t>Trondheim;Oslo</t>
  </si>
  <si>
    <t>Norges Teknisk-Naturvitenskapelige Universitet;A/S Norsk Data-Elektronikk</t>
  </si>
  <si>
    <t>60013141;106791866</t>
  </si>
  <si>
    <t>Reflectors and Feeds in Norway</t>
  </si>
  <si>
    <t>10.1109/MAP.1988.6069654</t>
  </si>
  <si>
    <t>2-s2.0-84946243861</t>
  </si>
  <si>
    <t>['substrate thickness', 'static capacitance', 'quasistatic portion', 'neumann self', 'microstrip patch', 'isolated patch', 'input impedance', 'free space', 'form expressions', 'direct application', 'arbitrary shape', 'appropriate ranges']</t>
  </si>
  <si>
    <t>Closed-form expressions for the static capacitance of a microstrip patch of arbitrary shape are derived for both large and small patch size relative to the substrate thickness. For these formulas, only the capacitance of the isolated patch in free space, or the area, perimeter, and Neumann self-inductance of the perimeter are required. Comparison with existing data obtained by rather extensive numerical computation shows good agreement in the appropriate ranges of validity. The results of this paper have direct application to microstrip lumped circuit elements and to the evaluation of the quasistatic portion of the input impedance of a microstrip patch antenna. ¬© 1988 VNU science press.</t>
  </si>
  <si>
    <t>103-105</t>
  </si>
  <si>
    <t>Kuester, E. F.</t>
  </si>
  <si>
    <t>Kuester E.</t>
  </si>
  <si>
    <t>Explicit approximations for the static capacitance of a microstrip patch of arbitrary shape</t>
  </si>
  <si>
    <t>10.1163/156939387X00289</t>
  </si>
  <si>
    <t>2-s2.0-84947138783</t>
  </si>
  <si>
    <t>['spillover field', 'special attention', 'role played', 'field near', 'field measurements', 'feed elements', 'experimental results', 'excellent agreement']</t>
  </si>
  <si>
    <t>In a dual reflector antenna, the spillover from the subreflector is important in determining the accuracy of near-field measurements. This is especially so when some of the feed elements are placed far away from the focus. In this paper, we present a highfrequency GTD analysis of the spillover field over a plane just behind the subreflector. Special attention is given to the field near the incident shadow boundary and the role played by the slope diffraction terms. Our computations are in excellent agreement with experimental results. ¬© 1988 VNU science press.</t>
  </si>
  <si>
    <t>45-62</t>
  </si>
  <si>
    <t>60000745;60026717;60000745;60022774</t>
  </si>
  <si>
    <t>7601396617;7006577375;6603619592;7202365940</t>
  </si>
  <si>
    <t>Lee, S. W.;Acosta, R.;Cherrette, A. R.;Lam, P. T.</t>
  </si>
  <si>
    <t>Cleveland;Boulevard;Urbana</t>
  </si>
  <si>
    <t>NASA Glenn Research Center;Lockheed Martin Space Systems Company;University of Illinois Urbana-Champaign</t>
  </si>
  <si>
    <t>60026717;60022774;60000745</t>
  </si>
  <si>
    <t>Lee S.</t>
  </si>
  <si>
    <t>Near-field spillover from a subreflector: Theory and experiment</t>
  </si>
  <si>
    <t>10.1163/156939387X00243</t>
  </si>
  <si>
    <t>2-s2.0-84947145619</t>
  </si>
  <si>
    <t>N00014-83-K-0528</t>
  </si>
  <si>
    <t>['transmitted fields', 'recently introduced', 'numerical evaluation', 'nonradiating modes', 'magnetic material', 'like geometries', 'isotropic dielectric', 'image sources', 'image functions', 'homogeneous slab', 'free space', 'exact solution', 'exact reflected']</t>
  </si>
  <si>
    <t>Exact image theory, recently introduced for the exact solution of problems involving homogeneous half spaces and microstrip-like geometries, is developed here for the problem of homogeneous slab of isotropic dielectric and/or magnetic material in free space. Expressions for image sources, creating the exact reflected and transmitted fields, are given and their numerical evaluation is demonstrated. Nonradiating modes, guided by the slab and responsible for the loss of convergence of the image functions, are considered and extracted. The theory can be applied, for example, in an analysis of finite ground planes in microstrip antenna structures. ¬© 1988 VNU science press.</t>
  </si>
  <si>
    <t>195-219</t>
  </si>
  <si>
    <t>Lindell, I. V.</t>
  </si>
  <si>
    <t>Espoo</t>
  </si>
  <si>
    <t>Aalto University</t>
  </si>
  <si>
    <t>Lindell I.</t>
  </si>
  <si>
    <t>Exact image theory for the slab problem</t>
  </si>
  <si>
    <t>10.1163/156939387X00333</t>
  </si>
  <si>
    <t>2-s2.0-84947152816</t>
  </si>
  <si>
    <t>17-18</t>
  </si>
  <si>
    <t>10.1109/MAP.1988.6086096</t>
  </si>
  <si>
    <t>2-s2.0-84947663427</t>
  </si>
  <si>
    <t>10.1109/MAP.1988.6079092</t>
  </si>
  <si>
    <t>2-s2.0-84947664118</t>
  </si>
  <si>
    <t>60101699;60021208</t>
  </si>
  <si>
    <t>7004304668;7405745157</t>
  </si>
  <si>
    <t>Katagi, Takashi;Yamada, Matsuichi</t>
  </si>
  <si>
    <t>Tokyo;Tokyo</t>
  </si>
  <si>
    <t>Mitsubishi Electric Corporation;KDDI Corporation</t>
  </si>
  <si>
    <t>Katagi T.</t>
  </si>
  <si>
    <t>Recent Activities in Antennas and Propagation in Japan</t>
  </si>
  <si>
    <t>10.1109/MAP.1988.6086093</t>
  </si>
  <si>
    <t>2-s2.0-84947668737</t>
  </si>
  <si>
    <t>33-35</t>
  </si>
  <si>
    <t>10.1109/MAP.1988.6086110</t>
  </si>
  <si>
    <t>2-s2.0-84947668955</t>
  </si>
  <si>
    <t>19-28</t>
  </si>
  <si>
    <t>Nakano, H.</t>
  </si>
  <si>
    <t>Research on Spiral and Helical Antennas at Hosei University</t>
  </si>
  <si>
    <t>10.1109/MAP.1988.6079077</t>
  </si>
  <si>
    <t>2-s2.0-84948594440</t>
  </si>
  <si>
    <t>53-54</t>
  </si>
  <si>
    <t>Schrak, Hal</t>
  </si>
  <si>
    <t>Schrak H.</t>
  </si>
  <si>
    <t>10.1109/MAP.1988.6069658</t>
  </si>
  <si>
    <t>2-s2.0-84948609825</t>
  </si>
  <si>
    <t>30-35</t>
  </si>
  <si>
    <t>Van de Capelle, Antoine R.</t>
  </si>
  <si>
    <t>Van de Capelle A.</t>
  </si>
  <si>
    <t>Antenna Research Activities at K.U. Leuven</t>
  </si>
  <si>
    <t>10.1109/MAP.1988.6069655</t>
  </si>
  <si>
    <t>2-s2.0-84948611465</t>
  </si>
  <si>
    <t>38-40</t>
  </si>
  <si>
    <t>10.1109/MAP.1988.6079079</t>
  </si>
  <si>
    <t>2-s2.0-84948614085</t>
  </si>
  <si>
    <t>['yet recognizable', 'systematic affinities', 'parasitizes apoidea', 'lyttini instead', 'larval morphology', 'larva shows', 'geographic distribution', 'francis group', 'body pubescence', 'berberomeloe differs', 'also discussed']</t>
  </si>
  <si>
    <t>Berberomeloe | Bionomics | Coleoptera | Larval morphology | New genus | Systematics</t>
  </si>
  <si>
    <t>Meloe majalis Linn√©, a west Mediterranean species of Meloidae, is referred to the Lyttini instead of the Meloini on the basis of larval morphology and biology. The new genus Berberomeloe is established for this species. Berberomeloe differs from Trichomeloe, a wingless and brachyelytrous east Mediterranean genus of Lyttini, particularly in the shape of the antennae, pronotum, abdomen and genitalia, and in body pubescence. The first instar larva of Berberomeloe is non-phoretic and parasitizes Apoidea; the larva shows some primitive morphological characters. The systematic affinities of Berberomeloe are not yet recognizable. The geographic distribution and bionomics of B. majalis are also discussed. ¬© 1988 Taylor &amp; Francis Group, LLC.</t>
  </si>
  <si>
    <t>359-366</t>
  </si>
  <si>
    <t>Bolletino di zoologia</t>
  </si>
  <si>
    <t>Bologna, Marco A.</t>
  </si>
  <si>
    <t>Venice</t>
  </si>
  <si>
    <t>Universit√† Ca' Foscari Venezia</t>
  </si>
  <si>
    <t>Bologna M.A.</t>
  </si>
  <si>
    <t>Berberomeloe, a new west mediterranean genus of lyttini for meloe majalis line√© (Coleoptern, meloidae). systematics and bionomics</t>
  </si>
  <si>
    <t>10.1080/11250008809386633</t>
  </si>
  <si>
    <t>2-s2.0-84952076854</t>
  </si>
  <si>
    <t>['¬© 1988', 'optimum value', 'japan society', 'experimentally investigated', 'driving power', 'applied physics', 'antenna duplexers', 'alloy electrodes']</t>
  </si>
  <si>
    <t>Durability of aluminum-alloy electrodes for high power SAW filters which are used for antenna duplexers in cellular portable telephones is experimentally investigated. Titanium added aluminum is deposited by DC magnetron sputtering. The new alloy expands the limitation on the driving power of the filters. Temperature, particularly, accelerates the degradation of the high power filters, the film resistance causes an even greater increase in temperature. Thus, optimum value for titanium of 0.4 wt.% can be achieved for high durability filters. ¬© 1988 The Japan Society of Applied Physics.</t>
  </si>
  <si>
    <t>175-177</t>
  </si>
  <si>
    <t>S1</t>
  </si>
  <si>
    <t>60003381;60003381;60003381;60003381;60003381</t>
  </si>
  <si>
    <t>7006220274;6701906849;55738407600;7403005505;7006984723</t>
  </si>
  <si>
    <t>Hosaka, Norio;Yuhara, Akitsuna;Watanabe, Hitoshi;Yamada, Jun;Kajiyama, Morio</t>
  </si>
  <si>
    <t>Hitachi, Ltd.</t>
  </si>
  <si>
    <t>Hosaka N.</t>
  </si>
  <si>
    <t>A study of al-alloy electrodes for high power saw filters</t>
  </si>
  <si>
    <t>10.7567/JJAPS.27S1.175</t>
  </si>
  <si>
    <t>2-s2.0-84956095148</t>
  </si>
  <si>
    <t>['principal conclusions', 'phase two', 'phase one', 'part iii', 'paper describes', 'like designs', 'intor design', 'implications relative', 'existing intor', 'end 1987', 'demo requirements', 'critical issues', 'comparative analysis']</t>
  </si>
  <si>
    <t>The INTOR Workshop started in 1979 with the aim to define, design and construct the next major experiment in the world tokamak programme. The Workshop was organized to run in phases. The paper describes the results of Phase Two A, Part III, which ran from mid-1985 to end 1987 and was concentrated on critical issues affecting the feasibility, objectives and cost of the INTOR design for a tokamak engineering test reactor. The paper also summarizes the results of INTOR Workshop studies on DEMO requirements and innovations which hold the promise to lead to improvements of the tokamak reactor concept. Instead of the updating of the early INTOR conceptual design of Phase One, which is necessary and which was planned for Part III of Phase Two A, a summary is presented which contains all principal conclusions from the work on critical issues and innovations as well as their implications relative to the INTOR design concept. Finally, a critical and comparative analysis of the existing INTOR-like designs is given. ¬© 1988 IOP Publishing Ltd.</t>
  </si>
  <si>
    <t>711-743</t>
  </si>
  <si>
    <t>Theory of bernstein wave coupling with loop antennas</t>
  </si>
  <si>
    <t>2-s2.0-84956108545</t>
  </si>
  <si>
    <t>Giornale Botanico Italiano</t>
  </si>
  <si>
    <t>60030318;60030318;60030318</t>
  </si>
  <si>
    <t>7201971898;57168500600;6701308180</t>
  </si>
  <si>
    <t>Jennings, R. C.;Zucchel1i, G.;Garlaschi, F. M.</t>
  </si>
  <si>
    <t>Milan</t>
  </si>
  <si>
    <t>Universit√† degli Studi di Milano</t>
  </si>
  <si>
    <t>Jennings R.C.</t>
  </si>
  <si>
    <t>The influence of chlorophyll photobleaching on energy transfer efficiency within photosystem ii antenna systems</t>
  </si>
  <si>
    <t>10.1080/11263508809430610</t>
  </si>
  <si>
    <t>2-s2.0-84960671169</t>
  </si>
  <si>
    <t>['¬© 1988', 'turbulent atmosphere', 'thus resolving', 'quantum electron', 'plane wave', 'optical society', 'one obtained', 'new york', 'mode theory', 'light depolarization', 'ieee j', 'depolarization ratio', 'approaches give', '20 years', '1974 )].', '1967 )].']</t>
  </si>
  <si>
    <t>The problem of light depolarization in a turbulent atmosphere is revisited by means of coupled-mode theory [D. Marcuse, Theory of Dielectric Optical Waveguides (Academic, New York, 1974)]. This allows, in particular, evaluation of the depolarization ratio for a plane wave and comparison of its expression with the one obtained in the frame of two distinct approaches predicting different behaviors [A. A. M. Saleh, IEEE J. Quantum Electron. QE-3, 540 (1967); J. W. Strohbehn and S. F. Clifford. IEEE Trans Antennas Propag. AP- 15, 416 (1967)]. It is shown that both approaches give the same result when calculated to the same order in both smallness parameters relevant to the problem, thus resolving a controversy of more than 20 years. ¬© 1988, Optical Society of America.</t>
  </si>
  <si>
    <t>2183-2186</t>
  </si>
  <si>
    <t>60038102;60018783;60027716</t>
  </si>
  <si>
    <t>7005572885;7003892577;7004459537</t>
  </si>
  <si>
    <t>Crosignani, B.;Di Porto, P.;Clifford, Steven F.</t>
  </si>
  <si>
    <t>Italy;United States;Italy</t>
  </si>
  <si>
    <t>Rome;Washington, D.C.;L'Aquila</t>
  </si>
  <si>
    <t>Fondazione Ugo Bordoni;National Oceanic and Atmospheric Administration;Universit√† degli Studi dell'Aquila</t>
  </si>
  <si>
    <t>60038102;60027716;60018783</t>
  </si>
  <si>
    <t>Crosignani B.</t>
  </si>
  <si>
    <t>Coupled-mode theory approach to depolarization associated with propagation in turbulent media</t>
  </si>
  <si>
    <t>10.1364/AO.27.002183</t>
  </si>
  <si>
    <t>2-s2.0-84975574882</t>
  </si>
  <si>
    <t>['wiley company', 'single ring', 'inc .,']</t>
  </si>
  <si>
    <t>concentric rings | dual band antennas | Microstrip patch antennas</t>
  </si>
  <si>
    <t>A concentric ring element has been investigated as a dual frequency band microstrip antenna. A model is presented for calculating the input impedance properties that include mutual coupling effects. It is shown that the radiation patterns may be computed from the TM12 mode fields for a single ring. Copyright ¬© 1988 Wiley Periodicals, Inc., A Wiley Company</t>
  </si>
  <si>
    <t>389-392</t>
  </si>
  <si>
    <t>60010818;60010818</t>
  </si>
  <si>
    <t>6507585335;56020461500</t>
  </si>
  <si>
    <t>Nurie, N. S.;Langley, R. J.</t>
  </si>
  <si>
    <t>Nurie N.</t>
  </si>
  <si>
    <t>Concentric ring microstrip antenna</t>
  </si>
  <si>
    <t>10.1002/mop.4650011012</t>
  </si>
  <si>
    <t>2-s2.0-84985315212</t>
  </si>
  <si>
    <t>['wiley company', 'small sections', 'reflector synthesis', 'reflector surfaces', 'locally planar', 'inc .,', 'go ),', 'geometrical optics', 'dual reflectors']</t>
  </si>
  <si>
    <t>antennas | Geometrical optics | reflectors</t>
  </si>
  <si>
    <t>A simplified mathematical synthesis of dual reflectors, based on geometrical optics (GO), is presented. In this method, the reflector surfaces are divided into small sections, and each section is assumed to be locally planar. This assumption greatly simplifies the mathematics of reflector synthesis and closed‚Äêform solutions are obtained. Copyright ¬© 1988 Wiley Periodicals, Inc., A Wiley Company</t>
  </si>
  <si>
    <t>367-371</t>
  </si>
  <si>
    <t>Lee, Choon S.</t>
  </si>
  <si>
    <t>Lee C.</t>
  </si>
  <si>
    <t>A simple method of dual‚Äêreflector geometrical optics synthesis</t>
  </si>
  <si>
    <t>10.1002/mop.4650011005</t>
  </si>
  <si>
    <t>2-s2.0-84985322334</t>
  </si>
  <si>
    <t>['wiley company', 'r modules', 'modules failure', 'large number', 'interelement spacing', 'inc .,', 'future generations', 'designed based', 'conventional technique', 'airborne platforms']</t>
  </si>
  <si>
    <t>Active phased array | failure analysis | optically controlled antennas | radiation pattern</t>
  </si>
  <si>
    <t>Future generations of phased array antennas for space‚Äêbased and airborne platforms are designed based on a large number of active T / R modules. The constructed radiating beam is degraded in the event of modules failure. Simulation results indicate that the control of frequency, interelement spacing, and the individual radiating element pattern alongside the more conventional technique of amplitude and phase can be used to reconfigure the desired radiating beam in the event of the active T / R module failure. Copyright ¬© 1988 Wiley Periodicals, Inc., A Wiley Company</t>
  </si>
  <si>
    <t>344-348</t>
  </si>
  <si>
    <t>60014662;60014662</t>
  </si>
  <si>
    <t>7006552817;7006140755</t>
  </si>
  <si>
    <t>Daryoush, A. S.;Choe, B.</t>
  </si>
  <si>
    <t>Drexel University</t>
  </si>
  <si>
    <t>Daryoush A.</t>
  </si>
  <si>
    <t>Optically reconfigured active phased array antennas</t>
  </si>
  <si>
    <t>10.1002/mop.4650010910</t>
  </si>
  <si>
    <t>2-s2.0-84985329919</t>
  </si>
  <si>
    <t>['wiley company', 'optical processing', 'inc .,']</t>
  </si>
  <si>
    <t>antenna arrays | complex signal reconstruction | Optical processing | phase retrieval</t>
  </si>
  <si>
    <t>Procedures are proposed for writing the phase and amplitude information received by an antenna array onto a coherent laser beam for optical processing. Copyright ¬© 1988 Wiley Periodicals, Inc., A Wiley Company</t>
  </si>
  <si>
    <t>100-102</t>
  </si>
  <si>
    <t>60020583;60020583;60017934</t>
  </si>
  <si>
    <t>56963652500;7102793101;57124601400</t>
  </si>
  <si>
    <t>Shamir, Joseph;Caulfield, H. John;Hendrickson, Brian M.</t>
  </si>
  <si>
    <t>Huntsville;Rome</t>
  </si>
  <si>
    <t>The University of Alabama in Huntsville;Griffiss AFB</t>
  </si>
  <si>
    <t>60020583;60017934</t>
  </si>
  <si>
    <t>Shamir J.</t>
  </si>
  <si>
    <t>Real‚Äêtime optical processing of antenna array signals</t>
  </si>
  <si>
    <t>10.1002/mop.4650010307</t>
  </si>
  <si>
    <t>2-s2.0-84985349805</t>
  </si>
  <si>
    <t>['wiley company', 'theoretical results', 'potential advantages', 'performance achievable', 'paper describes', 'inc .,', 'good agreement', 'feed horn', 'even though', 'design methodology']</t>
  </si>
  <si>
    <t>direct broadcasting satellite (DBS) | Dual‚Äêmode feeds | earth station antennas | mode matching techniques | offset antennas</t>
  </si>
  <si>
    <t>This paper describes a version of the dual‚Äêmodel feed horn that is considered particularly suitable for application in receive‚Äêonly reflector antennas. Even though it was originally presented many years ago, to the authors' knowledge this type of biconical feed horn has not previously been analyzed or utilized. The present paper aims to describe the potential advantages of this feed horn for low‚Äêcost satellite earth stations, and then briefly to illustrate the design methodology that was adopted. Finally, it presents some of the experimental and theoretical results, which are in good agreement and demonstrate the performance achievable with this class of feeds. Copyright ¬© 1988 Wiley Periodicals, Inc., A Wiley Company</t>
  </si>
  <si>
    <t>259-262</t>
  </si>
  <si>
    <t>60018363;60027509</t>
  </si>
  <si>
    <t>6603334959;56133438600</t>
  </si>
  <si>
    <t>Mani√°, Lucio;Vatalaro, Francesco</t>
  </si>
  <si>
    <t>Rome;Trieste</t>
  </si>
  <si>
    <t>Universit√† degli Studi di Roma "Tor Vergata";Universit√† degli Studi di Trieste</t>
  </si>
  <si>
    <t>60027509;60018363</t>
  </si>
  <si>
    <t>Mani√° L.</t>
  </si>
  <si>
    <t>A compact biconical dual‚Äêmode feed for low‚Äêcost offset reflector antennas</t>
  </si>
  <si>
    <t>10.1002/mop.4650010711</t>
  </si>
  <si>
    <t>2-s2.0-84985369631</t>
  </si>
  <si>
    <t>['wiley company', 'phase splitters', 'paper reports', 'inc .,', 'complete receiver', 'antenna selection']</t>
  </si>
  <si>
    <t>FET amplifier | microwave receiver | mixer | Monolithic circuits</t>
  </si>
  <si>
    <t>An L‚Äêband receiver using gallium arsenide monolithic integrated technique has been developed for low‚Äêcost manufacture. The front end receiver is comprised of an RF front‚Äêend amplifier, a single‚Äêpole‚Äêdouble‚Äêthrow switch for antenna selection, a local oscillator buffer amplifier, phase splitters, and a double balanced mixer. This paper reports the design, fabrication, packaging, and testing of the complete receiver. Copyright ¬© 1988 Wiley Periodicals, Inc., A Wiley Company</t>
  </si>
  <si>
    <t>95-100</t>
  </si>
  <si>
    <t>60031650;60031650;115596870;115596870</t>
  </si>
  <si>
    <t>6602566598;57191005399;57197512813;7003755007</t>
  </si>
  <si>
    <t>Bharj, Sarjit S.;Bayrun, John;Dayal, Har;Paradise, Ronald</t>
  </si>
  <si>
    <t>Warrendale;Wayne</t>
  </si>
  <si>
    <t>Anadigics, Inc.;Singer Electronic Systems Division</t>
  </si>
  <si>
    <t>60031650;115596870</t>
  </si>
  <si>
    <t>Bharj S.</t>
  </si>
  <si>
    <t>An L‚Äêband monolithic microwave receiver</t>
  </si>
  <si>
    <t>10.1002/mop.4650010306</t>
  </si>
  <si>
    <t>2-s2.0-84985379474</t>
  </si>
  <si>
    <t>['wiley company', 'inc .,']</t>
  </si>
  <si>
    <t>microwave‚Äêoptical devices | monolithic phased array | optoelectronic source | Picosecond switch</t>
  </si>
  <si>
    <t>Using picosecond photoconductors switched by a mode‚Äêlocked laser along with a filter and amplifier, we were able to generate an optically synchronized 20‚ÄêGHz wave, Stability characterization measurements were then performed on this signal, indicating its application to a number of high‚Äêspeed signal processing and phase‚Äêcontrol operations, such as a monolithic phased‚Äêarray antenna. Copyright ¬© 1988 Wiley Periodicals, Inc., A Wiley Company</t>
  </si>
  <si>
    <t>119-123</t>
  </si>
  <si>
    <t>60020304;60020304;60020304;60020304;60020304;60018836;60007742;60007742</t>
  </si>
  <si>
    <t>7401621092;6603775757;57203875412;7006596510;52763632200;6602881471;7101794937;55910934800</t>
  </si>
  <si>
    <t>Butler, Douglas;Chauchard, Eve A.;Webb, Kevin J.;Zaki, Kawthar A.;Lee, Chi H.;Polak‚ÄêDingels, Penny;Hung, Hing‚ÄêLol A.;Huang, Ho C.</t>
  </si>
  <si>
    <t>College Park;College Park;Clarksburg</t>
  </si>
  <si>
    <t>University of Maryland, College Park;Laboratory for Physical Sciences;Comsat Laboratories</t>
  </si>
  <si>
    <t>60020304;60018836;60007742</t>
  </si>
  <si>
    <t>Butler D.</t>
  </si>
  <si>
    <t>A cw 20‚ÄêGHZ optoelectronic source with phased‚Äêarray applications</t>
  </si>
  <si>
    <t>10.1002/mop.4650010403</t>
  </si>
  <si>
    <t>2-s2.0-84985383229</t>
  </si>
  <si>
    <t>['wiley company', 'present design', 'inc .,', 'high efficiency', 'frequency band']</t>
  </si>
  <si>
    <t>broadbanding techniques | reactance compensation | Waveguide slot antennas</t>
  </si>
  <si>
    <t>A compact, broadband double‚Äêslot waveguide antenna is presented. The present design is an improvement of another double‚Äêslot waveguide radiator proposed earlier by the authors. The antenna is characterized by high efficiency and moderate (less than 2.5:1) VSWR in more than 38% frequency band. Copyright ¬© 1988 Wiley Periodicals, Inc., A Wiley Company</t>
  </si>
  <si>
    <t>126-129</t>
  </si>
  <si>
    <t>117287963;117287963;117287963</t>
  </si>
  <si>
    <t>6602727515;7004654512;57191004033</t>
  </si>
  <si>
    <t>Kisliuk, M.;Axelrod, A.;Maoz, J.</t>
  </si>
  <si>
    <t>M.W.A.</t>
  </si>
  <si>
    <t>Kisliuk M.</t>
  </si>
  <si>
    <t>Compact, broadband double‚Äêslot waveguide radiator</t>
  </si>
  <si>
    <t>10.1002/mop.4650010405</t>
  </si>
  <si>
    <t>2-s2.0-84985400424</t>
  </si>
  <si>
    <t>['wiley company', 'slot admittance', 'magnetic field', 'integral equation', 'inc .,', 'good agreement']</t>
  </si>
  <si>
    <t>parallel plates | Slot | slot antenna | slotted waveguide</t>
  </si>
  <si>
    <t>A single longitudinal shunt slot in a rectangular waveguide radiating into a parallel plate region is analyzed. An expression for the magnetic field in the parallel plate region is obtained by developing a Green's function for this region. The slot admittance is computed. The subsequent formulation involves derivation of an integral equation which is solved by the method of moments. Good agreement with measurements has been established. Copyright ¬© 1988 Wiley Periodicals, Inc., A Wiley Company</t>
  </si>
  <si>
    <t>305-308</t>
  </si>
  <si>
    <t>Forooraghi, Keyvan</t>
  </si>
  <si>
    <t>Gothenburg</t>
  </si>
  <si>
    <t>Chalmers University of Technology</t>
  </si>
  <si>
    <t>Forooraghi K.</t>
  </si>
  <si>
    <t>Analysis of self‚Äêadmittance of a longitudinal shunt slot radiating into a parallel plate region</t>
  </si>
  <si>
    <t>10.1002/mop.4650010809</t>
  </si>
  <si>
    <t>2-s2.0-84985402834</t>
  </si>
  <si>
    <t>['wiley company', 'spherical radome', 'six reflectors', 'secondary pattern', 'reflector antennas', 'pattern computations', 'paper describes', 'inc .,', 'feed configurations', 'dielectric material', 'coating material']</t>
  </si>
  <si>
    <t>coating | geometrical optics rays | radome | Reflector antennas</t>
  </si>
  <si>
    <t>Based on shooting and bouncing geometrical optics rays, this paper describes an aperture integration method for computing the secondary pattern of reflector antennas. The method is versatile and flexible. Within the geometricdl optics accuracy, there is virtually no restriction on the number of reflectors, the coating material, radome, or the feed configurations. Pattern computations are shown for an antenna with six reflectors, coated with dielectric material and covered by a spherical radome. Copyright ¬© 1988 Wiley Periodicals, Inc., A Wiley Company</t>
  </si>
  <si>
    <t>7601396617;35850124600</t>
  </si>
  <si>
    <t>Lee, S. W.;Chou, R.</t>
  </si>
  <si>
    <t>A versatile reflector antenna pattern computation method: Shooting and bouncing rays</t>
  </si>
  <si>
    <t>10.1002/mop.4650010302</t>
  </si>
  <si>
    <t>2-s2.0-84985406638</t>
  </si>
  <si>
    <t>['wiley company', 'often reproduced', 'inc .,', 'differ slightly', 'conical horns', 'circa 1940']</t>
  </si>
  <si>
    <t>conical horn | Horn antenna</t>
  </si>
  <si>
    <t>The formula for directivity of conical horns has been recreated. Computer calculated curves are given that differ slightly from those of Gray and Schelkunoff, circa 1940, that are often reproduced in books. Copyright ¬© 1988 Wiley Periodicals, Inc., A Wiley Company</t>
  </si>
  <si>
    <t>386-388</t>
  </si>
  <si>
    <t>Hansen, R. C.</t>
  </si>
  <si>
    <t>Tarzana</t>
  </si>
  <si>
    <t>Consulting Engineer with R. C. Hansen Inc.</t>
  </si>
  <si>
    <t>Hansen R.</t>
  </si>
  <si>
    <t>On the directivity of conical horn antennas</t>
  </si>
  <si>
    <t>10.1002/mop.4650011011</t>
  </si>
  <si>
    <t>2-s2.0-84985409397</t>
  </si>
  <si>
    <t>['wiley company', 'inc .,', 'experimental verification', 'example design', 'elliptical case']</t>
  </si>
  <si>
    <t>low sidelobe | Offset reflector antenna | radar antenna</t>
  </si>
  <si>
    <t>An extension of the analysis of the parabolic circular prime‚Äêfed offset antenna to the elliptical prime‚Äêfed offset case is given. An example design with experimental verification is provided. Advantages / disadvantages of this elliptical case are discussed. Copyright ¬© 1988 Wiley Periodicals, Inc., A Wiley Company</t>
  </si>
  <si>
    <t>308-310</t>
  </si>
  <si>
    <t>Knop C.</t>
  </si>
  <si>
    <t>A note on a parabolic elliptical prime‚Äêfed offset reflector antenna</t>
  </si>
  <si>
    <t>10.1002/mop.4650010810</t>
  </si>
  <si>
    <t>2-s2.0-84985426064</t>
  </si>
  <si>
    <t>['‚ àí3', 'transport coefficients', 'suitable model', 'similar fashion', 'scale directly', 'radial positions', 'power balance', 'plasma currents', 'outside midplane', 'ohmic discharges', 'local parameters', 'jet sol', 'global particle', 'electron temperatures', 'electron temperature', 'comprehensive measurement', 'campare models', 'apparent absence']</t>
  </si>
  <si>
    <t>Langmuir probes mounted in an antenna protection tiles have facilitated the comprehensive measurement of electron temperatures and densities in the JET scrape‚Äêoff layer (sol)2. The probes are close to the outside midplane and at radial positions of 15 and 28 mm behind the last closed flux surface. The data are from ohmic discharges with plasma currents between 1 and 5 MA and average electron densities between 8 √ó 1018 and 5 √ó 1019 m‚àí3. Here we use these measurements in a simple diffusive model for the electrons to obtain empirical scalings of the transport coefficients with local parameters. The scalings are shown to be inconsistent with exponentially decaying profiles of electron temperature and density, such as are measured in the JET sol. In the apparent absence of a suitable model we are forced to scale directly the characteristic decay lengths in similar fashion. Finaally we use these dependences to campare models of global particle and power balance with the data. Copyright ¬© 1988 WILEY‚ÄêVCH Verlag GmbH &amp; Co. KGaA</t>
  </si>
  <si>
    <t>349-354</t>
  </si>
  <si>
    <t>Contributions to Plasma Physics</t>
  </si>
  <si>
    <t>117248306;117248306;117248306</t>
  </si>
  <si>
    <t>7006035508;35459336300;6603775337</t>
  </si>
  <si>
    <t>Lowry, C. G.;Harbour, P. J.;Tagle, J. A.</t>
  </si>
  <si>
    <t>Abingdon</t>
  </si>
  <si>
    <t>Lowry C.</t>
  </si>
  <si>
    <t>Transport Coefficients in the Jet Boundary</t>
  </si>
  <si>
    <t>10.1002/ctpp.2150280413</t>
  </si>
  <si>
    <t>2-s2.0-84985793547</t>
  </si>
  <si>
    <t>['wiley company', 'transmission line', 'straight line', 'power received', 'power radiated', 'measuring antenna', 'measured ones', 'inc .,', 'fields radiated', 'computed values', 'also made']</t>
  </si>
  <si>
    <t>This paper presents analytically electromagnetic fields radiated from finite‚Äêlength transmission‚Äêlines. The method is based on the fact that the measured power patterns radiated from the finite‚Äêlength transmission line are the same as that measured for the coupling, which is a phenomenon when a plane wave excites a transmission line. Under the hypothesis, reciprocity is assumed between the radiation and the coupling. The power radiated from the finite‚Äêlength transmission line, which is received by the measuring antenna, is obtained by the use of a circuit‚Äêconcept approach, the transmission‚Äêline equation for the coupling. By comparing the computed values with the measured ones, the reciprocity between them is verified. A discussion is also made on the model with a bend, in addition to the straight line, to confirm the validity. As a result, the fields radiated from the finite‚Äêlength transmission line are determined from the power received by the antenna. Copyright ¬© 1988 Wiley Periodicals, Inc., A Wiley Company</t>
  </si>
  <si>
    <t>58-65</t>
  </si>
  <si>
    <t>60032315;60033089</t>
  </si>
  <si>
    <t>7005314999;7403248989</t>
  </si>
  <si>
    <t>Kami, Yoshio;Sato, Risaburo</t>
  </si>
  <si>
    <t>Sendai;Chofu</t>
  </si>
  <si>
    <t>Tohoku Gakuin University;The University of Electro-Communications</t>
  </si>
  <si>
    <t>60033089;60032315</t>
  </si>
  <si>
    <t>Kami Y.</t>
  </si>
  <si>
    <t>Radiation phenomenon from transmission lines of finite length</t>
  </si>
  <si>
    <t>10.1002/ecja.4410710606</t>
  </si>
  <si>
    <t>2-s2.0-84985841355</t>
  </si>
  <si>
    <t>['‚ äênumber', 'syowa station', 'spatial resolution', 'results suggest', 'nightside magnetosphere', 'new type', 'morning sector', 'large azimuthal', 'copyright 1988', 'cna pulsations', 'cna pulsation', '3 km', '1980 ).', '13 ¬∞)', '10 km', '1 ).']</t>
  </si>
  <si>
    <t>A new type of cosmic noise absorption (CNA) pulsation is observed with a scanning beam riometer with a spatial resolution of 10 km, at Syowa station, Antarctica (L=6.1). This type of CNA pulsation has a short azimuthal wavelength (80‚Äì600 km), corresponding to a large azimuthal m‚Äênumber (20‚Äì180). Most CNA pulsations with a period of 1 to 10 min propagate eastward at a speed of 200 m/s to 3 km/s in the morning sector (5‚Äì10 MLT). The eastward propagation direction is opposite to that of CNA pulsations with a small m‚Äênumber as reported by Olson et al. (1980). The pulsation period tends to increase, while the propagation speed decreases with increasing local time. These results suggest that the source of this new type of CNA pulsation first appears in the nightside magnetosphere and moves toward noon. It is pointed out that the finding of this new CNA pulsation is due to the high spatial resolution (10 km) and narrow antenna beam (13¬∞) of the scanning riometer system. Copyright 1988 by the American Geophysical Union.</t>
  </si>
  <si>
    <t>168-171</t>
  </si>
  <si>
    <t>100427999;60006790;60006790</t>
  </si>
  <si>
    <t>57211899632;7201640168;7404180454</t>
  </si>
  <si>
    <t>Kikuchi, Takashi;Yamagishi, Hisao;Sato, Natsuo</t>
  </si>
  <si>
    <t>National Institute of Polar Research;Tokyo Research Laboratories</t>
  </si>
  <si>
    <t>60006790;100427999</t>
  </si>
  <si>
    <t>Kikuchi T.</t>
  </si>
  <si>
    <t>Eastward propagation of PC4‚Äê5 range CNA pulsations in the morning sector observed with scanning narrow beam riometer at L=6.1</t>
  </si>
  <si>
    <t>10.1029/GL015i002p00168</t>
  </si>
  <si>
    <t>2-s2.0-84986359053</t>
  </si>
  <si>
    <t>['¬© 1988', 'spacecraft called', 'solar wind', 'region downstream', 'pdp detected', 'many respects', 'july 29', 'gaseous emissions', 'frequencies extending', 'august 6', '5 mv', '10 khz']</t>
  </si>
  <si>
    <t>During the Spacelab‚Äê2 flight, which occurred from July 29, to August 6, 1985, a spacecraft called the Plasma Diagnostics Package (PDP) was released from the shuttle to explore the plasma environment around the shuttle. The plasma wave instrument on the PDP detected a region of intense broadband turbulence around the shuttle at frequencies extending from a few Hz to about 10 kHz. The noise has broadband intensities ranging from 1 to 5 mV/m and was observed at distances of up to 400 m from the shuttle. The highest intensities occurred in the region downstream of the shuttle and along magnetic field lines passing near the shuttle. The intensities also tended to increase during periods of high thruster activity, which provides strong evidence that the noise is caused by an interaction of the ionosphere with gaseous emissions from the shuttle, similar in many respects to the interaction of a comet with the solar wind. Antenna interference patterns observed in the wideband data show that the wavelength of the turbulence is very short, a few meters or less. ¬© 1988 by the Chinese Geophysical Society</t>
  </si>
  <si>
    <t>760-763</t>
  </si>
  <si>
    <t>60024324;60024324;60024324;60016296</t>
  </si>
  <si>
    <t>7007153701;7006701856;7202662288;6603780166</t>
  </si>
  <si>
    <t>Gurnett, D. A.;Kurth, W. S.;Steinberg, J. T.;Shawhan, S. D.</t>
  </si>
  <si>
    <t>Iowa City;Washington, D.C.</t>
  </si>
  <si>
    <t>University of Iowa;National Aeronautics and Space Administration</t>
  </si>
  <si>
    <t>60024324;60016296</t>
  </si>
  <si>
    <t>Gurnett D.</t>
  </si>
  <si>
    <t>Plasma wave turbulence around the shuttle: Results from the Spacelab‚Äê2 flight</t>
  </si>
  <si>
    <t>10.1029/GL015i008p00760</t>
  </si>
  <si>
    <t>2-s2.0-84986401784</t>
  </si>
  <si>
    <t>['‚ àí2', '‚ àí1', 'wiley blackwell', 'varied ppfds', 'saturating irradiances', 'rights reserved', 'red alga', 'reaction centers', 'phycobilisome number', 'laboratory cultures', 'high ppfds', 'effect noted', 'cultures grown', 'compensation points', '50 %)', '240 œºe', '180 œºe', '175 œºe', '110 chl']</t>
  </si>
  <si>
    <t>chlorophyll | oxygen evolution | P700 | photosystems | Porphyridium | Rhodophyta</t>
  </si>
  <si>
    <t>Acclimation to three photon flux densities (10, 35, 180 ŒºE.m‚àí2.s‚àí1) was determined in laboratory cultures of Porphyridium purpureum Bory, Drew and Ross. Cultures grown at low, medium, and high PPFDs had compensation points of &lt;3, 6, and 20 ŒºE‚Äêm‚àí2.s‚àí1, respectively, and saturating irradiances in the initial log phase of 90, 115, 175 ŒºE.m‚àí2.s‚àí1 and up to 240 ŒºE.m‚àí2.s‚àí1 in late log phase. High light cells had the smallest photosynthetic unit size (phycobiliproteins plus chlorophyll), the highest photosynthetic capacity, and the highest growth rates. Photosystem I reaction centers (P700) per cell remained proportional to chlorophyll at ca. 110 chl / P700. However, phycobiliprotein content decreased as did the phycobilisome number (ca. 50%) in high light cells, where as the phycobilisome size remained the same as in medium and low light cells. We concluded that acclimation of this red alga to varied PPFDs was manifested by the plasticity of the photosystem II antennae with little, if any, effect noted on photosystem I. Copyright ¬© 1988, Wiley Blackwell. All rights reserved</t>
  </si>
  <si>
    <t>452-458</t>
  </si>
  <si>
    <t>Journal of Phycology</t>
  </si>
  <si>
    <t>60015033;60015033</t>
  </si>
  <si>
    <t>7103255319;7005758772</t>
  </si>
  <si>
    <t>Levy, Israel;Gantt, Elisabeth</t>
  </si>
  <si>
    <t>Smithsonian Institution</t>
  </si>
  <si>
    <t>Levy I.</t>
  </si>
  <si>
    <t>LIGHT ACCLIMATION IN PORPHYRIDIUM PURPUREUM (RHODOPHYTA): GROWTH, PHOTOSYNTHESIS, AND PHYCOBILISOMES</t>
  </si>
  <si>
    <t>10.1111/j.1529-8817.1988.tb04247.x</t>
  </si>
  <si>
    <t>2-s2.0-84986806146</t>
  </si>
  <si>
    <t>['xanthophyll decreased', 'wiley blackwell', 'varying proportion', 'total chl', 'three bands', 'thalassiosira pseudonana', 'spectral characteristics', 'rights reserved', 'relative mass', 'readily dissociated', 'nitzschia sp', 'mono lake', 'membrane dissociation', 'may reflect', 'lhc1 occurred', 'lhc1 ).', 'hust .)', 'highly enriched', 'highest proportio', 'gel electrophoresis', 'fluorescence spectra', 'first time', 'enrichment carotene', 'digitonin treatment', 'digitonin followed', 'composed primarily', 'chl c', 'antenna pigments']</t>
  </si>
  <si>
    <t>Chlorophyll‚Äêcarotenoid‚Äêprotein complexes | diatoms | light‚Äêharvesting pigments | photosynthesis</t>
  </si>
  <si>
    <t>The isolation and characterization of six pigment‚Äêprotein complexes from five diatom species (Phaeodactylum tricornutum Bohlin, Chaetoceros gracilis Schutt, Nitzschia sp. Mono Lake, Nitzschia laevis Hust. and Thalassiosira pseudonana (Hust.) Hasle and Heimdal) was accomplished by membrane dissociation with digitonin followed by gel electrophoresis. Six analogous complexes obtained from all species were correlated in spectral characteristics and relative mass with complexes from higher plants obtained by the same procedure. The largest of these complexes, comprising about 15% of the total Chl a, contained reaction centers of Photosystem I (PSI) and antenna pigments (LHC1).Some PSI complexes also separated from LHC1 in the gel. For the first time in diatoms, a Photosystem II complex was isolated and identified from its position in the gels, absorption and fluorescence spectra, lack of P700, and enrichment carotene. Three antenna pigment‚Äêprotein complexes in addition to LHC1 occurred in varying proportion under different experimental conditions but in sum, they accounted for 70% of the total Chl a. All three bands were highly enriched in Chl c and fucoxanthin, although the ratio of Chl c/ xanthophyll decreased between the slowest migrating LHC2 and fastest moving LHC4 LHC3 contained the highest proportio of pigment‚Äêprotein and was composed primarily of polypeptides of about 18,000 D. Essentially all Œ±‚Äê and Œ≤‚Äêcarotene was bound to the reaction center complexes. The Nitzschia from Mono Lake differed from the other species in that PSI complexes could not be readily dissociated from its membrane by digitonin treatment, a characteristic which may reflect a different chloroplast membrane structure in this alga. Copyright ¬© 1988, Wiley Blackwell. All rights reserved</t>
  </si>
  <si>
    <t>96-102</t>
  </si>
  <si>
    <t>Brown, Jeanette S.</t>
  </si>
  <si>
    <t>Carnegie Institution of Washington</t>
  </si>
  <si>
    <t>Brown J.</t>
  </si>
  <si>
    <t>PHOTOSYNTHETIC PIGMENT ORGANIZATION IN DIATOMS (BACILLARIOPHYCEAE)</t>
  </si>
  <si>
    <t>10.1111/j.1529-8817.1988.tb04460.x</t>
  </si>
  <si>
    <t>2-s2.0-84986815081</t>
  </si>
  <si>
    <t>['wiley company', 'spreading resistance', 'skin effect', 'relaxation region', 'inc .,', 'displacement current', 'detection abilities', 'co2 lasers', 'carrier inertia', 'calculation based', '6 œºm', '118 œºm']</t>
  </si>
  <si>
    <t>Carrier density dependence of the detection abilities of an antenna‚Äêcoupled point‚Äêcontact Ge diode at 118 Œºm and 10.6 Œºm was studied. The optimum carrier densities obtained by experiments were 1016 cm‚àí3 and 2 √ó 1017 cm‚àí3 for CH3OH and CO2 lasers, respectively. These results were explained by calculation based on the assumption that the conductivity of the metal is in the relaxation region and that the spreading resistance of the semiconductor is affected by the skin effect, carrier inertia and displacement current. Copyright ¬© 1988 Wiley Periodicals, Inc., A Wiley Company</t>
  </si>
  <si>
    <t>57191232953;7004555963</t>
  </si>
  <si>
    <t>Inou, Narumi;Yasuoka, Yoshizumi</t>
  </si>
  <si>
    <t>Inou N.</t>
  </si>
  <si>
    <t>Detection of CH&lt;inf&gt;3&lt;/inf&gt;OH and CO&lt;inf&gt;2&lt;/inf&gt; Lasers by Antenna‚ÄêCoupled Point‚ÄêContact Schottky Diodes</t>
  </si>
  <si>
    <t>10.1002/ecjb.4420710801</t>
  </si>
  <si>
    <t>2-s2.0-84988110349</t>
  </si>
  <si>
    <t>['wiley blackwell', 'rights reserved', 'reference sample', 'red light', 'pigment composition', 'phycobilisome rods', 'photoinhibited cells', 'photobleached cells', 'molecular organization', 'functional decoupling', 'blue light', 'antenna pigments', 'algae photoinhibited', 'algae irradiated', '6 h', '5 days']</t>
  </si>
  <si>
    <t>Abstract‚Äî Time resolved emission spectra have been measured of Anabaena variabilis cells which were grown under different light conditions. The spectra of algae photoinhibited with strong white light for 6 h as well as of algae irradiated with blue light are similar to those of the control (weak white light). Cells that were photobleached with strong white light or red light (5 days each) show dramatic changes in their time resolved emission spectra. The contributions of long‚Äêlived components to the time resolved emission spectra are large in photobleached cells. In both the reference sample and in photoinhibited cells the short‚Äêlived components with lifetimes in the picosecond range prevail which indicates efficient energy transfer within the antenna pigments. The results upon photobleaching are discussed in terms of a functional decoupling of the phycobilisome rods from the core while photoinhibition does not influence the pigment composition and the molecular organization of the antenna pigments. Copyright ¬© 1988, Wiley Blackwell. All rights reserved</t>
  </si>
  <si>
    <t>101-105</t>
  </si>
  <si>
    <t>Photochemistry and Photobiology</t>
  </si>
  <si>
    <t>60072285;60072285;60012556;60012556</t>
  </si>
  <si>
    <t>6602426350;35501122300;6507056602;6701322294</t>
  </si>
  <si>
    <t>Bittersmann, E.;Holzwarth, A. R.;Agel, G.;Nultsch, W.</t>
  </si>
  <si>
    <t>Mulheim an der Ruhr;Marburg</t>
  </si>
  <si>
    <t>Max Planck Institute for Chemical Energy Conversion;Philipps-Universit√§t Marburg</t>
  </si>
  <si>
    <t>60072285;60012556</t>
  </si>
  <si>
    <t>Bittersmann E.</t>
  </si>
  <si>
    <t>PICOSECOND TIME‚ÄêRESOLVED EMISSION SPECTRA OF PHOTOINHIBITED AND PHOTOBLEACHED Anabaena variabilis</t>
  </si>
  <si>
    <t>10.1111/j.1751-1097.1988.tb02700.x</t>
  </si>
  <si>
    <t>2-s2.0-84989691458</t>
  </si>
  <si>
    <t>['well known', 'velocity field', 'vector field', 'ts2 uses', 'ts2 ),', 'tl ),', 'series method', 'rotating disk', 'rk4 ),', 'required accuracy', 'point dipole', 'physical fields', 'one sees', 'one prefers', 'molecular density', 'methods allow', 'large differences', 'highest level', 'found appropriate', 'field points', 'field point', 'field lines', 'field line', 'exactly expressible', 'exact fields', 'electric fields', 'electric field', 'different algorithms', 'differences diminishes', 'cubic splines', 'computationally intensive', 'cf uses', 'cf ).', 'bs ),', 'arbitrary change', 'appropriate algorithms', 'analytic form', 'also sees', 'absolute errors']</t>
  </si>
  <si>
    <t>Toward the goal of efficiently computing field lines for molecular vector fields, where each field‚Äêpoint calculation is computationally intensive, a few appropriate algorithms for calculating vector field lines are presented and compared for various representative applications. Among these algorithms are the first‚Äêorder tangent‚Äêline method (TL), the fourth‚Äêorder Runge‚ÄêKutta method (RK4), the infinite‚Äêorder Bulirsch‚ÄêStoer method (BS), the second‚Äêorder Taylor's series method (TS2), and the second‚Äêorder ‚Äúcurvature‚Äêfollowing‚Äù method (CF). The TL and the RK4 are well known. The TS2 and the CF are new. The RK4, The TS2, and the CF are appropriate for obtaining high accuracy with few field‚Äêpoint calculations. The TL is definitely not appropriate for this purpose, and the BS is so appropriate only at the highest level of required accuracy. The CF uses the value of the vector field and its gradient at the given field point in order to locate the center of curvature of the field line at that point and, thereby, to extrapolate the field line, as an arc of a circle, to the next field point. The TS2 uses the same information, but extrapolates the field line as a segment of a parabola whose vertex is at the field point. The BS is an infinite‚Äêorder extrapolation on successively finer scale iterations of the lowest‚Äêorder Runge‚ÄêKutta method. All of these methods are compared for the velocity field of a rotating disk, for the vector field of a point dipole, and for electric field of a high‚Äêspeed orbiting charged particle. For all of these fields, the field lines are exactly expressible in analytic form, so the absolute errors of these different algorithms can be appraised. As several of these methods allow a rather large step size, it was found appropriate to use a continuous‚Äê(geometrical)‚Äêcurvature interpolation scheme to interpolate between the field points on the generated field lines. One prefers this scheme to the use of cubic splines when the physical fields should have their ‚Äúgeometrical pictures‚Äù (even under approximation) invariant to an arbitrary change of the coordinate system used in the calculation. These methods have also been used to generate field lines for the approximate and the exact fields of a half‚Äêwave antenna. In this case, one sees very large differences in the structure of the field lines of the approximate and the exact fields, in the near‚Äêfield region, and also sees the manner in which each of these differences diminishes to zero as the field point approaches the far‚Äêfield region; features that would have been very hard to observe by purely analytical methods. It is hoped that these methods for field line generation might have application for the field lines of the gradient of the molecular density (as in Bader's theory of atoms in molecules) and for the field lines of the electric fields of nucleic acid molecules. Copyright ¬© 1988 John Wiley &amp; Sons, Inc.</t>
  </si>
  <si>
    <t>515-535</t>
  </si>
  <si>
    <t>22 S</t>
  </si>
  <si>
    <t>1097461X</t>
  </si>
  <si>
    <t>International Journal of Quantum Chemistry</t>
  </si>
  <si>
    <t>12/19 March 1988</t>
  </si>
  <si>
    <t>60006832;60006832-60011976;60006832</t>
  </si>
  <si>
    <t>23039100200;57191466391;57191464872</t>
  </si>
  <si>
    <t>Larson, Everett G.;Richards, Kenneth G.;Tolman, Darlene E.</t>
  </si>
  <si>
    <t>Fairbanks;Provo</t>
  </si>
  <si>
    <t>University of Alaska Fairbanks;Brigham Young University</t>
  </si>
  <si>
    <t>60011976;60006832</t>
  </si>
  <si>
    <t>Larson E.</t>
  </si>
  <si>
    <t>Some geometrical algorithms for generation of field lines of a vector field‚Äîdesigned for high accuracy with calculations at only a few field points</t>
  </si>
  <si>
    <t>10.1002/qua.560340857</t>
  </si>
  <si>
    <t>2-s2.0-84990643410</t>
  </si>
  <si>
    <t>['unlike chlorophyll', 'time profile', 'thus responsible', 'temporal quenching', 'retinal chromophore', 'reaction center', 'possible conclusions', 'photosynthetic system', 'making atp', 'latter process', 'following results', 'first step', 'energy storage', 'energetically responsible', 'e .,', 'deprotonation process', 'charge separation', 'cell membrane', 'besides chlorophyll', 'antenna system', 'absorbs light', 'absorbing molecule']</t>
  </si>
  <si>
    <t>Bacteriorhodopsin, bR, the other photosynthetic system in nature (besides chlorophyll) absorbs light and undergoes a cycle involving intermediates appearing in different time domains (from fractions of picoseconds to several milliseconds). As a result, the protonated Schiff base (PSB) deprotonates, and protons are pumped from inside to the outside of the cell membrane, creating proton gradients that are energetically responsible for making ATP. Using time‚Äêresolved Raman and optical spectroscopic experiments, the following results and possible conclusions are obtained. (1) Unlike chlorophyll, bR does not use an antenna system, i.e., each absorbing molecule is a reaction center. (2) Isomerization of its retinal chromophore, which leads to the first step in energy storage by charge separation, occurs on the subpicosecond time scale. (3) The deprotonation of the PSB and a tyrosine, which occur on the 40 Œºs time scale, is found to have activation energies comparable to H‚Äêbond energies. This, together with the fact that the temporal quenching of the tryptophan fluorescence follows the time profile of the deprotonation strongly suggests that the latter process is controlled by protein conformation changes. (4) Cations are found to be required for the deprotonation process and are believed to control the protein conformation required for this process. Possible mechanisms responsible for the decrease in the pKa of the PSB from 13.3 to &lt;2.6 during the photocycle, and are thus responsible for the deprotonation process, are discussed. Copyright ¬© 1988 John Wiley &amp; Sons, Inc.</t>
  </si>
  <si>
    <t>367-375</t>
  </si>
  <si>
    <t>El‚ÄêSayed, M. A.</t>
  </si>
  <si>
    <t>El‚ÄêSayed M.</t>
  </si>
  <si>
    <t>On the molecular mechanisms of solar energy storage during the photocycle of the other photosynthetic system in nature, bacteriorhodopsin</t>
  </si>
  <si>
    <t>10.1002/qua.560340841</t>
  </si>
  <si>
    <t>2-s2.0-84990723338</t>
  </si>
  <si>
    <t>['¬© 1988', 'rights reserved', 'proposed using', 'precision engineering', 'optimal location', 'mechanical decoupling', 'japan society', 'important problems', 'geometric positions', 'generalized inverse', 'general condition', 'f .)', 'derived using', 'damping coefficient', 'control design', 'arbitrary bandwidth', '6 electromagnets']</t>
  </si>
  <si>
    <t>antenna pointing mechanism | decoupling control | magnetic suspension | singular value decomposition</t>
  </si>
  <si>
    <t>Mechanism and control design of magnetically suspended multiple degree-of-freedom (D.O.F.) positioners are described. One of the most important problems of the mechanism is optimal location of electromagnets and sensors. The general condition of mechanical decoupling is derived using a general electromagnet location matrix determined by the geometric positions and attitudes of the electromagnets. An electromagnet locating method robust to magnetic parameter change is proposed using singular value decomposition representation. A controller that has an arbitrary bandwidth and damping coefficient with respect to each. D.O.F. and minimal energy loss through the electromagnets is proposed using a generalized inverse of the electromagnet location matrix. As an example, a 5 D.O.F. model with 6 electromagnets was designed and experimental results supporting the design were obtained. ¬© 1988, The Japan Society for Precision Engineering. All rights reserved.</t>
  </si>
  <si>
    <t>2125-2131</t>
  </si>
  <si>
    <t>Journal of the Japan Society for Precision Engineering</t>
  </si>
  <si>
    <t>56210457600;57206527452</t>
  </si>
  <si>
    <t>Iwaki, Satoshi;Matsuda, Ryuichi</t>
  </si>
  <si>
    <t>Iwaki S.</t>
  </si>
  <si>
    <t>Mechanism and Control of Magnetically Suspended Multiple Degree-of-Freedom Positioners</t>
  </si>
  <si>
    <t>10.2493/jjspe.54.2125</t>
  </si>
  <si>
    <t>2-s2.0-85004246611</t>
  </si>
  <si>
    <t>['¬© 1988', 'soft grasping', 'seedling position', 'rights reserved', 'representative technique', 'prototype devices', 'precision engineering', 'japan society', 'first study', 'diameter 0', 'color sensors', 'antenna sensor', '5 mm']</t>
  </si>
  <si>
    <t>automation | biotechnology | plant | robot | seedling transplantation | sensor | shape memory alloy actuator | tissue culture</t>
  </si>
  <si>
    <t>A fully automatic system for the seedling transplantation process was investigated as the first study of the automation for the plant tissue cultivation, is a representative technique in biotechnology. As a result, the transplantation robot called ‚ÄòMericlone robot‚Äô drived by the shape memory alloy actuator, the plant-antenna sensor for detecting a seedling position and the seedling growth state discriminator employing the color sensors were conceived and developed. Furthermore a microcomputer-controlled seedling transplantation system was developed by integrating all the above prototype devices. This system yields success in soft grasping, planting, and unplanting the seedlings of diameter 0.5 mm and length 20 mm, at 15 mm spacing into the culture medium without damage to the seedlings. ¬© 1988, The Japan Society for Precision Engineering. All rights reserved.</t>
  </si>
  <si>
    <t>1107-1112</t>
  </si>
  <si>
    <t>7101723593;57192323885;6507370217;57192332531</t>
  </si>
  <si>
    <t>Miwa, Yoshiyuki;Yamamoto, Toshirou;Kushihashi, Yasuhiro;Kodama, Hiroshi</t>
  </si>
  <si>
    <t>Miwa Y.</t>
  </si>
  <si>
    <t>Study on Automation of Plant Tissue Culture Process (1st Report) ‚ÄîDevelopment of Automatic Seedling Transplantation System‚Äî</t>
  </si>
  <si>
    <t>10.2493/jjspe.54.1107</t>
  </si>
  <si>
    <t>2-s2.0-85004485812</t>
  </si>
  <si>
    <t>['¬© 1988', 'western strains', 'vicieae legumes', 'storage host', 'rights reserved', 'reduced pectination', 'male antennae', 'japanese society', 'japanese ).', 'horse beans', 'head width', 'applied entomology', 'antennal pectination']</t>
  </si>
  <si>
    <t>The ratio of the width of apical third segment of the antenna, Q, to the head width, C, was used as an index of antennal pectination in C. chinensis. Western (Ethiopian, Iranian and Indian) strains showed smaller values of Q/C than eastern (Chinese, Korean and Japanese). The reduced pectination of the male antennae in the western strains is assumed to be caused by the its long indoor life on the seeds of Vicieae legumes, i.e. peas, horse beans or lentils which serve as only storage host of the bruchid. ¬© 1988, JAPANESE SOCIETY OF APPLIED ENTOMOLOGY AND ZOOLOGY. All rights reserved.</t>
  </si>
  <si>
    <t>282-290</t>
  </si>
  <si>
    <t>1347605X</t>
  </si>
  <si>
    <t>Applied Entomology and Zoology</t>
  </si>
  <si>
    <t>100748804;117830140</t>
  </si>
  <si>
    <t>7403345660;57192339206</t>
  </si>
  <si>
    <t>Watanabe, Naoshi;Sugimoto, Shunichiro</t>
  </si>
  <si>
    <t>Yokohama;Kobe</t>
  </si>
  <si>
    <t>Plant Quarantine Research Center;Kobe Plant Protection Station</t>
  </si>
  <si>
    <t>117830140;100748804</t>
  </si>
  <si>
    <t>Watanabe N.</t>
  </si>
  <si>
    <t>Geographic Variation in Male Antenna of the Azuki Bean Weevil, Callosobruchus Chinensis (L.) (Coleoptera: Bruchidae)</t>
  </si>
  <si>
    <t>10.1303/aez.23.282</t>
  </si>
  <si>
    <t>2-s2.0-85004559905</t>
  </si>
  <si>
    <t>['¬© 1988', 'thus concluded', 'sulfur compounds', 'stimulants indicated', 'rights reserved', 'related non', 'propylthio compounds', 'oviposition stimulants', 'onion fly', 'olfactory receptors', 'obiposition stimulants', 'japanese society', 'electrophysiological investigation', 'eag responses', 'dnpd cells', 'dipropyl disulfide', 'cells characterized', 'applied entomology']</t>
  </si>
  <si>
    <t>Electrophysiological investigation of the antenna of the onion fly, Hylemya antiqua Meigen was made in relation to the specific oviposition stimulativeness of the propylthio compounds. 1. The compounds with a propylthio moiety elicited high electroantennogram (EAG) respones in general, though some non-stimulants also raised high EAG resopnses. 2. EAG responses for sulfur compounds were similar to those obtained with single cell recordings from DNPD cells, a group of cells characterized by resonsiveness to dipropyl disulfide. 3. Analysis of dose-EAG response regression lines for obiposition stimulants and related non-stimulants indicated that all oviposition stimulants are received by the same receptor. 4. It was thus concluded that the specific oviposition stimulativeness of the propylthio compounds can be explained in part by the specificity of olfactory receptors on the antenna. ¬© 1988, JAPANESE SOCIETY OF APPLIED ENTOMOLOGY AND ZOOLOGY. All rights reserved.</t>
  </si>
  <si>
    <t>388-395</t>
  </si>
  <si>
    <t>Ishikawa, Yukio</t>
  </si>
  <si>
    <t>The University of Tokyo</t>
  </si>
  <si>
    <t>Ishikawa Y.</t>
  </si>
  <si>
    <t>Electroantennogram Responses of the Onion Fly, Hylemya Antiqua Meigen (Diptera: Anthomyiidae) to Oviposition Stimulants</t>
  </si>
  <si>
    <t>10.1303/aez.23.388</t>
  </si>
  <si>
    <t>2-s2.0-85004575666</t>
  </si>
  <si>
    <t>['whose genes', 'structural polypeptide', 'strains may', 'rhodobacter capsulatus', 'residues larger', 'reaction center', 'photochemically active', 'lhi genes', 'lhi complex', 'fourteen mutations', 'deletion strains', 'complementing plasmids', 'b880 complex', 'aspartic acid', 'antenna genes']</t>
  </si>
  <si>
    <t>Oligonucleotide‚Äêmediated mutagenesis of the light‚Äêharvesting I (LHI; B880 complex) antenna genes from Rhodobacter capsulatus has been used to study the bacteriochlorophyll‚Äêpeptide interactions in this photosynthetic membrane complex. A system of deletion strains and complementing plasmids has been used to assay the effects of changing single amino acid residues in the a structural polypeptide of LHI. Fourteen mutations have been introduced in the putative bacteriochlorophyll‚Äêbinding site: Ala‚ÄêX‚ÄêX‚ÄêX‚ÄêHis. Residues with side chains smaller than valine can substitute for alanine, but the LHI complex is lost from the membrane if alanine is replaced by residues larger than valine, or if histidine is replaced by arginine, asparagine, aspartic acid, glutamine, proline, or threonine. The block in biogenesis is not transcriptional, since the associated reaction center, whose genes are known to be downstream from the LHI genes, continues to be inserted into the membrane. The membrane‚Äêbound reaction center is photochemically active in these LHI‚Äêdepleted strains. Such strains may be useful for directly observing electron transfer properties of the reaction center in the membrane. This system is a model for studying the assembly of integral membrane proteins, since easily assigned optical transitions of the prosthetic groups signal proper assembly. Copyright ¬© 1988 WILEY‚ÄêVCH Verlag GmbH &amp; Co. KGaA, Weinheim</t>
  </si>
  <si>
    <t>73-78</t>
  </si>
  <si>
    <t>Israel Journal of Chemistry</t>
  </si>
  <si>
    <t>60022195;60022195;60022195</t>
  </si>
  <si>
    <t>57216586907;7007003927;7004557866</t>
  </si>
  <si>
    <t>Bylina, Edward J.;Robles, Steven J.;Youvan, Douglas C.</t>
  </si>
  <si>
    <t>Bylina E.J.</t>
  </si>
  <si>
    <t>Directed Mutations Affecting the Putative Bacteriochlorophyll‚ÄêBinding Sites in the Light‚ÄêHarvesting I Antenna of Rhodobacter capsulatus</t>
  </si>
  <si>
    <t>10.1002/ijch.198800015</t>
  </si>
  <si>
    <t>2-s2.0-85005726073</t>
  </si>
  <si>
    <t>['systems obtained', 'short range', 'several areas', 'second system', 'salt used', 'particular reflection', 'particular mine', 'multiple signal', 'maximum range', 'locations within', 'good results', 'foxtrot tests', 'foxtrot obtained', 'first system', 'conduct tests', 'clean salt', 'bravo obtained', 'bravo antennas', 'authors believe', 'another station']</t>
  </si>
  <si>
    <t>Two radar systems were used to conduct tests in a European salt mine. Both systems obtained very good results. An electromagnetic wave speed of 122 m/ms in salt was measured in this particular mine. Using the first system, Bravo, for long range probing, several areas that appeared to contain many anhydrite stringers and other areas that appeared to have good, clean salt were found. Bravo obtained a maximum range of 592 m. At a few locations the Bravo antennas were moved in azimuth in order to pin-point the location of a particular reflection. At one of these stations, a reflection that corresponded to a known anhydrite stringer was located. With the second system, Foxtrot, which was used for short range, high resolution tests, a primary and a multiple signal were recorded from a known anhydrite layer below the mine‚Äôs salt floor. At another station, Foxtrot obtained a maximum range of 47 m. The salt used for the Foxtrot tests was not as pure as in other locations within the mine. The authors believe that Foxtrot tests at other locations might yield probing distances up to 70 or 80 m. ¬© ASEG 1988.</t>
  </si>
  <si>
    <t>370-373</t>
  </si>
  <si>
    <t>Exploration Geophysics</t>
  </si>
  <si>
    <t>6603940516;57192946563</t>
  </si>
  <si>
    <t>Unterberger, Robert R.;Mims, John H.</t>
  </si>
  <si>
    <t>Unterberger R.</t>
  </si>
  <si>
    <t>Radar probing through 600 metres of Zechstein Salt</t>
  </si>
  <si>
    <t>10.1071/EG988370</t>
  </si>
  <si>
    <t>2-s2.0-85009359116</t>
  </si>
  <si>
    <t>['time processing', 'target coordinates', 'receiving elements', 'phase characteristics', 'fresnel zone', 'coherent space', 'antenna system']</t>
  </si>
  <si>
    <t>An estimate of the position of a point target moving in the Fresnel zone of a multiposition antenna system is considered in the case of coherent space-time processing of the received broadband signals. The effect of the amplitude and phase characteristics of the receiving elements of the antenna system on the accuray with which the target coordinates and their derivatives are estimated is analyzed.</t>
  </si>
  <si>
    <t>Radioelectronics and Communications Systems</t>
  </si>
  <si>
    <t>Nakhmanson, G. S.</t>
  </si>
  <si>
    <t>Nakhmanson G.</t>
  </si>
  <si>
    <t>The effect of random spread of the parameters of the elements of an antenna system on the accuracy with which the coordinates of a point target and their derivatives can be estimated</t>
  </si>
  <si>
    <t>2-s2.0-85014991299</t>
  </si>
  <si>
    <t>['special cases', 'processing criteria', 'minimum interference']</t>
  </si>
  <si>
    <t>The problems of separating vector space-time radio signals using multichannel antenna receiving systems containing antenna elements that are separated in space or with respect to angle of rotation are considered. Processing criteria of the minimum interference/signal ratio type are used. Special cases of processing are investigated.</t>
  </si>
  <si>
    <t>13-18</t>
  </si>
  <si>
    <t>Knyaz, A. I.</t>
  </si>
  <si>
    <t>Knyaz A.</t>
  </si>
  <si>
    <t>Separation of vector space-time signals using multichannel antenna receivers</t>
  </si>
  <si>
    <t>2-s2.0-85014994571</t>
  </si>
  <si>
    <t>['two k', 'sufficient statistics', 'single sample', 'monochromatic signals', 'minimum eigenvalues', 'likelihood estimates', 'known functions', 'estimates obtained', 'eigenvectors corresponding', 'direction cosines', 'degree polynomials', 'constructing maximum', 'angular coordinates']</t>
  </si>
  <si>
    <t>A method of constructing maximum-likelihood estimates in the problem of determining the angular coordinates of the sources of a known number K of monochromatic signals from a single sample of observations from the outputs of a plane equidistant antenna array is considered. The solution of the problem is reduced to obtaining the roots of two K-degree polynomials, which determine the maximum-likelihood estimates of the direction cosines. The maximum-likelihood estimates of the vectors of the coefficients of these polynomials are determined by the eigenvectors corresponding to the minimum eigenvalues of two Hermitian matrices, the elements of which are known functions of the sufficient statistics in this problem. The results of an analysis of the quality of the estimates obtained are given.</t>
  </si>
  <si>
    <t>7003496334;6507354623</t>
  </si>
  <si>
    <t>Konovalov, L. N.;Merkulenko, I. D.</t>
  </si>
  <si>
    <t>Konovalov L.</t>
  </si>
  <si>
    <t>Determination of the angular coordinates of sources of radiation with a planar equidistant antenna array using the maximum-likelihood method</t>
  </si>
  <si>
    <t>2-s2.0-85015070158</t>
  </si>
  <si>
    <t>['¬© 1988', 'unusually fast', 'rights reserved', 'result suggests', 'racemic mixture', 'pigment consists', 'phase hplc', 'monomeric form', 'model comes', 'minor impurities', 'mass spectroscopy', 'major component', 'low concentrations', 'large size', 'hexane produces', 'energy transfer', 'different configurations', 'complex mixture', 'chlorosomes must', 'chloroflexus aurantiacus', 'chiral center', 'chemical society', 'bchl c', 'absorption spectrum', 'absorption maxima', '80 ps', '750 nm', '742 nm', '462 nm']</t>
  </si>
  <si>
    <t>Bacteriochlorophyll(BChl) c was extracted from Chloroflexus aurantiacus and purified by reversed-phase HPLC, This pigment consists of a complex mixture of homologues, the major component of which was characterised by NMR and mass spectroscopy. Unlike previously characterized BChls c, the pigment from C. aurantiacus is a racemic mixture of and S-isomer with different configurations at the 2 a chiral center. Diluting a concetrated dichloromethane solution of BChl c with hexane produces an aggregate with absorption maxima at 740~742 nm and 460~462 nm, Both the absorption spectrum and fluorescence emission spectrum (maximum at 750 nm) of this aggregate closely match those of BChl c in chlorosomes. Further support for this model comes from the ability of alcohols, which disrupt BChl c aggregates by ligating the central Mg atom, to convert BChl c in chlorosomes to a monomeric form when added in low concentrations. The lifetime of fluorescence from the 740 nm absorbing BChl c aggregate is about 80 ps, Although exciton quenching might be unusually fast in the in vitro BChl c aggregate because of its large size and/or the presence of minor impurities, this result suggests that energy transfer from BChl c antenna in chlorosomes must be very fast if it is to be efficient. ¬© 1988, The Chemical Society of Japan. All rights reserved.</t>
  </si>
  <si>
    <t>558-565</t>
  </si>
  <si>
    <t>Nippon Kagaku Kaishi</t>
  </si>
  <si>
    <t>60008435;60003892;60003892;60003892</t>
  </si>
  <si>
    <t>7103347251;7202179625;7005522646;57193780170</t>
  </si>
  <si>
    <t>Nozawa, Tsunenori;Hatano, Masahiro;Brune, D. C.;Ship, Blanken</t>
  </si>
  <si>
    <t>Sendai;Tempe</t>
  </si>
  <si>
    <t>Tohoku University;Arizona State University</t>
  </si>
  <si>
    <t>60008435;60003892</t>
  </si>
  <si>
    <t>Nozawa T.</t>
  </si>
  <si>
    <t>Antenna Organization in Green Photosynthetic Bacteria '-Aggregated Bacteriochlorophyll c as a Model for Chlorosomes'</t>
  </si>
  <si>
    <t>10.1246/nikkashi.1988.558</t>
  </si>
  <si>
    <t>2-s2.0-85016529602</t>
  </si>
  <si>
    <t>['¬© 1988', 'space sciences', 'space plasma', 'sounder antenna', 'rights reserved', 'rf pulse', 'plasma resonances', 'instability due', 'generation mechanism', 'esch waves', 'electron burst', 'electron beam', 'clear signature', 'chamber plasma', 'board l', 'antenna charging', 'also verified', '9 rocket']</t>
  </si>
  <si>
    <t>RF sounder experiments on board L-3H-9 rocket were carried out in order to investigate the generation mechanism of plasma resonances produced by electrostatic electron cyclotron harmonic (ESCH) waves. The spectrum of the stimulated plasma resonances suggested that there are ESCH waves generated by the instability due to an electron beam, which is caused by antenna charging by an impressed RF field. The observed frequency range of the generated ESCH waves is in agreement with the range theoretically predicted for ESCH wave instabilities triggered by low energy electron beams. The generation of an electron beam is verified by a space simulation chamber experiment. When an RF pulse is applied from a sounder antenna in the chamber plasma, a clear signature of an electron burst was observed. The characteristics of the beam type instability are also verified by K-9M-61 sounding rocket experiment. In the space plasma, beam type instability generates the same branches of the ESCH waves as the plasma resonances by the L-3H-9 plasma sounder experiment. ¬© 1988, Society of Geomagnetism and Earth, Planetary and Space Sciences. All rights reserved.</t>
  </si>
  <si>
    <t>1319-1337</t>
  </si>
  <si>
    <t>60006790;60008435</t>
  </si>
  <si>
    <t>57203275549;8425422900</t>
  </si>
  <si>
    <t>Ono, Takayuki;Oya, Hiroshi</t>
  </si>
  <si>
    <t>Sendai;Tokyo</t>
  </si>
  <si>
    <t>Tohoku University;National Institute of Polar Research</t>
  </si>
  <si>
    <t>60008435;60006790</t>
  </si>
  <si>
    <t>Ono T.</t>
  </si>
  <si>
    <t>Beam Instabilities Induced by Pulsed Rf Field: RF Sounder Experiment by L-3H-9 Rocket</t>
  </si>
  <si>
    <t>10.5636/jgg.40.1319</t>
  </si>
  <si>
    <t>2-s2.0-85024295433</t>
  </si>
  <si>
    <t>['¬© 1988', 'time within', 'space sciences', 'several mev', 'rocket experiments', 'rights reserved', 'relativistic equations', 'practical attempts', 'potential well', 'magnetized plasmas', 'initial conditions', 'hipas facility', 'hipas antennas', 'energy oscillates', 'electron energy', 'early winter', 'arbitrary angles', '108 mw']</t>
  </si>
  <si>
    <t>The relativistic equations of motion have been analyzed for electrons in magnetized plasmas and externally imposed electromagnetic fields that propagate at arbitrary angles to the background magnetic field. The electron energy is obtained from a set of non-linear differential equations as functions of time, initial conditions and cyclotron harmonic numbers. For a given cyclotron resonance the energy oscillates in time within the limits of a potential well. Stochastic acceleration occurs if the widths of hamiltonian potentials overlap. Numerical analyses suggest that, at wave energy fluxes in excess of 108 mW/m2, initially cold electrons can be accelerated to energies of several MeV in less than a millisecond. Practical attempts to validate the theory with a series of planned rocket flights over the HIPAS facility in Alaska are discussed. The HIPAS antennas will be used to irradiate the magnetic mirror points of 10-40keV electrons emitted from the ECHO 7 rocket in the early winter of 1988. Follow-on rocket experiments to exploit the wave amplification properties of the ionospheric ‚Äúradio window‚Äù are described. ¬© 1988, Society of Geomagnetism and Earth, Planetary and Space Sciences. All rights reserved.</t>
  </si>
  <si>
    <t>1147-1159</t>
  </si>
  <si>
    <t>60001247;60001247;60001247;118847766</t>
  </si>
  <si>
    <t>24283006800;6602319753;8230932400;57212410654</t>
  </si>
  <si>
    <t>Burke, William J.;Ginet, Gregory P.;Heinemann, Michael A.;Villalon, Elena</t>
  </si>
  <si>
    <t>Hanscom AFB;Monsen Rd.</t>
  </si>
  <si>
    <t>60001247;118847766</t>
  </si>
  <si>
    <t>Burke W.</t>
  </si>
  <si>
    <t>Electron Acceleration in the Ionosphere by Obliquely Propating Electromagnetic Waves</t>
  </si>
  <si>
    <t>10.5636/jgg.40.1147</t>
  </si>
  <si>
    <t>2-s2.0-85024299515</t>
  </si>
  <si>
    <t>['¬© 1988', 'spacelab 1', 'space sciences', 'space experiment', 'sepac achievement', 'rights reserved', 'particle accelerators', 'discussed based', 'beam experiment']</t>
  </si>
  <si>
    <t>Future of the electron beam experiment is discussed based on the experience of the space shuttle experiment SEPAC (Space Experiment with Particle Accelerators) on Spacelab 1. After a review of the SEPAC achievement, problems which the electron beam experiment is facing are discussed and the importance of finding new applications of the beam experiment in space such as the electron beam antenna for low frequency wave excitation is emphasized. ¬© 1988, Society of Geomagnetism and Earth, Planetary and Space Sciences. All rights reserved.</t>
  </si>
  <si>
    <t>1269-1281</t>
  </si>
  <si>
    <t>Kawashima, Nobuki</t>
  </si>
  <si>
    <t>Kawashima N.</t>
  </si>
  <si>
    <t>Electron Beam Experiment in Space</t>
  </si>
  <si>
    <t>10.5636/jgg.40.1269</t>
  </si>
  <si>
    <t>2-s2.0-85024320147</t>
  </si>
  <si>
    <t>['¬© 1988', 'rights reserved', 'may 1992', 'main focus', 'key technologies', 'communications program', 'circuit switching', 'board processing', 'band transmission', 'acts ),']</t>
  </si>
  <si>
    <t>The Advanced Communications Technology Satellite (ACTS), now under development and scheduled for launch in May 1992, is presently the main focus of NASA's communications program. Key technologies for ACTS include electronically hopping spot beam antennas, on-board processing and circuit switching, and Ka-band transmission. ¬© 1988, Pergamon Press plc.. All rights reserved.</t>
  </si>
  <si>
    <t>13-20</t>
  </si>
  <si>
    <t>Telematics and Informatics</t>
  </si>
  <si>
    <t>Naderi, F. Michael</t>
  </si>
  <si>
    <t>Naderi F.</t>
  </si>
  <si>
    <t>ACTS: The first step toward a switchboard in the sky</t>
  </si>
  <si>
    <t>S0736585388800042</t>
  </si>
  <si>
    <t>10.1016/S0736-5853(88)80004-2</t>
  </si>
  <si>
    <t>2-s2.0-85025482530</t>
  </si>
  <si>
    <t>['theoretical limitations', 'single elements', 'related problems', 'limit shows', 'fourier optics', 'experimental system', 'empirical model', 'dimensional multi', 'called stein', 'beam systems', 'author discusses', 'aperture efficiency', 'allowable efficiency']</t>
  </si>
  <si>
    <t>The subject of this thesis is the use of tapered slot antennas in multi-beam systems and related problems. Single elements of tapered slot antennas are investigated. Extensive experimental data have been compiled to provide an empirical model for the behaviour of this type of antenna. The author discusses the use of tapered slot antennas in arrays for focal plane imaging. Various theoretical aspects of imaging are described, utilizing microwave antenna theory and Fourier optics. An experimental system, employing a two-dimensional (5 √ó 5) array of tapered slot antennas together with a prime focus parabolic reflector, is described. The author is concerned with the theoretical limitations to aperture efficiency in multi-beam antenna systems. A stringent analysis based on the so-called Stein's limit shows that the allowable efficiency is very limited for small beam separations. The analysis covers two-dimensional multi-beam systems with a finite, as well as infinite, number of beams.</t>
  </si>
  <si>
    <t>Chalmers Tekniska Hogskola, Doktorsavhandlingar</t>
  </si>
  <si>
    <t>Johansson, Joakim F.</t>
  </si>
  <si>
    <t>Johansson J.</t>
  </si>
  <si>
    <t>Tapered slot antennas and focal plane imaging systems</t>
  </si>
  <si>
    <t>2-s2.0-85040884791</t>
  </si>
  <si>
    <t>['wiley blackwell', 'western blotting', 'total amount', 'rights reserved', 'quantitative analysis', 'protective mechanism', 'photosystem ii', 'photoinhibition resulted', 'photoinactivation incurred', 'light intensities', 'isolated thylakoids', 'dot blotting', 'd2 proteins', 'd2 protein', 'd2 polypeptides', 'd1 protein', 'chloroplast translation', '90 min', '51 kda', '44 kda', '30 kda', '23 kda', '16 kda']</t>
  </si>
  <si>
    <t>The turnover of photosystem‚ÄêII proteins during photoinhibition was analyzed in the green alga Chlamydomonas reinhardtii. Changes in the amount of photosystem II core complex polypeptides D1, D2, 44 kDa and 51 kDa, the antennae‚ÄêCP‚Äê29 and light‚Äêharvesting‚Äêcomplex‚ÄêII polypeptides and the water‚Äêoxidizing complex polypeptides of 30 kDa, 23 kDa and 16 kDa were monitored by a variety of techniques. Only the D1 and D2 polypeptides were found to turnover during photoinhibition when cells were exposed to ten fold photosynthesis‚Äêsaturating light (2500 W m2 for 90 min) at 25¬∞C. While 80% of photosystem‚ÄêII activity was lost, a reduction of only 20% was observed in the total amount of D1 and D2 proteins. However, inhibition of chloroplast translation by chloramphenicol during photoinhibition resulted in the loss of about 60% of the D1 and 40% of the D2 proteins, as demonstrated by Western blotting and dot blotting of isolated thylakoids, quantitative analysis of immunogold‚Äêlabeled whole‚Äêcell thin sections, and chase of radioactively prelabelled proteins during photoinhibition. We propose that the light‚Äêdependent turnover of the D1 protein is a protective mechanism against photoinhibition as far as the removal and replacement of D1 is compatible with the photoinactivation incurred by photosystem II. At light intensities at which the rate of D1 removal becomes limiting, loss of photosystem‚ÄêII activity exceeds the turnover of D1 and the stability of the D2 protein is impaired as well. Copyright ¬© 1988, Wiley Blackwell. All rights reserved</t>
  </si>
  <si>
    <t>403-410</t>
  </si>
  <si>
    <t>60007903;60007903;60007903</t>
  </si>
  <si>
    <t>7201953416;6602003630;7005705984</t>
  </si>
  <si>
    <t>SCHUSTER, Gadi;TIMBERG, Rina;OHAD, Itzhak</t>
  </si>
  <si>
    <t>Jerusalem</t>
  </si>
  <si>
    <t>Hebrew University of Jerusalem</t>
  </si>
  <si>
    <t>SCHUSTER G.</t>
  </si>
  <si>
    <t>Turnover of thylakoid photosystem II proteins during photoinhibition of Chlamydomonas reinhardtii</t>
  </si>
  <si>
    <t>10.1111/j.1432-1033.1988.tb14389.x</t>
  </si>
  <si>
    <t>2-s2.0-85047693636</t>
  </si>
  <si>
    <t>Armstrong Flight Research Center</t>
  </si>
  <si>
    <t>AFRC</t>
  </si>
  <si>
    <t>['¬© 1988', 'wholly isotropic', 'transition moments', 'thin three', 'rotationally isotropic', 'protein complex', 'preferential orientation', 'photosynthetic membrane', 'partially aligned', 'optical properties', 'observable dichroism', 'linear dichroism', 'harvesting chlorophyll', 'fold symmetry', 'direction perpendicular', 'dimensional crystals', 'crystals reflected', 'crystal structure', 'crystal plane', 'antenna chlorophylls']</t>
  </si>
  <si>
    <t>Chlorophyll-protein complex | Light-harvesting complex | Linear dichroism | Membrane protein crystal | Microspectrophotometry</t>
  </si>
  <si>
    <t>Thin three-dimensional crystals of the light-harvesting chlorophyll a/b-protein complex from pea chloroplast membranes were investigated by microspectrophotometry. Measurements of tilted crystals revealed pronounced linear dichroism in a direction perpendicular to the crystal plane but no observable dichroism in the crystal plane. Qy transition moments of chlorophylls were rotationally isotropic with respect to the crystal plane and partially aligned in this plane. Qx transition moments showed no preferential orientation and appeared to be wholly isotropic. The orientation of transition moments in the crystal was consistent with three-fold symmetry of the light-harvesting complex indicated by the crystal structure. The linear dichroism of the crystals reflected the optical properties of the complex in the photosynthetic membrane, indicating a highly symmetrical arrangement of antenna chlorophylls. ¬© 1988.</t>
  </si>
  <si>
    <t>275-279</t>
  </si>
  <si>
    <t>FEBS Letters</t>
  </si>
  <si>
    <t>60015150-100677074;100677074;100677074</t>
  </si>
  <si>
    <t>7006010107;57199933883;7006210611</t>
  </si>
  <si>
    <t>K√ºhlbrandt, W.;Becker, A.;M√§ntele, W.</t>
  </si>
  <si>
    <t>United Kingdom;Germany</t>
  </si>
  <si>
    <t>London;Freiburg</t>
  </si>
  <si>
    <t>Imperial College London;Institut f√ºr Biophysik und Strahlenbiologie</t>
  </si>
  <si>
    <t>60015150;100677074</t>
  </si>
  <si>
    <t>K√ºhlbrandt W.</t>
  </si>
  <si>
    <t>Chlorophyll dichroism of three-dimensional crystals of the light-harvesting chlorophyll a/b-protein complex</t>
  </si>
  <si>
    <t>10.1016/0014-5793(88)81438-8</t>
  </si>
  <si>
    <t>2-s2.0-17844393914</t>
  </si>
  <si>
    <t>['¬© 1988', 'test purposes', 'sound connected', 'running gear', 'railways ).', 'railway wagons', 'railway environment', 'paper describes', 'metravib company', 'measurements showed', 'measurements carried', 'involved near', 'international union', '18 wagons']</t>
  </si>
  <si>
    <t>The paper describes a series of measurements carried out to identify and quantify the sources of sound connected with the bodywork and running gear of railway wagons. Tests were conducted by the S.N.C.F. with the assistance of the METRAVIB Company, in conjunction with the programme of research of ORE Committee C 163 on Noise in the Railway Environment (Office for Research and Experiments of the International Union of Railways). Of the two methods adopted for test purposes, one was a conventional technique using a set of omnidirectional microphones placed vertically at vehicle gauge limit, and the other involved near-field interferometry based on the use of a flat acoustic antenna also placed at the edge of the track. The results of the measurements showed that for the 18 wagons of six different types studied, most of the sound energy radiated came from the running gear. ¬© 1988.</t>
  </si>
  <si>
    <t>311-320</t>
  </si>
  <si>
    <t>0022460X</t>
  </si>
  <si>
    <t>Journal of Sound and Vibration</t>
  </si>
  <si>
    <t>60032456;105396513</t>
  </si>
  <si>
    <t>7801403687;56422106700</t>
  </si>
  <si>
    <t>Parent de Curzon, E.;Beguet, B.</t>
  </si>
  <si>
    <t>Paris;Ecully</t>
  </si>
  <si>
    <t>SNCF;Metravib R.D.S.</t>
  </si>
  <si>
    <t>Parent de Curzon E.</t>
  </si>
  <si>
    <t>Study into sources of wagon noise: Measurement of sound energy generated by vehicle bodies and running gear</t>
  </si>
  <si>
    <t>0022460X88904403</t>
  </si>
  <si>
    <t>10.1016/0022-460X(88)90440-3</t>
  </si>
  <si>
    <t>2-s2.0-0021895619</t>
  </si>
  <si>
    <t>['two subunits', 'transcribed whatever', 'three copies', 'one type', 'major transcript', 'major phycobiliproteins', 'gene encoding', 'essentially made', 'cpcb3 a3', 'cpc1 operon', 'cluster 1', 'cell growth', 'calothrix 7601', 'biochemically characterized', 'also mapped']</t>
  </si>
  <si>
    <t>Complementary chromatic adaptation | Gene expression | Photoregulation | Phycobilisome | Recombinant DNA</t>
  </si>
  <si>
    <t>In cyanobacteria, light is harvested by phycobilisomes which are essentially made up of chromophoric proteins called phycobiliproteins. We have characterized two gene clusters (cpcB1, cpcA1 and cpcB3, cpcA3) each encoding the two subunits of phycocyanin (Œ≤PC and Œ±PC, respectively), one of the major phycobiliproteins in Calothrix 7601. Downstream from the gene encoding the PCŒ± subunit in cluster 1, an open reading frame was found, cpcE1. These genes are organized in two transcriptional units, namely: cpcB3 A3 and cpcB1 A1 E1. All these genes are transcribed whatever the chromatic light received during cell growth. Consequently, although only one type of "constitutive" PC has been biochemically characterized, we have demonstrated that there are two cpc operons "constitutively" transcribed in this strain. With the previously described red light "inducible" cpcB2 A2 operon, there are three copies of the PC encoding genes in Calothrix 7601. The significance of this newly described multigene family in cyanobacteria is discussed. We have also mapped the 5‚Ä≤ and 3‚Ä≤ termini of the major transcript from the cpc1 operon. Analysis of the 5‚Ä≤ untranslated region of this transcript has revealed alternative secondary structures which are proposed to play a role in the regulation of the expression of this operon. ¬© 1988 Springer-Verlag.</t>
  </si>
  <si>
    <t>296-304</t>
  </si>
  <si>
    <t>MGG Molecular &amp; General Genetics</t>
  </si>
  <si>
    <t>60001772;60001772;60001772</t>
  </si>
  <si>
    <t>7003272049;7006843449;7003457396</t>
  </si>
  <si>
    <t>Mazel, Didier;Houmard, Jean;de Marsac, Nicole Tandeau</t>
  </si>
  <si>
    <t>Institut Pasteur, Paris</t>
  </si>
  <si>
    <t>Mazel D.</t>
  </si>
  <si>
    <t>A multigene family in Calothrix sp. PCC 7601 encodes phycocyanin, the major component of the cyanobacterial light-harvesting antenna</t>
  </si>
  <si>
    <t>10.1007/BF00330607</t>
  </si>
  <si>
    <t>2-s2.0-0023840797</t>
  </si>
  <si>
    <t>['successive approximation', 'phase distribution', 'optimal amplitude', 'linear antenna']</t>
  </si>
  <si>
    <t>The optimal amplitude-phase distribution of the currents giving maximum radiation power concentration factor in the class of maximally flat radiation patterns is derived for a linear antenna. The problem of optimizing this coefficient is solved by the method of successive approximation.</t>
  </si>
  <si>
    <t>27-32</t>
  </si>
  <si>
    <t>16448437600;6507704865</t>
  </si>
  <si>
    <t>Mints, M. Ya;Prilepskiy, Ye D.</t>
  </si>
  <si>
    <t>Mints M.</t>
  </si>
  <si>
    <t>Optimization of the radiation power concentration factor of a linear antenna with a maximally flat radiation pattern</t>
  </si>
  <si>
    <t>2-s2.0-0023952912</t>
  </si>
  <si>
    <t>['wave pulse', 'uniform approximation', 'single square', 'radiation pattern', 'previous data', 'numerical results', 'nonequidistant array', 'finite series', 'filtering function']</t>
  </si>
  <si>
    <t>A method is given for designing an equidistant antenna array based on a uniform approximation of its radiation pattern to the radiation pattern of an initial, nonequidistant array. A filtering function is proposed for implementing the uniform approximation of a single square-wave pulse by a finite series. Numerical results are given and a comparison with previous data is made.</t>
  </si>
  <si>
    <t>96-99</t>
  </si>
  <si>
    <t>Dozorets, L. A.</t>
  </si>
  <si>
    <t>Dozorets L.</t>
  </si>
  <si>
    <t>Application of the fast Fourier transform to calculate the radiation patterns of nonequidistant arrays</t>
  </si>
  <si>
    <t>2-s2.0-0023960037</t>
  </si>
  <si>
    <t>['microstrip line', 'equivalent circuit', 'electrodynamic characteristics', 'antenna consisting']</t>
  </si>
  <si>
    <t>Results are presented of measurements of the electrodynamic characteristics of an antenna consisting of a cylindrical dielectric resonator, excited by a microstrip line. The parameters of the equivalent circuit in the form of a parallel oscillation circuit, corresponding to the antenna, are determined.</t>
  </si>
  <si>
    <t>127-129</t>
  </si>
  <si>
    <t>6602746851;57208454724</t>
  </si>
  <si>
    <t>Agamalyan, N. N.;Karapetyan, G. G.</t>
  </si>
  <si>
    <t>Agamalyan N.</t>
  </si>
  <si>
    <t>Experimental investigation of a dielectric resonator antenna</t>
  </si>
  <si>
    <t>2-s2.0-0023960137</t>
  </si>
  <si>
    <t>['threat detection', 'short discussion', 'phase interferometers', 'phase interferometer', 'measurement accuracy', 'ideal candidate', 'ew systems', 'electronic warfare', 'different methods', 'apply countermeasures', 'antenna gain', 'adequately specify']</t>
  </si>
  <si>
    <t>Electronic warfare (EW) systems use radar pulse parameter measurements for threat detection, identification and location in order to apply countermeasures. Phase interferometers are of interest in EW systems because they provide a wide instantaneous field-of-view, a nearly constant system sensitivity across the field-of-view, and AOA (angle-of-arrival) measurement accuracy that is not a function of antenna gain. The inherently wide field-of-view and the greater AOA measurement accuracy make the phase interferometer an ideal candidate for AOA measurements used for pulse signal sorting applications. In this article particular emphasis is placed on the technical issues relating to system tradeoffs needed to adequately specify the performance of a phase interferometer, different methods of calibrating the phase interferometer, and how to test the performance of the phase interferometer. A short discussion of interferometer theory also is provided.</t>
  </si>
  <si>
    <t>Microwave journal</t>
  </si>
  <si>
    <t>Horner, David W.</t>
  </si>
  <si>
    <t>College Park</t>
  </si>
  <si>
    <t>Litton-Amecon</t>
  </si>
  <si>
    <t>Horner D.</t>
  </si>
  <si>
    <t>SPECIFICATION, CALIBRATION AND TESTING OF PHASE INTERFEROMETERS.</t>
  </si>
  <si>
    <t>2-s2.0-0023960396</t>
  </si>
  <si>
    <t>['turbulence detection', 'solutions emerging', 'radiation characteristics', 'previously uninvestigated', 'polynomials generated', 'paper concerns', 'numbered modes', 'nine degrees', 'lower atmosphere', 'hitherto available', 'higher degrees', 'great significance', 'graphical forms', 'freedom describing', 'expansion procedures', 'bessel functions', 'analytically tractable', 'analysis carried', 'also shown', 'additional higher', 'addition theorem']</t>
  </si>
  <si>
    <t>Analysis carried out in this paper concerns the Zernike circle polynomials which are of great significance when determining the radiation characteristics of practical echosonde antennas employed in turbulence detection at the lower atmosphere. Results of the evaluations of these polynomials generated here to thirty-degrees and twenty-nine degrees of freedom describing the even- and odd-numbered modes, respectively, and which are exhibited in two comprehensive tables, are of higher degrees of accuracy than hitherto available in the literature. Additional higher-order modes obtained and which are previously uninvestigated, are displayed in graphical forms. It is also shown that if the addition theorem of Bessel functions is invoked in the integrands of the dual synthesis integrals determinable from the echosonde radiation integrals, the solutions emerging from this consideration are reducible to a series of expansion procedures that are analytically tractable and which are suitable for circular aperture synthesis.</t>
  </si>
  <si>
    <t>111-126</t>
  </si>
  <si>
    <t>POLAR DISTRIBUTION FIELDS OF ECHOSONDE RADAR-ANTENNAS. III. ANALYSIS AND CERTAIN ASPECTS OF THE SYNTHESIS PROBLEM.</t>
  </si>
  <si>
    <t>2-s2.0-0023961007</t>
  </si>
  <si>
    <t>['‚ àº5', 'typical values', 'tie antennas', 'systematic difference', 'single junctions', 'significantly higher', 'series arrays', 'noise tm', 'mixer reduces', 'mixer gain', 'ling structures', 'junction arrays', 'inductive microstrips', 'good coupling', 'good agreement', 'frequency dependence', 'estimated loss', 'cryostat window', 'bi junctions', 'au junctions', 'antenna terminals']</t>
  </si>
  <si>
    <t>We have designed and evaluated planar lithographed W-band SIS mixers with bow-tie antennas and several different RF cou;ling structures. Both Pb-In-Au/Pb-Bi and Nb/Pb-In-Au junctions were used, each with œâRNC¬´1. Single junctions and series arrays of five junctions directly attached to bow-tie antennas with no additional coupling structure gave poor performance, as expected. Single junctions with inductive microstrips and five-junction arrays with parallel wire inductors gave good coupling over bandwidths of ‚àº5 and 25 percent respectively. Good agreement was found between design calculations based on a simple equivalent circuit and measurements of the frequency dependence of the mixer gain. When good coupling was achieved, typical values of mixer gain GM (DSB)‚âÉ0 dB, noise TM(DSB)‚âÉ150 K, and receiver noise ‚àº200 K were observed. These measurements are referred to the cryostat window. When corrected for the estimated loss between the cryostat window and the antenna terminals, these values of gain are comparable to those observed for W-band waveguide mixers with IF matching, but the noise is significantly higher. There is evidence that ‚àº100 K radiation surrounding the mixer reduces the gain and increases the noise. No systematic difference was observed between the performance of Pb-In-Au/Pb-Bi junctions and Nb/Pb-In-Au junctions when the area of the latter was made three times smaller and the current density three times larger so as to maintain the same capacitance and resistance. ¬© 1988 Plenum Publishing Corporation.</t>
  </si>
  <si>
    <t>101-133</t>
  </si>
  <si>
    <t>International Journal of Infrared and Millimeter Waves</t>
  </si>
  <si>
    <t>60025038;60025038;60023053</t>
  </si>
  <si>
    <t>24789575800;57219106481;57219106457</t>
  </si>
  <si>
    <t>Xizhi, Li;Richards, P. L.;Lloyd, F. L.</t>
  </si>
  <si>
    <t>Berkeley;Gaithersburg</t>
  </si>
  <si>
    <t>University of California, Berkeley;National Institute of Standards and Technology</t>
  </si>
  <si>
    <t>60025038;60023053</t>
  </si>
  <si>
    <t>Xizhi L.</t>
  </si>
  <si>
    <t>SIS quasiparticle mixers with bow-tie antennas</t>
  </si>
  <si>
    <t>10.1007/BF01010963</t>
  </si>
  <si>
    <t>2-s2.0-0023961928</t>
  </si>
  <si>
    <t>['measurement systems', 'innovative designs', 'frequency translators', 'frequency converters', 'erp solid', 'brief overview']</t>
  </si>
  <si>
    <t>A brief overview of the modern electronic warefare (EW) system is given. Some innovative designs that have applications for smart, small EW systems are presented. These are: high-isolation GaAs MMIC switches; amplifiers; frequency converters; filters; instantaneous-frequency-measurement systems; frequency translators; digital rf memory; and ERP solid-state active antenna arrays.</t>
  </si>
  <si>
    <t>Niehenke, Edward C.</t>
  </si>
  <si>
    <t>Niehenke E.</t>
  </si>
  <si>
    <t>INNOVATIVE MICROWAVE DESIGN LEADS TO SMART, SMALL EW SYSTEMS.</t>
  </si>
  <si>
    <t>2-s2.0-0023963009</t>
  </si>
  <si>
    <t>['simply obtained', 'reflector antenna', 'polarisation discrimination', 'feeding system', 'axis cross', 'asymmetric cross']</t>
  </si>
  <si>
    <t>The on-axis cross-polarisation of a reflector antenna illuminated by a feeding system with an asymmetric cross-polar radiation pattern is examined. A graph is presented from which the cross-polarisation discrimination (XPD) of the reflector antenna can be simply obtained. ¬© 1988 Plenum Publishing Corporation.</t>
  </si>
  <si>
    <t>149-155</t>
  </si>
  <si>
    <t>7003821814;7004656509</t>
  </si>
  <si>
    <t>Herben, M. H.A.J.;van de Kamp, M. M.J.L.</t>
  </si>
  <si>
    <t>Herben M.</t>
  </si>
  <si>
    <t>Axial crosspolarization in reflector antennas due to asymmetric cross-polar feed patterns</t>
  </si>
  <si>
    <t>10.1007/BF01010965</t>
  </si>
  <si>
    <t>2-s2.0-0023963949</t>
  </si>
  <si>
    <t>['various parameters', 'produces crosspolarization', 'presents diagrams', 'paper reviews', 'optics sense', 'offset systems', 'field gregorian', 'field cassegrainian', 'diagrams allow', 'concave cassegrainian', 'compensated dual', 'blocked aperture', 'best suited']</t>
  </si>
  <si>
    <t>Dual-offset reflector antennas have proved to be best suited for applications requiring low sidelobe level and high polarization purity. This paper reviews the basic geometrical features of compensated dual-offset systems (Gregorian, convex and concave Cassegrainian, near-field Gregorian, near-field Cassegrainian) and presents diagrams for the design of its various parameters. The diagrams allow a quick overview whether a particular offset configuration has a blocked aperture or produces crosspolarization in the geometrical-optics sense.</t>
  </si>
  <si>
    <t>29-37</t>
  </si>
  <si>
    <t>0170172X</t>
  </si>
  <si>
    <t>NTZ-Archiv</t>
  </si>
  <si>
    <t>Hombach, Volker</t>
  </si>
  <si>
    <t>Hombach V.</t>
  </si>
  <si>
    <t>CROSSPOLARIZATION PROPERTIES OF DUAL-OFFSET REFLECTOR ANTENNAS. PART 1: BASIC GEOMETRICAL FEATURES.</t>
  </si>
  <si>
    <t>2-s2.0-0023963950</t>
  </si>
  <si>
    <t>['vacuum environment', 'using liquid', 'sound tribology', 'solid lubricants', 'roller screws', 'often achieved', 'mechanisms used', 'involute gears', 'important aspects', 'extreme reliability', 'contacting surfaces', 'article describes']</t>
  </si>
  <si>
    <t>Many critical functions in spacecraft involve relative movement of contacting surfaces. For example, mechanisms used to transfer electrical power across rotating joints use ball bearings, involute gears, slip-rings and brushes. The focusing of cameras or pointing of antennae, mirrors and other payloads is often achieved by ball or roller screws. The hostile launch conditions, the vacuum environment of space, the need for low power consumption and extreme reliability, highlight the need for sound tribology in spacecraft. This article describes some important aspects of tribo-design for spacecraft, using liquid and solid lubricants and wear resistant surfaces.</t>
  </si>
  <si>
    <t>CME. Chartered mechanical engineer</t>
  </si>
  <si>
    <t>60004643;60004643</t>
  </si>
  <si>
    <t>7004878173;7202805875</t>
  </si>
  <si>
    <t>Rowntree, R. A.;Todd, M. J.</t>
  </si>
  <si>
    <t>United Kingdom Atomic Energy Authority</t>
  </si>
  <si>
    <t>Rowntree R.</t>
  </si>
  <si>
    <t>TRIBOLOGY FOR SPACECRAFT.</t>
  </si>
  <si>
    <t>2-s2.0-0023965329</t>
  </si>
  <si>
    <t>['well suited', 'transmission performance', 'service area', 'power control', 'paper reports', 'outage probability', 'narrowband modulation', 'modulation methods', 'main features', 'frequency reuse', 'digital transmission', 'also introduces']</t>
  </si>
  <si>
    <t>This paper presents two new methods for computing the outage probability of a cellular land mobile radio system with narrowband modulation and digital transmission of speech. They are well suited to compare different system solutions, since they take into account the main characteristics influencing the transmission performance, i. e. , modulation methods, power control, antenna radiation patterns, adjacent- and co-channel interference arising from the frequency reuse, propagation impairments due to a log-normal shadowing fading and to fast Rayleigh fading. The paper reports some computations on the long-term median value of the useful to interfering signal ratio vs the position of the useful mobile unit in the service area. It gives the frequency reuse configurations acceptable according to the presented outage probability methods relevant to different mobile radio systems and compares the pertaining telephone traffic efficiencies. It also introduces the main features of a SCPC/FDMA mobile radio system.</t>
  </si>
  <si>
    <t>97-108</t>
  </si>
  <si>
    <t>Alta frequenza</t>
  </si>
  <si>
    <t>60009628;60009628</t>
  </si>
  <si>
    <t>7004600392;6603863382</t>
  </si>
  <si>
    <t>Palestini, Valerio;Zingarelli, Valerio</t>
  </si>
  <si>
    <t>Centro Studi e Laboratori Telecomunicazioni, Turin</t>
  </si>
  <si>
    <t>Palestini V.</t>
  </si>
  <si>
    <t>OUTAGE PROBABILITY IN CELLULAR MOBILE RADIO SYSTEMS.</t>
  </si>
  <si>
    <t>2-s2.0-0023965604</t>
  </si>
  <si>
    <t>['transfer efficiency', 'temperature dependence', 'sudden drop', 'physiological conditions', 'physical state', 'overall efficiency', 'native probe', 'minor fraction', 'main light', 'low temperature', 'intact cells', 'high efficiencies', 'fluorescence yield', 'excitation energy', 'energy transfer', 'decrease may', 'chlorosome functions', 'chlorosomal bchl', 'bound b808', 'base plate', '808 associated', '4k indicates']</t>
  </si>
  <si>
    <t>bacteriochlorophyll | Chloroflexus aurantiacus | chlorosome | energy transfer | fluorescence | green photosynthetic bacteria</t>
  </si>
  <si>
    <t>The transfer of excitation energy in intact cells of the thermophilic green photosynthetic bacterium Chloroflexus aurantiacus was studied both at low temperature and under more physiological conditions. Analysis of excitation spectra measured at 4K indicates that the minor fraction of bacteriochlorophyll a present in the chlorosome functions as an intermediate in energy transfer between the main light-harvesting pigment BChl c and the membrane-bound B808-866 antenna complex. This supports the hypothesis that BChl a is associated with the base plate which connects the chlorosome with the membrane. The overall efficiency for energy transfer from the chlorosome to the membrane is only 15% at 4K. High efficiencies of close to 100% are observed above 40¬∞C near the temperature where the cultures are grown. Cooling to 20¬∞C resulted in a sudden drop of the transfer efficiency which appeared to originate in the chlorosome. This decrease may be related to a lipid phase transition. Further cooling mainly affected the efficiency of transfer between the chlorosome and the membrane. This effect can only partially be explained by a decreased F√∂rster overlap between the chlorosomal BChl a and BChl a 808 associated with the membrane-bound antenna system. The temperature dependence of the fluorescence yield of BChl a 866 also appeared to be affected by lipid phase transitions, suggesting that this fluorescence can be used as a native probe of the physical state of the membrane. ¬© 1988 Martinus Nijhoff Publishers.</t>
  </si>
  <si>
    <t>177-189</t>
  </si>
  <si>
    <t>Photosynthesis Research</t>
  </si>
  <si>
    <t>60003878;60003878</t>
  </si>
  <si>
    <t>7801620289;7004456032</t>
  </si>
  <si>
    <t>van Dorssen, Rob J.;Amesz, Jan</t>
  </si>
  <si>
    <t>Leiden</t>
  </si>
  <si>
    <t>Sterrewacht Leiden</t>
  </si>
  <si>
    <t>Pigment organization and energy transfer in the green photosynthetic bacterium Chloroflexus aurantiacus. III. Energy transfer in whole cells</t>
  </si>
  <si>
    <t>10.1007/BF00035261</t>
  </si>
  <si>
    <t>2-s2.0-6544250939</t>
  </si>
  <si>
    <t>['¬© 1988', 'worst results', 'varying success', 'unialgal diet', 'size attained', 'relative value', 'mesh size', 'later stages', 'large flagellate', 'feeding regimes', 'different times', 'different sizes', 'antennal filter']</t>
  </si>
  <si>
    <t>Antenna | Cirriped | Feeding | Filter | Nauplius</t>
  </si>
  <si>
    <t>The larvae of the intertidal barnacle Elminius modestus Darwin were reared using six different feeding regimes comprising a large and/or a small flagellate fed to the larvae at different times during the course of their development. The relative value of the feeding regimes was ascertained by using the rate of development, survival, and size attained by the larvae as a measure of success or failure. The best feeding regime was found to be that providing a unialgal diet of the small flagellate initially followed by a unialgal diet of the large flagellate in later stages of development, while the reverse situation gave the worst results. The increase in mesh size of the antennal filter during growth of the nauplii is suggested as a reason for the varying success of feeding regimes employing foods of different sizes during development. This is seen as confirmation of the idea that cirriped nauplii collect their food by means of filtering appendages rather than by localized currents alone. ¬© 1988.</t>
  </si>
  <si>
    <t>41-51</t>
  </si>
  <si>
    <t>Journal of Experimental Marine Biology and Ecology</t>
  </si>
  <si>
    <t>Stone, Carolyn J.</t>
  </si>
  <si>
    <t>Swansea</t>
  </si>
  <si>
    <t>Swansea University</t>
  </si>
  <si>
    <t>Stone C.</t>
  </si>
  <si>
    <t>Test of sequential feeding regimes for larvae of Elminius modestus Darwin (Cirripedia: Balanomorpha)</t>
  </si>
  <si>
    <t>10.1016/0022-0981(88)90188-8</t>
  </si>
  <si>
    <t>2-s2.0-0024194312</t>
  </si>
  <si>
    <t>UUKC-OC 83-13</t>
  </si>
  <si>
    <t>KWF</t>
  </si>
  <si>
    <t>['¬© 1988', 'sugar analysis', 'subsequently analysed', 'structural analysis', 'nmr spectroscopy', 'main constituent', 'linked neuac', 'hydrazinolysis procedure', 'glycosylation sites', 'exchange chromatography', 'could also', 'attached exclusively', '150 kda']</t>
  </si>
  <si>
    <t>Glycoprotein Ib, Glycocalicin | N-linked carbohydrate</t>
  </si>
  <si>
    <t>Glycocalicin (140 kDa), the main constituent of the glycoprotein Ib Œ±-chain (150 kDa) of the human platelet membrane, contains 4 putative N-glycosylation sites. For the structural analysis of the N-glycosidic carbohydrate chains of glycocalicin, the glycoprotein has been subjected to the hydrazinolysis procedure. The acidic carbohydrate chains obtained were fractionated by ion-exchange chromatography on DEAE-Sephadex A-25, subsequently analysed by sugar analysis, anion-exchange chromatography on Mono Q HR 5/5 500 MHz 1H-NMR spectroscopy. A novel tetrasialylated monofucosylated tetraantennary chain was identified in the glycoprotein. It could also be deduced that in all structures the Œ±2‚Üí6-linked NeuAc is attached exclusively at the GalŒ≤1‚Üí4GlcNAcŒ≤1‚Üí2ManŒ±1‚Üí3 antenna, whereas the other antennae can be terminated with Œ±2‚Üí3-linked NeuAc. As minor constituents sialylated N-linked carbohydrate chains with a terminal FucŒ±1‚Üí2GalŒ≤1‚Üí. sequence were detected. ¬© 1988.</t>
  </si>
  <si>
    <t>321-326</t>
  </si>
  <si>
    <t>60007989;60007989-60069907;60007989;60007989;60007989;60007989</t>
  </si>
  <si>
    <t>6507666714;7005657542;7006107403;7102491429;7102939226;35473444200</t>
  </si>
  <si>
    <t>Korrel, Sophia A.M.;Clemetson, Kenneth J.;van Halbeek, Herman;Kamerling, Johannis P.;Sixma, Jan J.;Vliegenthart, Johannes F.G.</t>
  </si>
  <si>
    <t>Switzerland;Netherlands</t>
  </si>
  <si>
    <t>Bern;Utrecht</t>
  </si>
  <si>
    <t>Theodor Kocher Institute;Utrecht University</t>
  </si>
  <si>
    <t>60069907;60007989</t>
  </si>
  <si>
    <t>Korrel S.</t>
  </si>
  <si>
    <t>Identification of a tetrasialylated monofucosylated tetraantennary N-linked carbohydrate chain in human platelet glycocalicin</t>
  </si>
  <si>
    <t>10.1016/0014-5793(88)80024-3</t>
  </si>
  <si>
    <t>2-s2.0-0023882102</t>
  </si>
  <si>
    <t>['zl 1', 'xylostella males', 'trifluoromethyl ketone', 'tlc mobility', 'tfp ),', 'substitution group', 'relative polarities', 'polar diazoacetate', 'plutella xylostella', 'order mono', 'highest activity', 'haloacetate analogs', 'greatest activity', 'fluorinated acetates', 'essentially inactive', 'electrophysiological activity', 'eag assays', 'eag activity', 'diamondback moth', 'competition assays', 'catabolic proteins', 'antennal esterases', 'also examined', 'ac showed']</t>
  </si>
  <si>
    <t>catabolic protein | EAG | Haloacetate | inhibition | Lepidoptera | pheromone analog | Plutella xylostella | Yponomeutidae</t>
  </si>
  <si>
    <t>A series of mono-, di-, and trihalogenated acetate analogs of Zl 1-16: Ac were prepared and examined for electrophysiological activity in antennae of males of the diamondback moth, Plutella xylostella. In addition, two potential affinity labels, a diazoacetate (Dza) and a trifluoromethyl ketone (Tfp), were evaluated for EAG activity. The Z11-16:Ac showed the highest activity in EAG assays, followed by the fluorinated acetates, but other halo-acetates were essentially inactive. The polar diazoacetate and the trifluoromethyl ketone were also very weak EAG stimulants. The effects of these analogs on the hydrolysis of [3H]Z11-16:Ac to [3H]Z11-16:OH by antennal esterases was also examined. The three fluorinated acetates showed the greatest activity as inhibitors in competition assays, with rank order F2Ac &gt; F3Ac &gt; FAc &gt; Ac &gt; Cl2Ac &gt; ClAc &gt; Dza &gt; Br2Ac &gt; BrAc &gt; Tfp &gt; I &gt; Cl3Ac &gt; Br3Ac &gt; OH. The relative polarities of the haloacetates, as determined by TLC mobility, are in the order mono- &gt; di- &gt; trihalo, but F, Cl, Br, and I all confer similar polarities within a substitution group. Thus, the steric size appears to be the predominant parameter affecting the interactions of the haloacetate analogs with both receptor and catabolic proteins in P. xylostella males. ¬© 1988 Plenum Publishing Corporation.</t>
  </si>
  <si>
    <t>1003-1021</t>
  </si>
  <si>
    <t>60026415;60026415</t>
  </si>
  <si>
    <t>36043755100;6602198488</t>
  </si>
  <si>
    <t>Prestwich, Glenn D.;Streinz, Ludvik</t>
  </si>
  <si>
    <t>Stony Brook</t>
  </si>
  <si>
    <t>Stony Brook University</t>
  </si>
  <si>
    <t>Prestwich G.D.</t>
  </si>
  <si>
    <t>Haloacetate analogs of pheromones: Effects on catabolism and electrophysiology in Plutella xylostella</t>
  </si>
  <si>
    <t>10.1007/BF01018789</t>
  </si>
  <si>
    <t>2-s2.0-0001172692</t>
  </si>
  <si>
    <t>['urosome vibrates', 'tokyo bay', 'swimming strategy', 'spiraling occurs', 'spiraling movement', 'spermatophore transfer', 'specialized setae', 'several steps', 'random search', 'promote diffusion', 'presumably emits', 'pheromone source', 'mating partner', 'mating behavior', 'mate female', 'male grasps', 'male approaches', 'legs firmly', 'innermost region', 'genital openings', 'first antennae', 'female partner', 'copulatory grasp', 'copulatory chance', 'caudal setae', 'attractant pheromone', '25 mm', '1 mm']</t>
  </si>
  <si>
    <t>Oithona davisae Ferrari and Orsi were collected from the innermost region of Tokyo Bay, Japan, in 1980 and 1981. The mating behavior of this marine cyclopoid copepod consists of several steps, starting with the paddling of the male in random search of a mate. This behavior is followed by a spiraling movement in pursuance of a mate. Next is the copulatory grasp during which the male grasps the fourth swimming legs of the female partner by means of his first antennae. Whilst in this position, the male's urosome vibrates to allow the spermatophores to extrude from his genital openings. The mating behavior then culminates in the spermatophore transfer. Males do not grasp the uro-some or caudal setae of the mating partner before proper copulatory grasp. The specialized setae of the female's fourth legs may help the male to grasp her legs firmly. Spiraling occurs when the male approaches or traverses the trail of a female that is ready to copulate and that presumably emits a sex-attractant pheromone. The turning radius reduces gradually from more than 1 mm to ca. 0.25 mm as the male approaches the mate female. Females may register spiraling as a mate (male)-approaching signal. Spiraling may lead the male to locate a pheromone source more accurately, and to promote diffusion of the pheromone to prevent other males from pursuing the source. This swimming strategy can increase the copulatory chance of mature virgin females. ¬© 1988 Springer-Verlag.</t>
  </si>
  <si>
    <t>39-45</t>
  </si>
  <si>
    <t>Marine Biology</t>
  </si>
  <si>
    <t>60025272;60018357</t>
  </si>
  <si>
    <t>16455973900;56230519400</t>
  </si>
  <si>
    <t>Uchima, M.;Murano, M.</t>
  </si>
  <si>
    <t>Tokyo;Minato-ku</t>
  </si>
  <si>
    <t>The University of Tokyo;National University Corporation Tokyo University of Marine Science and Technology</t>
  </si>
  <si>
    <t>Uchima M.</t>
  </si>
  <si>
    <t>Mating behavior of the marine copepod Oithona davisae</t>
  </si>
  <si>
    <t>10.1007/BF00644975</t>
  </si>
  <si>
    <t>2-s2.0-0002033231</t>
  </si>
  <si>
    <t>['time processing', 'practical realization', 'monochromatic signals', 'known number', 'correlated signals']</t>
  </si>
  <si>
    <t>The resolution and measurement of a known number of correlated signals for the case when the maximum likelihood method is based on a single, uniform (equidistant) sample of measurement is discussed. An algorithm for the space-time processing of signals at the outputs of a linear, uniformly spaced antenna array is derived. The algorithm enables one to determine the parameters of monochromatic signals and is suitable for practical realization.</t>
  </si>
  <si>
    <t>97-105</t>
  </si>
  <si>
    <t>Konovalov, L. N.</t>
  </si>
  <si>
    <t>Method for calculating maximum likelihood estimates of the angular coordinates of harmonic signal sources</t>
  </si>
  <si>
    <t>2-s2.0-0023966458</t>
  </si>
  <si>
    <t>['working group', 'vlbi satellite', 'proved successful', 'first space', 'diam antenna']</t>
  </si>
  <si>
    <t>There is a demand for space-VLBI for observing celestial radio sources. The first space-VLBI test experiment, using TDRSS satellite, proved successful, generating interference fringes for ground-TDRSS satellite baseline in S-band. Working group for space-VLBI in Japan proposed ISAS to launch a space-VLBI satellite with 10 m diam antenna to the orbit with 20,000 km apogee height.</t>
  </si>
  <si>
    <t>121-135</t>
  </si>
  <si>
    <t>Control, theory and advanced technology</t>
  </si>
  <si>
    <t>23081029300;7101821985</t>
  </si>
  <si>
    <t>Nishimura, T.;Hirabayashi, H.</t>
  </si>
  <si>
    <t>Nishimura T.</t>
  </si>
  <si>
    <t>Space VLBI - science and technology</t>
  </si>
  <si>
    <t>2-s2.0-0023966924</t>
  </si>
  <si>
    <t>['two steps', 'summing series', 'slotted line', 'single series', 'polar coordinates', 'numerical solution', 'known expressions', 'functions ge', 'functions constructed', 'first one', 'dispersion properties', 'dini type', 'closed expressions', 'auxiliary functions', 'accelerating convergence']</t>
  </si>
  <si>
    <t>The well-known expressions for Green's functions Ge and Gh for Helmholtz's equation in polar coordinates with Dirichlet and Neumann boundary conditions are transformed. A method is given for constructing the auxiliary functions (the first one is identical with Green's function of Laplace's equation) in the form of single series and in the form of closed expressions. Formulas are presented for summing series of the Fourier-Bessel and Dini type; they are required to implement the two steps of the procedure for accelerating convergence. The effectiveness of the functions constructed is illustrated by the numerical solution of the problem of the dispersion properties of a slotted line with a coaxial circular cylindrical screen.</t>
  </si>
  <si>
    <t>31-37</t>
  </si>
  <si>
    <t>Braver, I. M.</t>
  </si>
  <si>
    <t>Braver I.</t>
  </si>
  <si>
    <t>Acceleration of the convergence of double series for Green's function of the Helmholtz equation in polar coordinates</t>
  </si>
  <si>
    <t>2-s2.0-0023967155</t>
  </si>
  <si>
    <t>['ring array', 'powerful computers', 'passive dipoles', 'numerical methods', 'numerical examples', 'integral equations', 'ideally conducting', 'functions sought', 'electrically thin', 'dipole array', 'constructive synthesis', 'complete region', 'basis functions']</t>
  </si>
  <si>
    <t>The problem of the constructive synthesis of a cylindrical antenna array of passive dipoles is formulated and solved. It is assumed that the dipoles are electrically thin and ideally conducting. The functions sought, describing the current distribution along the dipole array, are represented in the form of basis functions of the complete region and are determined from the solution of the system of Gallen's integral equations. The proposed numerical method of constructive synthesis is based on the use of numerical methods of optimization, implemented on powerful computers. The efficiency of the method is illustrated by numerical examples of the synthesis of a single-ring array of passive dipoles.</t>
  </si>
  <si>
    <t>37-41</t>
  </si>
  <si>
    <t>7006076565;6505919053</t>
  </si>
  <si>
    <t>Chaplin, A. F.;Buchatskiy, M. D.</t>
  </si>
  <si>
    <t>Chaplin A.</t>
  </si>
  <si>
    <t>Constructive synthesis of a cylindrical array of passive dipoles</t>
  </si>
  <si>
    <t>2-s2.0-0023967156</t>
  </si>
  <si>
    <t>['terrain features', 'stated conditions', 'receiver noise', 'receiver channel', 'pi rather', 'noise ratio', 'medium ranges', 'maximum range', 'interference ratio', 'important even', 'emission systems', 'determined primarily', 'detection performance', 'certain losses']</t>
  </si>
  <si>
    <t>In continuous-emission radar systems high-intensity passive interference (PI) from sources (or reflectors), concentrated at short and medium ranges (for example, PI from terrain features and the underlying surface), are present at the input of the receiver at the same time as the weak useful signals from targets at maximum range. This leads to a decrease in the signal/interference ratio and to overloads of the receiver channel, reducing the detection performance so that it is determined primarily by the effect of the PI rather than the receiver noise. Similar effects occur in quasicontinuous-emission systems. For these conditions an improvement in the protection of the radar against PI is important even if it is accompanied by certain losses in the signal/noise ratio. The possibilities for appreciable spatial suppression of PI under the stated conditions are examined here.</t>
  </si>
  <si>
    <t>177-179</t>
  </si>
  <si>
    <t>7003404766;6602707651</t>
  </si>
  <si>
    <t>Pluzhnikov, A. D.;Ryndyk, A. G.</t>
  </si>
  <si>
    <t>Pluzhnikov A.</t>
  </si>
  <si>
    <t>Spatial processing of radar signals in a background of passive interference</t>
  </si>
  <si>
    <t>2-s2.0-0023967180</t>
  </si>
  <si>
    <t>['type antennas', 'radio centers', 'output circuits', 'optimal load', 'matching devices', 'feeder system', 'feeder channel', 'economic impact', 'decoupling device', 'containing inductive', 'capacitive components', 'built using', 'balanced feeder', 'balanced circuit', 'approximately 50', 'appropriate regulation', '500 transmitters', '4 years']</t>
  </si>
  <si>
    <t>250-kW and 500-kW SW transmitters with balanced outputs operate with SGDRA-type antennas. Matching devices, containing inductive and capacitive components, are used to connect the output circuits of the transmitters, built using a balanced circuit, with a balanced feeder. By appropriate regulation the conversion of the feeder input impedance values into a resistance, which is the optimal load for the transmitter output circuits, is obtained. The reliability of the antenna-feeder system and transmitter efficiency may be increased if an in-phase wave decoupling device is introduced into the feeder channel. The reconstruction of the PKV-500 transmitters, has been carried out at a number of radio centers. Operation over a period of 3-4 years has shown the decoupling device to be very reliable. The economic impact of its introduction is approximately 50,000 rubles per transmitter.</t>
  </si>
  <si>
    <t>7004109160;7003688249;7004141244;7006353178</t>
  </si>
  <si>
    <t>Buryak, V. G.;Gurevich, R. V.;Kliger, G. A.;Komissarov, V. I.</t>
  </si>
  <si>
    <t>Buryak V.</t>
  </si>
  <si>
    <t>In-phase-wave decoupling device for type PKV-500 transmitters</t>
  </si>
  <si>
    <t>2-s2.0-0023977243</t>
  </si>
  <si>
    <t>['various lengths', 'structural synthesis', 'special form', 'maximum gain', 'frequency characteristics', 'existing radio', 'engineering systems', 'director antennas', 'also improve']</t>
  </si>
  <si>
    <t>Results of a structural synthesis of director antennas of various lengths and maximum gain and of antennas with frequency characteristics of special form are presented. It is shown that the director antennas feature potential possibilities which may considerably broaden their area of applicability, and also improve the characteristics of existing radio-engineering systems.</t>
  </si>
  <si>
    <t>6506437977;6506227154;7006076565</t>
  </si>
  <si>
    <t>Yefanov, A. A.;Mikhaylov, M. Yu;Chaplin, A. F.</t>
  </si>
  <si>
    <t>Yefanov A.</t>
  </si>
  <si>
    <t>Potential characteristics of director antennas</t>
  </si>
  <si>
    <t>2-s2.0-0023977245</t>
  </si>
  <si>
    <t>['time axis', 'random variations', 'optimum algorithm', 'noise signals', 'account fluctuations']</t>
  </si>
  <si>
    <t>An orthogonal projection method is used to synthesize an optimum algorithm for the operation of an adaptive antenna array, which takes into account fluctuations in the direction of arrival of both the useful and noise signals and the random variations in the location of the reference signal along the time axis. Results of a modeling of the algorithm on a computer are presented.</t>
  </si>
  <si>
    <t>131-134</t>
  </si>
  <si>
    <t>6507411888;7202847619</t>
  </si>
  <si>
    <t>Bezmaga, V. M.;Mironov, V. A.</t>
  </si>
  <si>
    <t>Bezmaga V.M.</t>
  </si>
  <si>
    <t>Algorithm for the operation of an adaptive antenna array in the case of a partially known useful signal</t>
  </si>
  <si>
    <t>2-s2.0-0023977264</t>
  </si>
  <si>
    <t>['tuning stubs', 'tuning high', 'traveling wave', 'slide contacts', 'radio centers', 'produced commercially', 'noncontact stub', 'feeder conductors', 'already commissioned']</t>
  </si>
  <si>
    <t>Remotely tunable stubs with slide contacts have been used for tuning high-power shortwave radio receiver feeders to a traveling wave. As a result of increased transmitter power and the need to increase the reliability of the tuning stubs, a noncontact stub, produced commercially and already commissioned at a number of radio centers, has been developed. A noncontact stub provides remote and local automatic tuning of a feeder to the traveling wave by shifting metal plates, located between the feeder conductors.</t>
  </si>
  <si>
    <t>25-26</t>
  </si>
  <si>
    <t>6602612449;7006770044;7006132200</t>
  </si>
  <si>
    <t>Kazanskiy, L. S.;Kaminer, Ye Ts;Krasil'nikov, V. D.</t>
  </si>
  <si>
    <t>Kazanskiy L.</t>
  </si>
  <si>
    <t>Noncontact stub</t>
  </si>
  <si>
    <t>2-s2.0-0023977307</t>
  </si>
  <si>
    <t>['wider class', 'wave antenna', 'voltage amplitude', 'voltage along', 'usw antennas', 'theoretical results', 'loop radiators', 'loop antenna', 'experimental investigations', 'existing traveling', 'directly connected', 'circular loop']</t>
  </si>
  <si>
    <t>Loop radiators have recently been used in USW antennas in which balanced dipoles act as the radiators. A traveling-wave antenna is made in the shape of a circular loop exciter with coaxial passive coils. An analog of the traveling-wave dipole antenna is the loop antenna, in which each circular loop is directly connected to a 'ladder'-type power supply line. The antenna radiation pattern and gain are determined from the required antenna length and the variation of the voltage amplitude and phase. The possibility of specifying the voltage along the antenna enables design of a wider class of radiation patterns compared with existing traveling-wave loop antennas. Experimental investigations of the antenna under consideration have confirmed the theoretical results.</t>
  </si>
  <si>
    <t>17-20</t>
  </si>
  <si>
    <t>7003963010;6603558268;7201567438</t>
  </si>
  <si>
    <t>Tereshin, O. N.;Dvurechenskiy, V. D.;Fedotov, A. Yu</t>
  </si>
  <si>
    <t>Tereshin O.</t>
  </si>
  <si>
    <t>Traveling-wave loop antenna with a 'ladder'-type power supply line</t>
  </si>
  <si>
    <t>2-s2.0-0023977323</t>
  </si>
  <si>
    <t>['two reflectors', 'large reflector', 'element telescope', 'completely utilized']</t>
  </si>
  <si>
    <t>Two reflectors and a small phased array are configured as a three-element telescope. The array compensates path length aberrations while the small reflector prevents spillover. The large reflector and the array are completely utilized for all beams. The electronic angle sector can be redirected by rotating the array.</t>
  </si>
  <si>
    <t>129-130, 134, 136</t>
  </si>
  <si>
    <t>Skahill, George</t>
  </si>
  <si>
    <t>NTL Inc</t>
  </si>
  <si>
    <t>Skahill G.</t>
  </si>
  <si>
    <t>DUAL REFLECTOR ANTENNA SCANS MANY BEAMWIDTHS WITHOUT LOSS OF GAIN, RESOLUTION OR SIDELOBE LEVEL.</t>
  </si>
  <si>
    <t>2-s2.0-0023978169</t>
  </si>
  <si>
    <t>['receive modules', 'process yield', 'phase shifters', 'discussion covers', 'design types', 'circuit processing', 'bandwidth performance', 'array transmit']</t>
  </si>
  <si>
    <t>The use of microwave integrated circuits in phased-array transmit/receive modules is considered. The discussion covers: planar transmission line types; software and design types; hybrid MIC technology; circuit processing and fabrication; process yield; packaging and assembly; testing; noise, power and bandwidth performance; and phase shifters.</t>
  </si>
  <si>
    <t>60018714;60018714</t>
  </si>
  <si>
    <t>6603285658;24484081100</t>
  </si>
  <si>
    <t>Douville, R.;Stubbs, M. G.</t>
  </si>
  <si>
    <t>Douville R.</t>
  </si>
  <si>
    <t>MIC TECHNOLOGY FOR PHASED ARRAYS.</t>
  </si>
  <si>
    <t>2-s2.0-0023978698</t>
  </si>
  <si>
    <t>['testing environment', 'specific applications', 'particular antenna', 'harmonic mixing', 'fundamental mixing', 'designers involved', 'appropriate analysis', 'antenna testing']</t>
  </si>
  <si>
    <t>There are two basic mixing techniques of use to designers involved in antenna testing. These techniques, fundamental mixing and harmonic mixing, each have advantages and disadvantages in cost, sensitivity, and immunity to RFI. While fundamental mixing provides the best overall performance over the full RF range, harmonic mixing requires a lower-frequency LO source. In order to select the technique best suited to a particular antenna-testing environment, it is necessary to understand the intricacies of each method and how they relate to specific applications. An appropriate analysis and guidelines are presented.</t>
  </si>
  <si>
    <t>89-90, 93</t>
  </si>
  <si>
    <t>Microwaves &amp; RF</t>
  </si>
  <si>
    <t>Boyles, John W.</t>
  </si>
  <si>
    <t>Hewlett-Packard Inc.</t>
  </si>
  <si>
    <t>Boyles J.</t>
  </si>
  <si>
    <t>CHOOSING THE PROPER MIXING TECHNIQUE FOR ANTENNA TESTING.</t>
  </si>
  <si>
    <t>2-s2.0-0023979129</t>
  </si>
  <si>
    <t>['transfer function', 'test site', 'spaced targets', 'paper describes', 'ocean oil', 'image data', 'evaluate 3', 'db resolutions', 'corner reflectors', 'calibration experiment', 'briefly predicts', 'b experiments', 'azimuth compressions']</t>
  </si>
  <si>
    <t>A sensor calibration experiment was proposed as part of SIR-B experiments in Japan, together with the rice crop experiment and the ocean oil-pollution detection experiment. This sensor calibration experiment was intended (1) to establish a transfer function from image data to radar backscattering characteristics, (2) to evaluate 3-dB resolutions, (3) to verify the ability to resolve two closely-spaced targets, and (4) to clarify sidelobe structures due to range and azimuth compressions. The disused Akita Airport was chosen as the main test site for the calibration experiment on the first three objectives. This paper describes the test site, the design of the corner reflectors, and briefly predicts the results.</t>
  </si>
  <si>
    <t>35 Special Issue</t>
  </si>
  <si>
    <t>Journal of the Radio Research Laboratory</t>
  </si>
  <si>
    <t>7102219276;6507590508;7103095729;7004262225;7005064397;6603993313;57206124222</t>
  </si>
  <si>
    <t>Ichinose, Masaru;Echizenya, Yoshimatsu;Kamata, Mitsuhiro;Kawai, Eiji;Hiromoto, Norihisa;Uratsuka, Seiho;Fujita, Masaharu</t>
  </si>
  <si>
    <t>Ichinose M.</t>
  </si>
  <si>
    <t>SIR-B EXPERIMENTS IN JAPAN. II. SURFACE ACTIVITY. 1. SENSOR CALIBRATION EXPERIMENT. a. DISUSED AKITA AIRPORT TEST SITE.</t>
  </si>
  <si>
    <t>2-s2.0-0023979177</t>
  </si>
  <si>
    <t>['yamagawa port', 'test site', 'spaced targets', 'sarobetsu wild', 'paper describes', 'ground activity', 'db resolutions', 'corner reflectors', 'background clutter', 'b imaging', 'b ability', 'anticipated results', 'also discussed']</t>
  </si>
  <si>
    <t>In the SIR-B calibration experiment to establish the SIR-B transfer function, to evaluate the 3-dB resolutions, and to check the SIR-B ability to resolve two closely-spaced targets, two test sites were chosen in addition to the main test site at the disused Akita Airport. The other sites were chosen to evaluate the influence of background clutter on the apparent imaging characteristics of SIR-B. These two test sites were Sarobetsu wild-land in Hokkaido, and Yamagawa Port and Yamagawa Radiowave Observatory, Radio Research Laboratory in Kagoshima. This paper describes the ground activity at the Sarobetsu test site. Conditions at the test site are described as well as the arrangement and setting of corner reflectors as standard radar reflectors. Anticipated results by SIR-B imaging are also discussed.</t>
  </si>
  <si>
    <t>7201588150;55426737100;7801464428;57206124222</t>
  </si>
  <si>
    <t>Naito, Hideyuki;Okamoto, Satoshi;Shiro, Isao;Fujita, Masaharu</t>
  </si>
  <si>
    <t>Naito H.</t>
  </si>
  <si>
    <t>SIR-B EXPERIMENTS IN JAPAN. II. SURFACE ACTIVITY. 1. SENSOR CALIBRATION EXPERIMENT. b. SAROBETSU WILD-LAND TEST SITE.</t>
  </si>
  <si>
    <t>2-s2.0-0023979281</t>
  </si>
  <si>
    <t>['wave absorber', 'three 1', 'targets stand', 'sidelobe structure', 'paper describes', 'metal plate', 'imaging characteristics', 'ground activity', 'corner reflectors', 'background clutters']</t>
  </si>
  <si>
    <t>The SIR-B calibration experiment had two major objectives: to clarify the imaging characteristics of SIR-B, and to evaluate the sidelobe structure of SIR-B. This paper describes the ground activity for the evaluation of the sidelobe structure. Large diameter antennas in Kashima Space Research Center, Radio Research Laboratory, were chosen as targets with very large radar cross sections, so that the SIR-B sidelobe responses due to the targets stand out over the background clutters. The radar cross section of the antennas was intended to be controlled by placing a metal plate or a wave absorber on the primary feed horns. Three 1. 1-m corner reflectors were deployed as standard radar targets in reclaimed land near Kashima Space Research Center.</t>
  </si>
  <si>
    <t>23-27</t>
  </si>
  <si>
    <t>57220908598;55505923400;7003434877;7005147454;7403990802</t>
  </si>
  <si>
    <t>Okamoto, Ken'ichi;Nakamura, Kenji;Awaka, Jun;Fukuchi, Hajime;Fujita, Masaharu</t>
  </si>
  <si>
    <t>Okamoto K.</t>
  </si>
  <si>
    <t>SIR-B EXPERIMENTS IN JAPAN. II. SURFACE ACTIVITY. 1. SENSOR CALIBRATION EXPERIMENT. d. KASHIMA TEST SITE.</t>
  </si>
  <si>
    <t>2-s2.0-0023979355</t>
  </si>
  <si>
    <t>['work efficiently', 'simple structure', 'ptfe substrate', 'line etched', 'inherent advantages']</t>
  </si>
  <si>
    <t>The simple structure of the microstrip patch antenna belies the inherent advantages the antenna can provide. It is simply a line etched on a PTFE substrate. It is shown how that patch is etched, how it interacts with its neighbors, and other considerations to be accommodated if the antenna is to work efficiently.</t>
  </si>
  <si>
    <t xml:space="preserve">Anon, </t>
  </si>
  <si>
    <t>Anon</t>
  </si>
  <si>
    <t>CHALLENGE OF THE PATCH: THE MICROSTRIP PATCH ANTENNA.</t>
  </si>
  <si>
    <t>2-s2.0-0023979562</t>
  </si>
  <si>
    <t>['well suited', 'propagating medium', 'paper describes', 'microstrip antennas', 'key components', 'greatly simplified']</t>
  </si>
  <si>
    <t>Antennas are key components of all systems that require free space as the propagating medium. Many applications either require or are greatly simplified by the use of conformal antenna designs. Microstrip antennas are well suited as conformal antennas since they are very thin and can be shaped to conform to contours. This paper describes a variety of conformal microstrip antennas as well as their application and performance.</t>
  </si>
  <si>
    <t>Munson, Robert E.</t>
  </si>
  <si>
    <t>Ball Aerospace</t>
  </si>
  <si>
    <t>Munson R.</t>
  </si>
  <si>
    <t>CONFORMAL MICROSTRIP ANTENNAS.</t>
  </si>
  <si>
    <t>2-s2.0-0023980533</t>
  </si>
  <si>
    <t>['two methods', 'taking advantage', 'rejecting atmospherics', 'precursory seismo', 'points simultaneously', 'monopole antenna', 'made noise', 'loop antenna', 'linear element', 'land area', 'electromagnetic effect', 'dipole antenna', 'deep borehole']</t>
  </si>
  <si>
    <t>Two methods are proposed for detecting a precursory seismo-electromagnetic effect in a noisy land area or a deep sea area. In the land area, a steel pipe inserted in a deep borehole is used as the linear element of a monopole antenna. This method is shown to be very effective in rejecting atmospherics. In the deep sea area, man-made noise and atmospherics can be attenuated by using insulated cables extended along the seabed as a dipole antenna or a loop antenna. Taking advantage of the seismo-radio wave propagating directly through the earth's crust, a tomography is proposed for describing a three-dimensional intensity distribution of radio wave sources by receiving the wave at four or more points simultaneously.</t>
  </si>
  <si>
    <t>57-67</t>
  </si>
  <si>
    <t>Takahashi, Kozo</t>
  </si>
  <si>
    <t>Takahashi K.</t>
  </si>
  <si>
    <t>TOMOGRAPHY OF SEISMO-RADIO WAVE SOURCE REGIONS FOR PREDICTING EARTHQUAKES, ERUPTIONS AND TSUNAMIS.</t>
  </si>
  <si>
    <t>2-s2.0-0023980632</t>
  </si>
  <si>
    <t>['well documented', 'took place', 'state phased', 'r module', 'power amplification', 'particular transmit', 'multimode active', 'gaas fets', 'first active', 'circuits rely', 'band radar', 'article discusses', 'array radar', 'array apertures', 'aperture x', 'advancing rapidly']</t>
  </si>
  <si>
    <t>Advantages of solid-state phased-array apertures are well documented. Development of this technology, in particular transmit/receive (T/R) modules, is advancing rapidly. This article discusses an investigation that took place to determine the effects of aging on a set of X-band T/R radar modules. Tests were conducted with one of the first active-aperture X-band radar T/R modules using hybrid microwave integrated circuits. These circuits rely on GaAs FETs for power amplification, and were developed to provide a reproducible and reliable T/R module that satisfies the requirements of operation in a multimode active-array radar.</t>
  </si>
  <si>
    <t>79-80, 82, 84</t>
  </si>
  <si>
    <t>Sliva, Randall J.</t>
  </si>
  <si>
    <t>China Lake</t>
  </si>
  <si>
    <t>Naval Air Warfare Center Weapons Division</t>
  </si>
  <si>
    <t>Sliva R.</t>
  </si>
  <si>
    <t>ANALYSIS SHOWS EFFECTS OF AGING ON T/R MODULES.</t>
  </si>
  <si>
    <t>2-s2.0-0023980672</t>
  </si>
  <si>
    <t>['two methods', 'subreflector diffraction', 'significantly increase', 'sidelobe level', 'radiation characteristics', 'polarization levels', 'physical optics', 'paraboloidal antennas', 'optical methods', 'magnification ratio', 'inherent advantages', 'crosspolarization originating', 'compensated dual', 'commonly designed']</t>
  </si>
  <si>
    <t>Dual-offset reflector antennas are commonly designed by means of ray-optical methods. However, in order to make full use of their inherent advantages an accurate theoretical model is needed, which includes diffraction effects in the analysis of the radiation characteristics. After comparing several analytical approaches with measurements this paper investigates various geometrical configurations such as Gregory, Cassegrain, and dual-paraboloidal antennas by physical optics. The influences of subreflector diffraction, magnification ratio, and asymmetry on gain, sidelobe level and crosspolarization of compensated dual-offset reflector antennas are presented. It is demonstrated that subreflector diffraction can significantly increase both sidelobe and cross-polarization levels. Two methods are proposed to reduce the crosspolarization originating from subreflector diffraction.</t>
  </si>
  <si>
    <t>69-79</t>
  </si>
  <si>
    <t>CROSSPOLARIZATION PROPERTIES OF DUAL-OFFSET REFLECTOR ANTENNAS. PART 2: SUBREFLECTOR DIFFRACTION EFFECTS.</t>
  </si>
  <si>
    <t>2-s2.0-0023980771</t>
  </si>
  <si>
    <t>['satellite terminals', 'phased arrays', 'perennial problem', 'new look', 'monolithic amplifier', 'marry printed', 'high frequencies', 'frequency range', 'fabrication methods', 'device technology', 'array design', 'array cost', 'antenna choice', '60 ghz']</t>
  </si>
  <si>
    <t>The frequency range of military satellite communications systems has moved to 20, 44 and 60 GHz, frequencies where system requirements point to phased arrays as an antenna choice for both high performance aircraft and satellite terminals. The perennial problem of phased-array cost, aggravated by the high frequencies, requires a new look at array design and fabrication methods. In this article we discuss one attempt to marry printed-circuit antenna technology with monolithic amplifier and device technology.</t>
  </si>
  <si>
    <t>113-117, 121</t>
  </si>
  <si>
    <t>McIlvenna, John F.</t>
  </si>
  <si>
    <t>McIlvenna J.</t>
  </si>
  <si>
    <t>MONOLITHIC PHASED ARRAYS FOR EHF COMMUNICATIONS TERMINALS.</t>
  </si>
  <si>
    <t>2-s2.0-0023981181</t>
  </si>
  <si>
    <t>['widespread use', 'toleranced antenna', 'thermal instability', 'solid aluminum', 'previously developed', 'poor reputation', 'polyester dmc', 'pilot study', 'nc machined', 'modern materials', 'microwave components', 'harsh environments', 'compression molded', 'complex components', 'array operates', 'approach also']</t>
  </si>
  <si>
    <t>The widespread use of plastics has been limited by their poor reputation with regard to thermal instability and degradation in harsh environments. A number of modern materials are available now with much improved characteristics, and consideration is given to their application to close-toleranced antenna and microwave components. To demonstrate the feasibility of producing close toleranced microwave components in plastic, a pilot study has been undertaken in which the carcasses of a 16-element array antenna have been compression molded in polyester DMC (dough molding compound). The array operates in the 12 GHz region (corresponding to the DBS band), and a version in which the carcasses are NC machined from solid aluminum had been previously developed and tested. It is expected that this approach also will be suitable for other complex components, including corrugated horns and waveguide power dividing networks.</t>
  </si>
  <si>
    <t>175-176, 178</t>
  </si>
  <si>
    <t>60011897;60011897</t>
  </si>
  <si>
    <t>7402772019;7102410842</t>
  </si>
  <si>
    <t>Williams, N.;Berry, K. C.</t>
  </si>
  <si>
    <t>Williams N.</t>
  </si>
  <si>
    <t>PLASTIC ANTENNAS: HIGH PERFORMANCE, RUGGED AND LOW COST.</t>
  </si>
  <si>
    <t>2-s2.0-0023981182</t>
  </si>
  <si>
    <t>['surface uniformity', 'sophisticated instrumentation', 'reflector antenna', 'paint covering', 'novel technique', 'microwave properties', 'frequency performance', 'critically dependent']</t>
  </si>
  <si>
    <t>High-frequency performance of a reflector antenna is critically dependent on the surface uniformity of its metal reflecting surface. Many designers fail to realize that variations in the thickness of the paint covering such reflectors may also reduce antenna gain and increase sidelobe levels. In order to gauge this effect, the microwave properties of the paint, as well as its thickness, must be determined. A novel technique has been developed by which paint samples may be rapidly and accurately characterized without the need for sophisticated instrumentation. This technique allows designers to specify antenna performance.</t>
  </si>
  <si>
    <t>Battilana, Tony</t>
  </si>
  <si>
    <t>Manchester</t>
  </si>
  <si>
    <t>The University of Manchester</t>
  </si>
  <si>
    <t>Battilana T.</t>
  </si>
  <si>
    <t>ENSURE UNIFORMITY WHEN SPECIFYING PAINT FOR REFLECTORS.</t>
  </si>
  <si>
    <t>2-s2.0-0023981477</t>
  </si>
  <si>
    <t>['omnirange beacons', 'early years', 'direction finding', 'capacitance goniometer', 'article describes']</t>
  </si>
  <si>
    <t>From the early years of this century, the goniometer has played its part in direction finding and in Omnirange beacons. This article describes its working, including the development of the rotating-capacitance goniometer and the development of antennae.</t>
  </si>
  <si>
    <t>220-225</t>
  </si>
  <si>
    <t>Grant, G. M.R.</t>
  </si>
  <si>
    <t>Grant G.</t>
  </si>
  <si>
    <t>GONIOMETER IN ELECTRONIC AIR NAVIGATION.</t>
  </si>
  <si>
    <t>2-s2.0-0023982086</t>
  </si>
  <si>
    <t>['surface waves', 'significant role', 'phased arrays', 'microstrip structure', 'losses within', 'authors examine']</t>
  </si>
  <si>
    <t>In phased arrays of microstrip patch antennas, surface waves play a significant role and cannot be neglected. The authors examine the basic radiation mechanism of the microstrip structure and discuss the sophisticated integral equation techniques that now provide accurate design data for the analysis and synthesis of microstrip patch antennas, taking into account surface waves and losses within the structure. Secondary radiation produced by scattering of the surface waves on the border of a finite dielectric substrate is determined.</t>
  </si>
  <si>
    <t>201-208, 210</t>
  </si>
  <si>
    <t>60028186;60028186;60028186</t>
  </si>
  <si>
    <t>6602394107;7006665188;35609196900</t>
  </si>
  <si>
    <t>Roudot, Bertrand;Mosig, Juan;Gardiol, Fred</t>
  </si>
  <si>
    <t>Roudot B.</t>
  </si>
  <si>
    <t>SURFACE WAVE EFFECTS ON MICROSTRIP ANTENNA RADIATION.</t>
  </si>
  <si>
    <t>2-s2.0-0023982123</t>
  </si>
  <si>
    <t>['two antenna', 'topics include', 'solar spectroscopy', 'radio observatories', 'present day', 'leading role', 'important level', 'early development', 'contributions continue', 'australian effort']</t>
  </si>
  <si>
    <t>Australia has made numerous major contributions to the science of radioastronomy and played a leading role in its early development. The history of the Australian effort is reviewed, from this early seminal work until the present day when contributions continue at an important level. Topics include: sea, two antenna, and grating array interferometers; solar spectroscopy; and radio observatories.</t>
  </si>
  <si>
    <t>Journal of Electrical and Electronics Engineering, Australia</t>
  </si>
  <si>
    <t>Mills, B. Y.</t>
  </si>
  <si>
    <t>Mills B.</t>
  </si>
  <si>
    <t>AUSTRALIAN CONTRIBUTION TO THE SCIENCE OF RADIOASTRONOMY.</t>
  </si>
  <si>
    <t>2-s2.0-0023982166</t>
  </si>
  <si>
    <t>['yamagawa port', 'two sites', 'test site', 'spaced targets', 'paper describes', 'ground activity', 'db resolutions', 'background clutter', 'b imaging', 'b ability', 'anticipated results', 'also discussed']</t>
  </si>
  <si>
    <t>In the SIR-B calibration experiment to establish the SIR-B transfer function, to evaluate the 3-dB resolutions, and to check the SIR-B ability to resolve two closely-spaced targets, two test sites were chosen in addition to the main test site at the disused Akita Airport. The other two sites were chosen to evaluate the influence of background clutter on the apparent imaging characteristics of SIR-B. These two test sites were Sarobetsu wild land in Hokkaido, and Yamagawa Port and Yamagawa Radiowave Observatory, Radio Research Laboratory in Kagoshima. This paper describes the ground activity at the Yamagawa test site. Conditions at the test site are described as well as the arrangement and setting of square trihedral corner reflectors. Anticipated results for the SIR-B imaging are also discussed.</t>
  </si>
  <si>
    <t>17-22</t>
  </si>
  <si>
    <t>6602427188;6506689902;7102245635;57206124222</t>
  </si>
  <si>
    <t>Nishimuta, Ichizo;Mitsudome, Hiroto;Ohyama, Haruo;Fujita, Masaharu</t>
  </si>
  <si>
    <t>Nishimuta I.</t>
  </si>
  <si>
    <t>SIR-B EXPERIMENTS IN JAPAN. II. SURFACE ACTIVITY. 1. SENSOR CALIBRATION EXPERIMENT. c. YAMAGAWA TEST SITE.</t>
  </si>
  <si>
    <t>2-s2.0-0023982355</t>
  </si>
  <si>
    <t>['thermosonde obtained', 'stellar scintillometer', 'specular reflections', 'seven heights', 'returned power', 'results found', 'radar reflectivity', 'r0 system', 'provide 150', 'obtained data', 'method used', 'measurements taken', 'isoplanatic angle', 'instruments including', 'height resolution', 'ground level', 'angular dependency', 'agl ),', '22 km']</t>
  </si>
  <si>
    <t>Comparisons are made of profiles of the refractive index structure parameter (Cn2) and two derived quantities, transverse coherence length (r0) and isoplanatic angle (Œ∏0), from measurements taken with a suite of instruments including a 49.25 MHz pulsed Doppler radar with a phased array antenna, an isoplanometer, an r0 system, a stellar scintillometer, and temperature fluctuation sensors mounted on a thermosonde. The radar, which obtained data from 2 to 22 km above ground level (AGL), was operated to provide 150 m height resolution of Cn2. The stellar scintillometer obtained a Cn2 profile defined at seven heights from 2.2 to 18.5 km AGL, while the thermosonde obtained and transmitted data every 20 m. The isoplanometer and r0 system provided integratedpath (ground-to-space) values. The method used for calibrating the radar is discussed as well as the angular dependency of radar-returned power as influenced by specular reflections. The method used for extracting optical Cn2 from radar reflectivity by eliminating humidity effects is discussed, as is speculation as to differences in results found from the different measurement techniques. ¬© 1988 Springer-Verlag.</t>
  </si>
  <si>
    <t>17-29</t>
  </si>
  <si>
    <t>0177798X</t>
  </si>
  <si>
    <t>Theoretical and Applied Climatology</t>
  </si>
  <si>
    <t>60076559;60076559;60076559;60013965;60001247;60001247;60001247</t>
  </si>
  <si>
    <t>7005107917;36819084500;7201521821;57114957300;7403301576;6701514972;55724423100</t>
  </si>
  <si>
    <t>Eaton, F. D.;Peterson, W. A.;Hines, J. R.;Peterman, K. R.;Good, R. E.;Beland, R. R.;Brown, J. H.</t>
  </si>
  <si>
    <t>Las Cruces;Austin;</t>
  </si>
  <si>
    <t>White Sands Missile Range;Radian Corporation;Hanscom AFB</t>
  </si>
  <si>
    <t>60076559;60013965;60001247</t>
  </si>
  <si>
    <t>Eaton F.</t>
  </si>
  <si>
    <t>Comparisons of VHF radar, optical, and temperature fluctuation measurements of C&lt;inf&gt;n&lt;/inf&gt;&lt;sup&gt;2&lt;/sup&gt;, r&lt;inf&gt;0&lt;/inf&gt; and Œ∏&lt;inf&gt;0&lt;/inf&gt;</t>
  </si>
  <si>
    <t>10.1007/BF00867654</t>
  </si>
  <si>
    <t>2-s2.0-0024233787</t>
  </si>
  <si>
    <t>['wave activation', 'spectral shape', 'sometimes also', 'range 4', 'polar region', 'plasma frequency', 'plasma densities', 'passes hiss', 'often registered', 'morning side', 'magnetic fields', 'low frequencies', 'loop antenna', 'impedance measurements', 'evening side', 'electric fields', 'axis parallel', 'auroral region', 'approximately half', '700 khz']</t>
  </si>
  <si>
    <t>The high frequency wave experiment onboard the Viking satellite measures electric and magnetic fields and the plasma frequency in the range 4 to 700 kHz. The magnetic field sensor is a loop antenna with its axis parallel to the satellite spin axis, the electric field sensor is one of the radial boom dipoles also used for DC and low frequencies. The sensitivity is 10‚àí14Tesla Hz for magnetic fields, 5 »ï 10‚àí8V/mHz for electric fields. The plasma frequency is measured by wave activation and by impedance measurements of the plasma. The frequency range available corresponds to plasma densities from 1 to 3000 per cubic cm. Data from the initial operating period show frequent wave activity. In approximately half of the passes hiss and auroral kilometric radiation is observed in the auroral region in the evening side and sometimes also in the morning side. The radiation shows strong variations within a few seconds in spectral shape, and is often clearly limited by cutoffs in frequency. Very low plasma frequencies are often registered, corresponding to a few electrons per cubic cm at 1 to 2 Earth radii above the polar region. ¬© 1988 IOP Publishing Ltd.</t>
  </si>
  <si>
    <t>469-474</t>
  </si>
  <si>
    <t>Physica Scripta</t>
  </si>
  <si>
    <t>60011373;60011373;60011373;105929026;105929026;60002930;60002930;100464616;100464616;60003674</t>
  </si>
  <si>
    <t>7801309922;24599878500;6507081854;56242089800;7003713476;6602571575;7006487515;6504706108;56616020600;16236924800</t>
  </si>
  <si>
    <t>Bahnsen, A.;Jespersen, M.;Ungstrup, E.;Pottelette, R.;Malingre, M.;Decreau, P. M.E.;Hamelin, M.;Feraudy, H. De;Perraut, S.;Pedersen, B. M.</t>
  </si>
  <si>
    <t>Denmark;France;France;France;France</t>
  </si>
  <si>
    <t>Lyngby;Paris;Orleans;Saint-Maur-des-Fosses;Issy-les-Moulineaux</t>
  </si>
  <si>
    <t>Danmarks Tekniske Universitet;L'Observatoire de Paris;Laboratoire de Physique et de Chimie de l'Environnement et de l'Espace (LPC2E);CRPE;CRPE</t>
  </si>
  <si>
    <t>60011373;60003674;60002930;105929026;100464616</t>
  </si>
  <si>
    <t>Bahnsen A.</t>
  </si>
  <si>
    <t>First VIKING results: High frequency waves</t>
  </si>
  <si>
    <t>10.1088/0031-8949/37/3/032</t>
  </si>
  <si>
    <t>2-s2.0-0242568628</t>
  </si>
  <si>
    <t>['wave systems', 'success depends', 'major factor', 'greatest potential']</t>
  </si>
  <si>
    <t>Printed-circuit antenna technology holds its greatest potential for designers of millimeter-wave systems. Dreams of entire receiver subsystems on a chip - or even complete transceivers - make the printed circuit antenna desirable. At EHF, true active antennas are feasible, and perhaps even antennas that think for themselves. Their success depends on the speed at which MMIC technology develops, since integration onto one substrate is the major factor in their advancement.</t>
  </si>
  <si>
    <t>ACTIVE ANTENNAS: NEW MM-WAVE GOAL.</t>
  </si>
  <si>
    <t>2-s2.0-18344401073</t>
  </si>
  <si>
    <t>['way coincidences', 'way coincidence', 'sky coverage', 'reduced probability', 'one antenna', 'detection criterion', 'begin operating', 'antenna pattern']</t>
  </si>
  <si>
    <t>Other instrumentation and techniques (including clocks, frequency standards, etc.)</t>
  </si>
  <si>
    <t>The antenna pattern is analysed for four widely spaced cryogenic gravitational wave antennas which are expected to begin operating in coincidence during 1987. Using reasonable assumptions for senstivity, the four-antenna pattern is shown to give between 50% and 80% sky coverage for circularly polarized radiation under the minimum-detection criterion of two-way coincidence. One-hundred percent sky coverage can be achieved if one antenna is reoriented, but this is at the expense of reduced probability for 3-way coincidences. ¬© 1988 Societ√† Italiana di Fisica.</t>
  </si>
  <si>
    <t>185-191</t>
  </si>
  <si>
    <t>Il Nuovo Cimento C</t>
  </si>
  <si>
    <t>60031806;60032350;60032350</t>
  </si>
  <si>
    <t>22974326500;25649375000;24788382600</t>
  </si>
  <si>
    <t>Blair, D. G.;Frasca, S.;Pizzellia, G.</t>
  </si>
  <si>
    <t>Italy;Australia</t>
  </si>
  <si>
    <t>Rome;Perth</t>
  </si>
  <si>
    <t>Sapienza Universit√† di Roma;The University of Western Australia</t>
  </si>
  <si>
    <t>60032350;60031806</t>
  </si>
  <si>
    <t>Blair D.</t>
  </si>
  <si>
    <t>Antenna pattern for four gravitational wave antennas</t>
  </si>
  <si>
    <t>10.1007/BF02561730</t>
  </si>
  <si>
    <t>2-s2.0-51249176408</t>
  </si>
  <si>
    <t>['vast amount', 'undistrubed pre', 'ssc periods', 'signatures contain', 'initial tens', 'hardly detectable', 'electric field', 'data indicates', 'compressional component', 'b2points tailward', 'azimuthal directions', '950 km', '2 carried', '(¬± 30s']</t>
  </si>
  <si>
    <t>GEOS-2 carried a long wire boom antenna to measure the ambient electric field. In view of the long successful operation of the spacecraft a vast amount of electric field data was accumulated between 1978 and 1983. A survey of the data set revealed about 90 sudden occurrences of large amplitude Pc5 type waves. It turned out that about half of these events were associated with SSC's recorded on ground. We describe how the electric field and the computed E √ó B/B2plasma drift changed from the undistrubed pre-SSC periods to the initial tens of seconds after the sudden compression occurred. The typical picture obtained from these events is that SSC's detected by GEOS-2 near local noon show a clear compressional plasma drift pattern, i.e., E √ó B/B2points tailward. Close to the flanks or in the nightside these signatures contain not only a tailward flow proper but also a radially inward component. The magnetic field signatures show that the compressional component is strongest around local noon with a remarkable decrease via the flanks toward local midnight. Our data indicates that SSC's are hardly detectable in the geostationary orbit near local midnight. Based on simple geometrical considerations and within the accuracy of the ground recording times of the SSC's (¬±30s) we derive propagation velocities for the radially inward travelling compressive wave of 950 km/s and for azimuthal directions in the outer magnetosphere 1100 km/s. ¬© 1988 IOP Publishing Ltd.</t>
  </si>
  <si>
    <t>491-495</t>
  </si>
  <si>
    <t>116289873;116289873</t>
  </si>
  <si>
    <t>56393143500;55587749400</t>
  </si>
  <si>
    <t>Schmidt, R.;Pedersen, A.</t>
  </si>
  <si>
    <t>Space Science Department of ESA/ESTEC</t>
  </si>
  <si>
    <t>Schmidt R.</t>
  </si>
  <si>
    <t>Signatures of storm sudden commencements in the electric field measured at geostationary orbit (GEOS-2)</t>
  </si>
  <si>
    <t>10.1088/0031-8949/37/3/036</t>
  </si>
  <si>
    <t>2-s2.0-84956105847</t>
  </si>
  <si>
    <t>['¬© 1988', 'wild type', 'two light', 'strong tendency', 'spectrally inhomogeneous', 'room temperature', 'reaction centres', 'rate constants', 'native environment', 'mutants containing', 'lh2 complexes', 'lh2 ).', 'lh1 consists', 'harvesting system', 'harvesting pigment', 'fluorescence caused', 'first time', 'energy transfer', 'complexes separately', 'aggregation may', 'absorbing bchl', '35 ps']</t>
  </si>
  <si>
    <t>(Rb. sphaeroides) | Energy transfer | Pigment organization</t>
  </si>
  <si>
    <t>The organization of the light-harvesting system of the purple bacterium Rhodobacter sphaeroides was studied by use of mutants containing only one of the two light-harvesting pigment-protein complexes present in the wild type: B875 (LH1) and B800-850 (LH2). These mutants thus enabled us to study for the first time the properties of these complexes separately in their native environment. By measuring the yield of fluorescence caused by 35 ps, 532 nm flashes of varying energy density, the number of bacteriochlorophyll (BChl) molecules which constitute a domain for energy transfer was obtained as well as the rate constants for energy transfer. It appears that LH1 consists of clusters of about 100 BChl molecules, which, at room temperature, form large assemblies for energy transfer. This aggregation may be mediated by the presence of reaction centres. The LH2 complex also shows a strong tendency to aggregate to form large domains, although a fundamental structural unit of 30 connected BChl850 and 15 BChl800 molecules appears to exist. We also present evidence that in these mutants the LH1 and LH2 complexes are spectrally inhomogeneous and each contain an additional, long-wavelength-absorbing BChl. ¬© 1988.</t>
  </si>
  <si>
    <t>132-140</t>
  </si>
  <si>
    <t>60003878;60003878;60003878;60008734;60015150</t>
  </si>
  <si>
    <t>24395538800;7801620289;7004456032;35599806700;13105070700</t>
  </si>
  <si>
    <t>Vos, Marcel;van Dorssen, Rob J.;Amesz, Jan;van Grondelle, Rienk;Hunter, C. Neil</t>
  </si>
  <si>
    <t>Vos M.</t>
  </si>
  <si>
    <t>The organization of the photosynthetic apparatus of Rhodobacter sphaeroides: Studies of antenna mutants using singlet-singlet quenching</t>
  </si>
  <si>
    <t>10.1016/0005-2728(88)90063-1</t>
  </si>
  <si>
    <t>2-s2.0-0001289077</t>
  </si>
  <si>
    <t>['¬± 15', '¬© 1988', 'variable fluorescence', 'triplet state', 'synechococcus sp', 'small fraction', 'rise time', 'relaxes rapidly', 'rapid phase', 'radical pair', 'purified o2', 'pheo -).', 'pair recombination', 'pair formation', 'observed radical', 'model predicts', 'measurements made', 'ground state', 'give rise', 'favorable state', 'chlorophyll triplets', 'chlorophyll aii', 'chl aii', 'charge recombination', 'cannot account', 'antenna pigments', '820 nm', '515 nm', '420 nm', '25 ns', '20 %)', '11 ns']</t>
  </si>
  <si>
    <t>(Synechococcus sp.) | Charge recombination | Flash absorption spectroscopy | Photosystem II | Radical pair</t>
  </si>
  <si>
    <t>Absorption changes induced by picosecond laser flashes have been studied in purified O2-evolving Photosystem II complexes from Synechococcus sp. If the first quinone acceptor, QA, is reduced before the flash, we observe a rapid phase with approx. 1 ns lifetime which reflects the decay of excited singlet states of antenna pigments, followed by a clearly separated phase of approx. 11 ns. Based on measurements made between 420 nm and 820 nm the 11 ns phase is attributed to the decay of the radical pair, chlorophyll aII+ pheophytin a- (Chl aII+ Pheo-). It decays by charge recombination to the ground state and a small fraction (approx. 20%) to the triplet state 3Chl aII Pheo via 3(Chl aII+ Pheo-). From the absence of a significant fluorescence decay component with approx. 11 ns lifetime we conclude that the observed radical-pair recombination does not give rise to regeneration of the excited singlet state of Chl aII and cannot account for the variable fluorescence. The yield of radical-pair formation is estimated to be approx. 60% ¬± 15% of the yield of Chl aII+ Q-A formation in open reaction centers. The data can be explained by a model which is based on the assumption that the radical pair initially generated in closed reaction centers has a higher free energy relative to that in open centers due to the negatively charged QA, but relaxes rapidly to an energetically more favorable state with 11 ns lifetime. The model predicts that the yield of radical pair formation increases with decreasing antenna size. The triplet state of carotenoids, 3Car, was monitored at 515 nm in closed Photosystem II. 3Car was formed with low yield compared to the yield of radical-pair formation. Its rise time of about 25 ns is attributed to triplet energy transfer from chlorophyll triplets in the antenna. ¬© 1988.</t>
  </si>
  <si>
    <t>22-34</t>
  </si>
  <si>
    <t>60011604;60011604</t>
  </si>
  <si>
    <t>57207893208;7003637768</t>
  </si>
  <si>
    <t>Schlodder, E.;Brettel, K.</t>
  </si>
  <si>
    <t>Berlin</t>
  </si>
  <si>
    <t>Technical University of Berlin</t>
  </si>
  <si>
    <t>Schlodder E.</t>
  </si>
  <si>
    <t>Primary charge separation in closed Photosystem II with a lifetime of 11 ns. Flash-absorption spectroscopy with O&lt;inf&gt;2&lt;/inf&gt;-evolving Photosystem II complexes from Synechococcus</t>
  </si>
  <si>
    <t>10.1016/0005-2728(88)90052-7</t>
  </si>
  <si>
    <t>2-s2.0-0002130174</t>
  </si>
  <si>
    <t>['¬© 1988', 'spillover may', 'rights reserved', 'reduced considerably', 'power radiated', 'nearly half', 'many contoured', 'major problem', 'electrical engineers', 'cluster feed', 'cluster elements']</t>
  </si>
  <si>
    <t>A major problem in many contoured-beam satellite antennas is that nearly half the power radiated by the cluster feed is lost as spillover into space. This spillover may be reduced considerably by using hard horns as cluster elements. ¬© 1988, The Institution of Electrical Engineers. All rights reserved.</t>
  </si>
  <si>
    <t>491-492</t>
  </si>
  <si>
    <t>7101988263;55884538900</t>
  </si>
  <si>
    <t>Kildal, P. S.;Lier, E.</t>
  </si>
  <si>
    <t>Hard horns improve cluster feeds of satellite antennas</t>
  </si>
  <si>
    <t>10.1049/el:19880333</t>
  </si>
  <si>
    <t>2-s2.0-0023995554</t>
  </si>
  <si>
    <t>['¬© 1988', 'substrate thickness', 'rights reserved', 'resonant frequency', 'particular interest', 'electrical engineers', 'crosspolarisation characteristics', 'copolarisation radiation']</t>
  </si>
  <si>
    <t>Antenna theory | Antennas | Microstrip</t>
  </si>
  <si>
    <t>Theoretical results describing the crosspolarisation characteristics of rectangular patch antennas are presented. Of particular interest is the result that the copolarisation radiation is not sensitive to resonant frequency and substrate thickness while the crosspolarisation component increases with resonant frequency and/or substrate thickness. ¬© 1988, The Institution of Electrical Engineers. All rights reserved.</t>
  </si>
  <si>
    <t>463-464</t>
  </si>
  <si>
    <t>60032143;60032143;60026717</t>
  </si>
  <si>
    <t>7101890953;7501501369;24522606100</t>
  </si>
  <si>
    <t>Huynh, T.;Lee, K. F.;Lee, R. Q.</t>
  </si>
  <si>
    <t>Huynh T.</t>
  </si>
  <si>
    <t>Crosspolarisation characteristics of rectangular patch antennas</t>
  </si>
  <si>
    <t>10.1049/el:19880313</t>
  </si>
  <si>
    <t>2-s2.0-0023996046</t>
  </si>
  <si>
    <t>['¬© 1988', 'rights reserved', 'reflection bands', 'electrical engineers', 'cell consists']</t>
  </si>
  <si>
    <t>Electromagnetic waves | Periodic structures | Scattering</t>
  </si>
  <si>
    <t>Analysis and design of multiple-grid frequency selective surfaces are carried out by considering them as periodically loaded structures where each cell consists of a grid with its dielectric support layers. The Bloch wave passband and stop-band are exploited to create the transmission and reflection bands. ¬© 1988, The Institution of Electrical Engineers. All rights reserved.</t>
  </si>
  <si>
    <t>449-450</t>
  </si>
  <si>
    <t>Multiple-grid frequency-selective surfaces as periodically loaded structures</t>
  </si>
  <si>
    <t>10.1049/el:19880303</t>
  </si>
  <si>
    <t>2-s2.0-0023997819</t>
  </si>
  <si>
    <t>['¬© 1988', 'room temperature', 'rights reserved', 'oxide material', 'new material', 'liquid nitrogen', 'electrical engineers', 'earth copper']</t>
  </si>
  <si>
    <t>Antennas | Dipole antennas | Superconducting devices</t>
  </si>
  <si>
    <t>A recently discovered rare-earth copper-oxide material, which is superconducting above the temperature of liquid nitrogen, is used to fabricate a high-efficiency electrically short dipole antenna. Thus the necessity to cool a lead antenna structure to liquid helium temperatures is avoided. Results are presented which show the gain enhancement achieved using this new material when compared with a conventional copper structure at room temperature. ¬© 1988, The Institution of Electrical Engineers. All rights reserved.</t>
  </si>
  <si>
    <t>460-461</t>
  </si>
  <si>
    <t>;;;60019702;60024415;60024415</t>
  </si>
  <si>
    <t>6701323282;7006639115;7005970306;7004362255;7005114043;57197050035</t>
  </si>
  <si>
    <t>Khamas, S. K.;Mehler, M. J.;Maclean, T. S.M.;Gough, C. E.;Alford, N.;Harmer, M. A.</t>
  </si>
  <si>
    <t>Netherlands;United Kingdom</t>
  </si>
  <si>
    <t>Amsterdam;Birmingham</t>
  </si>
  <si>
    <t>Akzo Nobel N.V.;University of Birmingham</t>
  </si>
  <si>
    <t>60024415;60019702</t>
  </si>
  <si>
    <t>Khamas S.K.</t>
  </si>
  <si>
    <t>High-T&lt;inf&gt;c&lt;/inf&gt; superconducting short dipole antenna</t>
  </si>
  <si>
    <t>10.1049/el:19880311</t>
  </si>
  <si>
    <t>2-s2.0-0024000319</t>
  </si>
  <si>
    <t>['¬© 1988', 'rights reserved', 'pheromone compounds', 'pheromone acetate', 'merely hydrolyzedto', 'living antennae', 'labeled pheromones', 'high rates', 'hexadecadienyl acetate', 'fatty alcohol', 'enzymatically converted', 'dried antennae', '3 min']</t>
  </si>
  <si>
    <t>Antennae | Enzymes | Metabolites | Moth | Pheromones</t>
  </si>
  <si>
    <t>In living antennae of the male silkworm moth Antheraea polyphemus the pheromone compounds [6, 7-3H]-6, ll-hexadecadienyl acetate and [12, 13-3H]-10, 12-hexadecadienol are enzymatically converted to their corresponding fatty alcohols, aldehydes, acids and long-chained fatty acid esters. In antennae of freshly hatched moths the 3H-labeled pheromones are degraded at high rates to volatile polar metabolites. The half-life of the pheromone acetate is about 3 min. In dried antennae the pheromone acetate is merely hydrolyzedto the fatty alcohol. ¬© 1988, Walter de Gruyter. All rights reserved.</t>
  </si>
  <si>
    <t>275-284</t>
  </si>
  <si>
    <t>60005460;60005460;60005460</t>
  </si>
  <si>
    <t>6603277313;16443694200;16442031800</t>
  </si>
  <si>
    <t>Kasang, Gerhard;Von Proff, Leopold;Nicholls, Michael</t>
  </si>
  <si>
    <t>Kasang G.</t>
  </si>
  <si>
    <t>Enzymatic conversion and degradation of sex pheromones inantennae of the male silkworm moth antheraea polyphemus</t>
  </si>
  <si>
    <t>10.1515/znc-1988-3-420</t>
  </si>
  <si>
    <t>2-s2.0-0000578233</t>
  </si>
  <si>
    <t>['wave vectors', 'ribbon radiator', 'minimum dimensions', 'impedance characteristics', 'imaginary angles', 'frequency dependence', 'fourier transforms', 'flat radiators', 'current distribution', 'bandwidth properties']</t>
  </si>
  <si>
    <t>A spectral approach enabling a relationship to be established between the dimensions and form of the aperture, type of polarization, the form of the current distribution, and the maximum-bandwidth properties of flat radiators is developed. The fundamental restrictions imposed by the minimum dimensions of the aperture on the maximum-bandwidth properties of the radiators are established. It is shown that the form of the frequency dependence of the impedance characteristics is determined by the position of the Fourier transforms of the surface current density relative to the boundary of the region of real and imaginary angles in the plane of the wave vectors. The maximum-bandwidth properties of a ribbon radiator are studied, and the effect of the type of excitation on its impedance characteristics is determined.</t>
  </si>
  <si>
    <t>Konyashenko, Ye A.</t>
  </si>
  <si>
    <t>Konyashenko Y.</t>
  </si>
  <si>
    <t>Spectral approach to the analysis of the maximum-bandwidth properties of flat radiators</t>
  </si>
  <si>
    <t>2-s2.0-0023985053</t>
  </si>
  <si>
    <t>['wave propagation', 'surface accuracy', 'subreflector size', 'strut geometry', 'station antennas', 'pure signals', 'propagation experiments', 'polarization efficiency', 'main components', 'illumination taper', 'geometrical relationships', 'electrical characteristics', 'directional reference', 'direct measurement', 'clssical dual', 'atmospheric influences', 'aperture multi']</t>
  </si>
  <si>
    <t>In this report the main components of a multi-frequency antenna system for propagation experiments with the large telecommunications satellite Olympus have been reviewed. The antenna system consists of a clssical dual-reflector Cassegrain antenna with a single-aperture multi-frequency primary feed system. The 12/20/30 GHz beacons of Olympus provide stable and pure signals for the direct measurement of atmospheric influences on radio-wave propagation, and they provide a directional reference for the alignment of earth-station antennas. The geometry and the electrical characteristics of a classical Cassegrain antenna, with a corrugated horn primary feed, have been considered. Subjects that have been touched on are: geometrical relationships, strut geometry, subreflector size, illumination taper, blocking, surface accuracy, polarization efficiency, and on-axis polarization discrimination.</t>
  </si>
  <si>
    <t>EUT Report - Eindhoven University of Technology, Department of Electrical Engineering</t>
  </si>
  <si>
    <t>Worm, S. C.J.</t>
  </si>
  <si>
    <t>Worm S.</t>
  </si>
  <si>
    <t>Multi-frequency antenna system for propagation experiments with the olympus satellite</t>
  </si>
  <si>
    <t>2-s2.0-0023985081</t>
  </si>
  <si>
    <t>['vector problem', 'power criteria', 'maximum gain', 'given direction', 'fixed angle', 'dimensional resonator']</t>
  </si>
  <si>
    <t>A method is proposed for synthesizing resonant antennas based on power criteria: the maximum relative radiation power in a fixed angle or the maximum gain (G) in a given direction. The method is extended to the vector problem of synthesizing a three-dimensional resonator with a spherical outer surface, having a constant isotropic transmission, and with an inner impedance surface of revolution.</t>
  </si>
  <si>
    <t>14-23</t>
  </si>
  <si>
    <t>6603550149;7004714672;7006135844</t>
  </si>
  <si>
    <t>Korshunova, Ye N.;Sivov, A. N.;Shatrov, A. D.</t>
  </si>
  <si>
    <t>Korshunova Y.</t>
  </si>
  <si>
    <t>Power-criterion based synthesis of a resonant antenna</t>
  </si>
  <si>
    <t>2-s2.0-0023985160</t>
  </si>
  <si>
    <t>['synthesis problem', 'semiopaque surface', 'resonant antenna', 'limited dimensions', 'generalized method', 'e .,', 'dielectric filling', 'dielectric body', 'constructive level', 'constant phase', 'characteristic oscillations', 'antenna geometry']</t>
  </si>
  <si>
    <t>It is shown that the dimensions of a resonant antenna can be reduced while preserving a fixed radiation pattern by using a dielectric filling with permittivity Œµ‚â´1. The solution of the synthesis problem is constructed by the generalized method of characteristic oscillations. It is established that in a dielectric body with limited dimensions, for sufficiently large values of Œµ there are always closed continuous surfaces of constant phase of of the field with a fixed asymptotic behavior. The synthesis problem is solved at the constructive level, i.e., the antenna geometry and the distribution of the transmission of the semiopaque surface are determined. It is proposed that a quarter-wave matching layer with Œµ1 ‚âà‚àöŒµ be used to obtain smoother equiphase surfaces and transmission distribution function.</t>
  </si>
  <si>
    <t>7004714672;6701488061</t>
  </si>
  <si>
    <t>Sivov, A. N.;Chuprin, A. D.</t>
  </si>
  <si>
    <t>Sivov A.</t>
  </si>
  <si>
    <t>Synthesis of a resonant antenna enclosed in a dielectric</t>
  </si>
  <si>
    <t>2-s2.0-0023985262</t>
  </si>
  <si>
    <t>['wide range', 'vertical radiator', 'small low', 'simple dipole', 'selection process', 'scale high', 'right antenna', 'powered systems', 'operational objectives', 'directional antenna', 'complex although', 'author examines', 'antenna systems']</t>
  </si>
  <si>
    <t>There is a wide range of broadband antennas available. Selecting the right antenna is crucial if the operational objectives of the system are to be realized. For large-scale high-powered systems, the selection process can be complex although for small low-powered systems that do not require worldwide communications the choices can be simple. The author examines the three basic needs for antenna systems, the vertical radiator, the simple dipole and the directional antenna.</t>
  </si>
  <si>
    <t>Communications International (London)</t>
  </si>
  <si>
    <t>Wade, Ian</t>
  </si>
  <si>
    <t>Radio Frequency Systems</t>
  </si>
  <si>
    <t>Wade I.</t>
  </si>
  <si>
    <t>Modern hf antennas</t>
  </si>
  <si>
    <t>2-s2.0-0023985487</t>
  </si>
  <si>
    <t>['vsat consists', 'topics discussed', 'star network', 'satellite communications', 'remote sites', 'performs radio', 'outdoor equipment', 'link design', 'indoor equipment', 'implementation phase', 'ground segment', 'concept stage', 'antenna diameter', 'access methods', '2 metres']</t>
  </si>
  <si>
    <t>Very small aperture terminals (VSATs) for satellite communications have evolved over the last few years from the concept stage to the implementation phase. VSATs are small satellite earth stations, typically having an antenna diameter of less than 2 metres. A VSAT consists of outdoor equipment, which performs radio-frequency transmission functions, and indoor equipment which performs digital baseband signal processing functions. VSATs are designed for installation at the remote sites of geographically dispersed organisations and are used to provide communications via satellite to a hub earth station within the organisation. This configuration is called a star network. Topics discussed are link design; sub-access methods, and the ground segment.</t>
  </si>
  <si>
    <t>Australian Electronics Engineering</t>
  </si>
  <si>
    <t>Garber, Kenneth</t>
  </si>
  <si>
    <t>Garber K.</t>
  </si>
  <si>
    <t>VSATs link remote sites</t>
  </si>
  <si>
    <t>2-s2.0-0023993739</t>
  </si>
  <si>
    <t>['time signals', 'simple way', 'radiation pattern', 'processing space', 'power noise', 'noise immunity', 'finding characteristics', 'enables one', 'appreciably impaired', 'antenna system']</t>
  </si>
  <si>
    <t>The optimization of devices for processing space-time signals when power noise is presence, in the terms of the maximum SNR criterion, enables one to obtain the highest noise immunity, although the direction-finding characteristics of the antenna system may be appreciably impaired. An algorithm is obtained for the processing of signals in a two-antenna system without power noise, which enables one to reduce, in a simple way, distortions of the radiation pattern of an antenna system at the cost of some loss in noise immunity.</t>
  </si>
  <si>
    <t>111-115</t>
  </si>
  <si>
    <t>57219263098;7003819201</t>
  </si>
  <si>
    <t>Parshin, Yu N.;Sosulin, Yu G.</t>
  </si>
  <si>
    <t>Parshin Y.N.</t>
  </si>
  <si>
    <t>Space-time compensation of noise with protection of the principal maximum of the antenna radiation pattern</t>
  </si>
  <si>
    <t>2-s2.0-0023993793</t>
  </si>
  <si>
    <t>['profile antenna', 'polarized low', 'geometrical dimensions', 'experimental investigations', 'enable calculation', 'empirical relations']</t>
  </si>
  <si>
    <t>Results of experimental investigations of a circularly-polarized low-profile antenna with an electrically thick radiating element are presented. Empirical relations which enable calculation of the geometrical dimensions of the antenna are given.</t>
  </si>
  <si>
    <t>109-111</t>
  </si>
  <si>
    <t>7003374031;6507884506;7004190359</t>
  </si>
  <si>
    <t>Gorobets, N. N.;Lytov, Yu V.;Pchel'nikov, A. Ya</t>
  </si>
  <si>
    <t>Gorobets N.</t>
  </si>
  <si>
    <t>Experimental investigation of a low-profile antenna with circular polarization</t>
  </si>
  <si>
    <t>2-s2.0-0023993801</t>
  </si>
  <si>
    <t>['various countries', 'snowy areas', 'snow fallen', 'paper introduces', 'including europe', 'forcibly distribute', 'deicing systems', 'antenna reflector', 'air chamber']</t>
  </si>
  <si>
    <t>This hot air deicing system has been developed as a means of melting the snow fallen on, and stuck to, the antenna reflector surface. This hot air deicing system has an air chamber (plenum) in between the antenna reflector and the structure that supports the reflector with a blower and a heater installed inside the plenum to forcibly distribute the heated air throughout the plenum. Many such deicing systems of this kind have already been installed in snowy areas of various countries in the world, including Europe. The paper introduces the overview, configuration, and performance of this hot air deicing system.</t>
  </si>
  <si>
    <t>81-88</t>
  </si>
  <si>
    <t>0547051X</t>
  </si>
  <si>
    <t>NEC Research and Development</t>
  </si>
  <si>
    <t>7006905595;7201834202;7401792317</t>
  </si>
  <si>
    <t>Higaki, Mitsuo;Narita, Masataka;Nakayama, Makoto</t>
  </si>
  <si>
    <t>Higaki M.</t>
  </si>
  <si>
    <t>HOT AIR DEICING SYSTEM.</t>
  </si>
  <si>
    <t>2-s2.0-0023994637</t>
  </si>
  <si>
    <t>['small size', 'psk modulator', 'outdoor unit', 'office building', 'installed easily', 'indoor unit', 'high reliability', 'bbp ).', 'baseband processors']</t>
  </si>
  <si>
    <t>This paper describes VSAT terminal equipment which is installed easily on rooftops, on walls, or in the backyard of the user's office building, where the user data terminals are located to construct a transmit and receive radio signals to/from a satellite, Outdoor Unit (ODU) to amplify the signals and to convert their frequency, and Indoor Unit (IDU) composed of PSK modulator/ demodulator and (Baseband Processors (BBP). This VSAT terminal equipment achieves high performance characteristics, small size and high reliability with extremely low cost to make a VSAT system attractive and economical. In this paper, the components, performances and some features of VSAT terminal equipment are presented.</t>
  </si>
  <si>
    <t>16-22</t>
  </si>
  <si>
    <t>;;;;;;;;</t>
  </si>
  <si>
    <t>6603949143;7403145750;7102633367;36869271700;7102645209;57206500604;7004360914;7402003861;55495545100</t>
  </si>
  <si>
    <t>Tamagawa, Susumu;Fukuda, Sachiro;Takahara, Atsushi;Saga, Ryokichi;Yoshihara, Masashi;Yamamoto, Osamu;Momose, Masao;Taniguchi, Taiichi;Sato, Koichi</t>
  </si>
  <si>
    <t>Tamagawa S.</t>
  </si>
  <si>
    <t>VSAT SYSTEM (3): VSAT TERMINAL EQUIPMENT.</t>
  </si>
  <si>
    <t>2-s2.0-0023994714</t>
  </si>
  <si>
    <t>['transmitter antenna', 'studied using', 'solution holds', 'sea water', 'perturbation technique', 'mean depth', 'magnetic fields', 'lower boundaries', 'low frequencies', 'layer medium', 'ground ).', 'calculated electric', 'arbitrary distance']</t>
  </si>
  <si>
    <t>We present initial results of calculated electric and magnetic fields at an arbitrary distance, r, from a transmitter antenna by investigating the effect of roughness of both upper and lower sea surfaces on electromagnetic wave propagation in seas. The part of the sea under investigation is considered in terms of a three-layer medium (air-sea water-ground). Sea waves lead to the variations that occur in both upper and lower sea surfaces. These variations are studied using the perturbation technique. The solution holds for low frequencies and is only limited by the fact that the variations of the upper and lower boundaries of the sea about a mean height must be small with respect to the mean depth of the sea. The problem is evaluated mathematically using the residue and saddle point methods.</t>
  </si>
  <si>
    <t>60009941;60009941;60009941;60009941</t>
  </si>
  <si>
    <t>57189423682;7003407249;56038100700;6504292398</t>
  </si>
  <si>
    <t>Loewen, H. W.;Jodl, H. J.;Loewenschuss, A.;Daeufer, H.</t>
  </si>
  <si>
    <t>Loewen H.</t>
  </si>
  <si>
    <t>RAMAN STUDIES ON N//2-RARE-GAS MIXED CRYSTALS.</t>
  </si>
  <si>
    <t>2-s2.0-0023996004</t>
  </si>
  <si>
    <t>['vsat application', 'report presents', 'general descriptions']</t>
  </si>
  <si>
    <t>VSAT (Very Small Aperture Terminal) using a 1 to 2 meter antenna with a few watt transmit power amplifier has recently been attracting remarkable attention as a new satellite communication system. VSAT is now accelerating the demands of the digital satellite communication system, integrating the data, facsimile, video, etc. , especially in the field of companies' internal communications network. This report presents the general descriptions, features and products of the NEXTAR mini earth station system developed for the VSAT application.</t>
  </si>
  <si>
    <t>6603823964;7004065738;36958857200;6602873552;56141311100;7103079370;7401933793;6602305278</t>
  </si>
  <si>
    <t>Haga, Isao;Oshima, Goro;Fujii, Akira;Teshigawara, Yoshimi;Tanaka, Hisao;Shichiri, Motohiro;Asai, Toshio;Ishide, Akihiro</t>
  </si>
  <si>
    <t>Haga I.</t>
  </si>
  <si>
    <t>VSAT SYSTEM (1): NEXTAR MINI EARTH STATION SYSTEM.</t>
  </si>
  <si>
    <t>2-s2.0-0023996896</t>
  </si>
  <si>
    <t>['tuning element', 'tie antenna', 'submillimeter wavelengths', 'small loss', 'small dispersion', 'simple l', 'series array', 'rf sweeper', 'relatively quick', 'one type', 'good agreement', 'frequency response', 'excellent agreement', 'easy experiment', 'direct detector', 'design concepts', 'circuited stub', 'c circuit', 'broad range', 'also agrees', '336 ghz', '15 ghz', '100 ghz']</t>
  </si>
  <si>
    <t>Planar lithographed quasioptical mixers can profit from the use of integrated tuning elements to improve the coupling between the antenna and the SIS mixer junctions. We have used a Fourier transform spectrometer with an Hg-arc lamp source as an RF sweeper to measure the frequency response of such integrated tuning elements. The SIS junction connected to the tuning element served as the direct detector for the spectrometer. This relatively quick, easy experiment can give enough information over a broad range of millimeter and submillimeter wavelengths to test both design concepts and success in fabrication. One type of tuning element, an inductive wire connected in parallel with a series array of 5 SIS junctions across the terminals of a bow-tie antenna, shows a resonant response peak at 100 GHz with a 30% bandwidth. This result is in excellent agreement with theoretical calculations based on a simple L-C circuit. It also agrees very well with the RF frequency dependence of the mixer gain measured using the same structure. The other type of tuning element, an open-circuited stub connected in parallel with a single SIS junction across the terminals of a bow-tie antenna, exhibits multiple resonances at 110, 220, and 336 GHz, with bandwidths of 9-15 GHz. This result is in good agreement with theoretical calculations based on an open-circuited stub with small loss and small dispersion. The position and the bandwidth of the resonance at 110 GHz also agrees with the RF frequency dependence of the mixer gain measured using similar structures. ¬© 1988 Plenum Publishing Corporation.</t>
  </si>
  <si>
    <t>303-320</t>
  </si>
  <si>
    <t>60025038;60025038;60025038;60023053</t>
  </si>
  <si>
    <t>7403214762;7003528806;7201484168;57219106457</t>
  </si>
  <si>
    <t>Hu, Qing;Mears, C. A.;Richards, P. L.;Lloyd, F. L.</t>
  </si>
  <si>
    <t>Hu Q.</t>
  </si>
  <si>
    <t>Measurement of integrated tuning elements for SIS mixes with a Fourier transform spectrometer</t>
  </si>
  <si>
    <t>10.1007/BF01013390</t>
  </si>
  <si>
    <t>2-s2.0-0023997258</t>
  </si>
  <si>
    <t>['value larger', 'reflector increases', 'one wavelength', 'mental results', 'input impedance', 'infinite width', 'hybrid method', 'antenna near', '4 lambda', '3 lambda']</t>
  </si>
  <si>
    <t>The input impedance of a non-regular double loop antenna near a rectangular linder reflector has been calculated by the hybrid method of the moment mathematic geometrical theory of diffraction. The results have been very mental results. For a non-regular double loop antenna with the perimeter of each loop of about one wavelength, the values of resistance and reactance of the antenna are close to those of an antenna near a reflector of an infinite width when the width of the reflector increases to a value larger than 3 lambda or 4 lambda .</t>
  </si>
  <si>
    <t>470-475</t>
  </si>
  <si>
    <t>Scientia sinica. Series A. Mathematical, physical, astronomical and technical sciences</t>
  </si>
  <si>
    <t>60021200;60021200;60021200</t>
  </si>
  <si>
    <t>6508195702;6503880005;6507741853</t>
  </si>
  <si>
    <t>Hankui, Chen;Naihua, Sun;Shouzheng, Zhu</t>
  </si>
  <si>
    <t>Shanghai</t>
  </si>
  <si>
    <t>East China Normal University</t>
  </si>
  <si>
    <t>Hankui C.</t>
  </si>
  <si>
    <t>CALCULATION OF INPUT IMPEDANCE NON-REGULAR DOUBLE LOOP ANTENNA NEAR RECTANGULAR CYLINDER REFLECTOR.</t>
  </si>
  <si>
    <t>2-s2.0-0023997934</t>
  </si>
  <si>
    <t>['relay routes', 'precision modems', 'plain radio', 'paper describes', 'outage objectives', 'new techniques', 'commercial use', '10 b']</t>
  </si>
  <si>
    <t>This paper describes a newly developed 256 QAM 400Mb/s digital microwave radio system with 10 b/s/Hz effective spectrum efficiency. In order to achieve the system, new techniques for high-precision modems, high-effectiveness fading counter-measures, high-performance antennas etc. were developed. Field test results confirm that the 256 QAM digital radio equipped with these new techniques meets the outage objectives on plain radio-relay routes. This system is planned for commercial use.</t>
  </si>
  <si>
    <t>Japan telecommunications review</t>
  </si>
  <si>
    <t>Murase, Takehiro</t>
  </si>
  <si>
    <t>Murase T.</t>
  </si>
  <si>
    <t>256 QAM 400 Mb/s MICROWAVE RADIO SYSTEM.</t>
  </si>
  <si>
    <t>2-s2.0-0023998090</t>
  </si>
  <si>
    <t>['vertical angle', 'signal transmitted', 'received signal', 'radar serving', 'ionospheric tilts', 'goose bay', 'cross spectrum', 'brief periods', '20 mhz']</t>
  </si>
  <si>
    <t>For brief periods in 1985 and 1986, the high-frequency radar system installed at Goose Bay, Labrador, was used to receive a signal transmitted from Thule, Greenland. With the dual antenna arrays of the radar serving as an interferometer, it was possible to determine the vertical angle of arrival of the received signal. Two different experiments were performed. In one, the signal was swept in frequency from 8 to 20 MHz. In the other, eight discrete frequencies were used, with multiple samples taken for each frequency. From these data a Doppler power spectrum and a cross spectrum were formed, and the vertical angle of arrival was determined from the cross spectrum. Results often showed higher angles of arrival than would be expected, suggesting that the high-latitude ionosphere may exhibit unstratified structures (ionospheric tilts) that could significantly modify the nature of high-frequency communications channels.</t>
  </si>
  <si>
    <t>121-130</t>
  </si>
  <si>
    <t>Johns Hopkins APL Technical Digest (Applied Physics Laboratory)</t>
  </si>
  <si>
    <t>60022054;60022054</t>
  </si>
  <si>
    <t>7401611278;7102717774</t>
  </si>
  <si>
    <t>Baker, Kile B.;Greenwald, Raymond A.</t>
  </si>
  <si>
    <t>Laurel</t>
  </si>
  <si>
    <t>Johns Hopkins University Applied Physics Laboratory</t>
  </si>
  <si>
    <t>Baker K.</t>
  </si>
  <si>
    <t>VERTICAL ANGLE OF ARRIVAL OF HIGH-FREQUENCY SIGNALS PROPAGATING FROM THULE TO GOOSE BAY.</t>
  </si>
  <si>
    <t>2-s2.0-0023999695</t>
  </si>
  <si>
    <t>299-308</t>
  </si>
  <si>
    <t>Radiophysics and Quantum Electronics</t>
  </si>
  <si>
    <t>7004976431;7005877936;16455258400</t>
  </si>
  <si>
    <t>Karpman, V. I.;Osin, A. I.;Pogrebnyak, O. F.</t>
  </si>
  <si>
    <t>Karpman V.</t>
  </si>
  <si>
    <t>Structure of the near zone of a current-loop antenna in a magnetoactive plasma</t>
  </si>
  <si>
    <t>10.1007/BF01034452</t>
  </si>
  <si>
    <t>2-s2.0-34250092405</t>
  </si>
  <si>
    <t>['shown theoretically', 'frequency bands', 'best condidate', 'amplitude pattern', '25 db', '11 ghz']</t>
  </si>
  <si>
    <t>Antenna | Corrugated conical horn | mutti-frequency band feed</t>
  </si>
  <si>
    <t>The theory of corrugated conical horn operating at multi-frequency bands is described, and a prqactical corrugated conical horn is constructed. It can operate at three frequency bands (4, 6, 11 GHz) at least. The cross polarization peak level is better than-25 dB at 4, 6, 11 GHz frequency bands, and the amplitude pattern at 11 GHz frequency band is also very good. It is shown theoretically and experimentally that the corrugated conical horn operating at multi-frequency bands is the best condidate for multi-frequency band feeds. ¬© 1988 Science Press.</t>
  </si>
  <si>
    <t>143-147</t>
  </si>
  <si>
    <t>Muhua, Chen</t>
  </si>
  <si>
    <t>Shijiazhuang</t>
  </si>
  <si>
    <t>Shijiazhuang Communication Lab</t>
  </si>
  <si>
    <t>Muhua C.</t>
  </si>
  <si>
    <t>Corrugated conical horn for multi-frequency band use</t>
  </si>
  <si>
    <t>10.1007/BF02778820</t>
  </si>
  <si>
    <t>2-s2.0-51649147059</t>
  </si>
  <si>
    <t>['¬© 1988', 'sensitivity limit', 'muons gives', 'mainly due', 'interferometric antenna', 'gravitational wave', 'background seems', '6 events', '10 hz', '1 events']</t>
  </si>
  <si>
    <t>The effect of the cosmic ray interaction in the masses of an interferometric antenna for gravitational wave (GW) detection is evaluated. In a 3 km antenna this background, mainly due to muons gives a limit, for 1 ms GW pulses, of h‚àº8.5√ó10-23 with a frequency of 2√ó10-1 events/year and 8.5√ó10-26 with 4.1√ó10-6 events/year. For GW having frequency&gt;10 Hz the sensitivity limit is h‚àº1.7√ó10-31. This background seems to allow unshielded operation of the interferometer test masses. ¬© 1988.</t>
  </si>
  <si>
    <t>241-244</t>
  </si>
  <si>
    <t>Physics Letters A</t>
  </si>
  <si>
    <t>Giazotto, Adalberto</t>
  </si>
  <si>
    <t>Pisa</t>
  </si>
  <si>
    <t>Istituto Nazionale di Fisica Nucleare, Sezione di Pisa</t>
  </si>
  <si>
    <t>Giazotto A.</t>
  </si>
  <si>
    <t>Estimate of the cosmic ray background in an interferometric antenna for gravitational wave detection</t>
  </si>
  <si>
    <t>0375-9601(88)90365-9</t>
  </si>
  <si>
    <t>10.1016/0375-9601(88)90365-9</t>
  </si>
  <si>
    <t>2-s2.0-45549115157</t>
  </si>
  <si>
    <t>['¬© 1988', 'surgical techniques', 'significantly increased', 'running away', 'periplaneta americana', 'perhaps associated', 'normal control', 'nerve cord', 'giant interneurons', 'gi role', 'gi pathways', 'entire set']</t>
  </si>
  <si>
    <t>Antenna | Cockroach | Escape behavior | Giant interneuron | Lesion</t>
  </si>
  <si>
    <t>The entire set of giant interneurons (GIs) in the nerve cord of the cockroach, Periplaneta americana, was ablated using either electrolytic or surgical techniques. All animals with these lesions were capable of turning and running away from standard wind puffs. However, all animals responded much less frequently to standard wind stimuli following lesion, and the latency of their responses was significantly increased. These results are discussed in terms of a GI role in extremely short latency escape responses, and the idea that non-GI pathways, perhaps associated with head sensory structures, need to be considered in the normal control of escape in the cockroach. ¬© 1988.</t>
  </si>
  <si>
    <t>370-375</t>
  </si>
  <si>
    <t>Brain Research</t>
  </si>
  <si>
    <t>60027561;60027561;60027561</t>
  </si>
  <si>
    <t>7003696576;36893040300;7801438390</t>
  </si>
  <si>
    <t>Comer, Christopher M.;Dowd, J. P.;Stubblefield, G. Thomas</t>
  </si>
  <si>
    <t>Comer C.</t>
  </si>
  <si>
    <t>Escape responses following elimination of the giant interneuron pathway in the cockroach, Periplaneta americana</t>
  </si>
  <si>
    <t>10.1016/0006-8993(88)91202-4</t>
  </si>
  <si>
    <t>2-s2.0-0023870140</t>
  </si>
  <si>
    <t>['¬© 1988', 'main result', 'magnetized plasma', 'axial symmetry', 'ac source']</t>
  </si>
  <si>
    <t>dc magnetization generated by an ac electric dipole in a magnetized plasma is considered. The main result is the expression of the induced dc magnetic field in a system with axial symmetry. It has a general form valid for any ac source with the same symmetry. ¬© 1988.</t>
  </si>
  <si>
    <t>439-443</t>
  </si>
  <si>
    <t>Karpman, V. I.</t>
  </si>
  <si>
    <t>Russian Federation</t>
  </si>
  <si>
    <t>Troitsk</t>
  </si>
  <si>
    <t>Pushkov Institute of Terrestrial Magnetism, Ionosphere and Radiowave Propagation, Russian Academy of Sciences</t>
  </si>
  <si>
    <t>dc Magnetic field generated by an electric dipole antenna in an anisotropic plasma</t>
  </si>
  <si>
    <t>0375-9601(88)90126-0</t>
  </si>
  <si>
    <t>10.1016/0375-9601(88)90126-0</t>
  </si>
  <si>
    <t>2-s2.0-44649098480</t>
  </si>
  <si>
    <t>['¬© 1988', 'two polypeptides', 'strong dichroism', 'rhodobacter sphaeroides', 'rectangular platelet', 'reaction center', 'ray reflections', 'polarized light', 'mr similar', 'mr polypeptides', 'mr 9000', 'membrane fraction', 'intracytoplasmic membranes', 'deae cellulose', 'crystals grown', 'column chromatography', 'b870 complex', 'antenna complexes', '837 nm', '8 nm']</t>
  </si>
  <si>
    <t>(Rsp. salexigens) | Antenna complex | Bacterial photosynthesis | LD | Pigment-protein complex | Reaction center</t>
  </si>
  <si>
    <t>Intracytoplasmic membranes were isolated from the halophilic phototrophic bacterium Rhodospirillum salexigens. The membrane fraction was solubilized in lauryldimethylamineoxide (LDAO) and the reaction center (RC) and antenna complexes were separated by sucrose gradient centrifugation and column chromatography on DEAE cellulose. The RC preparation contains three polypeptides of Mr similar to that of the RC of Rhodobacter sphaeroides. Two polypeptides, of apparent Mr 12000 and 10000, are associated with the B870 complex. The B800-850 complex absorbing at 800 and 837 nm, seems to contain two low-Mr polypeptides, of about Mr 9000. Crystals grown of the B800-850 complex showed X-ray reflections to 0.8 nm. Crystals of 10 √ó 30 Œºm edge length were used for microspectroscopy with polarized light. All absorption bands showed a strong dichroism in the plane of the rectangular platelet. The dichroism of the 800 nm band was stronger than that of the 837 nm band. ¬© 1988.</t>
  </si>
  <si>
    <t>299-305</t>
  </si>
  <si>
    <t>60025641;60025641;60025641;60025641;60025641</t>
  </si>
  <si>
    <t>6603767150;6601975192;24365002200;7006702640;7102742634</t>
  </si>
  <si>
    <t>Wacker, Thomas;Gad'on, Nasser;Steck, Karoline;Welte, Wolfram;Drews, Gerhart</t>
  </si>
  <si>
    <t>Freiburg im Breisgau</t>
  </si>
  <si>
    <t>Universit√§t Freiburg im Breisgau</t>
  </si>
  <si>
    <t>Wacker T.</t>
  </si>
  <si>
    <t>Isolation of reaction center and antenna complexes from the halophilic purple bacterium Rhodospirillum salexigens. Crystallization and spectroscopic investigation of the B800-850 complex</t>
  </si>
  <si>
    <t>10.1016/0005-2728(88)90037-0</t>
  </si>
  <si>
    <t>2-s2.0-0000553756</t>
  </si>
  <si>
    <t>aSfFtB 171</t>
  </si>
  <si>
    <t>['¬© 1988', 'volmer plots', 'unified formalism', 'trapping times', 'trapping time', 'three quantities', 'straight lines', 'stacked thylakoids', 'slopes relates', 'simple way', 'quenching effect', 'present data', 'photosystem ii', 'pea chloroplasts', 'gradient photovoltage', 'f0 conditions', 'experimental accuracy', 'examined theoretically', 'either different', 'different slopes', 'different photosystems', 'data reported', 'consistent way', 'antenna organizations', 'allow us', 'acta 893', '319 ).']</t>
  </si>
  <si>
    <t>Alpha center | Beta center | Fluorescence induction | Light gradient photovoltage | Photosystem I | Photosystem II | Reaction center</t>
  </si>
  <si>
    <t>The quenching effect of m-dinitrobenzene on the fluorescence under Fmax and F0 conditions as well as on the light-gradient photovoltage, V, from pea chloroplasts with stacked thylakoids has been examined theoretically and experimentally with respect to trapping times and antenna organizations (lake or separate unit model). The rationale for these experiments was that the fluorescence is a probe for Photosystem II, whereas the photovoltage is a probe for Photosystem I (Trissl, H.-W., Breton, J., Deprez, J. and Leibl, W. (1987) Biochim. Biophys. Acta 893, 305-319). In Stern-Volmer plots, all three quantities (Fmax, F0, V) could be described by straight lines with different slopes. Equations were derived which show that the ratio of these slopes relates in a simple way the fluorescence decay time at Fmax with the trapping times. With this method we determined the trapping time in Photosystem I to be 97 ¬± 10 ps. Furthermore, we have derived a unified formalism for different photosystems having either different or alike antenna organizations. This theory permits us to relate in a consistent way the present data to several other data reported in the literature. However, it does not allow us to elucidate the organization of the PS I antenna, since the theoretically expected difference between the lake and separate unit models was smaller than the experimental accuracy. ¬© 1988.</t>
  </si>
  <si>
    <t>276-287</t>
  </si>
  <si>
    <t>60009731;60009731;60009731</t>
  </si>
  <si>
    <t>24387896500;7004055809;57202396392</t>
  </si>
  <si>
    <t>Kischkoweit, C.;Leibl, W.;Trissl, H. W.</t>
  </si>
  <si>
    <t>Osnabruck</t>
  </si>
  <si>
    <t>Universit√§t Osnabr√ºck</t>
  </si>
  <si>
    <t>Kischkoweit C.</t>
  </si>
  <si>
    <t>Theoretical and experimental study of trapping times and antenna organization in pea chloroplasts by means of the artificial fluorescence quencher m-dinitrobenzene</t>
  </si>
  <si>
    <t>10.1016/0005-2728(88)90035-7</t>
  </si>
  <si>
    <t>2-s2.0-4243435865</t>
  </si>
  <si>
    <t>['¬© 1988', 'two classes', 'tested compounds', 'response spectra', 'response characteristics', 'recording responses', 'one channel', 'olfactory pathway', 'olfactory information', 'hexenyl acetate', 'divided roughly', 'different responses', 'deutocerebral neurones', 'component ratios', 'antennal lobe', 'another one', 'another class']</t>
  </si>
  <si>
    <t>Antennal lobe | Brain | Deutocerebrum | Electrophysiology | Interneuron | Leptinotarsa decemlineata | Odor quality coding | Olfaction</t>
  </si>
  <si>
    <t>The processing of olfactory information in the Colorado potato beetle, Leptinotarsa decemlineata Say, was studied by recording responses of olfactory neurones intracellularly in the deutocerebrum. Response characteristics of neurones in this first relay station of the olfactory pathway were measured when the antennae were stimulated with five general green leaf volatiles, i.e. cis-3-hexen-1-ol, trans-2-hexenal, cis-3-hexenyl acetate, trans-2-hexen-1-ol and 1-hexanol. These compounds are part of the so-called green odour of potato, whose defined composition is essential for the beetle's host plant finding. The response spectra of deutocerebral neurones can be divided roughly into two classes: one class containing neurones which are not very specific for the tested compounds, and another class with highly specialized neurones. Their different responses to a potato leaf extract suggest two channels for the processing of olfactory information in the antennal lobe: one channel for the detection of the presence of green leaf odour components, and another one for an evaluation of the component ratios. ¬© 1988.</t>
  </si>
  <si>
    <t>60004156;60004156</t>
  </si>
  <si>
    <t>7201416233;7202086436</t>
  </si>
  <si>
    <t>De Jong, R.;Visser, J. H.</t>
  </si>
  <si>
    <t>Wageningen</t>
  </si>
  <si>
    <t>Wageningen University &amp; Research</t>
  </si>
  <si>
    <t>De Jong R.</t>
  </si>
  <si>
    <t>Integration of olfactory information in the Colorado potato beetle brain</t>
  </si>
  <si>
    <t>0006-8993(88)90960-2</t>
  </si>
  <si>
    <t>10.1016/0006-8993(88)90960-2</t>
  </si>
  <si>
    <t>2-s2.0-0023923592</t>
  </si>
  <si>
    <t>['unique among', 'short period', 'obligate brackwater', 'new species', 'marine rotifer', 'foot used', 'following combination', 'dorsal side', 'carry egg', 'cape town', '200 œºm']</t>
  </si>
  <si>
    <t>culture | rotifers | salinity | Synchaeta | temperature</t>
  </si>
  <si>
    <t>A new species of marine rotifer is described from the S.E. Atlantic off Cape Town. Synchaeta hutchingsi n. sp. is unique among the approximately 36 recognized Synchaeta species in exhibiting the following combination of characters: single sharply pointed toe; slender bristle along ventral midline of foot: single lateral antenna on left side near foot base; spur on dorsal side of foot used to carry egg; total length 165-200 Œºm. Salinity tolerance experiments showed the new species to be obligate brackwater/marine; a temperature of 35 ¬∞C could be tolerated for a short period of time. The new species has been mass-cultured for use as an experimental live food for rearing marine fish larvae. ¬© 1988 Kluwer Academic Publishers.</t>
  </si>
  <si>
    <t>225-233</t>
  </si>
  <si>
    <t>Hydrobiologia</t>
  </si>
  <si>
    <t>Brownell, Charles L.</t>
  </si>
  <si>
    <t>Cape Town</t>
  </si>
  <si>
    <t>University of Cape Town</t>
  </si>
  <si>
    <t>Brownell C.</t>
  </si>
  <si>
    <t>A new pelagic marine rotifer from the southern Benguela, Synchaeta hutchingsi, n. sp., with notes on its temperature and salinity tolerance and methods of culture</t>
  </si>
  <si>
    <t>10.1007/BF00016670</t>
  </si>
  <si>
    <t>2-s2.0-0000851883</t>
  </si>
  <si>
    <t>['theoretical predictions', 'quantitative interpretation', 'protein interactions', 'physical effects', 'phase separation', 'major contribution', 'important implications', 'good agreement', 'experimental systems', 'experimental measurements', 'conventional landau', 'certain class', 'biological membranes']</t>
  </si>
  <si>
    <t>hydrophobic thickness | lipid membrane | lipid-protein interactions | membrane elasticity | phase diagram | solution theory</t>
  </si>
  <si>
    <t>A two-component solution theory is studied which incorporates hydrophobic matching as a major contribution to the lipid-protein interactions in biological membranes. A special geometrical constraint has been discovered which has important implications for the quantitative interpretation of physical effects to lipid-protein interactions. The theory has an advantage over conventional Landau-type phenomenological descriptions in that it accounts for phase separation. A certain class of experimental systems, photosynthetic reaction centre and antenna proteins reconstituted into synthetic lipid membranes of different hydrophobic thicknesses, are considered with a view to determining the parameters of the theory. The theoretical predictions are found to be in good agreement with experimental measurements of shifts in the phase transition temperature. ¬© 1988 Springer-Verlag.</t>
  </si>
  <si>
    <t>European Biophysics Journal</t>
  </si>
  <si>
    <t>6602552041;7004911132</t>
  </si>
  <si>
    <t>Sperotto, M. M.;Mouritsen, O. G.</t>
  </si>
  <si>
    <t>Sperotto M.</t>
  </si>
  <si>
    <t>Dependence of lipid membrane phase transition temperature on the mismatch of protein and lipid hydrophobic thickness</t>
  </si>
  <si>
    <t>10.1007/BF00255320</t>
  </si>
  <si>
    <t>2-s2.0-0001768252</t>
  </si>
  <si>
    <t>['two orders', 'spectroscopic changes', 'quite similar', 'natural aldehyde', 'magnitude lower', 'female antennae', 'enal system', 'electrophysiological activity', 'eag response', 'e )-', 'aldehydic proton']</t>
  </si>
  <si>
    <t>acyl fluoride | Anthonomus grandis | boll weevil | Coleoptera | Curculionidae | electrophysiology | fluorinated analogs | isosteric replacement | olfaction | pheromone analog</t>
  </si>
  <si>
    <t>Analogs of the two geometrical isomers of the dimethylcyclohexylidene acetaldehyde component of the pheromone of the boll weevil Anthonomus grandis were synthesized in which the Œ±-vinylic proton or the aldehydic proton were replaced by fluorine. These isosteric substitutions substantially alter charge distribution and reactivity of the enal system, as documented by spectroscopic changes and changes in reactivity. The electrophysiological activity of the (E)- and (Z)-acyl fluorides is two orders of magnitude lower than that of the natural aldehyde. In contrast, the EAG response of female antennae to the (E)- and (Z)-Œ±-fluoro compounds show that the thresholds are quite similar to (and in one isomer lower than) those of the natural aldehyde isomers. ¬© 1988 Plenum Publishing Corporation.</t>
  </si>
  <si>
    <t>1427-1439</t>
  </si>
  <si>
    <t>60026415;60026415;60032280</t>
  </si>
  <si>
    <t>36043755100;7404011448;7102100454</t>
  </si>
  <si>
    <t>Prestwich, Glenn D.;Sun, Wei Chuan;Dickens, Joseph C.</t>
  </si>
  <si>
    <t>Washington, D.C.;Stony Brook</t>
  </si>
  <si>
    <t>United States Department of Agriculture;Stony Brook University</t>
  </si>
  <si>
    <t>60032280;60026415</t>
  </si>
  <si>
    <t>Prestwich G.</t>
  </si>
  <si>
    <t>Fluorinated analogs of aldehyde components of boll weevil pheromone - Synthesis and biological activity</t>
  </si>
  <si>
    <t>10.1007/BF01020146</t>
  </si>
  <si>
    <t>2-s2.0-0010424581</t>
  </si>
  <si>
    <t>['vpd ),', 'radiating element', 'phase shifters', 'performance achievable', 'maximum capability', 'many present', 'future military', 'frequency region', 'ferrite materials', 'electronic control', 'bfn ).', 'antenna pattern', '100 ghz']</t>
  </si>
  <si>
    <t>Many present and future military and commercial systems operating at millimeter wave frequencies require the use of sophisticated electronically controllable antennas for maximum capability and flexibility. Electronic control of the antenna pattern is provided by electronically switchable phase control of each radiating element such as that achieved in phased array antennas or via electronically reconfigurable antenna feeds referred to as beam forming networks (BFN). Multibeam antennas provided by BFN'S can be realized using switches, variable power dividers (VPD), and phase shifters. Ferrite materials and associated application technology are being utilized to achieve these switchable RF control components at millimeter wave frequencies. The performance achievable in ferrite switchable circulators, variable power dividers and phase shifters in the frequency region from 20 to 100 GHz is discussed. ¬© 1988 Plenum Publishing Corporation.</t>
  </si>
  <si>
    <t>443-468</t>
  </si>
  <si>
    <t>100352200;100352200</t>
  </si>
  <si>
    <t>7402559216;6701354343</t>
  </si>
  <si>
    <t>Harrison, Gordon R.;Sharon, Thomas E.</t>
  </si>
  <si>
    <t>Norcross</t>
  </si>
  <si>
    <t>Electromagnetic Sciences Inc</t>
  </si>
  <si>
    <t>Harrison G.</t>
  </si>
  <si>
    <t>Millimeter wave components for electronically controllable antennas</t>
  </si>
  <si>
    <t>10.1007/BF01023753</t>
  </si>
  <si>
    <t>2-s2.0-0024001245</t>
  </si>
  <si>
    <t>['tcr ).', 'results tally', 'paper presents', 'naturally provide', 'impedance offered', 'extensively used', 'either truncated', 'effective impedances', 'cosine integrals', 'corner reflector', 'better conspectuity', 'apex spacing', '90 ¬∞']</t>
  </si>
  <si>
    <t>The adjudgement of the gain and impedance offered by a corner reflector, either truncated or otherwise, should naturally provide a better conspectuity into its performance when used in conjunction with a localizer antenna system. This paper presents the equations that enable the computation of gain, mutual and effective impedances (as a function of the dipole to apex spacing) of 90¬∞ and 60¬∞ conventional corner reflectors (CCRs) and 60¬∞ truncated corner reflector (TCR). The sine and cosine integrals have been extensively used for this purpose. The results tally with those found in literature.</t>
  </si>
  <si>
    <t>54-58</t>
  </si>
  <si>
    <t>68 pt 4</t>
  </si>
  <si>
    <t>Journal of the Institution of Engineers. India. Electronics and telecommunication engineering division</t>
  </si>
  <si>
    <t>60072226;60072226;60072226</t>
  </si>
  <si>
    <t>6603823434;7403000009;55427708800</t>
  </si>
  <si>
    <t>Mouly, M. C.Chandra;Prasad, Shri V.V.Ram;Prasad, Shri P.S.K.Satya</t>
  </si>
  <si>
    <t>Vijayawada</t>
  </si>
  <si>
    <t>Velagapudi Ramakrishna Siddhartha Engineering College</t>
  </si>
  <si>
    <t>Mouly M.</t>
  </si>
  <si>
    <t>Formulation of gain and impedance relations for corner reflectors employed in conjunction with localizer antenna arrays</t>
  </si>
  <si>
    <t>2-s2.0-0024001315</t>
  </si>
  <si>
    <t>['total number', 'results presented', 'radiation field', 'natural electrical', 'field harmonics', 'directivity pattern', 'conical region', 'conical horn']</t>
  </si>
  <si>
    <t>The radiation field in a conical region as a rule can be represented in the form of a set of the natural electrical and magnetic wave modes. In order to ensure the accuracy of calculating the radiation field, required in most approximations, it is sufficient to limit the number of electrical (or magnetic) harmonics. The results presented here make it possible to conclude that the total number of field harmonics, taken into consideration in calculating the directivity pattern, is the same in a flat (or sectoral) and conical horn of large electrical dimensions. In this case the number of electrical (or magnetic) waves in the conical horn can be estimated.</t>
  </si>
  <si>
    <t>165-167</t>
  </si>
  <si>
    <t>Kondrat'yev, A. S.</t>
  </si>
  <si>
    <t>Kondrat'yev A.</t>
  </si>
  <si>
    <t>On a calculation of the radiation field of a multimode conical horn</t>
  </si>
  <si>
    <t>2-s2.0-0024001328</t>
  </si>
  <si>
    <t>['hitachi chemical', 'dual structure', 'antenna features']</t>
  </si>
  <si>
    <t>The Broadcasting Technical Research Institute of NHK has developed a small, lightweight, high efficiency flat antenna for satellite broadcast reception with the cooperation of Hitachi Chemical. This antenna features a 60 percent efficiency and is of a dual structure, with 512 square antenna elements arranged on a printed circuit board to make it a broad band antenna. The printed circuit board is layered on a substrate.</t>
  </si>
  <si>
    <t>JEE. Journal of electronic engineering</t>
  </si>
  <si>
    <t>NHK develops high-efficiency flat antenna for satellite broadcast reception</t>
  </si>
  <si>
    <t>2-s2.0-0024001412</t>
  </si>
  <si>
    <t>['tapered surface', 'tac ).', 'similar lines', 'side wall', 'reflected rays', 'quiet zone', 'paper presents', 'cylindrical caps', 'capped surface', 'also established']</t>
  </si>
  <si>
    <t>This paper presents the design of cylindrical caps on the side wall of rectangular anechoic chamber (RAC) and on the tapered surface of tapered anechoic chamber (TAC). The design of caps is made so as to reroute the singly reflected rays that would otherwise enter the quiet zone and obliterate the performance of the chambers. The effectiveness of the caps is also established by proving that the reflected rays from the capped surface do not enter the quiet zone. Caps on other surfaces can be designed on similar lines.</t>
  </si>
  <si>
    <t>59-62</t>
  </si>
  <si>
    <t>60072226;60072226;60072226;60072226</t>
  </si>
  <si>
    <t>6603823434;57224552217;6505835092;7402263195</t>
  </si>
  <si>
    <t>Mouly, M. C.Chandra;Sridevi, P. V.;Mrudula, G.;Reddy, Shri M.S.K.</t>
  </si>
  <si>
    <t>Mouly M.C.C.</t>
  </si>
  <si>
    <t>Design of cylindrical cap type structures for augmented performance of microwave anechoic chambers</t>
  </si>
  <si>
    <t>2-s2.0-0024001565</t>
  </si>
  <si>
    <t>['remote settlements', 'power output', 'ionospheric variations', 'hf offers', 'economical way', 'country together', 'antenna system']</t>
  </si>
  <si>
    <t>HF offers an economical way of communicating with remote settlements or outposts, and of bringing a country together. The usefulness of an HF system depends on: Power output, Selection of frequency, Ionospheric variations, The antenna system. High frequency radio systems are discussed.</t>
  </si>
  <si>
    <t>70-71</t>
  </si>
  <si>
    <t>Radio Frequency Systems Pty Ltd</t>
  </si>
  <si>
    <t>HF radio bounces back</t>
  </si>
  <si>
    <t>2-s2.0-0024001713</t>
  </si>
  <si>
    <t>['tem waves', 'radiation characteristic', 'problem considerably', 'power losses', 'planar waveguides', 'paper presents', 'infinite length', 'directivity pattern', 'dimensional arrays', 'dimensional array', 'dielectric constant']</t>
  </si>
  <si>
    <t>This paper presents the radiation characteristic (the directivity pattern of an element and the power losses by reflection) of infinite periodic one-dimensional arrays of horns, excited by planar waveguides of semi-infinite length with H1 or TEM waves. The waveguides and horns are filled by a medium having a dielectric constant of Œµ. The consideration of a one-dimensional array simplifies the problem considerably and at the same time it is adequate for explaining the properties of a two-dimensional array of the same type.</t>
  </si>
  <si>
    <t>161-162</t>
  </si>
  <si>
    <t>57196902067;6602069716;6506802466;6603359474</t>
  </si>
  <si>
    <t>Aleksandrov, N. L.;Vinichenko, Yu P.;Lemanskiy, A. A.;Tumanskaya, A. Ye</t>
  </si>
  <si>
    <t>Aleksandrov N.</t>
  </si>
  <si>
    <t>Radiation characteristics of an array of horns</t>
  </si>
  <si>
    <t>2-s2.0-0024002257</t>
  </si>
  <si>
    <t>['scanning rate', 'rotating multi', 'passive interference']</t>
  </si>
  <si>
    <t>A combined (transmission and reception) system with a rotating multi-element antenna array is examined and a space-time signal processing algorithm is synthesized for operation on a background of passive interference with uniform angular coordinate coverage. It is shown that the space-time processing effectiveness depends on the scanning rate.</t>
  </si>
  <si>
    <t>110-113</t>
  </si>
  <si>
    <t>7003404766;6602707651;6507015862</t>
  </si>
  <si>
    <t>Pluzhnikov, A. D.;Ryndyk, A. G.;Kashayev, S. M.</t>
  </si>
  <si>
    <t>Space-time processing when detecting a signal in passive interference</t>
  </si>
  <si>
    <t>2-s2.0-0024010387</t>
  </si>
  <si>
    <t>['wave dipole', 'substantially less', 'rms error', 'radiation pattern', 'numerical modeling', 'near field', 'linear probe', 'identical length', 'direction orthogonal', 'arc plane', 'antenna measurements']</t>
  </si>
  <si>
    <t>Results of numerical modeling of antenna measurements by means of an arc-type probe encompassing the antenna in its near field and rotating in a direction orthogonal to the arc plane are given. It is shown that the RMS error in establishing the radiation pattern of a half-wave dipole in this case is substantially less than when using a linear probe of identical length and distance from the antenna.</t>
  </si>
  <si>
    <t>7004676567;6602000264</t>
  </si>
  <si>
    <t>Voronin, Ye N.;Nechayev, Ye Ye</t>
  </si>
  <si>
    <t>Voronin Y.</t>
  </si>
  <si>
    <t>Antenna measurements by means of an arc-shaped collimator probe</t>
  </si>
  <si>
    <t>2-s2.0-0024010426</t>
  </si>
  <si>
    <t>['shifted pencil', 'random nature', 'overlapping spectra', 'obtain relations', 'fluctuation error', 'equisignal direction', 'ed ).', 'echo signal']</t>
  </si>
  <si>
    <t>In order to improve the accuracy of inclined down-looking ranging accuracy at high flight altitudes while maintaining acceptable antenna size it is necessary to use equisignal frequency ranging methods. An intrapulse linear frequency modulated (LFM) pulse is radiated to the surface along two elevation-shifted pencil-beam antenna radiation patterns (ADP) which form an equisignal direction (ED). The frequency Œ©ep, defined by the quality of the spectral power densities in the overlapping spectra, serves as an analog of the measured inclined range. The tracking system shown is used to measure the frequency Œ©ep. The purpose is to obtain relations for estimating the fluctuation error of tracking frequency meter Œ©ep attributable to the random nature of the echo signal and determining the inclined ranging error.</t>
  </si>
  <si>
    <t>121-123</t>
  </si>
  <si>
    <t>Teplyakov, A. P.</t>
  </si>
  <si>
    <t>Teplyakov A.</t>
  </si>
  <si>
    <t>Estimate of the LFM fluctuation error in LFM-tracking down-looking rangefinder</t>
  </si>
  <si>
    <t>2-s2.0-0024010472</t>
  </si>
  <si>
    <t>['œ ≥', 'various types', 'terrestrial surfaces', 'signals scattered', 'quantitative losses', 'polarization structure', 'polarization efficiency', 'losses caused', 'illumination angles', 'circular polarization', 'broad range', 'antenna field']</t>
  </si>
  <si>
    <t>An estimate of the losses caused by the difference in the polarization structure of a radar receiving antenna and the signals scattered by the earth's surface is given for linear and circular polarization of the radiation over a broad range of illumination angles. The purpose is to estimate the quantitative losses for various types of terrestrial surfaces by means of a polarization reception factor (the polarization efficiency) Œ≥ which is a function of the polarization of the antenna field of the received signal field.</t>
  </si>
  <si>
    <t>140-142</t>
  </si>
  <si>
    <t>6603254376;7006804695;57199931605</t>
  </si>
  <si>
    <t>Anikeyenko, G. N.;Kononov, A. D.;Kuznetsov, V. V.</t>
  </si>
  <si>
    <t>Anikeyenko G.</t>
  </si>
  <si>
    <t>Estimate of the power loss in the polarization reception of signals scattered by the earth's surface</t>
  </si>
  <si>
    <t>2-s2.0-0024010479</t>
  </si>
  <si>
    <t>['fundamental frequency', 'electromagnetic compatibility', 'electrodynamic calculations']</t>
  </si>
  <si>
    <t>Results of electrodynamic calculations of the scattered electromagnetic field of a rectenna are given. The directions that are most dangerous from the viewpoint of electromagnetic compatibility are noted and the scattered field levels of the rectenna are determined not only at the fundamental frequency but also at the frequencies of its harmonics.</t>
  </si>
  <si>
    <t>7003716747;6701437189</t>
  </si>
  <si>
    <t>Yegorov, A. N.;Ryabtsev, V. Ye</t>
  </si>
  <si>
    <t>Yegorov A.</t>
  </si>
  <si>
    <t>Analysis of the scattered field of a rectenna</t>
  </si>
  <si>
    <t>2-s2.0-0024010533</t>
  </si>
  <si>
    <t>['technological characteristics', 'route covered', 'railroad transport', 'processed area', 'parameters may', 'modern means', 'ground transportation', 'etc .)', 'appropriate computer']</t>
  </si>
  <si>
    <t>Development of modern means of ground transportation (automobiles, railroad transport, tractors, etc.) calls for a relatively accurate determination of the parameters of motion and the service-technological characteristics (speed, route covered, acceleration, processed area, and percentage slipping). All these parameters may be obtained by means of a radar Doppler velocimeter, whose running values, together with the data from other pickups, are processed in an appropriate computer. In this paper, an analysis of one- and two-beam radar velocimeters is presented.</t>
  </si>
  <si>
    <t>88-90</t>
  </si>
  <si>
    <t>Maloratskiy, L. G.</t>
  </si>
  <si>
    <t>Maloratskiy L.</t>
  </si>
  <si>
    <t>Self-contained radar velocimeter for ground transportion</t>
  </si>
  <si>
    <t>2-s2.0-0024010536</t>
  </si>
  <si>
    <t>['walls may', 'radial direction', 'fundamental mode', 'field distribution', 'employed instead', 'dielectric lining', 'completely flatten', 'anisotropic linings']</t>
  </si>
  <si>
    <t>To obtain uniform fundamental mode fields in round antenna feeding horns a dielectric lining of the walls may be employed instead of a circumferential wall corrugation. While isotropic wall linings in a round metallic waveguide can flatten the transverse field distribution only in the radial direction of the fundamental mode polarization, anisotropic linings with a large permittivity parallel to the wall but a small permittivity perpendicular to it can completely flatten the field distribution of the fundamental mode to that of a uniform plane wave.</t>
  </si>
  <si>
    <t>184-186</t>
  </si>
  <si>
    <t>AEU. Archiv fur Elektronik und Ubertragungstechnik</t>
  </si>
  <si>
    <t>Hoefle, Wolfgang</t>
  </si>
  <si>
    <t>Braunschweig</t>
  </si>
  <si>
    <t>Technische Universit√§t Braunschweig</t>
  </si>
  <si>
    <t>Hoefle W.</t>
  </si>
  <si>
    <t>CIRCULAR LINED WAVEGUIDE WITH UNIFORM FUNDAMENTAL MODE FIELDS.</t>
  </si>
  <si>
    <t>2-s2.0-0024013569</t>
  </si>
  <si>
    <t>Stichting voor Fundamenteel Onderzoek der Materie</t>
  </si>
  <si>
    <t>FOM</t>
  </si>
  <si>
    <t>['¬© 1988', 'wien filter', 'system consists', 'source developed', 'small enough', 'modified version', 'mass filter', 'magnetic fields', 'ion source', 'injector system', 'einzel lens', 'crossed electrical', 'ar +.', '2 ].', '160 œºa', '1 kw', '1 ].']</t>
  </si>
  <si>
    <t>A compact and light weight injector system for a Van de Graaff accelerator has been developed. The system consists of a microwave ion source, an Einzel lens and a mass filter with crossed electrical and magnetic fields (Wien filter). The microwave ion source is a modified version of the source developed by Ishikawa [1]. The Wien filter of the injector system is a modified version of a Wien filter developed by Cleff and Schulte [2]. Typical beam currents are for example 100 ŒºA of B+ and 160 ŒºA of Ar+. Other characteristics of the injector system are a stable beam current during at least eight hours even with reactive gases like oxygen, a lifetime of the antenna of at least 50 h, a small power consumption of the injector system of about 1 kW, including the ion source, and dimensions and weight which are small enough to mount the injector system in the terminal of a Van de Graaff accelerator. ¬© 1988.</t>
  </si>
  <si>
    <t>237-241</t>
  </si>
  <si>
    <t>60005398;60005398;60005398;60005398;60005398;60005398;100347896;100347896</t>
  </si>
  <si>
    <t>7004549107;7004898402;6701745178;6701694290;26642920300;35496482500;6602364928;6507528509</t>
  </si>
  <si>
    <t>Urbanus, W. H.;Bannenberg, J. G.;Doorn, S.;Douma, S.;Ishikawa, J.;Saris, F. W.;Koudijs, R.;Dubbelman, P.</t>
  </si>
  <si>
    <t>Amsterdam;Amersfoort</t>
  </si>
  <si>
    <t>FOM Institute for Atomic and Molecular Physics - AMOLF;High Voltage Engineering Europa B.V.</t>
  </si>
  <si>
    <t>60005398;100347896</t>
  </si>
  <si>
    <t>Urbanus W.</t>
  </si>
  <si>
    <t>A microwave ion source and injector system for a Van de Graaff accelerator</t>
  </si>
  <si>
    <t>10.1016/0168-9002(88)90470-6</t>
  </si>
  <si>
    <t>2-s2.0-0024015022</t>
  </si>
  <si>
    <t>['unbounded media', 'tm wave', 'tangential component', 'surface currents', 'special attention', 'simple procedure', 'pulse expansion', 'numerically solve', 'integral equations', 'good agreement', 'equivalent electric', 'computed results', 'briefly discussed', 'boundary condition']</t>
  </si>
  <si>
    <t>A simple procedure is summarized for calculating the electromagnetic field inside and outside a dielectric-filled conducting cylindrical shell of arbitrary cross section with an infinitely long slot illuminated by a TM wave. The surface equivalence principle is used to replace the surfaces of the shell and the dielectric by equivalent electric and/or magnetic surface currents radiating into unbounded media. The application of the boundary condition on the tangential component of the total electric field results into a set of coupled integral equations for the surface currents. The method of moments with pulse expansion and point matching techniques is used to numerically solve the integral equations. Special attention is given to shells with circular and rectangular cross sections. The limitations of the method are briefly discussed. The computed results for the air dielectric case are in very good agreement with some of the available published data.</t>
  </si>
  <si>
    <t>178-183</t>
  </si>
  <si>
    <t>Arvas, Ercument</t>
  </si>
  <si>
    <t>Syracuse</t>
  </si>
  <si>
    <t>Syracuse University</t>
  </si>
  <si>
    <t>Arvas E.</t>
  </si>
  <si>
    <t>ELECTROMAGNETIC PENETRATION INTO A DIELECTRIC-FILLED CONDUCTING SHELL OF ARBITRARY CROSS SECTION THROUGH AN INFINITE SLOT: TM CASE. .</t>
  </si>
  <si>
    <t>2-s2.0-0024015958</t>
  </si>
  <si>
    <t>['wide ranges', 'wavelength apart', 'squares technique', 'spaced half', 'single parameter', 'positive integers', 'obtained using', 'greatly depressed', 'electronically steerable', 'control parameter', 'connell sequence']</t>
  </si>
  <si>
    <t>The Connell sequence of positive integers is utilized to construct linear arrays, whose adjacent elements are spaced half-wavelength apart. The mainlobes of the array factors thus obtained are electronically steerable over wide ranges by controlling a single parameter, and the sidelobes are greatly depressed. The relationship of the predominant radiation direction to the control parameter has been obtained using the least-squares technique.</t>
  </si>
  <si>
    <t>186-189</t>
  </si>
  <si>
    <t>53877620200;36039583900;7202350150</t>
  </si>
  <si>
    <t>Lakhtakia, ;Varadan, Vijay K.;Varadan, Vasundara V.</t>
  </si>
  <si>
    <t>Lakhtakia</t>
  </si>
  <si>
    <t>ON CONNELL ARRAYS.</t>
  </si>
  <si>
    <t>2-s2.0-0024016341</t>
  </si>
  <si>
    <t>['thereby reducing', 'structural materials', 'metallic antennas', 'jet fighters', 'intrinsic conductors', 'developing plastics', 'commercial airliners']</t>
  </si>
  <si>
    <t>Lockheed Aeronautical Systems Company researchers are developing plastics that not only can be used as structural materials, but also as intrinsic conductors of electricity. These new plastics may one day eliminate the need for metallic antennas and metallic sensing devices in aircraft, thereby reducing the cost and weight of jet fighters and commercial airliners.</t>
  </si>
  <si>
    <t>48-56</t>
  </si>
  <si>
    <t>Lockheed horizons</t>
  </si>
  <si>
    <t>60002959;60002959</t>
  </si>
  <si>
    <t>7006167683;57197140659</t>
  </si>
  <si>
    <t>Kuan, Teh S.;Cameron, Randy</t>
  </si>
  <si>
    <t>Lockheed Martin Corporation</t>
  </si>
  <si>
    <t>Kuan T.</t>
  </si>
  <si>
    <t>ELECTRICALLY CONDUCTING PLASTICS.</t>
  </si>
  <si>
    <t>2-s2.0-0024016779</t>
  </si>
  <si>
    <t>501-503</t>
  </si>
  <si>
    <t>Measurement Techniques</t>
  </si>
  <si>
    <t>6506843438;7004058283;6507028623;6508049730</t>
  </si>
  <si>
    <t>Zevako, N. A.;Blinov, Yu P.;Petrosyan, F. N.;Tarantsov, V. N.</t>
  </si>
  <si>
    <t>Zevako N.</t>
  </si>
  <si>
    <t>Determination of error due to mismatching when measuring gains in the aperture of an antenna</t>
  </si>
  <si>
    <t>10.1007/BF00864485</t>
  </si>
  <si>
    <t>2-s2.0-0024096964</t>
  </si>
  <si>
    <t>498-500</t>
  </si>
  <si>
    <t>6701453221;7103313639</t>
  </si>
  <si>
    <t>Tokatly, V. I.;Tishchenko, V. A.</t>
  </si>
  <si>
    <t>Tokatly V.</t>
  </si>
  <si>
    <t>Installation for calibration of short dipole antennas in the automatic mode</t>
  </si>
  <si>
    <t>10.1007/BF00864484</t>
  </si>
  <si>
    <t>2-s2.0-0024097055</t>
  </si>
  <si>
    <t>['small organisms', 'second antennae', 'parasitic cyclopoid', 'morphologically exhibits', 'many species', 'living cyclopoid', 'living ancestors', 'larger prey', 'lake michigan', 'important mechanism', 'high degree', 'fish larvae', 'ergasilus ).', 'diacyclops thomasi', 'cyclopoid predation', 'ancestral free', 'adult females', 'acanthocyclops vernalis']</t>
  </si>
  <si>
    <t>Of 412 cyclopoids found preying on fish larvae in Lake Michigan, 411 were adult females. It is suggested that adult, female cyclopoid predation on fish larvae may represent an important mechanism both to reduce intraspecific competition for food (i.e. between sexes) and maximize net energy intake for reproduction. Our observations of cyclopoid predation on fish larvae in nature may also provide complementary evidence on how freshwater parasitic cyclopoids evolved from free-living ancestors. Freshwater, parasitic cyclopoids may have evolved from an ancestral free-living cyclopoid which was predaceous on small organisms, to a free-living cyclopoid (e.g. Acanthocyclops vernalis and Diacyclops thomasi) which was predaceous on larger prey such as fish larvae. Evolution then could have proceeded to a free-living cyclopoid with intermediate morphological modification of its second antennae (e.g. Ergasilus chautauquaensis), and finally to a parasitic cyclopoid which morphologically exhibits a high degree of modification in its second antennae (e.g. many species of Ergasilus). ¬© 1988 IRL Press Ltd.</t>
  </si>
  <si>
    <t>573-577</t>
  </si>
  <si>
    <t>Journal of Plankton Research</t>
  </si>
  <si>
    <t>60029987;60025778</t>
  </si>
  <si>
    <t>7003584813;7003835382</t>
  </si>
  <si>
    <t>Hartig, John H.;Jude, David J.</t>
  </si>
  <si>
    <t>Canada;United States</t>
  </si>
  <si>
    <t>Windsor;Ann Arbor</t>
  </si>
  <si>
    <t>International Joint Commission;University of Michigan, Ann Arbor</t>
  </si>
  <si>
    <t>Hartig J.H.</t>
  </si>
  <si>
    <t>Ecological and evolutionary significance of cyclopoid predation on fish larvae</t>
  </si>
  <si>
    <t>10.1093/plankt/10.3.573</t>
  </si>
  <si>
    <t>2-s2.0-0024194199</t>
  </si>
  <si>
    <t>BSR-8514561</t>
  </si>
  <si>
    <t>['species may', 'sexual dimorphism', 'second antenna', 'planktonic copepod', 'oncaea praeclara', 'new species', 'lateral setules', 'guaymas basin', 'galapagos rift', 'fourth segment', 'anal segment']</t>
  </si>
  <si>
    <t>A new species of planktonic copepod, Oncaea praeclara, is described from a depth of 2003-2635 m at the East Pacific Rise, the Galapagos Rift, and the Guaymas Basin in the Gulf of California. The species may be recognized by a combination of characters: its relatively large size; the long caudal ramus, which is about two times longer than the anal segment and has a ratio of 4.96-6.7:1; the sexual dimorphism in the armature of the fourth segment of the second antenna; and the labrum with a nearly straight posteroventral margin having four median teeth and lateral setules. ¬© 1988 IRL Press Ltd.</t>
  </si>
  <si>
    <t>475-485</t>
  </si>
  <si>
    <t>Humes, Arthur G.</t>
  </si>
  <si>
    <t>Boston University Marine Program</t>
  </si>
  <si>
    <t>Humes A.</t>
  </si>
  <si>
    <t>Oncaea praeclara n. sp. (copepoda: Poecilostomatoida) from deep-sea hydrothermal vents in the eastern pacific</t>
  </si>
  <si>
    <t>10.1093/plankt/10.3.475</t>
  </si>
  <si>
    <t>2-s2.0-0344499707</t>
  </si>
  <si>
    <t>['totally unrealistic', 'though correct', 'mechanical calculation', 'classical calculation', 'appreciable difference']</t>
  </si>
  <si>
    <t>04.30 | Gravitational waves and radiation: theory</t>
  </si>
  <si>
    <t>A quantum-mechanical calculation is carried out of the response of a realistic gravitational antenna to an incoming gravitational wave. No appreciable difference is found from the classical calculation of Ruffini and Wheeler. Weber-s contention of a possible large quantummechanical enhancement, though correct in principle, is seen to be totally unrealistic. ¬© 1988 Societ√† Italiana di FisicaSociet√† Italiana di Fisica.</t>
  </si>
  <si>
    <t>625-636</t>
  </si>
  <si>
    <t>Il Nuovo Cimento B Series 11</t>
  </si>
  <si>
    <t>Preparata, G.</t>
  </si>
  <si>
    <t>Istituto Nazionale di Fisica Nucleare, Sezione di Milano</t>
  </si>
  <si>
    <t>Preparata G.</t>
  </si>
  <si>
    <t>Quantum mechanics of a gravitational antenna</t>
  </si>
  <si>
    <t>10.1007/BF02748965</t>
  </si>
  <si>
    <t>2-s2.0-51649155346</t>
  </si>
  <si>
    <t>['wave structure', 'structural schematic', 'prototype consists', 'polished substrate', 'pin wide', 'paper describes', 'microstrip width', 'meander period', 'meander length', 'film techniques', 'experimental study', 'band antenna', 'arm length', 'also includes', '8 mm', '50 œºm', '5 mm', '400 œºm', '200 œºm', '10 mm']</t>
  </si>
  <si>
    <t>This paper describes the results of an experimental study of the propagation of surface magnetostatic waves (SMSW), excited by a slow-wave structure. We show the structural schematic of the prototype we investigated, fabricated by thin-film techniques on a polished substrate with a thickness of 0.5 mm. The prototype consists of the transmitting meander type exciter 1 with an arm length of 10 mm, a meander period of 400 Œºm, a spacing of 200 Œºm, a microstrip width of 50 Œºm, a meander length of 8 mm; it also includes the receiver exciter 2 in the form of a single-pin wide-band antenna with a length of 8 mm, a microstrip width of 50 Œºm, located at a distance of 5 mm from the edge of the meander.</t>
  </si>
  <si>
    <t>Smelov, M. V.</t>
  </si>
  <si>
    <t>Smelov M.</t>
  </si>
  <si>
    <t>Experimental study of excitation of magnetostatic waves by a meander-type slow-wave system</t>
  </si>
  <si>
    <t>2-s2.0-0024018561</t>
  </si>
  <si>
    <t>['learning characteristics', 'deterministic signal', 'antenna arrays']</t>
  </si>
  <si>
    <t>The application of the theory of invariant statistical solutions to adaptive signal processing problems in antenna arrays is examined. The concept of an adaptation algorithm invariant under a group of nondegenerate linear transformation is introduced. The optimum invariant adaptation algorithm for detecting a deterministic signal in a Gaussian noise background is found. The learning characteristics of the optimum invariant adaptation algorithm are given.</t>
  </si>
  <si>
    <t>70-75</t>
  </si>
  <si>
    <t>Leksachenko, V. A.</t>
  </si>
  <si>
    <t>Leksachenko V.</t>
  </si>
  <si>
    <t>Optimum invariant adaptation algorithm for an antenna array</t>
  </si>
  <si>
    <t>2-s2.0-0024018632</t>
  </si>
  <si>
    <t>['receivers tend', 'processed easily', 'low noise', 'input signals', 'first stage', 'bs tuner', 'bs converter', 'becoming smaller', '1ghz signals']</t>
  </si>
  <si>
    <t>Because antennas are becoming smaller, electric waves captured by receivers tend to weaken. As a result, there is demand for a low-noise, high sensitivity receiver. The receiver for satellite broadcasts consists of a BS converter and a BS tuner. A high performance converter is essential for a high performance receiver. The BS converter amplifies the input signals of the 12 GHz band with its high frequency amplification circuit and converts them to 1GHz signals that can be processed easily. A high sensitivity transistor with low noise and a high power gain is needed in the first stage. Recently, HEMTs (high electron mobility transistors) are being used increasingly instead of the conventional GaAs FETs. HEMTs are discussed.</t>
  </si>
  <si>
    <t>Harada, Yasoo</t>
  </si>
  <si>
    <t>Moriguchi</t>
  </si>
  <si>
    <t>Sanyo Electric</t>
  </si>
  <si>
    <t>Harada Y.</t>
  </si>
  <si>
    <t>Sanyo electric develops high performance HEMT for satellite broadcast reception</t>
  </si>
  <si>
    <t>2-s2.0-0024018980</t>
  </si>
  <si>
    <t>['specific examples', 'proposed approach', 'pattern obtained', 'direct problem', 'direct approach', 'also calculating']</t>
  </si>
  <si>
    <t>Different pattern realizability criteria are presented and discussed. A direct approach is proposed for the problem of synthesizing curved antenna arrays. This approach involves determining from a given radiation pattern not only the 'current' distribution that gives this pattern but also calculating the pattern obtained by solving the direct problem. Specific examples are considered, illustrating the efficiency of the proposed approach.</t>
  </si>
  <si>
    <t>47-54</t>
  </si>
  <si>
    <t>7005873528;6507457912</t>
  </si>
  <si>
    <t>Kyurkchan, A. G.;Zimnov, M. Kh</t>
  </si>
  <si>
    <t>Kyurkchan A.</t>
  </si>
  <si>
    <t>Direct synthesis of curved antenna arrays</t>
  </si>
  <si>
    <t>2-s2.0-0024019268</t>
  </si>
  <si>
    <t>['wideband quartz', 'locked loop', 'design specifications', 'crystal synchronizer', 'automatic systems', '43 converters']</t>
  </si>
  <si>
    <t>A wideband quartz-crystal synchronizer is described that is based on a phase-locked loop with a Ch3-38 frequency counter and YaZCh-42 and YaZCg-43 converters. The synchronizer is designed for operation with various microwave generators including klystrons and mytrons and has been used in automatic systems for measuring the properties of pencil-beam microwave antennas. Operating and design specifications are given.</t>
  </si>
  <si>
    <t>1481-1482</t>
  </si>
  <si>
    <t>6 pt 2</t>
  </si>
  <si>
    <t>Instruments and experimental techniques New York</t>
  </si>
  <si>
    <t>60026327;60026327</t>
  </si>
  <si>
    <t>6602923164;7409558024</t>
  </si>
  <si>
    <t xml:space="preserve">Matevosyan, S. S.;Khachatryan, </t>
  </si>
  <si>
    <t>Moscow</t>
  </si>
  <si>
    <t>Russian Scientific Research Institute of Aviation Materials</t>
  </si>
  <si>
    <t>Matevosyan S.</t>
  </si>
  <si>
    <t>Wideband quartz-crystal synchronization of microwave generators</t>
  </si>
  <si>
    <t>2-s2.0-0024019583</t>
  </si>
  <si>
    <t>['superstrate blocks', 'sis junctions', 'sandwiched v', 'possible use', 'model scaled', 'hundred ghz', 'completely enclosed', 'center frequency', 'beam pattern', 'antenna patterns', '345 ghz', '10 ghz']</t>
  </si>
  <si>
    <t>Antennas | Quasi-Optics</t>
  </si>
  <si>
    <t>At frequencies above a few hundred GHz, waveguide mixer blocks become extremely difficult to build, so open structure feeds may be more appropriate. One promising planar antenna structure, which can easily be integrated with SIS junctions, is the sandwiched V-antenna. The antenna is completely enclosed in dielectric by placing it between substrate and superstrate blocks. Using a model scaled to a center frequency of 10 GHz, we investigated the beam pattern as a function of frequency, and measured its dependence on gaps between the super-and substrates. We plan to test the structure at a frequency of 345 GHz and to compare it with waveguide horn antennas for possible use in submillimeter astronomical receivers. The antenna patterns and analysis in this work are substantially more extensive than earlier published results. ¬© 1988 Plenum Publishing Corporation.</t>
  </si>
  <si>
    <t>505-520</t>
  </si>
  <si>
    <t>60021561;60021561;60001754</t>
  </si>
  <si>
    <t>7005588148;7404039701;6602118486</t>
  </si>
  <si>
    <t>Eckart, A.;Harris, A. I.;Wohlleben, R.</t>
  </si>
  <si>
    <t>Garching bei Munchen;Bonn</t>
  </si>
  <si>
    <t>Max Planck Institute for Extraterrestrial Physics;Max Planck Institute for Radio Astronomy</t>
  </si>
  <si>
    <t>60021561;60001754</t>
  </si>
  <si>
    <t>Eckart A.</t>
  </si>
  <si>
    <t>Scaled model measurements of the sandwiched V-antenna</t>
  </si>
  <si>
    <t>10.1007/BF01013286</t>
  </si>
  <si>
    <t>2-s2.0-0024019599</t>
  </si>
  <si>
    <t>['television signals', 'special interest', 'phenomena affecting', 'impairment effect', 'first published', 'bird wattmeter', 'author provides', 'air reception']</t>
  </si>
  <si>
    <t>Of all the phenomena affecting over-the-air reception of television signals for distribution in cable, it is possible that the impairment effect of birds is one of the least well understood. Many cable engineers may have missed this thoroughly researched article on the subject when it was first published. The author provides an excellent theoretical basis for his treatment of the calibration and use of equipment for the measurement of imbirdance. Those familiar with a remotely related instrument called the 'Bird Wattmeter' will read this article with special interest.</t>
  </si>
  <si>
    <t>547-549</t>
  </si>
  <si>
    <t>Cable television engineering</t>
  </si>
  <si>
    <t>Haskett, Thomas R.</t>
  </si>
  <si>
    <t>Haskett T.</t>
  </si>
  <si>
    <t>Imbirdance measurement for CATV antennas</t>
  </si>
  <si>
    <t>2-s2.0-0024019739</t>
  </si>
  <si>
    <t>['vector potentials', 'surface current', 'sommerfeld integrals', 'paper gives', 'originally developed', 'numerical results', 'moments determines', 'microstrip substrate', 'microstrip structure', 'metal boundaries', 'equivalent circuits', 'easily derived', 'dimensional problems', 'dimensional problem', 'charge distribution']</t>
  </si>
  <si>
    <t>The mixed potential integral equation (MPIE) formulation, originally developed for the study of antennas, is here applied to analyse the effects of radiation in circuits. The three-dimensional problem is split into a pair of two-dimensional problems, that are treated in sequences. The Green's functions for scalar and vector potentials in a microstrip substrate are expressed as Sommerfeld integrals, by using stratified media theory. Specialized numerical algorithms were developed for their evaluation. A method of moments determines the surface current and charge distribution on the conductors. From the knowledge of these distributions, equivalent circuits for any microstrip structure are easily derived. The technique considers lossy dielectrics and metal boundaries, it is valid for all frequencies from DC up to the onset of higher-order surface wave modes. This paper gives a review of the underlying mathematical theory and presents a few numerical results for two common microstrip discontinuities.</t>
  </si>
  <si>
    <t>60028186;60028186</t>
  </si>
  <si>
    <t>7006665188;35609196900</t>
  </si>
  <si>
    <t>Mosig, Juan R.;Gardiol, Fred E.</t>
  </si>
  <si>
    <t>Mosig J.R.</t>
  </si>
  <si>
    <t>Integral equation techniques for the dynamic analysis of microstrip discontinuities</t>
  </si>
  <si>
    <t>2-s2.0-0024019752</t>
  </si>
  <si>
    <t>['unknown amplitude', 'symmetrical dipoles', 'square error', 'square approximation', 'specific details', 'phase synthesis', 'interacting elements', 'antenna arrays', 'amplitude distribution']</t>
  </si>
  <si>
    <t>Two iteration methods are considered for solving the problem of the phase synthesis of antenna arrays (AA) with interacting elements from a given complex radiation pattern in a mean-square approximation. The discussion is carried out for the example of a linear equidistant antenna array of symmetrical dipoles. In these methods the form of the amplitude distribution of the voltages at the inputs of the dipoles is given, apart from an unknown amplitude, the value of which is chosen from the condition for minimizing the mean-square error of the synthesis. Specific details are considered and the results of a synthesis of scanning antenna arrays are given.</t>
  </si>
  <si>
    <t>38-46</t>
  </si>
  <si>
    <t>Phase synthesis of antenna arrays with interacting elements</t>
  </si>
  <si>
    <t>2-s2.0-0024020095</t>
  </si>
  <si>
    <t>['issues examined', 'dispersion refraction']</t>
  </si>
  <si>
    <t>The conditions for the occurrence of dispersion refraction are examined and examples of radiators of spatially inhomogeneous waves are presented. The issues examined are related more or less to the problem of the excitation of spatially inhomogeneous waves and can be useful in designing actual antenna systems.</t>
  </si>
  <si>
    <t>122-127</t>
  </si>
  <si>
    <t>Kopekykin, V. V.</t>
  </si>
  <si>
    <t>Kopekykin V.</t>
  </si>
  <si>
    <t>Wave self-action in linear dispersive media</t>
  </si>
  <si>
    <t>2-s2.0-0024028291</t>
  </si>
  <si>
    <t>['total effect', 'telephone channels', 'relay links', 'phase modulation', 'permissible levels', 'multimode waveguides', 'multimode waveguide', 'higher modes', 'gtd ).', 'different modes', 'delayed signals', 'delay time', 'antenna feeders']</t>
  </si>
  <si>
    <t>Multimode waveguides are used to reduce the losses in the antenna feeders and as their supports. However, when these waveguides are installed in radio-relay links (RRL) with phase modulation, noise is generated in the telephone channels. This is due to the existence in the waveguides of higher modes, which result in delayed signals. Their levels and delay time are different for different modes and paths. The total effect of the delayed signals is estimated by their overall power taking into account the group time delay (GTD). At smaller GDT values, the noise level reduction must be taken into account. The purpose of this article is to evaluate the permissible levels of transformation of higher modes in a multimode waveguide.</t>
  </si>
  <si>
    <t>Kuznetsov, V. D.</t>
  </si>
  <si>
    <t>Kuznetsov V.D.</t>
  </si>
  <si>
    <t>Possibility of using multimode circular waveguide in an RRL</t>
  </si>
  <si>
    <t>2-s2.0-0024028387</t>
  </si>
  <si>
    <t>['satellite orbit', 'involve optimization', 'interactive basis', 'elliptical beams', 'beam parameters', 'article presents']</t>
  </si>
  <si>
    <t>Use of circular or elliptical beams as reference satellite antenna beam is envisaged for long range geostationary-satellite orbit-frequency resources planning and co-ordination. Generation of such beams will involve optimization of beam parameters and this is more easily done using personal computers on an interactive basis. This article presents a method for using personal computers to find an optimum elliptical beam fulfilling the service area coverage conditions.</t>
  </si>
  <si>
    <t>396-401</t>
  </si>
  <si>
    <t>0497137X</t>
  </si>
  <si>
    <t>Telecommunication journal</t>
  </si>
  <si>
    <t>6507724385;6504349675</t>
  </si>
  <si>
    <t>Mohanavelu, K. S.;Moorty, P. V.R.</t>
  </si>
  <si>
    <t>Mohanavelu K.</t>
  </si>
  <si>
    <t>SATELLITE ANTENNA BEAM OPTIMIZATION THROUGH INTERACTIVE COMPUTER PROGRAM USING PERSONAL COMPUTERS.</t>
  </si>
  <si>
    <t>2-s2.0-0024029202</t>
  </si>
  <si>
    <t>['switchable radar', 'sar instrument', 'radarsat program', 'radar system', 'primary instrument', 'pointing angle', 'performance specifications', 'neither existing', 'narrow swath', 'mechanical requirements', 'mechanical joints', 'major factor', 'hardware implementation', 'ground track', 'ground coverage', 'baseline design', 'baseline concept', 'anywhere within', 'across track', '49 degrees']</t>
  </si>
  <si>
    <t>The Canadian RADARSAT Remote Sensing Satellite will employ a Synthetic Aperture Radar (SAR) as the primary instrument. This SAR instrument will be able to alter its beam-pointing angle to anywhere within a 500 km Earth ground track, with either a wide or narrow swath, at ground incidence angles from 20 to 49 degrees. This ability to alter the ground track is unique, and neither existing nor planned remote sensing satellites can provide such complete ground access. A major factor that allows this flexibility is the electronically steerable SAR antenna. The SAR antenna represents the single most important technology development for the RADARSAT program, being critical to the performance of the switchable radar. The baseline design is a 15 m by 1. 5 m slotted waveguide planar array that extends from a folded launch configuration, which requires the use of RF as well as mechanical joints in the hardware implementation. The ability to reconfigure the ground coverage is provided by electronic beam switching in the SAR Antenna using ferrite variable phase shifters in the elevation (across track) beam forming network. In order to fulfil the performance specifications of the radar system, the SAR antenna must meet stringent electrical and mechanical requirements. Accordingly, an electrical breadboard model was fabricated and tested in order to confirm the viability of the baseline concept.</t>
  </si>
  <si>
    <t>102-106</t>
  </si>
  <si>
    <t>Canadian Aeronautics and Space Journal</t>
  </si>
  <si>
    <t>60018714;60018714;60018714</t>
  </si>
  <si>
    <t>7003762909;6508066269;6603441515</t>
  </si>
  <si>
    <t>Zimcik, D. G.;Martins-Camelo, L.;Cowles, P. R.</t>
  </si>
  <si>
    <t>Zimcik D.</t>
  </si>
  <si>
    <t>DEVELOPMENT OF THE RADARSAT SAR ANTENNA.</t>
  </si>
  <si>
    <t>2-s2.0-0024029369</t>
  </si>
  <si>
    <t>['waveguide networks', 'wave subarrays', 'transmission lines', 'power dividers', 'power combiners', 'ladder feeds', 'error effects', 'effective approach', 'array antennas']</t>
  </si>
  <si>
    <t>A number of design choices must be made to balance out performance vs cost and complexity in the design of airborne monopulse slot-array antennas. Center-fed, standing-wave subarrays with waveguide networks that use in-phase hybrids traditionally have been the most cost-effective approach. The authors examine feeding slot radiators, standing-wave subarrays, quadrant subarray feeds, low-difference-pattern sidelobe feeds, ladder feeds, multiple comparator circuits, interdigitation, transmission lines and power dividers, power combiners, illustrative feed designs, and error effects.</t>
  </si>
  <si>
    <t>101047617;101047617</t>
  </si>
  <si>
    <t>7402883697;6507128109</t>
  </si>
  <si>
    <t>Watson, Charles K.;Ringer, Kenneth</t>
  </si>
  <si>
    <t>Chatsworth</t>
  </si>
  <si>
    <t>MDM Inc</t>
  </si>
  <si>
    <t>Watson C.</t>
  </si>
  <si>
    <t>FEED NETWORK DESIGN FOR AIRBORNE MONOPULSE SLOT-ARRAY ANTENNAS.</t>
  </si>
  <si>
    <t>2-s2.0-0024030071</t>
  </si>
  <si>
    <t>['waveguide slot', 'minimize errors', 'dip brazing', 'briefly considered', 'brazing process', 'array antennas']</t>
  </si>
  <si>
    <t>The fabrication of waveguide slot-array antennas by dip brazing is described. Preparation for brazing and assembly, the brazing process, and ways to minimize errors are examined. Other methods of manufacture are briefly considered.</t>
  </si>
  <si>
    <t>101095415;101095415</t>
  </si>
  <si>
    <t>57214611178;35916894300</t>
  </si>
  <si>
    <t>Sikora, Lawrence;Womack, James</t>
  </si>
  <si>
    <t>Calabasas</t>
  </si>
  <si>
    <t>Rantec Microwave Systems</t>
  </si>
  <si>
    <t>Sikora L.</t>
  </si>
  <si>
    <t>ART AND SCIENCE OF MANUFACTURING WAVEGUIDE SLOT-ARRAY ANTENNAS.</t>
  </si>
  <si>
    <t>2-s2.0-0024031768</t>
  </si>
  <si>
    <t>ZR2017LH050</t>
  </si>
  <si>
    <t>['two slots', 'complex variables']</t>
  </si>
  <si>
    <t>High performance slot arrays can be designed only by taking into account the external mutual coupling between the slots. Present a subroutine, written in BASIC for the HP86, which computes the mutual coupling coefficient between two slots on an infinite ground plane and with a consinusoidal aperture field distribution. The program can be modified to run on another system since no use of complex variables has been made. At least eight significant figures must be retained in the computation.</t>
  </si>
  <si>
    <t>60017293;60017293</t>
  </si>
  <si>
    <t>7006097620;7003742703</t>
  </si>
  <si>
    <t>Mazzarella, Giuseppe;Panariello, Gaetano</t>
  </si>
  <si>
    <t>Mazzarella G.</t>
  </si>
  <si>
    <t>FAST COMPUTATION OF MUTUAL COUPLING IN SLOT ARRAYS.</t>
  </si>
  <si>
    <t>2-s2.0-0024031769</t>
  </si>
  <si>
    <t>['varying strength', 'type rear', 'two rear', 'servodrive motors', 'receiver circuits', 'mounted antenna', 'mechanical braking', 'mechanical brakes', 'guided operation', 'drive units', 'angle steering']</t>
  </si>
  <si>
    <t>Battery-powered and self-propelled, the golf-bag-toting caddy vehicle has a radio guidance system. Used with servo-type rear-wheel-drive units, the system provides automatic, self-guided operation that minimizes demands made on the golfer. The guidance system uses two vehicle-mounted antenna/receiver circuits. These circuits are tuned to pick up a continuous, constant-strength signal put out by a small transmitter clipped to the rear of the golfer's belt. The receivers produce control signals of varying strength, which are routed to circuitry that governs the servodrive motors and mechanical brakes of two rear-wheel-drive units. In turn, the drive units provide variable-speed, variable-angle steering, and dynamic and mechanical braking.</t>
  </si>
  <si>
    <t>136-138</t>
  </si>
  <si>
    <t>Design News (Boston)</t>
  </si>
  <si>
    <t>Stefanides, E. J.</t>
  </si>
  <si>
    <t>Newtown</t>
  </si>
  <si>
    <t>Design News</t>
  </si>
  <si>
    <t>Stefanides E.</t>
  </si>
  <si>
    <t>SELF-GUIDING CADDY CART CARRIES BAGS, FOLLOWS GOLFER.</t>
  </si>
  <si>
    <t>2-s2.0-0024032055</t>
  </si>
  <si>
    <t>['weather avoidance', 'survey covers', 'resolution mapping', 'phase comparison', 'military applications', 'maritime uses', 'ground modes', 'amplitude comparison', 'air modes']</t>
  </si>
  <si>
    <t>This survey covers both military and non-military applications of mechanically scanned slotted waveguide antennas. It covers: weather avoidance; maritime uses; high-resolution mapping; spaceflight; tactical aircraft systems; air-to-air modes; air-to-ground modes; missile guidance applications; homing guidance systems; missile seeker antennas; amplitude comparison; phase comparison; and angle tracking precision.</t>
  </si>
  <si>
    <t>Sparks, Richard A.</t>
  </si>
  <si>
    <t>Sparks R.A.</t>
  </si>
  <si>
    <t>SYSTEMS APPLICATIONS OF MECHANICALLY SCANNED SLOTTED ARRAY ANTENNAS.</t>
  </si>
  <si>
    <t>2-s2.0-0024032562</t>
  </si>
  <si>
    <t>['used carefully', 'reasonably transparent', 'radars operate', 'radar detection', 'radar antennae', 'prevent reflection', 'nonmetallic materials', 'must protect', 'microwave transmitters', 'microwave region', 'maximum transmission', 'materials must', 'hide ground', 'fighter planes', 'excessive absorption', 'equipment inside', 'emr ).', 'electromagnetic radiation', 'based objects', 'allowing signals']</t>
  </si>
  <si>
    <t>In addition to the military's quest for bombers and fighter planes that can penetrate enemy territory unnoticed, there is also a need to hide ground-based objects from radar detection by aircraft. Covers for microwave transmitters or radar antennae, known as radomes, must protect the equipment inside while allowing signals to enter and exit without significant interference. Most nonmetallic materials are reasonably transparent to electromagnetic radiation (EMR). However, in the microwave region where most radars operate, the materials must be used carefully to prevent reflection and excessive absorption. Properties that are important for maximum transmission of EMR are a low dielectric constant and a low loss tangent.</t>
  </si>
  <si>
    <t>Materials engineering</t>
  </si>
  <si>
    <t>Lewis, Clifford F.</t>
  </si>
  <si>
    <t>Materials Engineering</t>
  </si>
  <si>
    <t>Lewis C.</t>
  </si>
  <si>
    <t>MATERIALS KEEP A LOW PROFILE.</t>
  </si>
  <si>
    <t>2-s2.0-0024032754</t>
  </si>
  <si>
    <t>['waveguide slots', 'radiating slots', 'pattern calculations', 'field measurements', 'experimental techniques', 'end slots', 'design data', 'coupling slots', 'array architecture', 'analysis techniques', 'also covered']</t>
  </si>
  <si>
    <t>Types of waveguide slots are described, and slot-array architecture is examined. Radiating-shunt and series-coupling slots are considered in some detail. Pattern calculations and analysis techniques are discussed. Design data are given. Also covered are correction for round-end slots, experimental techniques, tests using subarrays, measurements of radiating slots, and near-field and far-field measurements.</t>
  </si>
  <si>
    <t>7401730153;7102630816</t>
  </si>
  <si>
    <t>Richardson, Phillip N.;Yee, Hung Yuet</t>
  </si>
  <si>
    <t>Richardson P.</t>
  </si>
  <si>
    <t>DESIGN AND ANALYSIS OF SLOTTED WAVEGUIDE ANTENNA ARRAYS.</t>
  </si>
  <si>
    <t>2-s2.0-0024035068</t>
  </si>
  <si>
    <t>['satellite communications', 'recent progress', 'radio spectrum', 'primary feeds', 'geostationary orbit', 'experimentally confirmed', 'efficient use', 'computer program', 'best configuration', 'arbitrary shapes', 'arbitrary configurations', 'arbitrary alignments', 'antenna configurations', 'accurate design']</t>
  </si>
  <si>
    <t>A computer program is developed for designing reflector antennas with arbitrary configurations for use in arbitrary alignments between primary feeds and reflectors of arbitrary shapes. Recent progress in satellite communications has increased the importance of efficient use of the geostationary orbit together with importance of efficient use of the radio spectrum. Highly efficient use of the geostationary orbit is ensured by giving an accurate design of a low sidelobe antenna which requires rigorous estimation of antenna radiation characteristics. Since newly developed computer program calculates radiation characteristics for arbitrary antenna configurations, the best configuration to minimize the sidelobe can be chosen from the variety of antenna configurations. The estimated radiation characteristics. Since newly developed computer program calculates radiation characteristics for arbitrary antenna configurations, the best configuration to minimize the sidelobe can be chosen from the variety of antenna configurations. The estimated radiation characteristics have been experimentally confirmed.</t>
  </si>
  <si>
    <t>Fujitsu Scientific and Technical Journal</t>
  </si>
  <si>
    <t>60007951;60007951</t>
  </si>
  <si>
    <t>7401728997;57205906271</t>
  </si>
  <si>
    <t>Asano, Yoshihiko;Kurihara, Hiroshi</t>
  </si>
  <si>
    <t>Minato</t>
  </si>
  <si>
    <t>Fujitsu Ltd.</t>
  </si>
  <si>
    <t>Asano Y.</t>
  </si>
  <si>
    <t>DESIGN METHOD OF REFLECTOR ANTENNAS WITH ARBITARY CONFIGURATION.</t>
  </si>
  <si>
    <t>2-s2.0-0024035079</t>
  </si>
  <si>
    <t>['temporal changes', 'results suggest', 'reaction centres', 'reaction centre', 'primary leaves', 'photosystem ii', 'periodic oscillations', 'periodic changes', 'oscillation pattern', 'functional coupling', 'entirely contribute', 'electron donor', 'electron donation', 'dichlorophenol indophenol', 'defined times', 'continuous light', 'chloroplasts isolated', 'antenna complexes']</t>
  </si>
  <si>
    <t>Chl a fluorescence | hydroxylamine | photosystem II | rhythmicity in chloroplast activity | wheat</t>
  </si>
  <si>
    <t>Chloroplasts isolated at defined times from the primary leaves of wheat seedlings grown under continuous light as well as 12 h light-dark cycles exhibited endogenous oscillations in photosystem II activity monitored as photoreduction of 2,6-dichlorophenol indophenol with water as electron donor. The 12 h rhythmicity in photoreduction of 2,6-dichlorophenol indophenol resembled the oscillation pattern in photosystem II supported O2 evolution. Room temperature chlorophyll a fluorescence intensity ratios (F+DCMU/F-DCMU) yielded a rhythmicity closely comparable to that of 2,6-dichlorophenol indophenol photoreduction rhythm. Photosystem II mediated photoreduction of 2,6-dichlorophenol indophenol monitored with the exogenous electron donor hydroxylamine which bypasses the electron donation by water also exhibited similar 12 h oscillations. These results suggest that the O2 evolving complex does not entirely contribute to the origin of the rhythmicity in photosystem II. Instead, periodic changes in the reaction centre-antenna complexes may represent the rate limiting step for the generation of the time triggered rhythms in chloroplast photochemical activity. It is postulated that a temporal reversible control over the functional coupling and uncoupling between the reaction centres and antenna complexes or temporal changes in active and inactive reaction centres may induce the periodic oscillations in PS II activity. ¬© 1988 Indian Academy of Sciences.</t>
  </si>
  <si>
    <t>Proceedings: Plant Sciences</t>
  </si>
  <si>
    <t>60030622;60030622</t>
  </si>
  <si>
    <t>7003792806;7101652469</t>
  </si>
  <si>
    <t>Sayeed, Shabbir A.;Mohanty, Prasanna</t>
  </si>
  <si>
    <t>Jawaharlal Nehru University</t>
  </si>
  <si>
    <t>Sayeed S.</t>
  </si>
  <si>
    <t>Rhythmic oscillations in wheat chloroplast photochemical activity. II. Further characterization of the rhythm in photosystem II photoelectron transport activity</t>
  </si>
  <si>
    <t>10.1007/BF03053585</t>
  </si>
  <si>
    <t>2-s2.0-77951502612</t>
  </si>
  <si>
    <t>0.330-086</t>
  </si>
  <si>
    <t>['¬© 1988', 'whole cells', 'sulfur bacteria', 'sequence homologies', 'rp chromatography', 'purple non', 'polypeptide shows', 'harvesting polypeptides', 'gel filtration', 'ectothiorhodospira halochloris', 'consecutive fplc', 'antenna polypeptides', '4 ¬∞.', '1 ¬∞']</t>
  </si>
  <si>
    <t>(Ectothiorhodospira halochloris) | Amino acid sequence | Bacteriochlorophyll b | Light-harvesting polypeptide | Purple bacteria</t>
  </si>
  <si>
    <t>Whole cells from Ectothiorhodospira halochloris were extracted with an organic solvent mixture. At least five small hydrophobic polypeptides representing most probably the light harvesting polypeptides were purified by gel filtration and consecutive FPLC-RP chromatography. The complete amino acid sequence of a 7.4 kDa polypeptide was determined. The polypeptide shows a three domain structure, indicative of an integral membrane protein, similar to the structure of the light-harvesting polypeptides from purple non-sulfur bacteria. Sequence homologies to the Œ≤-LHPs of purple bacteria range from 23. 1¬∞ to 36.4¬∞. The conserved intramembrane located histidine residue of the antenna polypeptides of purple non-sulfur bacteria, assigned as the possible binding site for bacteriochlorophyll, was found to be replaced by asparagine. ¬© 1988.</t>
  </si>
  <si>
    <t>13611433800;6603669964;6505879969;7401890961;7006345218</t>
  </si>
  <si>
    <t>Wagner-Huber, Regula;Brunisholz, Ren√© A.;Bissig, Iwan;Frank, Gerhard;Zuber, Herbert</t>
  </si>
  <si>
    <t>Wagner-Huber R.</t>
  </si>
  <si>
    <t>A new possible binding site for bacteriochlorophyll b in a light-harvesting polypeptide of the bacterium Ectothiorhodospira halochloris</t>
  </si>
  <si>
    <t>10.1016/0014-5793(88)81345-0</t>
  </si>
  <si>
    <t>2-s2.0-0023942373</t>
  </si>
  <si>
    <t>DMB85-12587</t>
  </si>
  <si>
    <t>['¬© 1988', 'time constant', 'thereby increasing', 'rhodobacter sphaeroides', 'reaction center', 'purified preparations', 'protein complex', 'intact membrane', 'excited state', 'energy transfer', 'b896 decays', 'b875 pigment', 'b875 complexes']</t>
  </si>
  <si>
    <t>(Rhodobacter sphaeriodes) | Antenna bacteriochlorophyll-protein complex | Bacterial photosynthesis | Energy transfer</t>
  </si>
  <si>
    <t>The energy transfer dynamics at 77 K within detergent solubilized and purified preparations of the B875 pigment-protein complex of Rhodobacter sphaeroides have been investigated by picosecond absorption spectroscopy. Isotropic absorption recovery and decay of induced absorption anisotropy provide clear evidence that B875 is inhomogeneous in these preparations. We interpret the results as fast (œÑ = 15 ¬± 5 ps) energy transfer from the major BChl 875 pigments to a minor pigment pool, B896. The excited state of B896 decays with a time constant of 650 ¬± 50 ps. We suggest that B896 is intrinsic to B875 complexes and exists in a highly organized state, close to the reaction center. In the intact membrane, B896 may concentrate excitation energy in the vicinity of the reaction center special pair, thereby increasing the efficiency of the final energy transfer step. ¬© 1988.</t>
  </si>
  <si>
    <t>60031040;60119141;60031040;60008734;60119141;60031040</t>
  </si>
  <si>
    <t>24371778100;6603200778;7006706612;35599806700;7006668582;7004029175</t>
  </si>
  <si>
    <t>Bergstr√∂m, H.;Westerhuis, W. H.J.;Sundstr√∂m, V.;van Grondelle, R.;Niederman, R. A.;Gillbro, T.</t>
  </si>
  <si>
    <t>United States;Sweden;Netherlands</t>
  </si>
  <si>
    <t>New Brunswick;Umea;Amsterdam</t>
  </si>
  <si>
    <t>Rutgers University‚ÄìNew Brunswick;Ume√• Universitet;Vrije Universiteit Amsterdam</t>
  </si>
  <si>
    <t>60119141;60031040;60008734</t>
  </si>
  <si>
    <t>Bergstr√∂m H.</t>
  </si>
  <si>
    <t>Energy transfer within the isolated B875 light-harvesting pigment-protein complex of Rhodobacter sphaeroides at 77 K studied by picosecond absorption spectroscopy</t>
  </si>
  <si>
    <t>10.1016/0014-5793(88)81346-2</t>
  </si>
  <si>
    <t>2-s2.0-0023947757</t>
  </si>
  <si>
    <t>['¬© 1988', 'thylakoid membrane', 'stably assembled', 'photosystem ii', 'may constitute', 'developing chloroplasts', 'chlorophyll biosynthesis', 'chlorophyll b', 'barley grown', '37 chlorophyll']</t>
  </si>
  <si>
    <t>(Barley) | Chlorina f2 | Chlorophyll antenna size | Chloroplast development | Intermittent light plastid | Photosynthetic unit</t>
  </si>
  <si>
    <t>The minimum functional chlorophyll antenna size of Photosystem I and of Photosystem II was measured in the chlorophyll b-less chlorina f2 mutant of barley grown under intermittent light conditions. In spite of the severely limiting rate of chlorophyll biosynthesis, the chloroplasts assembled functional Photosystem I and Photosystem II complexes containing 95 and 37 chlorophyll a molecules, respectively. This may constitute the smallest functional chlorophyll antenna that can be stably assembled in the thylakoid membrane of developing chloroplasts. ¬© 1988.</t>
  </si>
  <si>
    <t>151-155</t>
  </si>
  <si>
    <t>7007043672;57203081985</t>
  </si>
  <si>
    <t>Glick, Richard E.;Melis, Anastasios</t>
  </si>
  <si>
    <t>Glick R.</t>
  </si>
  <si>
    <t>Minimum photosynthetic unit size in System I and System II of barley chloroplasts</t>
  </si>
  <si>
    <t>10.1016/0005-2728(88)90130-2</t>
  </si>
  <si>
    <t>2-s2.0-0000608686</t>
  </si>
  <si>
    <t>['¬© 1988', 'yet established', 'transport reactions', 'transport process', 'transfer electrons', 'thylakoid membrane', 'reducing side', 'ps ii', 'nonreducing ).', 'functional interaction', 'fluorescence yield', 'dunaliella salina', 'direct quantitations', 'approximately 25', 'antenna size', '570 chl', '220 chl', '150 chl']</t>
  </si>
  <si>
    <t>(D. salina) | Light harvesting complex | Photosynthetic unit size | Photosystem II heterogeneity | Photosystem stoichiometry</t>
  </si>
  <si>
    <t>The photochemical apparatus organization in the green alga Dunaliella salina was investigated. Photosystem (PS) stoichiometry was estimated from direct quantitations of the reaction center P-700 (PS I) and of the primary electron acceptors pheophytin and QA (PS II). A PS II/PS I ratio of 1.4/1.0 was deduced. Analysis of PS II activity revealed heterogeneity both in the chlorophyll (Chl) antenna size of the PS II unit and in the electron-transport process from QA to plastoquinone in the thylakoid membrane. Antenna size measurements indicated the presence of PS IIŒ± (55% of all PS II) with about 570 Chl (a + b) molecules, and of PS IIŒ≤ (45% of all PS II) with about 150 Chl (a + b) molecules per reaction center. By comparison, PS I contained about 220 Chl (a + b) molecules per reaction center. Analysis of the electron-transport reactions on the reducing side of PS II revealed that approximately 25% of all PS II centers, although photochemically competent, were unable to transfer electrons from the primary quinone acceptor QA to the secondary quinone QB (PS II-QB-nonreducing). Based on the fluorescence yield and exponential induction kinetics displayed by PS II-QB-nonreducing, we suggest that the latter is a subpopulation of PS IIŒ≤ in Dunaliella salina. It is speculated that PS II-QB-nonreducing centers represent newly synthesized and/or repaired PS II centers which have not yet established a functional interaction between QA and QB. ¬© 1988.</t>
  </si>
  <si>
    <t>108-117</t>
  </si>
  <si>
    <t>60025038;60025038;60025038</t>
  </si>
  <si>
    <t>7006807018;6602395622;57203081985</t>
  </si>
  <si>
    <t>Guenther, J. E.;Nemson, J. A.;Melis, A.</t>
  </si>
  <si>
    <t>Guenther J.</t>
  </si>
  <si>
    <t>Photosystem stoichiometry and chlorophyll antenna size in Dunaliella salina (green algae)</t>
  </si>
  <si>
    <t>10.1016/0005-2728(88)90125-9</t>
  </si>
  <si>
    <t>2-s2.0-0001539132</t>
  </si>
  <si>
    <t>['¬© 1988', 'using excitation', 'transients recorded', 'synechococcus 6301', 'state 2', 'state 1', 'ps ii', 'possibly due', 'photosystem ii', 'millisecond time', 'increased spill', 'excite either', 'energy transfer', 'decreased excitation', 'containing organisms', '2 transition']</t>
  </si>
  <si>
    <t>(Synechococcus sp.) | Chlorophyll fluorescence induction | Cyanobacterium | Light harvesting | Photosynthesis | Phycobilisome | State transition</t>
  </si>
  <si>
    <t>Cells of Synechococcus 6301 were adapted to State 1 or to State 2. Fluorescence induction transients on a millisecond time-scale were then recorded in the presence of DCMU, using excitation of different wavelengths primarily in order to excite either the phycobilisome or the chlorophyll a antenna of Photosystem II (PS II). The transients recorded with the phycobilisome-absorbed light indicate a reduction in PS II absorption cross-section during the transition to State 2. The transients recorded using chlorophyll a-absorbed light indicate increased energy transfer away from PS II in State 2, possibly due to increased spill-over of energy from PS II to PS I in State 2. We suggest that the basis of the State-2 transition in phycobilisome-containing organisms is a decreased excitation-energy transfer to PS II reaction centres that results from detachment of PS II from the phycobilisome. ¬© 1988.</t>
  </si>
  <si>
    <t>96-107</t>
  </si>
  <si>
    <t>60012070;60012070</t>
  </si>
  <si>
    <t>7004442990;7406421287</t>
  </si>
  <si>
    <t>Mullineaux, Conrad W.;Allen, John F.</t>
  </si>
  <si>
    <t>Leeds</t>
  </si>
  <si>
    <t>University of Leeds</t>
  </si>
  <si>
    <t>Mullineaux C.</t>
  </si>
  <si>
    <t>Fluorescence induction transients indicate dissociation of Photosystem II from the phycobilisome during the State-2 transition in the cyanobacterium Synechococcus 6301</t>
  </si>
  <si>
    <t>10.1016/0005-2728(88)90124-7</t>
  </si>
  <si>
    <t>2-s2.0-0001855712</t>
  </si>
  <si>
    <t>['¬© 1988', 'vitamin k', 'results suggest', 'reaction center', 'extracted photosystem', 'decay life', 'charge recombination', 'antenna chlorophylls', '80 ns', '701 nm', '693 nm', '53 ns', '110 k']</t>
  </si>
  <si>
    <t>(Spinach) | Charge recombination | Fluorescence, delayed | Photosystem I | Quinone | Reaction center | Vitamin K-1</t>
  </si>
  <si>
    <t>Time-resolved fluorescence emission spectra were measured in ether-extracted Photosystem I particles, which are depleted of phylloquinone (vitamin K-1) and about 95% of antenna chlorophylls. A long-lived fluorescence decay component having a 53 ns (80 ns at 110 K) decay life-time and peaking at 693 nm (701 nm at 110 K) was found to exist in addition to the 675-680 nm band which shows a 6 ns decay time. Yield of the long-lived component increased when P-700 was pre-reduced by ascorbate and 2,6-dichlorophenolindophenol or by dithionite, and decreased when P-700 was pre-oxidized by ferricyanide, or by the addition of vitamin K-3, which is known to suppress the charge recombination between P-700+ and A0- in these ether-extracted Photosystem I particles. These results suggest that the long-lived (delayed) fluorescence is emitted from P-700 in the charge recombination reaction between P-700+ and A0- and support the idea that vitamin K-1 is functioning as A1 in the Photosystem I reaction center. ¬© 1988.</t>
  </si>
  <si>
    <t>32-38</t>
  </si>
  <si>
    <t>60028586;60028586</t>
  </si>
  <si>
    <t>55684257100;7201981957</t>
  </si>
  <si>
    <t>Itoh, Shigeru;Iwaki, Masayo</t>
  </si>
  <si>
    <t>National Institutes of Natural Sciences - National Institute for Basic Biology</t>
  </si>
  <si>
    <t>Itoh S.</t>
  </si>
  <si>
    <t>Delayed fluorescence in Photosystem I enhanced by phylloquinone (vitamin K-1) extraction with ether</t>
  </si>
  <si>
    <t>10.1016/0005-2728(88)90116-8</t>
  </si>
  <si>
    <t>2-s2.0-0003141519</t>
  </si>
  <si>
    <t>['¬© 1988', 'wheat thylakoids', 'ps ii', 'photochemical activity', 'light captured', 'lhc ii', 'isolated thylakoids', 'increasing contribution', 'immunoblot analyses', 'harvesting chlorophyll', 'core complex', 'containing component', 'constituent polypeptides', 'chloroplast development', 'chloroplast biogenesis', 'changes observed', 'apparent ps']</t>
  </si>
  <si>
    <t>(Wheat) | Chlorophyll fluorescence | Chlorophyll-protein complex | Chloroplast development | Electron transport | Photosystem I</t>
  </si>
  <si>
    <t>During chloroplast biogenesis in 5-day-old wheat leaves, the apparent quantum yield of Photosystem I (PS I) electron transport activity of isolated thylakoids increases. From measurements of apparent PS I quantum yield using 440 and 470 nm radiation, it is demonstrated that this increase is attributable to an increase in the contribution of a chlorophyll-b-containing component of the PS I antenna. Immunoblot analyses of constituent polypeptides of the core complex of PS I (core complex I) and the light-harvesting chlorophyll a b-protein complexes associated with PS I (LHC I) and PS II (LHC II) indicated that during chloroplast development the appearance and accumulation of LHC I in the thylakoids lag behind those of LHC II and core complex I. This finding was supported by changes observed in the 77 K fluorescence emission spectra of isolated thylakoids; the 740 nm emission peak, associated with LHC I, increased markedly relative to the 686 nm peak during development. The effects of Mg2+ depletion on the apparent PS I quantum yield indicated that light captured by LHC II did not make an increasing contribution to PS I photochemical activity during development. It is concluded that the increase in the light capture ability of PS I in wheat thylakoids during chloroplast biogenesis is attributable to the delay in accumulation of LHC I relative to core complex I. ¬© 1988.</t>
  </si>
  <si>
    <t>14-21</t>
  </si>
  <si>
    <t>60001359;60001359</t>
  </si>
  <si>
    <t>16433654500;26643542200</t>
  </si>
  <si>
    <t>Bredenkamp, Guy J.;Baker, Neil R.</t>
  </si>
  <si>
    <t>Colchester</t>
  </si>
  <si>
    <t>University of Essex</t>
  </si>
  <si>
    <t>Bredenkamp G.</t>
  </si>
  <si>
    <t>The changing contribution of LHC I to Photosystem I activity during chloroplast biogenesis in wheat</t>
  </si>
  <si>
    <t>10.1016/0005-2728(88)90114-4</t>
  </si>
  <si>
    <t>2-s2.0-4243913042</t>
  </si>
  <si>
    <t>['mathematical models', 'intensity charts', 'experimental procedure', 'domestic sources', 'directivity pattern']</t>
  </si>
  <si>
    <t>The prediction of noise pollution requires the knowledge of mathematical models for the free field sound pressure radiated by industrial or domestic sources; the total power emitted by a source, its directivity pattern, and intensity charts can easily be derived from such models. The aim of this paper is two-fold: to define an experimental procedure and to develop a numerical technique enabling the identification of an a priori chosen model. ¬© 1988 Academic Press Limited.</t>
  </si>
  <si>
    <t>285-296</t>
  </si>
  <si>
    <t>60073354;60073354;60073354</t>
  </si>
  <si>
    <t>7005477716;6701315876;6603270304</t>
  </si>
  <si>
    <t>Filippi, P. J.T.;Habault, D.;Piraux, J.</t>
  </si>
  <si>
    <t>Marseille</t>
  </si>
  <si>
    <t>LMA Laboratoire de M√©canique et d'Acoustique</t>
  </si>
  <si>
    <t>Filippi P.</t>
  </si>
  <si>
    <t>Noise sources modeling and intensimetry using antenna measurement and identification procedures</t>
  </si>
  <si>
    <t>S0022460X88801883</t>
  </si>
  <si>
    <t>10.1016/S0022-460X(88)80188-3</t>
  </si>
  <si>
    <t>2-s2.0-0024041757</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</si>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</sst>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4" fillId="0" borderId="0" xfId="0" applyFon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1989"/>
      <sheetName val="1990"/>
      <sheetName val="1991"/>
      <sheetName val="1992"/>
      <sheetName val="1993"/>
      <sheetName val="1994"/>
      <sheetName val="1995"/>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5FFF-76AD-DF4A-B888-8B18C79C9FE7}">
  <dimension ref="A1:AW876"/>
  <sheetViews>
    <sheetView tabSelected="1" topLeftCell="X1" workbookViewId="0">
      <selection activeCell="AF11" sqref="AF11"/>
    </sheetView>
  </sheetViews>
  <sheetFormatPr baseColWidth="10" defaultRowHeight="16" x14ac:dyDescent="0.2"/>
  <sheetData>
    <row r="1" spans="1:49" s="12" customFormat="1" x14ac:dyDescent="0.2">
      <c r="A1" s="15"/>
      <c r="B1" s="15" t="s">
        <v>9576</v>
      </c>
      <c r="C1" s="15" t="s">
        <v>9575</v>
      </c>
      <c r="D1" s="15" t="s">
        <v>9574</v>
      </c>
      <c r="E1" s="15" t="s">
        <v>9573</v>
      </c>
      <c r="F1" s="15" t="s">
        <v>9572</v>
      </c>
      <c r="G1" s="15" t="s">
        <v>9571</v>
      </c>
      <c r="H1" s="15" t="s">
        <v>9570</v>
      </c>
      <c r="I1" s="15" t="s">
        <v>9569</v>
      </c>
      <c r="J1" s="15" t="s">
        <v>9568</v>
      </c>
      <c r="K1" s="15" t="s">
        <v>9567</v>
      </c>
      <c r="L1" s="15" t="s">
        <v>9566</v>
      </c>
      <c r="M1" s="15" t="s">
        <v>9565</v>
      </c>
      <c r="N1" s="15" t="s">
        <v>9564</v>
      </c>
      <c r="O1" s="15" t="s">
        <v>9563</v>
      </c>
      <c r="P1" s="15" t="s">
        <v>9562</v>
      </c>
      <c r="Q1" s="15" t="s">
        <v>9561</v>
      </c>
      <c r="R1" s="20" t="s">
        <v>9560</v>
      </c>
      <c r="S1" s="15" t="s">
        <v>9559</v>
      </c>
      <c r="T1" s="15" t="s">
        <v>9559</v>
      </c>
      <c r="U1" s="15" t="s">
        <v>9558</v>
      </c>
      <c r="V1" s="20" t="s">
        <v>9557</v>
      </c>
      <c r="W1" s="15" t="s">
        <v>9556</v>
      </c>
      <c r="X1" s="14" t="s">
        <v>9555</v>
      </c>
      <c r="Y1" s="19" t="s">
        <v>9554</v>
      </c>
      <c r="Z1" s="18" t="s">
        <v>9539</v>
      </c>
      <c r="AA1" s="15" t="s">
        <v>9553</v>
      </c>
      <c r="AB1" s="15" t="s">
        <v>9552</v>
      </c>
      <c r="AC1" s="15" t="s">
        <v>9551</v>
      </c>
      <c r="AD1" s="15" t="s">
        <v>9550</v>
      </c>
      <c r="AE1" s="15" t="s">
        <v>9549</v>
      </c>
      <c r="AF1" s="15" t="s">
        <v>9548</v>
      </c>
      <c r="AG1" s="15" t="s">
        <v>9547</v>
      </c>
      <c r="AH1" s="15" t="s">
        <v>9546</v>
      </c>
      <c r="AI1" s="15" t="s">
        <v>9545</v>
      </c>
      <c r="AJ1" s="15" t="s">
        <v>9544</v>
      </c>
      <c r="AK1" s="14" t="s">
        <v>9543</v>
      </c>
      <c r="AL1" s="15" t="s">
        <v>9542</v>
      </c>
      <c r="AM1" s="17" t="s">
        <v>9541</v>
      </c>
      <c r="AN1" s="16" t="s">
        <v>9540</v>
      </c>
      <c r="AO1" s="16" t="s">
        <v>9539</v>
      </c>
      <c r="AP1" s="15" t="s">
        <v>9538</v>
      </c>
      <c r="AQ1" s="15" t="s">
        <v>9537</v>
      </c>
      <c r="AR1" s="15" t="s">
        <v>9536</v>
      </c>
      <c r="AS1" s="15" t="s">
        <v>9535</v>
      </c>
      <c r="AT1" s="14" t="s">
        <v>9534</v>
      </c>
      <c r="AU1" s="13" t="s">
        <v>9533</v>
      </c>
      <c r="AV1" s="13" t="s">
        <v>9532</v>
      </c>
      <c r="AW1" s="13" t="s">
        <v>9531</v>
      </c>
    </row>
    <row r="2" spans="1:49" x14ac:dyDescent="0.2">
      <c r="A2">
        <v>0</v>
      </c>
      <c r="B2" t="s">
        <v>9530</v>
      </c>
      <c r="C2" t="s">
        <v>9529</v>
      </c>
      <c r="D2" t="s">
        <v>9528</v>
      </c>
      <c r="F2" t="s">
        <v>9527</v>
      </c>
      <c r="G2" t="s">
        <v>15</v>
      </c>
      <c r="H2" t="s">
        <v>14</v>
      </c>
      <c r="I2" t="s">
        <v>9526</v>
      </c>
      <c r="J2">
        <v>60073354</v>
      </c>
      <c r="K2" t="s">
        <v>9525</v>
      </c>
      <c r="L2" t="s">
        <v>9524</v>
      </c>
      <c r="M2" t="s">
        <v>127</v>
      </c>
      <c r="N2">
        <v>3</v>
      </c>
      <c r="O2" t="s">
        <v>9523</v>
      </c>
      <c r="P2" t="s">
        <v>9522</v>
      </c>
      <c r="Q2" t="s">
        <v>9521</v>
      </c>
      <c r="R2" s="7">
        <v>32316</v>
      </c>
      <c r="S2" s="8">
        <f t="shared" ref="S2:S6" si="0">YEAR(R2)</f>
        <v>1988</v>
      </c>
      <c r="T2" s="8">
        <v>1988</v>
      </c>
      <c r="U2" s="8">
        <f t="shared" ref="U2:U6" si="1">2022-T2</f>
        <v>34</v>
      </c>
      <c r="V2" s="7">
        <v>32316</v>
      </c>
      <c r="W2" t="s">
        <v>8232</v>
      </c>
      <c r="X2" s="2">
        <v>1.3149999999999999</v>
      </c>
      <c r="Y2" s="6">
        <f t="shared" ref="Y2:Y65" si="2">(X2-$Z$4)/($Z$3-$Z$4)</f>
        <v>3.5103173967592965E-2</v>
      </c>
      <c r="AA2" t="s">
        <v>8231</v>
      </c>
      <c r="AB2">
        <v>13030</v>
      </c>
      <c r="AC2">
        <v>10958568</v>
      </c>
      <c r="AD2" t="s">
        <v>4</v>
      </c>
      <c r="AE2">
        <v>124</v>
      </c>
      <c r="AF2">
        <v>2</v>
      </c>
      <c r="AH2" t="s">
        <v>9520</v>
      </c>
      <c r="AI2" t="s">
        <v>9519</v>
      </c>
      <c r="AK2" t="s">
        <v>9518</v>
      </c>
      <c r="AL2">
        <v>9</v>
      </c>
      <c r="AM2" s="5">
        <f t="shared" ref="AM2:AM6" si="3">AL2/U2</f>
        <v>0.26470588235294118</v>
      </c>
      <c r="AN2" s="4">
        <f t="shared" ref="AN2:AN65" si="4">(AM2-$AO$4)/($AO$3-$AO$4)</f>
        <v>4.009176559681048E-4</v>
      </c>
      <c r="AO2" s="3"/>
      <c r="AP2">
        <v>0</v>
      </c>
      <c r="AR2" t="s">
        <v>0</v>
      </c>
      <c r="AT2" s="2">
        <v>3.6549999999999998</v>
      </c>
      <c r="AU2" s="1">
        <f t="shared" ref="AU2:AU6" si="5">(Y2*0.7+AN2*0.3)*100</f>
        <v>2.4692497074105506</v>
      </c>
      <c r="AV2" s="1">
        <f t="shared" ref="AV2:AV6" si="6">(Y2*0.5+AN2*0.5)*100</f>
        <v>1.7752045811780537</v>
      </c>
      <c r="AW2" s="1">
        <f t="shared" ref="AW2:AW6" si="7">(Y2*0.3+AN2*0.7)*100</f>
        <v>1.0811594549455561</v>
      </c>
    </row>
    <row r="3" spans="1:49" x14ac:dyDescent="0.2">
      <c r="A3">
        <v>1</v>
      </c>
      <c r="B3" t="s">
        <v>9517</v>
      </c>
      <c r="C3" t="s">
        <v>9516</v>
      </c>
      <c r="D3">
        <v>5272888901144</v>
      </c>
      <c r="F3" t="s">
        <v>9515</v>
      </c>
      <c r="G3" t="s">
        <v>15</v>
      </c>
      <c r="H3" t="s">
        <v>14</v>
      </c>
      <c r="I3" t="s">
        <v>9514</v>
      </c>
      <c r="J3">
        <v>60001359</v>
      </c>
      <c r="K3" t="s">
        <v>9513</v>
      </c>
      <c r="L3" t="s">
        <v>9512</v>
      </c>
      <c r="M3" t="s">
        <v>1011</v>
      </c>
      <c r="N3">
        <v>2</v>
      </c>
      <c r="O3" t="s">
        <v>9511</v>
      </c>
      <c r="P3" t="s">
        <v>9510</v>
      </c>
      <c r="Q3" t="s">
        <v>9509</v>
      </c>
      <c r="R3" s="7">
        <v>32309</v>
      </c>
      <c r="S3" s="8">
        <f t="shared" si="0"/>
        <v>1988</v>
      </c>
      <c r="T3" s="8">
        <v>1988</v>
      </c>
      <c r="U3" s="8">
        <f t="shared" si="1"/>
        <v>34</v>
      </c>
      <c r="V3" s="7">
        <v>32309</v>
      </c>
      <c r="W3" t="s">
        <v>27</v>
      </c>
      <c r="X3" s="2">
        <v>1.59</v>
      </c>
      <c r="Y3" s="6">
        <f t="shared" si="2"/>
        <v>4.2444141907583888E-2</v>
      </c>
      <c r="Z3">
        <v>37.460999999999999</v>
      </c>
      <c r="AA3">
        <v>52728</v>
      </c>
      <c r="AB3">
        <v>16791</v>
      </c>
      <c r="AD3" t="s">
        <v>4</v>
      </c>
      <c r="AE3">
        <v>934</v>
      </c>
      <c r="AF3">
        <v>1</v>
      </c>
      <c r="AH3" t="s">
        <v>9508</v>
      </c>
      <c r="AI3" t="s">
        <v>9507</v>
      </c>
      <c r="AJ3" t="s">
        <v>9506</v>
      </c>
      <c r="AK3" t="s">
        <v>9505</v>
      </c>
      <c r="AL3">
        <v>15</v>
      </c>
      <c r="AM3" s="5">
        <f t="shared" si="3"/>
        <v>0.44117647058823528</v>
      </c>
      <c r="AN3" s="4">
        <f t="shared" si="4"/>
        <v>6.6819609328017462E-4</v>
      </c>
      <c r="AO3" s="3">
        <v>660.25</v>
      </c>
      <c r="AP3">
        <v>0</v>
      </c>
      <c r="AR3" t="s">
        <v>0</v>
      </c>
      <c r="AT3" s="2" t="s">
        <v>19</v>
      </c>
      <c r="AU3" s="1">
        <f t="shared" si="5"/>
        <v>2.9911358163292774</v>
      </c>
      <c r="AV3" s="1">
        <f t="shared" si="6"/>
        <v>2.1556169000432028</v>
      </c>
      <c r="AW3" s="1">
        <f t="shared" si="7"/>
        <v>1.3200979837571287</v>
      </c>
    </row>
    <row r="4" spans="1:49" x14ac:dyDescent="0.2">
      <c r="A4">
        <v>2</v>
      </c>
      <c r="B4" t="s">
        <v>9504</v>
      </c>
      <c r="C4" t="s">
        <v>9503</v>
      </c>
      <c r="D4">
        <v>5272888901168</v>
      </c>
      <c r="F4" t="s">
        <v>9502</v>
      </c>
      <c r="G4" t="s">
        <v>15</v>
      </c>
      <c r="H4" t="s">
        <v>14</v>
      </c>
      <c r="I4" t="s">
        <v>9501</v>
      </c>
      <c r="J4">
        <v>60028586</v>
      </c>
      <c r="K4" t="s">
        <v>9500</v>
      </c>
      <c r="L4" t="s">
        <v>469</v>
      </c>
      <c r="M4" t="s">
        <v>211</v>
      </c>
      <c r="N4">
        <v>2</v>
      </c>
      <c r="O4" t="s">
        <v>9499</v>
      </c>
      <c r="P4" t="s">
        <v>9498</v>
      </c>
      <c r="Q4" t="s">
        <v>9497</v>
      </c>
      <c r="R4" s="7">
        <v>32309</v>
      </c>
      <c r="S4" s="8">
        <f t="shared" si="0"/>
        <v>1988</v>
      </c>
      <c r="T4" s="8">
        <v>1988</v>
      </c>
      <c r="U4" s="8">
        <f t="shared" si="1"/>
        <v>34</v>
      </c>
      <c r="V4" s="7">
        <v>32309</v>
      </c>
      <c r="W4" t="s">
        <v>27</v>
      </c>
      <c r="X4" s="2">
        <v>1.59</v>
      </c>
      <c r="Y4" s="6">
        <f t="shared" si="2"/>
        <v>4.2444141907583888E-2</v>
      </c>
      <c r="Z4">
        <v>0</v>
      </c>
      <c r="AA4">
        <v>52728</v>
      </c>
      <c r="AB4">
        <v>16791</v>
      </c>
      <c r="AD4" t="s">
        <v>4</v>
      </c>
      <c r="AE4">
        <v>934</v>
      </c>
      <c r="AF4">
        <v>1</v>
      </c>
      <c r="AH4" t="s">
        <v>9496</v>
      </c>
      <c r="AI4" t="s">
        <v>9495</v>
      </c>
      <c r="AJ4" t="s">
        <v>9494</v>
      </c>
      <c r="AK4" t="s">
        <v>9493</v>
      </c>
      <c r="AL4">
        <v>27</v>
      </c>
      <c r="AM4" s="5">
        <f t="shared" si="3"/>
        <v>0.79411764705882348</v>
      </c>
      <c r="AN4" s="4">
        <f t="shared" si="4"/>
        <v>1.2027529679043143E-3</v>
      </c>
      <c r="AO4" s="3">
        <v>0</v>
      </c>
      <c r="AP4">
        <v>0</v>
      </c>
      <c r="AR4" t="s">
        <v>0</v>
      </c>
      <c r="AT4" s="2" t="s">
        <v>19</v>
      </c>
      <c r="AU4" s="1">
        <f t="shared" si="5"/>
        <v>3.0071725225680015</v>
      </c>
      <c r="AV4" s="1">
        <f t="shared" si="6"/>
        <v>2.1823447437744101</v>
      </c>
      <c r="AW4" s="1">
        <f t="shared" si="7"/>
        <v>1.3575169649808185</v>
      </c>
    </row>
    <row r="5" spans="1:49" x14ac:dyDescent="0.2">
      <c r="A5">
        <v>3</v>
      </c>
      <c r="B5" t="s">
        <v>9492</v>
      </c>
      <c r="C5" t="s">
        <v>9491</v>
      </c>
      <c r="D5">
        <v>5272888901247</v>
      </c>
      <c r="F5" t="s">
        <v>9490</v>
      </c>
      <c r="G5" t="s">
        <v>15</v>
      </c>
      <c r="H5" t="s">
        <v>14</v>
      </c>
      <c r="I5" t="s">
        <v>9489</v>
      </c>
      <c r="J5">
        <v>60012070</v>
      </c>
      <c r="K5" t="s">
        <v>9488</v>
      </c>
      <c r="L5" t="s">
        <v>9487</v>
      </c>
      <c r="M5" t="s">
        <v>1011</v>
      </c>
      <c r="N5">
        <v>2</v>
      </c>
      <c r="O5" t="s">
        <v>9486</v>
      </c>
      <c r="P5" t="s">
        <v>9485</v>
      </c>
      <c r="Q5" t="s">
        <v>9484</v>
      </c>
      <c r="R5" s="7">
        <v>32309</v>
      </c>
      <c r="S5" s="8">
        <f t="shared" si="0"/>
        <v>1988</v>
      </c>
      <c r="T5" s="8">
        <v>1988</v>
      </c>
      <c r="U5" s="8">
        <f t="shared" si="1"/>
        <v>34</v>
      </c>
      <c r="V5" s="7">
        <v>32309</v>
      </c>
      <c r="W5" t="s">
        <v>27</v>
      </c>
      <c r="X5" s="2">
        <v>1.59</v>
      </c>
      <c r="Y5" s="6">
        <f t="shared" si="2"/>
        <v>4.2444141907583888E-2</v>
      </c>
      <c r="AA5">
        <v>52728</v>
      </c>
      <c r="AB5">
        <v>16791</v>
      </c>
      <c r="AD5" t="s">
        <v>4</v>
      </c>
      <c r="AE5">
        <v>934</v>
      </c>
      <c r="AF5">
        <v>1</v>
      </c>
      <c r="AH5" t="s">
        <v>9483</v>
      </c>
      <c r="AI5" t="s">
        <v>9482</v>
      </c>
      <c r="AJ5" t="s">
        <v>9481</v>
      </c>
      <c r="AK5" t="s">
        <v>9480</v>
      </c>
      <c r="AL5">
        <v>50</v>
      </c>
      <c r="AM5" s="5">
        <f t="shared" si="3"/>
        <v>1.4705882352941178</v>
      </c>
      <c r="AN5" s="4">
        <f t="shared" si="4"/>
        <v>2.2273203109339154E-3</v>
      </c>
      <c r="AO5" s="3"/>
      <c r="AP5">
        <v>0</v>
      </c>
      <c r="AR5" t="s">
        <v>0</v>
      </c>
      <c r="AS5" t="s">
        <v>1733</v>
      </c>
      <c r="AT5" s="2" t="s">
        <v>19</v>
      </c>
      <c r="AU5" s="1">
        <f t="shared" si="5"/>
        <v>3.0379095428588894</v>
      </c>
      <c r="AV5" s="1">
        <f t="shared" si="6"/>
        <v>2.2335731109258901</v>
      </c>
      <c r="AW5" s="1">
        <f t="shared" si="7"/>
        <v>1.4292366789928905</v>
      </c>
    </row>
    <row r="6" spans="1:49" x14ac:dyDescent="0.2">
      <c r="A6">
        <v>4</v>
      </c>
      <c r="B6" t="s">
        <v>9479</v>
      </c>
      <c r="C6" t="s">
        <v>9478</v>
      </c>
      <c r="D6">
        <v>5272888901259</v>
      </c>
      <c r="F6" t="s">
        <v>9477</v>
      </c>
      <c r="G6" t="s">
        <v>15</v>
      </c>
      <c r="H6" t="s">
        <v>14</v>
      </c>
      <c r="I6" t="s">
        <v>9476</v>
      </c>
      <c r="J6">
        <v>60025038</v>
      </c>
      <c r="K6" t="s">
        <v>101</v>
      </c>
      <c r="L6" t="s">
        <v>100</v>
      </c>
      <c r="M6" t="s">
        <v>31</v>
      </c>
      <c r="N6">
        <v>3</v>
      </c>
      <c r="O6" t="s">
        <v>9475</v>
      </c>
      <c r="P6" t="s">
        <v>9474</v>
      </c>
      <c r="Q6" t="s">
        <v>9473</v>
      </c>
      <c r="R6" s="7">
        <v>32309</v>
      </c>
      <c r="S6" s="8">
        <f t="shared" si="0"/>
        <v>1988</v>
      </c>
      <c r="T6" s="8">
        <v>1988</v>
      </c>
      <c r="U6" s="8">
        <f t="shared" si="1"/>
        <v>34</v>
      </c>
      <c r="V6" s="7">
        <v>32309</v>
      </c>
      <c r="W6" t="s">
        <v>27</v>
      </c>
      <c r="X6" s="2">
        <v>1.59</v>
      </c>
      <c r="Y6" s="6">
        <f t="shared" si="2"/>
        <v>4.2444141907583888E-2</v>
      </c>
      <c r="AA6">
        <v>52728</v>
      </c>
      <c r="AB6">
        <v>16791</v>
      </c>
      <c r="AD6" t="s">
        <v>4</v>
      </c>
      <c r="AE6">
        <v>934</v>
      </c>
      <c r="AF6">
        <v>1</v>
      </c>
      <c r="AH6" t="s">
        <v>9472</v>
      </c>
      <c r="AI6" t="s">
        <v>9471</v>
      </c>
      <c r="AJ6" t="s">
        <v>9470</v>
      </c>
      <c r="AK6" t="s">
        <v>9469</v>
      </c>
      <c r="AL6">
        <v>45</v>
      </c>
      <c r="AM6" s="5">
        <f t="shared" si="3"/>
        <v>1.3235294117647058</v>
      </c>
      <c r="AN6" s="4">
        <f t="shared" si="4"/>
        <v>2.0045882798405239E-3</v>
      </c>
      <c r="AO6" s="3"/>
      <c r="AP6">
        <v>0</v>
      </c>
      <c r="AR6" t="s">
        <v>0</v>
      </c>
      <c r="AT6" s="2" t="s">
        <v>19</v>
      </c>
      <c r="AU6" s="1">
        <f t="shared" si="5"/>
        <v>3.0312275819260877</v>
      </c>
      <c r="AV6" s="1">
        <f t="shared" si="6"/>
        <v>2.2224365093712208</v>
      </c>
      <c r="AW6" s="1">
        <f t="shared" si="7"/>
        <v>1.4136454368163531</v>
      </c>
    </row>
    <row r="7" spans="1:49" x14ac:dyDescent="0.2">
      <c r="A7">
        <v>5</v>
      </c>
      <c r="B7" t="s">
        <v>9468</v>
      </c>
      <c r="C7" t="s">
        <v>9467</v>
      </c>
      <c r="D7">
        <v>5272888901302</v>
      </c>
      <c r="F7" t="s">
        <v>9466</v>
      </c>
      <c r="G7" t="s">
        <v>15</v>
      </c>
      <c r="H7" t="s">
        <v>14</v>
      </c>
      <c r="I7" t="s">
        <v>9465</v>
      </c>
      <c r="J7">
        <v>60025038</v>
      </c>
      <c r="K7" t="s">
        <v>101</v>
      </c>
      <c r="L7" t="s">
        <v>100</v>
      </c>
      <c r="M7" t="s">
        <v>31</v>
      </c>
      <c r="N7">
        <v>2</v>
      </c>
      <c r="O7" t="s">
        <v>9464</v>
      </c>
      <c r="P7" t="s">
        <v>9463</v>
      </c>
      <c r="Q7" t="s">
        <v>97</v>
      </c>
      <c r="R7" s="7">
        <v>32309</v>
      </c>
      <c r="S7" s="8">
        <f t="shared" ref="S7:S70" si="8">YEAR(R7)</f>
        <v>1988</v>
      </c>
      <c r="T7" s="8">
        <v>1988</v>
      </c>
      <c r="U7" s="8">
        <f t="shared" ref="U7:U70" si="9">2022-T7</f>
        <v>34</v>
      </c>
      <c r="V7" s="7">
        <v>32309</v>
      </c>
      <c r="W7" t="s">
        <v>27</v>
      </c>
      <c r="X7" s="2">
        <v>1.59</v>
      </c>
      <c r="Y7" s="6">
        <f t="shared" si="2"/>
        <v>4.2444141907583888E-2</v>
      </c>
      <c r="AA7">
        <v>52728</v>
      </c>
      <c r="AB7">
        <v>16791</v>
      </c>
      <c r="AD7" t="s">
        <v>4</v>
      </c>
      <c r="AE7">
        <v>934</v>
      </c>
      <c r="AF7">
        <v>1</v>
      </c>
      <c r="AH7" t="s">
        <v>9462</v>
      </c>
      <c r="AI7" t="s">
        <v>9461</v>
      </c>
      <c r="AJ7" t="s">
        <v>9460</v>
      </c>
      <c r="AK7" t="s">
        <v>9459</v>
      </c>
      <c r="AL7">
        <v>55</v>
      </c>
      <c r="AM7" s="5">
        <f t="shared" ref="AM7:AM70" si="10">AL7/U7</f>
        <v>1.6176470588235294</v>
      </c>
      <c r="AN7" s="4">
        <f t="shared" si="4"/>
        <v>2.450052342027307E-3</v>
      </c>
      <c r="AO7" s="3"/>
      <c r="AP7">
        <v>0</v>
      </c>
      <c r="AR7" t="s">
        <v>0</v>
      </c>
      <c r="AT7" s="2" t="s">
        <v>19</v>
      </c>
      <c r="AU7" s="1">
        <f t="shared" ref="AU7:AU70" si="11">(Y7*0.7+AN7*0.3)*100</f>
        <v>3.0445915037916915</v>
      </c>
      <c r="AV7" s="1">
        <f t="shared" ref="AV7:AV70" si="12">(Y7*0.5+AN7*0.5)*100</f>
        <v>2.2447097124805597</v>
      </c>
      <c r="AW7" s="1">
        <f t="shared" ref="AW7:AW70" si="13">(Y7*0.3+AN7*0.7)*100</f>
        <v>1.4448279211694279</v>
      </c>
    </row>
    <row r="8" spans="1:49" x14ac:dyDescent="0.2">
      <c r="A8">
        <v>6</v>
      </c>
      <c r="B8" t="s">
        <v>9458</v>
      </c>
      <c r="C8" t="s">
        <v>9457</v>
      </c>
      <c r="D8">
        <v>14579388813462</v>
      </c>
      <c r="F8" t="s">
        <v>9456</v>
      </c>
      <c r="G8" t="s">
        <v>15</v>
      </c>
      <c r="H8" t="s">
        <v>14</v>
      </c>
      <c r="I8" t="s">
        <v>9455</v>
      </c>
      <c r="J8" t="s">
        <v>9454</v>
      </c>
      <c r="K8" t="s">
        <v>9453</v>
      </c>
      <c r="L8" t="s">
        <v>9452</v>
      </c>
      <c r="M8" t="s">
        <v>9451</v>
      </c>
      <c r="N8">
        <v>6</v>
      </c>
      <c r="O8" t="s">
        <v>9450</v>
      </c>
      <c r="P8" t="s">
        <v>9449</v>
      </c>
      <c r="Q8" t="s">
        <v>9448</v>
      </c>
      <c r="R8" s="7">
        <v>32300</v>
      </c>
      <c r="S8" s="8">
        <f t="shared" si="8"/>
        <v>1988</v>
      </c>
      <c r="T8" s="8">
        <v>1988</v>
      </c>
      <c r="U8" s="8">
        <f t="shared" si="9"/>
        <v>34</v>
      </c>
      <c r="V8" s="7">
        <v>32300</v>
      </c>
      <c r="W8" t="s">
        <v>8216</v>
      </c>
      <c r="X8" s="2">
        <v>1.593</v>
      </c>
      <c r="Y8" s="6">
        <f t="shared" si="2"/>
        <v>4.2524225194201973E-2</v>
      </c>
      <c r="AA8">
        <v>145793</v>
      </c>
      <c r="AB8">
        <v>17481</v>
      </c>
      <c r="AD8" t="s">
        <v>4</v>
      </c>
      <c r="AE8">
        <v>233</v>
      </c>
      <c r="AF8">
        <v>1</v>
      </c>
      <c r="AH8" s="10">
        <v>42705</v>
      </c>
      <c r="AI8" t="s">
        <v>9447</v>
      </c>
      <c r="AJ8" t="s">
        <v>9446</v>
      </c>
      <c r="AK8" t="s">
        <v>9445</v>
      </c>
      <c r="AL8">
        <v>39</v>
      </c>
      <c r="AM8" s="5">
        <f t="shared" si="10"/>
        <v>1.1470588235294117</v>
      </c>
      <c r="AN8" s="4">
        <f t="shared" si="4"/>
        <v>1.7373098425284539E-3</v>
      </c>
      <c r="AO8" s="3"/>
      <c r="AP8">
        <v>1</v>
      </c>
      <c r="AQ8" t="s">
        <v>855</v>
      </c>
      <c r="AR8" t="s">
        <v>9444</v>
      </c>
      <c r="AS8" t="s">
        <v>854</v>
      </c>
      <c r="AT8" s="2">
        <v>4.1239999999999997</v>
      </c>
      <c r="AU8" s="1">
        <f t="shared" si="11"/>
        <v>3.0288150588699914</v>
      </c>
      <c r="AV8" s="1">
        <f t="shared" si="12"/>
        <v>2.2130767518365215</v>
      </c>
      <c r="AW8" s="1">
        <f t="shared" si="13"/>
        <v>1.3973384448030508</v>
      </c>
    </row>
    <row r="9" spans="1:49" x14ac:dyDescent="0.2">
      <c r="A9">
        <v>7</v>
      </c>
      <c r="B9" t="s">
        <v>9443</v>
      </c>
      <c r="C9" t="s">
        <v>9442</v>
      </c>
      <c r="D9">
        <v>14579388813450</v>
      </c>
      <c r="F9" t="s">
        <v>9441</v>
      </c>
      <c r="G9" t="s">
        <v>15</v>
      </c>
      <c r="H9" t="s">
        <v>14</v>
      </c>
      <c r="I9" t="s">
        <v>9440</v>
      </c>
      <c r="J9">
        <v>60025858</v>
      </c>
      <c r="K9" t="s">
        <v>7651</v>
      </c>
      <c r="L9" t="s">
        <v>7650</v>
      </c>
      <c r="M9" t="s">
        <v>3131</v>
      </c>
      <c r="N9">
        <v>5</v>
      </c>
      <c r="O9" t="s">
        <v>9439</v>
      </c>
      <c r="P9" t="s">
        <v>9438</v>
      </c>
      <c r="Q9" t="s">
        <v>7647</v>
      </c>
      <c r="R9" s="7">
        <v>32300</v>
      </c>
      <c r="S9" s="8">
        <f t="shared" si="8"/>
        <v>1988</v>
      </c>
      <c r="T9" s="8">
        <v>1988</v>
      </c>
      <c r="U9" s="8">
        <f t="shared" si="9"/>
        <v>34</v>
      </c>
      <c r="V9" s="7">
        <v>32300</v>
      </c>
      <c r="W9" t="s">
        <v>8216</v>
      </c>
      <c r="X9" s="2">
        <v>1.593</v>
      </c>
      <c r="Y9" s="6">
        <f t="shared" si="2"/>
        <v>4.2524225194201973E-2</v>
      </c>
      <c r="AA9">
        <v>145793</v>
      </c>
      <c r="AB9">
        <v>17481</v>
      </c>
      <c r="AD9" t="s">
        <v>4</v>
      </c>
      <c r="AE9">
        <v>233</v>
      </c>
      <c r="AF9">
        <v>1</v>
      </c>
      <c r="AH9" s="9">
        <v>44507</v>
      </c>
      <c r="AI9" t="s">
        <v>9437</v>
      </c>
      <c r="AJ9" t="s">
        <v>9436</v>
      </c>
      <c r="AK9" t="s">
        <v>9435</v>
      </c>
      <c r="AL9">
        <v>10</v>
      </c>
      <c r="AM9" s="5">
        <f t="shared" si="10"/>
        <v>0.29411764705882354</v>
      </c>
      <c r="AN9" s="4">
        <f t="shared" si="4"/>
        <v>4.4546406218678308E-4</v>
      </c>
      <c r="AO9" s="3"/>
      <c r="AP9">
        <v>1</v>
      </c>
      <c r="AQ9" t="s">
        <v>2868</v>
      </c>
      <c r="AR9" t="s">
        <v>9434</v>
      </c>
      <c r="AS9" t="s">
        <v>2867</v>
      </c>
      <c r="AT9" s="2">
        <v>4.1239999999999997</v>
      </c>
      <c r="AU9" s="1">
        <f t="shared" si="11"/>
        <v>2.9900596854597414</v>
      </c>
      <c r="AV9" s="1">
        <f t="shared" si="12"/>
        <v>2.1484844628194377</v>
      </c>
      <c r="AW9" s="1">
        <f t="shared" si="13"/>
        <v>1.3069092401791338</v>
      </c>
    </row>
    <row r="10" spans="1:49" x14ac:dyDescent="0.2">
      <c r="A10">
        <v>8</v>
      </c>
      <c r="B10" t="s">
        <v>9433</v>
      </c>
      <c r="C10" t="s">
        <v>9432</v>
      </c>
      <c r="F10" t="s">
        <v>9431</v>
      </c>
      <c r="G10" t="s">
        <v>15</v>
      </c>
      <c r="H10" t="s">
        <v>14</v>
      </c>
      <c r="I10" t="s">
        <v>9430</v>
      </c>
      <c r="J10">
        <v>60030622</v>
      </c>
      <c r="K10" t="s">
        <v>9429</v>
      </c>
      <c r="L10" t="s">
        <v>4694</v>
      </c>
      <c r="M10" t="s">
        <v>300</v>
      </c>
      <c r="N10">
        <v>2</v>
      </c>
      <c r="O10" t="s">
        <v>9428</v>
      </c>
      <c r="P10" t="s">
        <v>9427</v>
      </c>
      <c r="Q10" t="s">
        <v>9426</v>
      </c>
      <c r="R10" s="7">
        <v>32295</v>
      </c>
      <c r="S10" s="8">
        <f t="shared" si="8"/>
        <v>1988</v>
      </c>
      <c r="T10" s="8">
        <v>1988</v>
      </c>
      <c r="U10" s="8">
        <f t="shared" si="9"/>
        <v>34</v>
      </c>
      <c r="V10" s="7">
        <v>32295</v>
      </c>
      <c r="W10" t="s">
        <v>9425</v>
      </c>
      <c r="X10" s="2" t="s">
        <v>19</v>
      </c>
      <c r="Y10" s="6" t="e">
        <f t="shared" si="2"/>
        <v>#VALUE!</v>
      </c>
      <c r="AA10">
        <v>3700097</v>
      </c>
      <c r="AB10">
        <v>19700172002</v>
      </c>
      <c r="AD10" t="s">
        <v>4</v>
      </c>
      <c r="AE10">
        <v>98</v>
      </c>
      <c r="AF10">
        <v>3</v>
      </c>
      <c r="AH10" t="s">
        <v>6092</v>
      </c>
      <c r="AI10" t="s">
        <v>9424</v>
      </c>
      <c r="AJ10" t="s">
        <v>9423</v>
      </c>
      <c r="AK10" t="s">
        <v>9422</v>
      </c>
      <c r="AL10">
        <v>0</v>
      </c>
      <c r="AM10" s="5">
        <f t="shared" si="10"/>
        <v>0</v>
      </c>
      <c r="AN10" s="4">
        <f t="shared" si="4"/>
        <v>0</v>
      </c>
      <c r="AO10" s="3"/>
      <c r="AP10">
        <v>0</v>
      </c>
      <c r="AR10" t="s">
        <v>0</v>
      </c>
      <c r="AT10" s="2" t="s">
        <v>19</v>
      </c>
      <c r="AU10" s="1" t="e">
        <f t="shared" si="11"/>
        <v>#VALUE!</v>
      </c>
      <c r="AV10" s="1" t="e">
        <f t="shared" si="12"/>
        <v>#VALUE!</v>
      </c>
      <c r="AW10" s="1" t="e">
        <f t="shared" si="13"/>
        <v>#VALUE!</v>
      </c>
    </row>
    <row r="11" spans="1:49" x14ac:dyDescent="0.2">
      <c r="A11">
        <v>9</v>
      </c>
      <c r="B11" t="s">
        <v>9421</v>
      </c>
      <c r="F11" t="s">
        <v>9420</v>
      </c>
      <c r="G11" t="s">
        <v>15</v>
      </c>
      <c r="H11" t="s">
        <v>14</v>
      </c>
      <c r="I11" t="s">
        <v>9419</v>
      </c>
      <c r="J11">
        <v>60007951</v>
      </c>
      <c r="K11" t="s">
        <v>9418</v>
      </c>
      <c r="L11" t="s">
        <v>9417</v>
      </c>
      <c r="M11" t="s">
        <v>211</v>
      </c>
      <c r="N11">
        <v>2</v>
      </c>
      <c r="O11" t="s">
        <v>9416</v>
      </c>
      <c r="P11" t="s">
        <v>9415</v>
      </c>
      <c r="Q11" t="s">
        <v>9414</v>
      </c>
      <c r="R11" s="7">
        <v>32295</v>
      </c>
      <c r="S11" s="8">
        <f t="shared" si="8"/>
        <v>1988</v>
      </c>
      <c r="T11" s="8">
        <v>1988</v>
      </c>
      <c r="U11" s="8">
        <f t="shared" si="9"/>
        <v>34</v>
      </c>
      <c r="V11" s="7">
        <v>32295</v>
      </c>
      <c r="W11" t="s">
        <v>9413</v>
      </c>
      <c r="X11" s="2">
        <v>0.161</v>
      </c>
      <c r="Y11" s="6">
        <f t="shared" si="2"/>
        <v>4.2978030485037776E-3</v>
      </c>
      <c r="AA11">
        <v>162523</v>
      </c>
      <c r="AB11">
        <v>16740</v>
      </c>
      <c r="AD11" t="s">
        <v>4</v>
      </c>
      <c r="AE11">
        <v>24</v>
      </c>
      <c r="AF11">
        <v>2</v>
      </c>
      <c r="AH11" t="s">
        <v>6199</v>
      </c>
      <c r="AI11" t="s">
        <v>9412</v>
      </c>
      <c r="AK11" t="s">
        <v>9411</v>
      </c>
      <c r="AL11">
        <v>0</v>
      </c>
      <c r="AM11" s="5">
        <f t="shared" si="10"/>
        <v>0</v>
      </c>
      <c r="AN11" s="4">
        <f t="shared" si="4"/>
        <v>0</v>
      </c>
      <c r="AO11" s="3"/>
      <c r="AP11">
        <v>0</v>
      </c>
      <c r="AR11" t="s">
        <v>0</v>
      </c>
      <c r="AT11" s="2" t="s">
        <v>19</v>
      </c>
      <c r="AU11" s="1">
        <f t="shared" si="11"/>
        <v>0.30084621339526441</v>
      </c>
      <c r="AV11" s="1">
        <f t="shared" si="12"/>
        <v>0.21489015242518889</v>
      </c>
      <c r="AW11" s="1">
        <f t="shared" si="13"/>
        <v>0.12893409145511334</v>
      </c>
    </row>
    <row r="12" spans="1:49" x14ac:dyDescent="0.2">
      <c r="A12">
        <v>10</v>
      </c>
      <c r="B12" t="s">
        <v>9410</v>
      </c>
      <c r="F12" t="s">
        <v>9409</v>
      </c>
      <c r="G12" t="s">
        <v>15</v>
      </c>
      <c r="H12" t="s">
        <v>14</v>
      </c>
      <c r="I12" t="s">
        <v>9408</v>
      </c>
      <c r="J12">
        <v>60015272</v>
      </c>
      <c r="K12" t="s">
        <v>6408</v>
      </c>
      <c r="L12" t="s">
        <v>6407</v>
      </c>
      <c r="M12" t="s">
        <v>31</v>
      </c>
      <c r="N12">
        <v>2</v>
      </c>
      <c r="O12" t="s">
        <v>9407</v>
      </c>
      <c r="P12" t="s">
        <v>9406</v>
      </c>
      <c r="Q12" t="s">
        <v>6404</v>
      </c>
      <c r="R12" s="7">
        <v>32295</v>
      </c>
      <c r="S12" s="8">
        <f t="shared" si="8"/>
        <v>1988</v>
      </c>
      <c r="T12" s="8">
        <v>1988</v>
      </c>
      <c r="U12" s="8">
        <f t="shared" si="9"/>
        <v>34</v>
      </c>
      <c r="V12" s="7">
        <v>32295</v>
      </c>
      <c r="W12" t="s">
        <v>8281</v>
      </c>
      <c r="X12" s="2" t="s">
        <v>19</v>
      </c>
      <c r="Y12" s="6" t="e">
        <f t="shared" si="2"/>
        <v>#VALUE!</v>
      </c>
      <c r="AA12">
        <v>262897</v>
      </c>
      <c r="AB12">
        <v>18580</v>
      </c>
      <c r="AD12" t="s">
        <v>4</v>
      </c>
      <c r="AE12">
        <v>31</v>
      </c>
      <c r="AF12">
        <v>6</v>
      </c>
      <c r="AI12" t="s">
        <v>9405</v>
      </c>
      <c r="AK12" t="s">
        <v>9404</v>
      </c>
      <c r="AL12">
        <v>26</v>
      </c>
      <c r="AM12" s="5">
        <f t="shared" si="10"/>
        <v>0.76470588235294112</v>
      </c>
      <c r="AN12" s="4">
        <f t="shared" si="4"/>
        <v>1.1582065616856359E-3</v>
      </c>
      <c r="AO12" s="3"/>
      <c r="AP12">
        <v>0</v>
      </c>
      <c r="AR12" t="s">
        <v>0</v>
      </c>
      <c r="AT12" s="2">
        <v>0.30599999999999999</v>
      </c>
      <c r="AU12" s="1" t="e">
        <f t="shared" si="11"/>
        <v>#VALUE!</v>
      </c>
      <c r="AV12" s="1" t="e">
        <f t="shared" si="12"/>
        <v>#VALUE!</v>
      </c>
      <c r="AW12" s="1" t="e">
        <f t="shared" si="13"/>
        <v>#VALUE!</v>
      </c>
    </row>
    <row r="13" spans="1:49" x14ac:dyDescent="0.2">
      <c r="A13">
        <v>11</v>
      </c>
      <c r="B13" t="s">
        <v>9403</v>
      </c>
      <c r="F13" t="s">
        <v>9402</v>
      </c>
      <c r="G13" t="s">
        <v>15</v>
      </c>
      <c r="H13" t="s">
        <v>14</v>
      </c>
      <c r="I13" t="s">
        <v>9401</v>
      </c>
      <c r="J13">
        <v>100311364</v>
      </c>
      <c r="K13" t="s">
        <v>9400</v>
      </c>
      <c r="L13" t="s">
        <v>2892</v>
      </c>
      <c r="M13" t="s">
        <v>31</v>
      </c>
      <c r="N13">
        <v>1</v>
      </c>
      <c r="O13" t="s">
        <v>9399</v>
      </c>
      <c r="P13">
        <v>7402975902</v>
      </c>
      <c r="Q13">
        <v>100311364</v>
      </c>
      <c r="R13" s="7">
        <v>32295</v>
      </c>
      <c r="S13" s="8">
        <f t="shared" si="8"/>
        <v>1988</v>
      </c>
      <c r="T13" s="8">
        <v>1988</v>
      </c>
      <c r="U13" s="8">
        <f t="shared" si="9"/>
        <v>34</v>
      </c>
      <c r="V13" s="7">
        <v>32295</v>
      </c>
      <c r="W13" t="s">
        <v>9398</v>
      </c>
      <c r="X13" s="2" t="s">
        <v>19</v>
      </c>
      <c r="Y13" s="6" t="e">
        <f t="shared" si="2"/>
        <v>#VALUE!</v>
      </c>
      <c r="AA13">
        <v>255319</v>
      </c>
      <c r="AB13">
        <v>36781</v>
      </c>
      <c r="AD13" t="s">
        <v>4</v>
      </c>
      <c r="AE13">
        <v>105</v>
      </c>
      <c r="AF13">
        <v>6</v>
      </c>
      <c r="AH13" t="s">
        <v>8444</v>
      </c>
      <c r="AI13" t="s">
        <v>9397</v>
      </c>
      <c r="AK13" t="s">
        <v>9396</v>
      </c>
      <c r="AL13">
        <v>7</v>
      </c>
      <c r="AM13" s="5">
        <f t="shared" si="10"/>
        <v>0.20588235294117646</v>
      </c>
      <c r="AN13" s="4">
        <f t="shared" si="4"/>
        <v>3.1182484353074817E-4</v>
      </c>
      <c r="AO13" s="3"/>
      <c r="AP13">
        <v>0</v>
      </c>
      <c r="AR13" t="s">
        <v>0</v>
      </c>
      <c r="AT13" s="2" t="s">
        <v>19</v>
      </c>
      <c r="AU13" s="1" t="e">
        <f t="shared" si="11"/>
        <v>#VALUE!</v>
      </c>
      <c r="AV13" s="1" t="e">
        <f t="shared" si="12"/>
        <v>#VALUE!</v>
      </c>
      <c r="AW13" s="1" t="e">
        <f t="shared" si="13"/>
        <v>#VALUE!</v>
      </c>
    </row>
    <row r="14" spans="1:49" x14ac:dyDescent="0.2">
      <c r="A14">
        <v>12</v>
      </c>
      <c r="B14" t="s">
        <v>9395</v>
      </c>
      <c r="F14" t="s">
        <v>9394</v>
      </c>
      <c r="G14" t="s">
        <v>15</v>
      </c>
      <c r="H14" t="s">
        <v>14</v>
      </c>
      <c r="I14" t="s">
        <v>9393</v>
      </c>
      <c r="J14">
        <v>60005304</v>
      </c>
      <c r="K14" t="s">
        <v>72</v>
      </c>
      <c r="L14" t="s">
        <v>71</v>
      </c>
      <c r="M14" t="s">
        <v>31</v>
      </c>
      <c r="N14">
        <v>1</v>
      </c>
      <c r="O14" t="s">
        <v>9392</v>
      </c>
      <c r="P14">
        <v>57198272421</v>
      </c>
      <c r="Q14">
        <v>60005304</v>
      </c>
      <c r="R14" s="7">
        <v>32295</v>
      </c>
      <c r="S14" s="8">
        <f t="shared" si="8"/>
        <v>1988</v>
      </c>
      <c r="T14" s="8">
        <v>1988</v>
      </c>
      <c r="U14" s="8">
        <f t="shared" si="9"/>
        <v>34</v>
      </c>
      <c r="V14" s="7">
        <v>32295</v>
      </c>
      <c r="W14" t="s">
        <v>8281</v>
      </c>
      <c r="X14" s="2" t="s">
        <v>19</v>
      </c>
      <c r="Y14" s="6" t="e">
        <f t="shared" si="2"/>
        <v>#VALUE!</v>
      </c>
      <c r="AA14">
        <v>262897</v>
      </c>
      <c r="AB14">
        <v>18580</v>
      </c>
      <c r="AD14" t="s">
        <v>4</v>
      </c>
      <c r="AE14">
        <v>31</v>
      </c>
      <c r="AF14">
        <v>6</v>
      </c>
      <c r="AI14" t="s">
        <v>9391</v>
      </c>
      <c r="AK14" t="s">
        <v>9390</v>
      </c>
      <c r="AL14">
        <v>4</v>
      </c>
      <c r="AM14" s="5">
        <f t="shared" si="10"/>
        <v>0.11764705882352941</v>
      </c>
      <c r="AN14" s="4">
        <f t="shared" si="4"/>
        <v>1.7818562487471323E-4</v>
      </c>
      <c r="AO14" s="3"/>
      <c r="AP14">
        <v>0</v>
      </c>
      <c r="AR14" t="s">
        <v>0</v>
      </c>
      <c r="AT14" s="2">
        <v>0.30599999999999999</v>
      </c>
      <c r="AU14" s="1" t="e">
        <f t="shared" si="11"/>
        <v>#VALUE!</v>
      </c>
      <c r="AV14" s="1" t="e">
        <f t="shared" si="12"/>
        <v>#VALUE!</v>
      </c>
      <c r="AW14" s="1" t="e">
        <f t="shared" si="13"/>
        <v>#VALUE!</v>
      </c>
    </row>
    <row r="15" spans="1:49" x14ac:dyDescent="0.2">
      <c r="A15">
        <v>13</v>
      </c>
      <c r="B15" t="s">
        <v>9389</v>
      </c>
      <c r="F15" t="s">
        <v>9388</v>
      </c>
      <c r="G15" t="s">
        <v>15</v>
      </c>
      <c r="H15" t="s">
        <v>14</v>
      </c>
      <c r="I15" t="s">
        <v>9387</v>
      </c>
      <c r="J15">
        <v>60013620</v>
      </c>
      <c r="K15" t="s">
        <v>9386</v>
      </c>
      <c r="L15" t="s">
        <v>9385</v>
      </c>
      <c r="M15" t="s">
        <v>31</v>
      </c>
      <c r="N15">
        <v>1</v>
      </c>
      <c r="O15" t="s">
        <v>9384</v>
      </c>
      <c r="P15">
        <v>7005137443</v>
      </c>
      <c r="Q15">
        <v>60013620</v>
      </c>
      <c r="R15" s="7">
        <v>32295</v>
      </c>
      <c r="S15" s="8">
        <f t="shared" si="8"/>
        <v>1988</v>
      </c>
      <c r="T15" s="8">
        <v>1988</v>
      </c>
      <c r="U15" s="8">
        <f t="shared" si="9"/>
        <v>34</v>
      </c>
      <c r="V15" s="7">
        <v>32295</v>
      </c>
      <c r="W15" t="s">
        <v>9383</v>
      </c>
      <c r="X15" s="2" t="s">
        <v>19</v>
      </c>
      <c r="Y15" s="6" t="e">
        <f t="shared" si="2"/>
        <v>#VALUE!</v>
      </c>
      <c r="AA15">
        <v>119407</v>
      </c>
      <c r="AB15">
        <v>16022</v>
      </c>
      <c r="AD15" t="s">
        <v>4</v>
      </c>
      <c r="AE15">
        <v>44</v>
      </c>
      <c r="AF15">
        <v>11</v>
      </c>
      <c r="AH15" t="s">
        <v>9382</v>
      </c>
      <c r="AI15" t="s">
        <v>9381</v>
      </c>
      <c r="AK15" t="s">
        <v>9380</v>
      </c>
      <c r="AL15">
        <v>0</v>
      </c>
      <c r="AM15" s="5">
        <f t="shared" si="10"/>
        <v>0</v>
      </c>
      <c r="AN15" s="4">
        <f t="shared" si="4"/>
        <v>0</v>
      </c>
      <c r="AO15" s="3"/>
      <c r="AP15">
        <v>0</v>
      </c>
      <c r="AR15" t="s">
        <v>0</v>
      </c>
      <c r="AT15" s="2" t="s">
        <v>19</v>
      </c>
      <c r="AU15" s="1" t="e">
        <f t="shared" si="11"/>
        <v>#VALUE!</v>
      </c>
      <c r="AV15" s="1" t="e">
        <f t="shared" si="12"/>
        <v>#VALUE!</v>
      </c>
      <c r="AW15" s="1" t="e">
        <f t="shared" si="13"/>
        <v>#VALUE!</v>
      </c>
    </row>
    <row r="16" spans="1:49" x14ac:dyDescent="0.2">
      <c r="A16">
        <v>14</v>
      </c>
      <c r="B16" t="s">
        <v>9379</v>
      </c>
      <c r="F16" t="s">
        <v>9378</v>
      </c>
      <c r="G16" t="s">
        <v>15</v>
      </c>
      <c r="H16" t="s">
        <v>14</v>
      </c>
      <c r="I16" t="s">
        <v>9377</v>
      </c>
      <c r="J16">
        <v>60017293</v>
      </c>
      <c r="K16" t="s">
        <v>6262</v>
      </c>
      <c r="L16" t="s">
        <v>6261</v>
      </c>
      <c r="M16" t="s">
        <v>1725</v>
      </c>
      <c r="N16">
        <v>2</v>
      </c>
      <c r="O16" t="s">
        <v>9376</v>
      </c>
      <c r="P16" t="s">
        <v>9375</v>
      </c>
      <c r="Q16" t="s">
        <v>9374</v>
      </c>
      <c r="R16" s="7">
        <v>32295</v>
      </c>
      <c r="S16" s="8">
        <f t="shared" si="8"/>
        <v>1988</v>
      </c>
      <c r="T16" s="8">
        <v>1988</v>
      </c>
      <c r="U16" s="8">
        <f t="shared" si="9"/>
        <v>34</v>
      </c>
      <c r="V16" s="7">
        <v>32295</v>
      </c>
      <c r="W16" t="s">
        <v>8281</v>
      </c>
      <c r="X16" s="2" t="s">
        <v>19</v>
      </c>
      <c r="Y16" s="6" t="e">
        <f t="shared" si="2"/>
        <v>#VALUE!</v>
      </c>
      <c r="AA16">
        <v>262897</v>
      </c>
      <c r="AB16">
        <v>18580</v>
      </c>
      <c r="AD16" t="s">
        <v>4</v>
      </c>
      <c r="AE16">
        <v>31</v>
      </c>
      <c r="AF16">
        <v>6</v>
      </c>
      <c r="AI16" t="s">
        <v>9373</v>
      </c>
      <c r="AK16" t="s">
        <v>9372</v>
      </c>
      <c r="AL16">
        <v>0</v>
      </c>
      <c r="AM16" s="5">
        <f t="shared" si="10"/>
        <v>0</v>
      </c>
      <c r="AN16" s="4">
        <f t="shared" si="4"/>
        <v>0</v>
      </c>
      <c r="AO16" s="3"/>
      <c r="AP16">
        <v>0</v>
      </c>
      <c r="AR16" t="s">
        <v>9371</v>
      </c>
      <c r="AT16" s="2">
        <v>0.30599999999999999</v>
      </c>
      <c r="AU16" s="1" t="e">
        <f t="shared" si="11"/>
        <v>#VALUE!</v>
      </c>
      <c r="AV16" s="1" t="e">
        <f t="shared" si="12"/>
        <v>#VALUE!</v>
      </c>
      <c r="AW16" s="1" t="e">
        <f t="shared" si="13"/>
        <v>#VALUE!</v>
      </c>
    </row>
    <row r="17" spans="1:49" x14ac:dyDescent="0.2">
      <c r="A17">
        <v>15</v>
      </c>
      <c r="B17" t="s">
        <v>9370</v>
      </c>
      <c r="F17" t="s">
        <v>9369</v>
      </c>
      <c r="G17" t="s">
        <v>15</v>
      </c>
      <c r="H17" t="s">
        <v>14</v>
      </c>
      <c r="I17" t="s">
        <v>9368</v>
      </c>
      <c r="J17">
        <v>101095415</v>
      </c>
      <c r="K17" t="s">
        <v>9367</v>
      </c>
      <c r="L17" t="s">
        <v>9366</v>
      </c>
      <c r="M17" t="s">
        <v>31</v>
      </c>
      <c r="N17">
        <v>2</v>
      </c>
      <c r="O17" t="s">
        <v>9365</v>
      </c>
      <c r="P17" t="s">
        <v>9364</v>
      </c>
      <c r="Q17" t="s">
        <v>9363</v>
      </c>
      <c r="R17" s="7">
        <v>32295</v>
      </c>
      <c r="S17" s="8">
        <f t="shared" si="8"/>
        <v>1988</v>
      </c>
      <c r="T17" s="8">
        <v>1988</v>
      </c>
      <c r="U17" s="8">
        <f t="shared" si="9"/>
        <v>34</v>
      </c>
      <c r="V17" s="7">
        <v>32295</v>
      </c>
      <c r="W17" t="s">
        <v>8281</v>
      </c>
      <c r="X17" s="2" t="s">
        <v>19</v>
      </c>
      <c r="Y17" s="6" t="e">
        <f t="shared" si="2"/>
        <v>#VALUE!</v>
      </c>
      <c r="AA17">
        <v>262897</v>
      </c>
      <c r="AB17">
        <v>18580</v>
      </c>
      <c r="AD17" t="s">
        <v>4</v>
      </c>
      <c r="AE17">
        <v>31</v>
      </c>
      <c r="AF17">
        <v>6</v>
      </c>
      <c r="AI17" t="s">
        <v>9362</v>
      </c>
      <c r="AK17" t="s">
        <v>9361</v>
      </c>
      <c r="AL17">
        <v>8</v>
      </c>
      <c r="AM17" s="5">
        <f t="shared" si="10"/>
        <v>0.23529411764705882</v>
      </c>
      <c r="AN17" s="4">
        <f t="shared" si="4"/>
        <v>3.5637124974942646E-4</v>
      </c>
      <c r="AO17" s="3"/>
      <c r="AP17">
        <v>0</v>
      </c>
      <c r="AR17" t="s">
        <v>0</v>
      </c>
      <c r="AT17" s="2">
        <v>0.30599999999999999</v>
      </c>
      <c r="AU17" s="1" t="e">
        <f t="shared" si="11"/>
        <v>#VALUE!</v>
      </c>
      <c r="AV17" s="1" t="e">
        <f t="shared" si="12"/>
        <v>#VALUE!</v>
      </c>
      <c r="AW17" s="1" t="e">
        <f t="shared" si="13"/>
        <v>#VALUE!</v>
      </c>
    </row>
    <row r="18" spans="1:49" x14ac:dyDescent="0.2">
      <c r="A18">
        <v>16</v>
      </c>
      <c r="B18" t="s">
        <v>9360</v>
      </c>
      <c r="F18" t="s">
        <v>9359</v>
      </c>
      <c r="G18" t="s">
        <v>15</v>
      </c>
      <c r="H18" t="s">
        <v>14</v>
      </c>
      <c r="I18" t="s">
        <v>9358</v>
      </c>
      <c r="J18">
        <v>101047617</v>
      </c>
      <c r="K18" t="s">
        <v>9357</v>
      </c>
      <c r="L18" t="s">
        <v>9356</v>
      </c>
      <c r="M18" t="s">
        <v>31</v>
      </c>
      <c r="N18">
        <v>2</v>
      </c>
      <c r="O18" t="s">
        <v>9355</v>
      </c>
      <c r="P18" t="s">
        <v>9354</v>
      </c>
      <c r="Q18" t="s">
        <v>9353</v>
      </c>
      <c r="R18" s="7">
        <v>32295</v>
      </c>
      <c r="S18" s="8">
        <f t="shared" si="8"/>
        <v>1988</v>
      </c>
      <c r="T18" s="8">
        <v>1988</v>
      </c>
      <c r="U18" s="8">
        <f t="shared" si="9"/>
        <v>34</v>
      </c>
      <c r="V18" s="7">
        <v>32295</v>
      </c>
      <c r="W18" t="s">
        <v>8281</v>
      </c>
      <c r="X18" s="2" t="s">
        <v>19</v>
      </c>
      <c r="Y18" s="6" t="e">
        <f t="shared" si="2"/>
        <v>#VALUE!</v>
      </c>
      <c r="AA18">
        <v>262897</v>
      </c>
      <c r="AB18">
        <v>18580</v>
      </c>
      <c r="AD18" t="s">
        <v>4</v>
      </c>
      <c r="AE18">
        <v>31</v>
      </c>
      <c r="AF18">
        <v>6</v>
      </c>
      <c r="AI18" t="s">
        <v>9352</v>
      </c>
      <c r="AK18" t="s">
        <v>9351</v>
      </c>
      <c r="AL18">
        <v>4</v>
      </c>
      <c r="AM18" s="5">
        <f t="shared" si="10"/>
        <v>0.11764705882352941</v>
      </c>
      <c r="AN18" s="4">
        <f t="shared" si="4"/>
        <v>1.7818562487471323E-4</v>
      </c>
      <c r="AO18" s="3"/>
      <c r="AP18">
        <v>0</v>
      </c>
      <c r="AR18" t="s">
        <v>0</v>
      </c>
      <c r="AT18" s="2">
        <v>0.30599999999999999</v>
      </c>
      <c r="AU18" s="1" t="e">
        <f t="shared" si="11"/>
        <v>#VALUE!</v>
      </c>
      <c r="AV18" s="1" t="e">
        <f t="shared" si="12"/>
        <v>#VALUE!</v>
      </c>
      <c r="AW18" s="1" t="e">
        <f t="shared" si="13"/>
        <v>#VALUE!</v>
      </c>
    </row>
    <row r="19" spans="1:49" x14ac:dyDescent="0.2">
      <c r="A19">
        <v>17</v>
      </c>
      <c r="B19" t="s">
        <v>9350</v>
      </c>
      <c r="F19" t="s">
        <v>9349</v>
      </c>
      <c r="G19" t="s">
        <v>15</v>
      </c>
      <c r="H19" t="s">
        <v>14</v>
      </c>
      <c r="I19" t="s">
        <v>9348</v>
      </c>
      <c r="J19">
        <v>60018714</v>
      </c>
      <c r="K19" t="s">
        <v>4665</v>
      </c>
      <c r="L19" t="s">
        <v>794</v>
      </c>
      <c r="M19" t="s">
        <v>481</v>
      </c>
      <c r="N19">
        <v>3</v>
      </c>
      <c r="O19" t="s">
        <v>9347</v>
      </c>
      <c r="P19" t="s">
        <v>9346</v>
      </c>
      <c r="Q19" t="s">
        <v>9345</v>
      </c>
      <c r="R19" s="7">
        <v>32295</v>
      </c>
      <c r="S19" s="8">
        <f t="shared" si="8"/>
        <v>1988</v>
      </c>
      <c r="T19" s="8">
        <v>1988</v>
      </c>
      <c r="U19" s="8">
        <f t="shared" si="9"/>
        <v>34</v>
      </c>
      <c r="V19" s="7">
        <v>32295</v>
      </c>
      <c r="W19" t="s">
        <v>9344</v>
      </c>
      <c r="X19" s="2" t="s">
        <v>19</v>
      </c>
      <c r="Y19" s="6" t="e">
        <f t="shared" si="2"/>
        <v>#VALUE!</v>
      </c>
      <c r="AA19">
        <v>82821</v>
      </c>
      <c r="AB19">
        <v>13808</v>
      </c>
      <c r="AD19" t="s">
        <v>4</v>
      </c>
      <c r="AE19">
        <v>34</v>
      </c>
      <c r="AF19">
        <v>2</v>
      </c>
      <c r="AH19" t="s">
        <v>9343</v>
      </c>
      <c r="AI19" t="s">
        <v>9342</v>
      </c>
      <c r="AK19" t="s">
        <v>9341</v>
      </c>
      <c r="AL19">
        <v>2</v>
      </c>
      <c r="AM19" s="5">
        <f t="shared" si="10"/>
        <v>5.8823529411764705E-2</v>
      </c>
      <c r="AN19" s="4">
        <f t="shared" si="4"/>
        <v>8.9092812437356614E-5</v>
      </c>
      <c r="AO19" s="3"/>
      <c r="AP19">
        <v>0</v>
      </c>
      <c r="AR19" t="s">
        <v>0</v>
      </c>
      <c r="AT19" s="2" t="s">
        <v>19</v>
      </c>
      <c r="AU19" s="1" t="e">
        <f t="shared" si="11"/>
        <v>#VALUE!</v>
      </c>
      <c r="AV19" s="1" t="e">
        <f t="shared" si="12"/>
        <v>#VALUE!</v>
      </c>
      <c r="AW19" s="1" t="e">
        <f t="shared" si="13"/>
        <v>#VALUE!</v>
      </c>
    </row>
    <row r="20" spans="1:49" x14ac:dyDescent="0.2">
      <c r="A20">
        <v>18</v>
      </c>
      <c r="B20" t="s">
        <v>9340</v>
      </c>
      <c r="F20" t="s">
        <v>9339</v>
      </c>
      <c r="G20" t="s">
        <v>15</v>
      </c>
      <c r="H20" t="s">
        <v>14</v>
      </c>
      <c r="I20" t="s">
        <v>9338</v>
      </c>
      <c r="N20">
        <v>2</v>
      </c>
      <c r="O20" t="s">
        <v>9337</v>
      </c>
      <c r="P20" t="s">
        <v>9336</v>
      </c>
      <c r="Q20" t="s">
        <v>501</v>
      </c>
      <c r="R20" s="7">
        <v>32295</v>
      </c>
      <c r="S20" s="8">
        <f t="shared" si="8"/>
        <v>1988</v>
      </c>
      <c r="T20" s="8">
        <v>1988</v>
      </c>
      <c r="U20" s="8">
        <f t="shared" si="9"/>
        <v>34</v>
      </c>
      <c r="V20" s="7">
        <v>32295</v>
      </c>
      <c r="W20" t="s">
        <v>9335</v>
      </c>
      <c r="X20" s="2" t="s">
        <v>19</v>
      </c>
      <c r="Y20" s="6" t="e">
        <f t="shared" si="2"/>
        <v>#VALUE!</v>
      </c>
      <c r="AA20" t="s">
        <v>9334</v>
      </c>
      <c r="AB20">
        <v>35968</v>
      </c>
      <c r="AD20" t="s">
        <v>4</v>
      </c>
      <c r="AE20">
        <v>55</v>
      </c>
      <c r="AF20">
        <v>6</v>
      </c>
      <c r="AH20" t="s">
        <v>9333</v>
      </c>
      <c r="AI20" t="s">
        <v>9332</v>
      </c>
      <c r="AK20" t="s">
        <v>9331</v>
      </c>
      <c r="AL20">
        <v>0</v>
      </c>
      <c r="AM20" s="5">
        <f t="shared" si="10"/>
        <v>0</v>
      </c>
      <c r="AN20" s="4">
        <f t="shared" si="4"/>
        <v>0</v>
      </c>
      <c r="AO20" s="3"/>
      <c r="AP20">
        <v>0</v>
      </c>
      <c r="AR20" t="s">
        <v>0</v>
      </c>
      <c r="AT20" s="2" t="s">
        <v>19</v>
      </c>
      <c r="AU20" s="1" t="e">
        <f t="shared" si="11"/>
        <v>#VALUE!</v>
      </c>
      <c r="AV20" s="1" t="e">
        <f t="shared" si="12"/>
        <v>#VALUE!</v>
      </c>
      <c r="AW20" s="1" t="e">
        <f t="shared" si="13"/>
        <v>#VALUE!</v>
      </c>
    </row>
    <row r="21" spans="1:49" x14ac:dyDescent="0.2">
      <c r="A21">
        <v>19</v>
      </c>
      <c r="B21" t="s">
        <v>9330</v>
      </c>
      <c r="F21" t="s">
        <v>9329</v>
      </c>
      <c r="G21" t="s">
        <v>15</v>
      </c>
      <c r="H21" t="s">
        <v>14</v>
      </c>
      <c r="I21" t="s">
        <v>9328</v>
      </c>
      <c r="N21">
        <v>1</v>
      </c>
      <c r="O21" t="s">
        <v>9327</v>
      </c>
      <c r="P21">
        <v>57192441006</v>
      </c>
      <c r="R21" s="7">
        <v>32295</v>
      </c>
      <c r="S21" s="8">
        <f t="shared" si="8"/>
        <v>1988</v>
      </c>
      <c r="T21" s="8">
        <v>1988</v>
      </c>
      <c r="U21" s="8">
        <f t="shared" si="9"/>
        <v>34</v>
      </c>
      <c r="V21" s="7">
        <v>32295</v>
      </c>
      <c r="W21" t="s">
        <v>950</v>
      </c>
      <c r="X21" s="2">
        <v>0.14099999999999999</v>
      </c>
      <c r="Y21" s="6">
        <f t="shared" si="2"/>
        <v>3.7639144710498915E-3</v>
      </c>
      <c r="AA21">
        <v>402508</v>
      </c>
      <c r="AB21">
        <v>20868</v>
      </c>
      <c r="AD21" t="s">
        <v>4</v>
      </c>
      <c r="AE21">
        <v>43</v>
      </c>
      <c r="AF21">
        <v>6</v>
      </c>
      <c r="AH21" s="10">
        <v>43435</v>
      </c>
      <c r="AI21" t="s">
        <v>9326</v>
      </c>
      <c r="AK21" t="s">
        <v>9325</v>
      </c>
      <c r="AL21">
        <v>0</v>
      </c>
      <c r="AM21" s="5">
        <f t="shared" si="10"/>
        <v>0</v>
      </c>
      <c r="AN21" s="4">
        <f t="shared" si="4"/>
        <v>0</v>
      </c>
      <c r="AO21" s="3"/>
      <c r="AP21">
        <v>0</v>
      </c>
      <c r="AR21" t="s">
        <v>0</v>
      </c>
      <c r="AT21" s="2" t="s">
        <v>19</v>
      </c>
      <c r="AU21" s="1">
        <f t="shared" si="11"/>
        <v>0.26347401297349238</v>
      </c>
      <c r="AV21" s="1">
        <f t="shared" si="12"/>
        <v>0.18819572355249459</v>
      </c>
      <c r="AW21" s="1">
        <f t="shared" si="13"/>
        <v>0.11291743413149673</v>
      </c>
    </row>
    <row r="22" spans="1:49" x14ac:dyDescent="0.2">
      <c r="A22">
        <v>20</v>
      </c>
      <c r="B22" t="s">
        <v>9324</v>
      </c>
      <c r="F22" t="s">
        <v>9323</v>
      </c>
      <c r="G22" t="s">
        <v>15</v>
      </c>
      <c r="H22" t="s">
        <v>14</v>
      </c>
      <c r="I22" t="s">
        <v>9322</v>
      </c>
      <c r="N22">
        <v>1</v>
      </c>
      <c r="O22" t="s">
        <v>9321</v>
      </c>
      <c r="P22">
        <v>6506579418</v>
      </c>
      <c r="R22" s="7">
        <v>32295</v>
      </c>
      <c r="S22" s="8">
        <f t="shared" si="8"/>
        <v>1988</v>
      </c>
      <c r="T22" s="8">
        <v>1988</v>
      </c>
      <c r="U22" s="8">
        <f t="shared" si="9"/>
        <v>34</v>
      </c>
      <c r="V22" s="7">
        <v>32295</v>
      </c>
      <c r="W22" t="s">
        <v>950</v>
      </c>
      <c r="X22" s="2">
        <v>0.14099999999999999</v>
      </c>
      <c r="Y22" s="6">
        <f t="shared" si="2"/>
        <v>3.7639144710498915E-3</v>
      </c>
      <c r="AA22">
        <v>402508</v>
      </c>
      <c r="AB22">
        <v>20868</v>
      </c>
      <c r="AD22" t="s">
        <v>4</v>
      </c>
      <c r="AE22">
        <v>43</v>
      </c>
      <c r="AF22">
        <v>6</v>
      </c>
      <c r="AH22" t="s">
        <v>9320</v>
      </c>
      <c r="AI22" t="s">
        <v>9319</v>
      </c>
      <c r="AK22" t="s">
        <v>9318</v>
      </c>
      <c r="AL22">
        <v>0</v>
      </c>
      <c r="AM22" s="5">
        <f t="shared" si="10"/>
        <v>0</v>
      </c>
      <c r="AN22" s="4">
        <f t="shared" si="4"/>
        <v>0</v>
      </c>
      <c r="AO22" s="3"/>
      <c r="AP22">
        <v>0</v>
      </c>
      <c r="AR22" t="s">
        <v>0</v>
      </c>
      <c r="AT22" s="2" t="s">
        <v>19</v>
      </c>
      <c r="AU22" s="1">
        <f t="shared" si="11"/>
        <v>0.26347401297349238</v>
      </c>
      <c r="AV22" s="1">
        <f t="shared" si="12"/>
        <v>0.18819572355249459</v>
      </c>
      <c r="AW22" s="1">
        <f t="shared" si="13"/>
        <v>0.11291743413149673</v>
      </c>
    </row>
    <row r="23" spans="1:49" x14ac:dyDescent="0.2">
      <c r="A23">
        <v>21</v>
      </c>
      <c r="B23" t="s">
        <v>9317</v>
      </c>
      <c r="F23" t="s">
        <v>9316</v>
      </c>
      <c r="G23" t="s">
        <v>15</v>
      </c>
      <c r="H23" t="s">
        <v>14</v>
      </c>
      <c r="I23" t="s">
        <v>9064</v>
      </c>
      <c r="N23">
        <v>1</v>
      </c>
      <c r="O23" t="s">
        <v>9063</v>
      </c>
      <c r="P23">
        <v>7003764513</v>
      </c>
      <c r="R23" s="7">
        <v>32295</v>
      </c>
      <c r="S23" s="8">
        <f t="shared" si="8"/>
        <v>1988</v>
      </c>
      <c r="T23" s="8">
        <v>1988</v>
      </c>
      <c r="U23" s="8">
        <f t="shared" si="9"/>
        <v>34</v>
      </c>
      <c r="V23" s="7">
        <v>32295</v>
      </c>
      <c r="W23" t="s">
        <v>500</v>
      </c>
      <c r="X23" s="2" t="s">
        <v>19</v>
      </c>
      <c r="Y23" s="6" t="e">
        <f t="shared" si="2"/>
        <v>#VALUE!</v>
      </c>
      <c r="AA23">
        <v>87566648</v>
      </c>
      <c r="AB23">
        <v>74127</v>
      </c>
      <c r="AD23" t="s">
        <v>4</v>
      </c>
      <c r="AE23">
        <v>33</v>
      </c>
      <c r="AF23">
        <v>6</v>
      </c>
      <c r="AH23" t="s">
        <v>9315</v>
      </c>
      <c r="AI23" t="s">
        <v>9314</v>
      </c>
      <c r="AK23" t="s">
        <v>9313</v>
      </c>
      <c r="AL23">
        <v>0</v>
      </c>
      <c r="AM23" s="5">
        <f t="shared" si="10"/>
        <v>0</v>
      </c>
      <c r="AN23" s="4">
        <f t="shared" si="4"/>
        <v>0</v>
      </c>
      <c r="AO23" s="3"/>
      <c r="AP23">
        <v>0</v>
      </c>
      <c r="AR23" t="s">
        <v>0</v>
      </c>
      <c r="AT23" s="2" t="s">
        <v>19</v>
      </c>
      <c r="AU23" s="1" t="e">
        <f t="shared" si="11"/>
        <v>#VALUE!</v>
      </c>
      <c r="AV23" s="1" t="e">
        <f t="shared" si="12"/>
        <v>#VALUE!</v>
      </c>
      <c r="AW23" s="1" t="e">
        <f t="shared" si="13"/>
        <v>#VALUE!</v>
      </c>
    </row>
    <row r="24" spans="1:49" x14ac:dyDescent="0.2">
      <c r="A24">
        <v>22</v>
      </c>
      <c r="B24" t="s">
        <v>9312</v>
      </c>
      <c r="F24" t="s">
        <v>9311</v>
      </c>
      <c r="G24" t="s">
        <v>15</v>
      </c>
      <c r="H24" t="s">
        <v>14</v>
      </c>
      <c r="I24" t="s">
        <v>9310</v>
      </c>
      <c r="J24">
        <v>60028186</v>
      </c>
      <c r="K24" t="s">
        <v>3966</v>
      </c>
      <c r="L24" t="s">
        <v>3965</v>
      </c>
      <c r="M24" t="s">
        <v>3131</v>
      </c>
      <c r="N24">
        <v>2</v>
      </c>
      <c r="O24" t="s">
        <v>9309</v>
      </c>
      <c r="P24" t="s">
        <v>9308</v>
      </c>
      <c r="Q24" t="s">
        <v>9307</v>
      </c>
      <c r="R24" s="7">
        <v>32295</v>
      </c>
      <c r="S24" s="8">
        <f t="shared" si="8"/>
        <v>1988</v>
      </c>
      <c r="T24" s="8">
        <v>1988</v>
      </c>
      <c r="U24" s="8">
        <f t="shared" si="9"/>
        <v>34</v>
      </c>
      <c r="V24" s="7">
        <v>32295</v>
      </c>
      <c r="W24" t="s">
        <v>8344</v>
      </c>
      <c r="X24" s="2">
        <v>0.125</v>
      </c>
      <c r="Y24" s="6">
        <f t="shared" si="2"/>
        <v>3.3368036090867838E-3</v>
      </c>
      <c r="AA24">
        <v>26557</v>
      </c>
      <c r="AB24">
        <v>40401</v>
      </c>
      <c r="AD24" t="s">
        <v>4</v>
      </c>
      <c r="AE24">
        <v>57</v>
      </c>
      <c r="AF24">
        <v>5</v>
      </c>
      <c r="AH24" t="s">
        <v>1933</v>
      </c>
      <c r="AI24" t="s">
        <v>9306</v>
      </c>
      <c r="AK24" t="s">
        <v>9305</v>
      </c>
      <c r="AL24">
        <v>6</v>
      </c>
      <c r="AM24" s="5">
        <f t="shared" si="10"/>
        <v>0.17647058823529413</v>
      </c>
      <c r="AN24" s="4">
        <f t="shared" si="4"/>
        <v>2.6727843731206988E-4</v>
      </c>
      <c r="AO24" s="3"/>
      <c r="AP24">
        <v>0</v>
      </c>
      <c r="AR24" t="s">
        <v>0</v>
      </c>
      <c r="AT24" s="2" t="s">
        <v>19</v>
      </c>
      <c r="AU24" s="1">
        <f t="shared" si="11"/>
        <v>0.24159460575543693</v>
      </c>
      <c r="AV24" s="1">
        <f t="shared" si="12"/>
        <v>0.18020410231994269</v>
      </c>
      <c r="AW24" s="1">
        <f t="shared" si="13"/>
        <v>0.11881359888444841</v>
      </c>
    </row>
    <row r="25" spans="1:49" x14ac:dyDescent="0.2">
      <c r="A25">
        <v>23</v>
      </c>
      <c r="B25" t="s">
        <v>9304</v>
      </c>
      <c r="F25" t="s">
        <v>9303</v>
      </c>
      <c r="G25" t="s">
        <v>15</v>
      </c>
      <c r="H25" t="s">
        <v>14</v>
      </c>
      <c r="I25" t="s">
        <v>9302</v>
      </c>
      <c r="N25">
        <v>1</v>
      </c>
      <c r="O25" t="s">
        <v>9301</v>
      </c>
      <c r="P25">
        <v>6506576367</v>
      </c>
      <c r="R25" s="7">
        <v>32295</v>
      </c>
      <c r="S25" s="8">
        <f t="shared" si="8"/>
        <v>1988</v>
      </c>
      <c r="T25" s="8">
        <v>1988</v>
      </c>
      <c r="U25" s="8">
        <f t="shared" si="9"/>
        <v>34</v>
      </c>
      <c r="V25" s="7">
        <v>32295</v>
      </c>
      <c r="W25" t="s">
        <v>9300</v>
      </c>
      <c r="X25" s="2" t="s">
        <v>19</v>
      </c>
      <c r="Y25" s="6" t="e">
        <f t="shared" si="2"/>
        <v>#VALUE!</v>
      </c>
      <c r="AA25">
        <v>3084213</v>
      </c>
      <c r="AB25">
        <v>39048</v>
      </c>
      <c r="AD25" t="s">
        <v>4</v>
      </c>
      <c r="AE25">
        <v>14</v>
      </c>
      <c r="AF25">
        <v>3</v>
      </c>
      <c r="AH25" t="s">
        <v>9299</v>
      </c>
      <c r="AI25" t="s">
        <v>9298</v>
      </c>
      <c r="AK25" t="s">
        <v>9297</v>
      </c>
      <c r="AL25">
        <v>0</v>
      </c>
      <c r="AM25" s="5">
        <f t="shared" si="10"/>
        <v>0</v>
      </c>
      <c r="AN25" s="4">
        <f t="shared" si="4"/>
        <v>0</v>
      </c>
      <c r="AO25" s="3"/>
      <c r="AP25">
        <v>0</v>
      </c>
      <c r="AR25" t="s">
        <v>0</v>
      </c>
      <c r="AT25" s="2" t="s">
        <v>19</v>
      </c>
      <c r="AU25" s="1" t="e">
        <f t="shared" si="11"/>
        <v>#VALUE!</v>
      </c>
      <c r="AV25" s="1" t="e">
        <f t="shared" si="12"/>
        <v>#VALUE!</v>
      </c>
      <c r="AW25" s="1" t="e">
        <f t="shared" si="13"/>
        <v>#VALUE!</v>
      </c>
    </row>
    <row r="26" spans="1:49" x14ac:dyDescent="0.2">
      <c r="A26">
        <v>24</v>
      </c>
      <c r="B26" t="s">
        <v>9296</v>
      </c>
      <c r="C26" t="s">
        <v>9295</v>
      </c>
      <c r="F26" t="s">
        <v>9294</v>
      </c>
      <c r="G26" t="s">
        <v>15</v>
      </c>
      <c r="H26" t="s">
        <v>14</v>
      </c>
      <c r="I26" t="s">
        <v>9293</v>
      </c>
      <c r="J26" t="s">
        <v>9292</v>
      </c>
      <c r="K26" t="s">
        <v>9291</v>
      </c>
      <c r="L26" t="s">
        <v>9290</v>
      </c>
      <c r="M26" t="s">
        <v>2834</v>
      </c>
      <c r="N26">
        <v>3</v>
      </c>
      <c r="O26" t="s">
        <v>9289</v>
      </c>
      <c r="P26" t="s">
        <v>9288</v>
      </c>
      <c r="Q26" t="s">
        <v>9287</v>
      </c>
      <c r="R26" s="7">
        <v>32295</v>
      </c>
      <c r="S26" s="8">
        <f t="shared" si="8"/>
        <v>1988</v>
      </c>
      <c r="T26" s="8">
        <v>1988</v>
      </c>
      <c r="U26" s="8">
        <f t="shared" si="9"/>
        <v>34</v>
      </c>
      <c r="V26" s="7">
        <v>32295</v>
      </c>
      <c r="W26" t="s">
        <v>8296</v>
      </c>
      <c r="X26" s="2">
        <v>0.61499999999999999</v>
      </c>
      <c r="Y26" s="6">
        <f t="shared" si="2"/>
        <v>1.6417073756706976E-2</v>
      </c>
      <c r="AA26">
        <v>1959271</v>
      </c>
      <c r="AB26">
        <v>12141</v>
      </c>
      <c r="AC26">
        <v>15729559</v>
      </c>
      <c r="AD26" t="s">
        <v>4</v>
      </c>
      <c r="AE26">
        <v>9</v>
      </c>
      <c r="AF26">
        <v>6</v>
      </c>
      <c r="AH26" t="s">
        <v>9286</v>
      </c>
      <c r="AI26" t="s">
        <v>9285</v>
      </c>
      <c r="AJ26" t="s">
        <v>9284</v>
      </c>
      <c r="AK26" t="s">
        <v>9283</v>
      </c>
      <c r="AL26">
        <v>7</v>
      </c>
      <c r="AM26" s="5">
        <f t="shared" si="10"/>
        <v>0.20588235294117646</v>
      </c>
      <c r="AN26" s="4">
        <f t="shared" si="4"/>
        <v>3.1182484353074817E-4</v>
      </c>
      <c r="AO26" s="3"/>
      <c r="AP26">
        <v>0</v>
      </c>
      <c r="AR26" t="s">
        <v>0</v>
      </c>
      <c r="AT26" s="2" t="s">
        <v>19</v>
      </c>
      <c r="AU26" s="1">
        <f t="shared" si="11"/>
        <v>1.1585499082754107</v>
      </c>
      <c r="AV26" s="1">
        <f t="shared" si="12"/>
        <v>0.83644493001188613</v>
      </c>
      <c r="AW26" s="1">
        <f t="shared" si="13"/>
        <v>0.51433995174836156</v>
      </c>
    </row>
    <row r="27" spans="1:49" x14ac:dyDescent="0.2">
      <c r="A27">
        <v>25</v>
      </c>
      <c r="B27" t="s">
        <v>9282</v>
      </c>
      <c r="F27" t="s">
        <v>9281</v>
      </c>
      <c r="G27" t="s">
        <v>15</v>
      </c>
      <c r="H27" t="s">
        <v>14</v>
      </c>
      <c r="I27" t="s">
        <v>9280</v>
      </c>
      <c r="J27">
        <v>60026327</v>
      </c>
      <c r="K27" t="s">
        <v>9279</v>
      </c>
      <c r="L27" t="s">
        <v>9278</v>
      </c>
      <c r="M27" t="s">
        <v>8952</v>
      </c>
      <c r="N27">
        <v>2</v>
      </c>
      <c r="O27" t="s">
        <v>9277</v>
      </c>
      <c r="P27" t="s">
        <v>9276</v>
      </c>
      <c r="Q27" t="s">
        <v>9275</v>
      </c>
      <c r="R27" s="7">
        <v>32295</v>
      </c>
      <c r="S27" s="8">
        <f t="shared" si="8"/>
        <v>1988</v>
      </c>
      <c r="T27" s="8">
        <v>1988</v>
      </c>
      <c r="U27" s="8">
        <f t="shared" si="9"/>
        <v>34</v>
      </c>
      <c r="V27" s="7">
        <v>32295</v>
      </c>
      <c r="W27" t="s">
        <v>9274</v>
      </c>
      <c r="X27" s="2" t="s">
        <v>19</v>
      </c>
      <c r="Y27" s="6" t="e">
        <f t="shared" si="2"/>
        <v>#VALUE!</v>
      </c>
      <c r="AA27">
        <v>204412</v>
      </c>
      <c r="AB27">
        <v>15467</v>
      </c>
      <c r="AD27" t="s">
        <v>4</v>
      </c>
      <c r="AE27">
        <v>30</v>
      </c>
      <c r="AF27" t="s">
        <v>9273</v>
      </c>
      <c r="AH27" t="s">
        <v>9272</v>
      </c>
      <c r="AI27" t="s">
        <v>9271</v>
      </c>
      <c r="AK27" t="s">
        <v>9270</v>
      </c>
      <c r="AL27">
        <v>0</v>
      </c>
      <c r="AM27" s="5">
        <f t="shared" si="10"/>
        <v>0</v>
      </c>
      <c r="AN27" s="4">
        <f t="shared" si="4"/>
        <v>0</v>
      </c>
      <c r="AO27" s="3"/>
      <c r="AP27">
        <v>0</v>
      </c>
      <c r="AR27" t="s">
        <v>0</v>
      </c>
      <c r="AT27" s="2" t="s">
        <v>19</v>
      </c>
      <c r="AU27" s="1" t="e">
        <f t="shared" si="11"/>
        <v>#VALUE!</v>
      </c>
      <c r="AV27" s="1" t="e">
        <f t="shared" si="12"/>
        <v>#VALUE!</v>
      </c>
      <c r="AW27" s="1" t="e">
        <f t="shared" si="13"/>
        <v>#VALUE!</v>
      </c>
    </row>
    <row r="28" spans="1:49" x14ac:dyDescent="0.2">
      <c r="A28">
        <v>26</v>
      </c>
      <c r="B28" t="s">
        <v>9269</v>
      </c>
      <c r="F28" t="s">
        <v>9268</v>
      </c>
      <c r="G28" t="s">
        <v>15</v>
      </c>
      <c r="H28" t="s">
        <v>14</v>
      </c>
      <c r="I28" t="s">
        <v>9267</v>
      </c>
      <c r="N28">
        <v>2</v>
      </c>
      <c r="O28" t="s">
        <v>9266</v>
      </c>
      <c r="P28" t="s">
        <v>9265</v>
      </c>
      <c r="Q28" t="s">
        <v>501</v>
      </c>
      <c r="R28" s="7">
        <v>32295</v>
      </c>
      <c r="S28" s="8">
        <f t="shared" si="8"/>
        <v>1988</v>
      </c>
      <c r="T28" s="8">
        <v>1988</v>
      </c>
      <c r="U28" s="8">
        <f t="shared" si="9"/>
        <v>34</v>
      </c>
      <c r="V28" s="7">
        <v>32295</v>
      </c>
      <c r="W28" t="s">
        <v>500</v>
      </c>
      <c r="X28" s="2" t="s">
        <v>19</v>
      </c>
      <c r="Y28" s="6" t="e">
        <f t="shared" si="2"/>
        <v>#VALUE!</v>
      </c>
      <c r="AA28">
        <v>87566648</v>
      </c>
      <c r="AB28">
        <v>74127</v>
      </c>
      <c r="AD28" t="s">
        <v>4</v>
      </c>
      <c r="AE28">
        <v>33</v>
      </c>
      <c r="AF28">
        <v>6</v>
      </c>
      <c r="AH28" t="s">
        <v>9264</v>
      </c>
      <c r="AI28" t="s">
        <v>9263</v>
      </c>
      <c r="AK28" t="s">
        <v>9262</v>
      </c>
      <c r="AL28">
        <v>0</v>
      </c>
      <c r="AM28" s="5">
        <f t="shared" si="10"/>
        <v>0</v>
      </c>
      <c r="AN28" s="4">
        <f t="shared" si="4"/>
        <v>0</v>
      </c>
      <c r="AO28" s="3"/>
      <c r="AP28">
        <v>0</v>
      </c>
      <c r="AR28" t="s">
        <v>0</v>
      </c>
      <c r="AT28" s="2" t="s">
        <v>19</v>
      </c>
      <c r="AU28" s="1" t="e">
        <f t="shared" si="11"/>
        <v>#VALUE!</v>
      </c>
      <c r="AV28" s="1" t="e">
        <f t="shared" si="12"/>
        <v>#VALUE!</v>
      </c>
      <c r="AW28" s="1" t="e">
        <f t="shared" si="13"/>
        <v>#VALUE!</v>
      </c>
    </row>
    <row r="29" spans="1:49" x14ac:dyDescent="0.2">
      <c r="A29">
        <v>27</v>
      </c>
      <c r="B29" t="s">
        <v>9261</v>
      </c>
      <c r="F29" t="s">
        <v>9260</v>
      </c>
      <c r="G29" t="s">
        <v>15</v>
      </c>
      <c r="H29" t="s">
        <v>14</v>
      </c>
      <c r="I29" t="s">
        <v>9259</v>
      </c>
      <c r="J29">
        <v>60031823</v>
      </c>
      <c r="K29" t="s">
        <v>9258</v>
      </c>
      <c r="L29" t="s">
        <v>9257</v>
      </c>
      <c r="M29" t="s">
        <v>211</v>
      </c>
      <c r="N29">
        <v>1</v>
      </c>
      <c r="O29" t="s">
        <v>9256</v>
      </c>
      <c r="P29">
        <v>7401828092</v>
      </c>
      <c r="Q29">
        <v>60031823</v>
      </c>
      <c r="R29" s="7">
        <v>32295</v>
      </c>
      <c r="S29" s="8">
        <f t="shared" si="8"/>
        <v>1988</v>
      </c>
      <c r="T29" s="8">
        <v>1988</v>
      </c>
      <c r="U29" s="8">
        <f t="shared" si="9"/>
        <v>34</v>
      </c>
      <c r="V29" s="7">
        <v>32295</v>
      </c>
      <c r="W29" t="s">
        <v>9069</v>
      </c>
      <c r="X29" s="2" t="s">
        <v>19</v>
      </c>
      <c r="Y29" s="6" t="e">
        <f t="shared" si="2"/>
        <v>#VALUE!</v>
      </c>
      <c r="AA29">
        <v>3854507</v>
      </c>
      <c r="AB29">
        <v>37257</v>
      </c>
      <c r="AD29" t="s">
        <v>4</v>
      </c>
      <c r="AE29">
        <v>25</v>
      </c>
      <c r="AF29">
        <v>258</v>
      </c>
      <c r="AH29" t="s">
        <v>7043</v>
      </c>
      <c r="AI29" t="s">
        <v>9255</v>
      </c>
      <c r="AK29" t="s">
        <v>9254</v>
      </c>
      <c r="AL29">
        <v>0</v>
      </c>
      <c r="AM29" s="5">
        <f t="shared" si="10"/>
        <v>0</v>
      </c>
      <c r="AN29" s="4">
        <f t="shared" si="4"/>
        <v>0</v>
      </c>
      <c r="AO29" s="3"/>
      <c r="AP29">
        <v>0</v>
      </c>
      <c r="AR29" t="s">
        <v>0</v>
      </c>
      <c r="AT29" s="2" t="s">
        <v>19</v>
      </c>
      <c r="AU29" s="1" t="e">
        <f t="shared" si="11"/>
        <v>#VALUE!</v>
      </c>
      <c r="AV29" s="1" t="e">
        <f t="shared" si="12"/>
        <v>#VALUE!</v>
      </c>
      <c r="AW29" s="1" t="e">
        <f t="shared" si="13"/>
        <v>#VALUE!</v>
      </c>
    </row>
    <row r="30" spans="1:49" x14ac:dyDescent="0.2">
      <c r="A30">
        <v>28</v>
      </c>
      <c r="B30" t="s">
        <v>9253</v>
      </c>
      <c r="F30" t="s">
        <v>9252</v>
      </c>
      <c r="G30" t="s">
        <v>15</v>
      </c>
      <c r="H30" t="s">
        <v>14</v>
      </c>
      <c r="I30" t="s">
        <v>9251</v>
      </c>
      <c r="N30">
        <v>1</v>
      </c>
      <c r="O30" t="s">
        <v>9250</v>
      </c>
      <c r="P30">
        <v>6603295896</v>
      </c>
      <c r="R30" s="7">
        <v>32295</v>
      </c>
      <c r="S30" s="8">
        <f t="shared" si="8"/>
        <v>1988</v>
      </c>
      <c r="T30" s="8">
        <v>1988</v>
      </c>
      <c r="U30" s="8">
        <f t="shared" si="9"/>
        <v>34</v>
      </c>
      <c r="V30" s="7">
        <v>32295</v>
      </c>
      <c r="W30" t="s">
        <v>500</v>
      </c>
      <c r="X30" s="2" t="s">
        <v>19</v>
      </c>
      <c r="Y30" s="6" t="e">
        <f t="shared" si="2"/>
        <v>#VALUE!</v>
      </c>
      <c r="AA30">
        <v>87566648</v>
      </c>
      <c r="AB30">
        <v>74127</v>
      </c>
      <c r="AD30" t="s">
        <v>4</v>
      </c>
      <c r="AE30">
        <v>33</v>
      </c>
      <c r="AF30">
        <v>6</v>
      </c>
      <c r="AH30" t="s">
        <v>9249</v>
      </c>
      <c r="AI30" t="s">
        <v>9248</v>
      </c>
      <c r="AK30" t="s">
        <v>9247</v>
      </c>
      <c r="AL30">
        <v>0</v>
      </c>
      <c r="AM30" s="5">
        <f t="shared" si="10"/>
        <v>0</v>
      </c>
      <c r="AN30" s="4">
        <f t="shared" si="4"/>
        <v>0</v>
      </c>
      <c r="AO30" s="3"/>
      <c r="AP30">
        <v>0</v>
      </c>
      <c r="AR30" t="s">
        <v>0</v>
      </c>
      <c r="AT30" s="2" t="s">
        <v>19</v>
      </c>
      <c r="AU30" s="1" t="e">
        <f t="shared" si="11"/>
        <v>#VALUE!</v>
      </c>
      <c r="AV30" s="1" t="e">
        <f t="shared" si="12"/>
        <v>#VALUE!</v>
      </c>
      <c r="AW30" s="1" t="e">
        <f t="shared" si="13"/>
        <v>#VALUE!</v>
      </c>
    </row>
    <row r="31" spans="1:49" x14ac:dyDescent="0.2">
      <c r="A31">
        <v>29</v>
      </c>
      <c r="B31" t="s">
        <v>9246</v>
      </c>
      <c r="F31" t="s">
        <v>9245</v>
      </c>
      <c r="G31" t="s">
        <v>15</v>
      </c>
      <c r="H31" t="s">
        <v>14</v>
      </c>
      <c r="I31" t="s">
        <v>9244</v>
      </c>
      <c r="N31">
        <v>1</v>
      </c>
      <c r="O31" t="s">
        <v>9243</v>
      </c>
      <c r="P31">
        <v>6506723899</v>
      </c>
      <c r="R31" s="7">
        <v>32295</v>
      </c>
      <c r="S31" s="8">
        <f t="shared" si="8"/>
        <v>1988</v>
      </c>
      <c r="T31" s="8">
        <v>1988</v>
      </c>
      <c r="U31" s="8">
        <f t="shared" si="9"/>
        <v>34</v>
      </c>
      <c r="V31" s="7">
        <v>32295</v>
      </c>
      <c r="W31" t="s">
        <v>500</v>
      </c>
      <c r="X31" s="2" t="s">
        <v>19</v>
      </c>
      <c r="Y31" s="6" t="e">
        <f t="shared" si="2"/>
        <v>#VALUE!</v>
      </c>
      <c r="AA31">
        <v>87566648</v>
      </c>
      <c r="AB31">
        <v>74127</v>
      </c>
      <c r="AD31" t="s">
        <v>4</v>
      </c>
      <c r="AE31">
        <v>33</v>
      </c>
      <c r="AF31">
        <v>6</v>
      </c>
      <c r="AH31">
        <v>181</v>
      </c>
      <c r="AI31" t="s">
        <v>9242</v>
      </c>
      <c r="AK31" t="s">
        <v>9241</v>
      </c>
      <c r="AL31">
        <v>0</v>
      </c>
      <c r="AM31" s="5">
        <f t="shared" si="10"/>
        <v>0</v>
      </c>
      <c r="AN31" s="4">
        <f t="shared" si="4"/>
        <v>0</v>
      </c>
      <c r="AO31" s="3"/>
      <c r="AP31">
        <v>0</v>
      </c>
      <c r="AR31" t="s">
        <v>0</v>
      </c>
      <c r="AT31" s="2" t="s">
        <v>19</v>
      </c>
      <c r="AU31" s="1" t="e">
        <f t="shared" si="11"/>
        <v>#VALUE!</v>
      </c>
      <c r="AV31" s="1" t="e">
        <f t="shared" si="12"/>
        <v>#VALUE!</v>
      </c>
      <c r="AW31" s="1" t="e">
        <f t="shared" si="13"/>
        <v>#VALUE!</v>
      </c>
    </row>
    <row r="32" spans="1:49" x14ac:dyDescent="0.2">
      <c r="A32">
        <v>30</v>
      </c>
      <c r="B32" t="s">
        <v>9240</v>
      </c>
      <c r="C32" t="s">
        <v>9239</v>
      </c>
      <c r="F32" t="s">
        <v>9238</v>
      </c>
      <c r="G32" t="s">
        <v>15</v>
      </c>
      <c r="H32" t="s">
        <v>14</v>
      </c>
      <c r="I32" t="s">
        <v>9237</v>
      </c>
      <c r="J32">
        <v>60114755</v>
      </c>
      <c r="K32" t="s">
        <v>9236</v>
      </c>
      <c r="L32" t="s">
        <v>7769</v>
      </c>
      <c r="M32" t="s">
        <v>1725</v>
      </c>
      <c r="N32">
        <v>1</v>
      </c>
      <c r="O32" t="s">
        <v>9235</v>
      </c>
      <c r="P32">
        <v>7005711766</v>
      </c>
      <c r="Q32">
        <v>60114755</v>
      </c>
      <c r="R32" s="7">
        <v>32264</v>
      </c>
      <c r="S32" s="8">
        <f t="shared" si="8"/>
        <v>1988</v>
      </c>
      <c r="T32" s="8">
        <v>1988</v>
      </c>
      <c r="U32" s="8">
        <f t="shared" si="9"/>
        <v>34</v>
      </c>
      <c r="V32" s="7">
        <v>32264</v>
      </c>
      <c r="W32" t="s">
        <v>9234</v>
      </c>
      <c r="X32" s="2" t="s">
        <v>19</v>
      </c>
      <c r="Y32" s="6" t="e">
        <f t="shared" si="2"/>
        <v>#VALUE!</v>
      </c>
      <c r="AA32">
        <v>3693554</v>
      </c>
      <c r="AB32">
        <v>29862</v>
      </c>
      <c r="AC32">
        <v>18269877</v>
      </c>
      <c r="AD32" t="s">
        <v>4</v>
      </c>
      <c r="AE32">
        <v>101</v>
      </c>
      <c r="AF32">
        <v>5</v>
      </c>
      <c r="AH32" t="s">
        <v>9233</v>
      </c>
      <c r="AI32" t="s">
        <v>9232</v>
      </c>
      <c r="AJ32" t="s">
        <v>9231</v>
      </c>
      <c r="AK32" t="s">
        <v>9230</v>
      </c>
      <c r="AL32">
        <v>7</v>
      </c>
      <c r="AM32" s="5">
        <f t="shared" si="10"/>
        <v>0.20588235294117646</v>
      </c>
      <c r="AN32" s="4">
        <f t="shared" si="4"/>
        <v>3.1182484353074817E-4</v>
      </c>
      <c r="AO32" s="3"/>
      <c r="AP32">
        <v>0</v>
      </c>
      <c r="AR32" t="s">
        <v>0</v>
      </c>
      <c r="AT32" s="2" t="s">
        <v>19</v>
      </c>
      <c r="AU32" s="1" t="e">
        <f t="shared" si="11"/>
        <v>#VALUE!</v>
      </c>
      <c r="AV32" s="1" t="e">
        <f t="shared" si="12"/>
        <v>#VALUE!</v>
      </c>
      <c r="AW32" s="1" t="e">
        <f t="shared" si="13"/>
        <v>#VALUE!</v>
      </c>
    </row>
    <row r="33" spans="1:49" x14ac:dyDescent="0.2">
      <c r="A33">
        <v>31</v>
      </c>
      <c r="B33" t="s">
        <v>9229</v>
      </c>
      <c r="C33" t="s">
        <v>9228</v>
      </c>
      <c r="F33" t="s">
        <v>9227</v>
      </c>
      <c r="G33" t="s">
        <v>15</v>
      </c>
      <c r="H33" t="s">
        <v>14</v>
      </c>
      <c r="I33" t="s">
        <v>9226</v>
      </c>
      <c r="J33">
        <v>60009611</v>
      </c>
      <c r="K33" t="s">
        <v>9225</v>
      </c>
      <c r="L33" t="s">
        <v>3605</v>
      </c>
      <c r="M33" t="s">
        <v>31</v>
      </c>
      <c r="N33">
        <v>1</v>
      </c>
      <c r="O33" t="s">
        <v>9224</v>
      </c>
      <c r="P33">
        <v>7003789170</v>
      </c>
      <c r="Q33">
        <v>60009611</v>
      </c>
      <c r="R33" s="7">
        <v>32264</v>
      </c>
      <c r="S33" s="8">
        <f t="shared" si="8"/>
        <v>1988</v>
      </c>
      <c r="T33" s="8">
        <v>1988</v>
      </c>
      <c r="U33" s="8">
        <f t="shared" si="9"/>
        <v>34</v>
      </c>
      <c r="V33" s="7">
        <v>32264</v>
      </c>
      <c r="W33" t="s">
        <v>9209</v>
      </c>
      <c r="X33" s="2">
        <v>0.87</v>
      </c>
      <c r="Y33" s="6">
        <f t="shared" si="2"/>
        <v>2.3224153119244015E-2</v>
      </c>
      <c r="AA33">
        <v>1427873</v>
      </c>
      <c r="AB33">
        <v>29635</v>
      </c>
      <c r="AD33" t="s">
        <v>4</v>
      </c>
      <c r="AE33">
        <v>10</v>
      </c>
      <c r="AF33">
        <v>3</v>
      </c>
      <c r="AH33" t="s">
        <v>9223</v>
      </c>
      <c r="AI33" t="s">
        <v>9222</v>
      </c>
      <c r="AK33" t="s">
        <v>9221</v>
      </c>
      <c r="AL33">
        <v>9</v>
      </c>
      <c r="AM33" s="5">
        <f t="shared" si="10"/>
        <v>0.26470588235294118</v>
      </c>
      <c r="AN33" s="4">
        <f t="shared" si="4"/>
        <v>4.009176559681048E-4</v>
      </c>
      <c r="AO33" s="3"/>
      <c r="AP33">
        <v>0</v>
      </c>
      <c r="AQ33" t="s">
        <v>855</v>
      </c>
      <c r="AR33" t="s">
        <v>9220</v>
      </c>
      <c r="AS33" t="s">
        <v>854</v>
      </c>
      <c r="AT33" s="2">
        <v>2.4550000000000001</v>
      </c>
      <c r="AU33" s="1">
        <f t="shared" si="11"/>
        <v>1.6377182480261241</v>
      </c>
      <c r="AV33" s="1">
        <f t="shared" si="12"/>
        <v>1.181253538760606</v>
      </c>
      <c r="AW33" s="1">
        <f t="shared" si="13"/>
        <v>0.72478882949508772</v>
      </c>
    </row>
    <row r="34" spans="1:49" x14ac:dyDescent="0.2">
      <c r="A34">
        <v>32</v>
      </c>
      <c r="B34" t="s">
        <v>9219</v>
      </c>
      <c r="C34" t="s">
        <v>9218</v>
      </c>
      <c r="F34" t="s">
        <v>9217</v>
      </c>
      <c r="G34" t="s">
        <v>15</v>
      </c>
      <c r="H34" t="s">
        <v>14</v>
      </c>
      <c r="I34" t="s">
        <v>9216</v>
      </c>
      <c r="J34" t="s">
        <v>9210</v>
      </c>
      <c r="K34" t="s">
        <v>9215</v>
      </c>
      <c r="L34" t="s">
        <v>9214</v>
      </c>
      <c r="M34" t="s">
        <v>9213</v>
      </c>
      <c r="N34">
        <v>2</v>
      </c>
      <c r="O34" t="s">
        <v>9212</v>
      </c>
      <c r="P34" t="s">
        <v>9211</v>
      </c>
      <c r="Q34" t="s">
        <v>9210</v>
      </c>
      <c r="R34" s="7">
        <v>32264</v>
      </c>
      <c r="S34" s="8">
        <f t="shared" si="8"/>
        <v>1988</v>
      </c>
      <c r="T34" s="8">
        <v>1988</v>
      </c>
      <c r="U34" s="8">
        <f t="shared" si="9"/>
        <v>34</v>
      </c>
      <c r="V34" s="7">
        <v>32264</v>
      </c>
      <c r="W34" t="s">
        <v>9209</v>
      </c>
      <c r="X34" s="2">
        <v>0.87</v>
      </c>
      <c r="Y34" s="6">
        <f t="shared" si="2"/>
        <v>2.3224153119244015E-2</v>
      </c>
      <c r="AA34">
        <v>1427873</v>
      </c>
      <c r="AB34">
        <v>29635</v>
      </c>
      <c r="AD34" t="s">
        <v>4</v>
      </c>
      <c r="AE34">
        <v>10</v>
      </c>
      <c r="AF34">
        <v>3</v>
      </c>
      <c r="AH34" t="s">
        <v>9208</v>
      </c>
      <c r="AI34" t="s">
        <v>9207</v>
      </c>
      <c r="AK34" t="s">
        <v>9206</v>
      </c>
      <c r="AL34">
        <v>5</v>
      </c>
      <c r="AM34" s="5">
        <f t="shared" si="10"/>
        <v>0.14705882352941177</v>
      </c>
      <c r="AN34" s="4">
        <f t="shared" si="4"/>
        <v>2.2273203109339154E-4</v>
      </c>
      <c r="AO34" s="3"/>
      <c r="AP34">
        <v>0</v>
      </c>
      <c r="AR34" t="s">
        <v>0</v>
      </c>
      <c r="AT34" s="2">
        <v>2.4550000000000001</v>
      </c>
      <c r="AU34" s="1">
        <f t="shared" si="11"/>
        <v>1.6323726792798827</v>
      </c>
      <c r="AV34" s="1">
        <f t="shared" si="12"/>
        <v>1.1723442575168703</v>
      </c>
      <c r="AW34" s="1">
        <f t="shared" si="13"/>
        <v>0.71231583575385782</v>
      </c>
    </row>
    <row r="35" spans="1:49" x14ac:dyDescent="0.2">
      <c r="A35">
        <v>33</v>
      </c>
      <c r="B35" t="s">
        <v>9205</v>
      </c>
      <c r="C35" t="s">
        <v>9204</v>
      </c>
      <c r="F35" t="s">
        <v>9203</v>
      </c>
      <c r="G35" t="s">
        <v>15</v>
      </c>
      <c r="H35" t="s">
        <v>14</v>
      </c>
      <c r="I35" t="s">
        <v>9202</v>
      </c>
      <c r="N35">
        <v>2</v>
      </c>
      <c r="O35" t="s">
        <v>9201</v>
      </c>
      <c r="P35" t="s">
        <v>9200</v>
      </c>
      <c r="Q35" t="s">
        <v>501</v>
      </c>
      <c r="R35" s="7">
        <v>32264</v>
      </c>
      <c r="S35" s="8">
        <f t="shared" si="8"/>
        <v>1988</v>
      </c>
      <c r="T35" s="8">
        <v>1988</v>
      </c>
      <c r="U35" s="8">
        <f t="shared" si="9"/>
        <v>34</v>
      </c>
      <c r="V35" s="7">
        <v>32264</v>
      </c>
      <c r="W35" t="s">
        <v>9192</v>
      </c>
      <c r="X35" s="2">
        <v>0.14899999999999999</v>
      </c>
      <c r="Y35" s="6">
        <f t="shared" si="2"/>
        <v>3.977469902031446E-3</v>
      </c>
      <c r="AA35">
        <v>5431972</v>
      </c>
      <c r="AB35">
        <v>15425</v>
      </c>
      <c r="AC35">
        <v>15738906</v>
      </c>
      <c r="AD35" t="s">
        <v>4</v>
      </c>
      <c r="AE35">
        <v>31</v>
      </c>
      <c r="AF35">
        <v>5</v>
      </c>
      <c r="AH35" t="s">
        <v>9199</v>
      </c>
      <c r="AL35">
        <v>0</v>
      </c>
      <c r="AM35" s="5">
        <f t="shared" si="10"/>
        <v>0</v>
      </c>
      <c r="AN35" s="4">
        <f t="shared" si="4"/>
        <v>0</v>
      </c>
      <c r="AO35" s="3"/>
      <c r="AP35">
        <v>0</v>
      </c>
      <c r="AR35" t="s">
        <v>0</v>
      </c>
      <c r="AT35" s="2" t="s">
        <v>19</v>
      </c>
      <c r="AU35" s="1">
        <f t="shared" si="11"/>
        <v>0.2784228931422012</v>
      </c>
      <c r="AV35" s="1">
        <f t="shared" si="12"/>
        <v>0.19887349510157229</v>
      </c>
      <c r="AW35" s="1">
        <f t="shared" si="13"/>
        <v>0.11932409706094337</v>
      </c>
    </row>
    <row r="36" spans="1:49" x14ac:dyDescent="0.2">
      <c r="A36">
        <v>34</v>
      </c>
      <c r="B36" t="s">
        <v>9198</v>
      </c>
      <c r="C36" t="s">
        <v>9197</v>
      </c>
      <c r="F36" t="s">
        <v>9196</v>
      </c>
      <c r="G36" t="s">
        <v>15</v>
      </c>
      <c r="H36" t="s">
        <v>14</v>
      </c>
      <c r="I36" t="s">
        <v>9195</v>
      </c>
      <c r="N36">
        <v>4</v>
      </c>
      <c r="O36" t="s">
        <v>9194</v>
      </c>
      <c r="P36" t="s">
        <v>9193</v>
      </c>
      <c r="Q36" t="s">
        <v>523</v>
      </c>
      <c r="R36" s="7">
        <v>32264</v>
      </c>
      <c r="S36" s="8">
        <f t="shared" si="8"/>
        <v>1988</v>
      </c>
      <c r="T36" s="8">
        <v>1988</v>
      </c>
      <c r="U36" s="8">
        <f t="shared" si="9"/>
        <v>34</v>
      </c>
      <c r="V36" s="7">
        <v>32264</v>
      </c>
      <c r="W36" t="s">
        <v>9192</v>
      </c>
      <c r="X36" s="2">
        <v>0.14899999999999999</v>
      </c>
      <c r="Y36" s="6">
        <f t="shared" si="2"/>
        <v>3.977469902031446E-3</v>
      </c>
      <c r="AA36">
        <v>5431972</v>
      </c>
      <c r="AB36">
        <v>15425</v>
      </c>
      <c r="AC36">
        <v>15738906</v>
      </c>
      <c r="AD36" t="s">
        <v>4</v>
      </c>
      <c r="AE36">
        <v>31</v>
      </c>
      <c r="AF36">
        <v>5</v>
      </c>
      <c r="AH36" t="s">
        <v>9191</v>
      </c>
      <c r="AL36">
        <v>0</v>
      </c>
      <c r="AM36" s="5">
        <f t="shared" si="10"/>
        <v>0</v>
      </c>
      <c r="AN36" s="4">
        <f t="shared" si="4"/>
        <v>0</v>
      </c>
      <c r="AO36" s="3"/>
      <c r="AP36">
        <v>0</v>
      </c>
      <c r="AR36" t="s">
        <v>0</v>
      </c>
      <c r="AT36" s="2" t="s">
        <v>19</v>
      </c>
      <c r="AU36" s="1">
        <f t="shared" si="11"/>
        <v>0.2784228931422012</v>
      </c>
      <c r="AV36" s="1">
        <f t="shared" si="12"/>
        <v>0.19887349510157229</v>
      </c>
      <c r="AW36" s="1">
        <f t="shared" si="13"/>
        <v>0.11932409706094337</v>
      </c>
    </row>
    <row r="37" spans="1:49" x14ac:dyDescent="0.2">
      <c r="A37">
        <v>35</v>
      </c>
      <c r="B37" t="s">
        <v>9190</v>
      </c>
      <c r="F37" t="s">
        <v>9189</v>
      </c>
      <c r="G37" t="s">
        <v>15</v>
      </c>
      <c r="H37" t="s">
        <v>14</v>
      </c>
      <c r="I37" t="s">
        <v>9188</v>
      </c>
      <c r="J37">
        <v>60002959</v>
      </c>
      <c r="K37" t="s">
        <v>9187</v>
      </c>
      <c r="L37" t="s">
        <v>1374</v>
      </c>
      <c r="M37" t="s">
        <v>31</v>
      </c>
      <c r="N37">
        <v>2</v>
      </c>
      <c r="O37" t="s">
        <v>9186</v>
      </c>
      <c r="P37" t="s">
        <v>9185</v>
      </c>
      <c r="Q37" t="s">
        <v>9184</v>
      </c>
      <c r="R37" s="7">
        <v>32264</v>
      </c>
      <c r="S37" s="8">
        <f t="shared" si="8"/>
        <v>1988</v>
      </c>
      <c r="T37" s="8">
        <v>1988</v>
      </c>
      <c r="U37" s="8">
        <f t="shared" si="9"/>
        <v>34</v>
      </c>
      <c r="V37" s="7">
        <v>32264</v>
      </c>
      <c r="W37" t="s">
        <v>9183</v>
      </c>
      <c r="X37" s="2" t="s">
        <v>19</v>
      </c>
      <c r="Y37" s="6" t="e">
        <f t="shared" si="2"/>
        <v>#VALUE!</v>
      </c>
      <c r="AA37">
        <v>4596773</v>
      </c>
      <c r="AB37">
        <v>40300</v>
      </c>
      <c r="AD37" t="s">
        <v>4</v>
      </c>
      <c r="AF37">
        <v>26</v>
      </c>
      <c r="AH37" t="s">
        <v>9182</v>
      </c>
      <c r="AI37" t="s">
        <v>9181</v>
      </c>
      <c r="AK37" t="s">
        <v>9180</v>
      </c>
      <c r="AL37">
        <v>1</v>
      </c>
      <c r="AM37" s="5">
        <f t="shared" si="10"/>
        <v>2.9411764705882353E-2</v>
      </c>
      <c r="AN37" s="4">
        <f t="shared" si="4"/>
        <v>4.4546406218678307E-5</v>
      </c>
      <c r="AO37" s="3"/>
      <c r="AP37">
        <v>0</v>
      </c>
      <c r="AR37" t="s">
        <v>0</v>
      </c>
      <c r="AT37" s="2" t="s">
        <v>19</v>
      </c>
      <c r="AU37" s="1" t="e">
        <f t="shared" si="11"/>
        <v>#VALUE!</v>
      </c>
      <c r="AV37" s="1" t="e">
        <f t="shared" si="12"/>
        <v>#VALUE!</v>
      </c>
      <c r="AW37" s="1" t="e">
        <f t="shared" si="13"/>
        <v>#VALUE!</v>
      </c>
    </row>
    <row r="38" spans="1:49" x14ac:dyDescent="0.2">
      <c r="A38">
        <v>36</v>
      </c>
      <c r="B38" t="s">
        <v>9179</v>
      </c>
      <c r="F38" t="s">
        <v>9178</v>
      </c>
      <c r="G38" t="s">
        <v>15</v>
      </c>
      <c r="H38" t="s">
        <v>14</v>
      </c>
      <c r="I38" t="s">
        <v>9177</v>
      </c>
      <c r="J38">
        <v>60001439</v>
      </c>
      <c r="K38" t="s">
        <v>2250</v>
      </c>
      <c r="L38" t="s">
        <v>2249</v>
      </c>
      <c r="M38" t="s">
        <v>31</v>
      </c>
      <c r="N38">
        <v>3</v>
      </c>
      <c r="O38" t="s">
        <v>9176</v>
      </c>
      <c r="P38" t="s">
        <v>9175</v>
      </c>
      <c r="Q38" t="s">
        <v>2246</v>
      </c>
      <c r="R38" s="7">
        <v>32264</v>
      </c>
      <c r="S38" s="8">
        <f t="shared" si="8"/>
        <v>1988</v>
      </c>
      <c r="T38" s="8">
        <v>1988</v>
      </c>
      <c r="U38" s="8">
        <f t="shared" si="9"/>
        <v>34</v>
      </c>
      <c r="V38" s="7">
        <v>32264</v>
      </c>
      <c r="W38" t="s">
        <v>9141</v>
      </c>
      <c r="X38" s="2">
        <v>0.54700000000000004</v>
      </c>
      <c r="Y38" s="6">
        <f t="shared" si="2"/>
        <v>1.4601852593363766E-2</v>
      </c>
      <c r="AA38">
        <v>11096</v>
      </c>
      <c r="AB38">
        <v>31211</v>
      </c>
      <c r="AD38" t="s">
        <v>4</v>
      </c>
      <c r="AE38">
        <v>42</v>
      </c>
      <c r="AF38">
        <v>3</v>
      </c>
      <c r="AH38" t="s">
        <v>9174</v>
      </c>
      <c r="AI38" t="s">
        <v>9173</v>
      </c>
      <c r="AK38" t="s">
        <v>9172</v>
      </c>
      <c r="AL38">
        <v>1</v>
      </c>
      <c r="AM38" s="5">
        <f t="shared" si="10"/>
        <v>2.9411764705882353E-2</v>
      </c>
      <c r="AN38" s="4">
        <f t="shared" si="4"/>
        <v>4.4546406218678307E-5</v>
      </c>
      <c r="AO38" s="3"/>
      <c r="AP38">
        <v>0</v>
      </c>
      <c r="AR38" t="s">
        <v>0</v>
      </c>
      <c r="AT38" s="2" t="s">
        <v>19</v>
      </c>
      <c r="AU38" s="1">
        <f t="shared" si="11"/>
        <v>1.023466073722024</v>
      </c>
      <c r="AV38" s="1">
        <f t="shared" si="12"/>
        <v>0.7323199499791222</v>
      </c>
      <c r="AW38" s="1">
        <f t="shared" si="13"/>
        <v>0.44117382623622042</v>
      </c>
    </row>
    <row r="39" spans="1:49" x14ac:dyDescent="0.2">
      <c r="A39">
        <v>37</v>
      </c>
      <c r="B39" t="s">
        <v>9171</v>
      </c>
      <c r="F39" t="s">
        <v>9170</v>
      </c>
      <c r="G39" t="s">
        <v>15</v>
      </c>
      <c r="H39" t="s">
        <v>14</v>
      </c>
      <c r="I39" t="s">
        <v>9169</v>
      </c>
      <c r="J39">
        <v>60030551</v>
      </c>
      <c r="K39" t="s">
        <v>9168</v>
      </c>
      <c r="L39" t="s">
        <v>9167</v>
      </c>
      <c r="M39" t="s">
        <v>31</v>
      </c>
      <c r="N39">
        <v>1</v>
      </c>
      <c r="O39" t="s">
        <v>9166</v>
      </c>
      <c r="P39">
        <v>7003593230</v>
      </c>
      <c r="Q39">
        <v>60030551</v>
      </c>
      <c r="R39" s="7">
        <v>32264</v>
      </c>
      <c r="S39" s="8">
        <f t="shared" si="8"/>
        <v>1988</v>
      </c>
      <c r="T39" s="8">
        <v>1988</v>
      </c>
      <c r="U39" s="8">
        <f t="shared" si="9"/>
        <v>34</v>
      </c>
      <c r="V39" s="7">
        <v>32264</v>
      </c>
      <c r="W39" t="s">
        <v>9141</v>
      </c>
      <c r="X39" s="2">
        <v>0.54700000000000004</v>
      </c>
      <c r="Y39" s="6">
        <f t="shared" si="2"/>
        <v>1.4601852593363766E-2</v>
      </c>
      <c r="AA39">
        <v>11096</v>
      </c>
      <c r="AB39">
        <v>31211</v>
      </c>
      <c r="AD39" t="s">
        <v>4</v>
      </c>
      <c r="AE39">
        <v>42</v>
      </c>
      <c r="AF39">
        <v>3</v>
      </c>
      <c r="AH39" t="s">
        <v>9165</v>
      </c>
      <c r="AI39" t="s">
        <v>9164</v>
      </c>
      <c r="AK39" t="s">
        <v>9163</v>
      </c>
      <c r="AL39">
        <v>4</v>
      </c>
      <c r="AM39" s="5">
        <f t="shared" si="10"/>
        <v>0.11764705882352941</v>
      </c>
      <c r="AN39" s="4">
        <f t="shared" si="4"/>
        <v>1.7818562487471323E-4</v>
      </c>
      <c r="AO39" s="3"/>
      <c r="AP39">
        <v>0</v>
      </c>
      <c r="AR39" t="s">
        <v>0</v>
      </c>
      <c r="AT39" s="2" t="s">
        <v>19</v>
      </c>
      <c r="AU39" s="1">
        <f t="shared" si="11"/>
        <v>1.0274752502817051</v>
      </c>
      <c r="AV39" s="1">
        <f t="shared" si="12"/>
        <v>0.73900191091192402</v>
      </c>
      <c r="AW39" s="1">
        <f t="shared" si="13"/>
        <v>0.45052857154214293</v>
      </c>
    </row>
    <row r="40" spans="1:49" x14ac:dyDescent="0.2">
      <c r="A40">
        <v>38</v>
      </c>
      <c r="B40" t="s">
        <v>9162</v>
      </c>
      <c r="C40" t="s">
        <v>9161</v>
      </c>
      <c r="D40">
        <v>168900288904706</v>
      </c>
      <c r="F40" t="s">
        <v>9160</v>
      </c>
      <c r="G40" t="s">
        <v>15</v>
      </c>
      <c r="H40" t="s">
        <v>14</v>
      </c>
      <c r="I40" t="s">
        <v>9159</v>
      </c>
      <c r="J40" t="s">
        <v>9158</v>
      </c>
      <c r="K40" t="s">
        <v>9157</v>
      </c>
      <c r="L40" t="s">
        <v>9156</v>
      </c>
      <c r="M40" t="s">
        <v>1681</v>
      </c>
      <c r="N40">
        <v>8</v>
      </c>
      <c r="O40" t="s">
        <v>9155</v>
      </c>
      <c r="P40" t="s">
        <v>9154</v>
      </c>
      <c r="Q40" t="s">
        <v>9153</v>
      </c>
      <c r="R40" s="7">
        <v>32264</v>
      </c>
      <c r="S40" s="8">
        <f t="shared" si="8"/>
        <v>1988</v>
      </c>
      <c r="T40" s="8">
        <v>1988</v>
      </c>
      <c r="U40" s="8">
        <f t="shared" si="9"/>
        <v>34</v>
      </c>
      <c r="V40" s="7">
        <v>32264</v>
      </c>
      <c r="W40" t="s">
        <v>436</v>
      </c>
      <c r="X40" s="2" t="s">
        <v>19</v>
      </c>
      <c r="Y40" s="6" t="e">
        <f t="shared" si="2"/>
        <v>#VALUE!</v>
      </c>
      <c r="AA40">
        <v>1689002</v>
      </c>
      <c r="AB40">
        <v>29067</v>
      </c>
      <c r="AD40" t="s">
        <v>4</v>
      </c>
      <c r="AE40">
        <v>267</v>
      </c>
      <c r="AF40" s="9">
        <v>44257</v>
      </c>
      <c r="AH40" t="s">
        <v>9152</v>
      </c>
      <c r="AI40" t="s">
        <v>9151</v>
      </c>
      <c r="AK40" t="s">
        <v>9150</v>
      </c>
      <c r="AL40">
        <v>12</v>
      </c>
      <c r="AM40" s="5">
        <f t="shared" si="10"/>
        <v>0.35294117647058826</v>
      </c>
      <c r="AN40" s="4">
        <f t="shared" si="4"/>
        <v>5.3455687462413976E-4</v>
      </c>
      <c r="AO40" s="3"/>
      <c r="AP40">
        <v>0</v>
      </c>
      <c r="AQ40" t="s">
        <v>9149</v>
      </c>
      <c r="AR40" t="s">
        <v>0</v>
      </c>
      <c r="AS40" t="s">
        <v>9148</v>
      </c>
      <c r="AT40" s="2" t="s">
        <v>19</v>
      </c>
      <c r="AU40" s="1" t="e">
        <f t="shared" si="11"/>
        <v>#VALUE!</v>
      </c>
      <c r="AV40" s="1" t="e">
        <f t="shared" si="12"/>
        <v>#VALUE!</v>
      </c>
      <c r="AW40" s="1" t="e">
        <f t="shared" si="13"/>
        <v>#VALUE!</v>
      </c>
    </row>
    <row r="41" spans="1:49" x14ac:dyDescent="0.2">
      <c r="A41">
        <v>39</v>
      </c>
      <c r="B41" t="s">
        <v>9147</v>
      </c>
      <c r="F41" t="s">
        <v>9146</v>
      </c>
      <c r="G41" t="s">
        <v>15</v>
      </c>
      <c r="H41" t="s">
        <v>14</v>
      </c>
      <c r="I41" t="s">
        <v>9145</v>
      </c>
      <c r="J41">
        <v>60007902</v>
      </c>
      <c r="K41" t="s">
        <v>9144</v>
      </c>
      <c r="L41" t="s">
        <v>9143</v>
      </c>
      <c r="M41" t="s">
        <v>45</v>
      </c>
      <c r="N41">
        <v>1</v>
      </c>
      <c r="O41" t="s">
        <v>9142</v>
      </c>
      <c r="P41">
        <v>6602241374</v>
      </c>
      <c r="Q41">
        <v>60007902</v>
      </c>
      <c r="R41" s="7">
        <v>32264</v>
      </c>
      <c r="S41" s="8">
        <f t="shared" si="8"/>
        <v>1988</v>
      </c>
      <c r="T41" s="8">
        <v>1988</v>
      </c>
      <c r="U41" s="8">
        <f t="shared" si="9"/>
        <v>34</v>
      </c>
      <c r="V41" s="7">
        <v>32264</v>
      </c>
      <c r="W41" t="s">
        <v>9141</v>
      </c>
      <c r="X41" s="2">
        <v>0.54700000000000004</v>
      </c>
      <c r="Y41" s="6">
        <f t="shared" si="2"/>
        <v>1.4601852593363766E-2</v>
      </c>
      <c r="AA41">
        <v>11096</v>
      </c>
      <c r="AB41">
        <v>31211</v>
      </c>
      <c r="AD41" t="s">
        <v>4</v>
      </c>
      <c r="AE41">
        <v>42</v>
      </c>
      <c r="AF41">
        <v>3</v>
      </c>
      <c r="AH41" t="s">
        <v>9140</v>
      </c>
      <c r="AI41" t="s">
        <v>9139</v>
      </c>
      <c r="AK41" t="s">
        <v>9138</v>
      </c>
      <c r="AL41">
        <v>2</v>
      </c>
      <c r="AM41" s="5">
        <f t="shared" si="10"/>
        <v>5.8823529411764705E-2</v>
      </c>
      <c r="AN41" s="4">
        <f t="shared" si="4"/>
        <v>8.9092812437356614E-5</v>
      </c>
      <c r="AO41" s="3"/>
      <c r="AP41">
        <v>0</v>
      </c>
      <c r="AR41" t="s">
        <v>0</v>
      </c>
      <c r="AT41" s="2" t="s">
        <v>19</v>
      </c>
      <c r="AU41" s="1">
        <f t="shared" si="11"/>
        <v>1.0248024659085844</v>
      </c>
      <c r="AV41" s="1">
        <f t="shared" si="12"/>
        <v>0.73454727029005606</v>
      </c>
      <c r="AW41" s="1">
        <f t="shared" si="13"/>
        <v>0.44429207467152793</v>
      </c>
    </row>
    <row r="42" spans="1:49" x14ac:dyDescent="0.2">
      <c r="A42">
        <v>40</v>
      </c>
      <c r="B42" t="s">
        <v>9137</v>
      </c>
      <c r="F42" t="s">
        <v>9136</v>
      </c>
      <c r="G42" t="s">
        <v>15</v>
      </c>
      <c r="H42" t="s">
        <v>14</v>
      </c>
      <c r="I42" t="s">
        <v>9135</v>
      </c>
      <c r="N42">
        <v>1</v>
      </c>
      <c r="O42" t="s">
        <v>9134</v>
      </c>
      <c r="P42">
        <v>7801519677</v>
      </c>
      <c r="R42" s="7">
        <v>32264</v>
      </c>
      <c r="S42" s="8">
        <f t="shared" si="8"/>
        <v>1988</v>
      </c>
      <c r="T42" s="8">
        <v>1988</v>
      </c>
      <c r="U42" s="8">
        <f t="shared" si="9"/>
        <v>34</v>
      </c>
      <c r="V42" s="7">
        <v>32264</v>
      </c>
      <c r="W42" t="s">
        <v>950</v>
      </c>
      <c r="X42" s="2">
        <v>0.14099999999999999</v>
      </c>
      <c r="Y42" s="6">
        <f t="shared" si="2"/>
        <v>3.7639144710498915E-3</v>
      </c>
      <c r="AA42">
        <v>402508</v>
      </c>
      <c r="AB42">
        <v>20868</v>
      </c>
      <c r="AD42" t="s">
        <v>4</v>
      </c>
      <c r="AE42">
        <v>43</v>
      </c>
      <c r="AF42">
        <v>5</v>
      </c>
      <c r="AH42" t="s">
        <v>9133</v>
      </c>
      <c r="AI42" t="s">
        <v>9132</v>
      </c>
      <c r="AK42" t="s">
        <v>9131</v>
      </c>
      <c r="AL42">
        <v>0</v>
      </c>
      <c r="AM42" s="5">
        <f t="shared" si="10"/>
        <v>0</v>
      </c>
      <c r="AN42" s="4">
        <f t="shared" si="4"/>
        <v>0</v>
      </c>
      <c r="AO42" s="3"/>
      <c r="AP42">
        <v>0</v>
      </c>
      <c r="AR42" t="s">
        <v>0</v>
      </c>
      <c r="AT42" s="2" t="s">
        <v>19</v>
      </c>
      <c r="AU42" s="1">
        <f t="shared" si="11"/>
        <v>0.26347401297349238</v>
      </c>
      <c r="AV42" s="1">
        <f t="shared" si="12"/>
        <v>0.18819572355249459</v>
      </c>
      <c r="AW42" s="1">
        <f t="shared" si="13"/>
        <v>0.11291743413149673</v>
      </c>
    </row>
    <row r="43" spans="1:49" x14ac:dyDescent="0.2">
      <c r="A43">
        <v>41</v>
      </c>
      <c r="B43" t="s">
        <v>9130</v>
      </c>
      <c r="F43" t="s">
        <v>9129</v>
      </c>
      <c r="G43" t="s">
        <v>15</v>
      </c>
      <c r="H43" t="s">
        <v>14</v>
      </c>
      <c r="I43" t="s">
        <v>9128</v>
      </c>
      <c r="N43">
        <v>2</v>
      </c>
      <c r="O43" t="s">
        <v>9127</v>
      </c>
      <c r="P43" t="s">
        <v>9126</v>
      </c>
      <c r="Q43" t="s">
        <v>501</v>
      </c>
      <c r="R43" s="7">
        <v>32264</v>
      </c>
      <c r="S43" s="8">
        <f t="shared" si="8"/>
        <v>1988</v>
      </c>
      <c r="T43" s="8">
        <v>1988</v>
      </c>
      <c r="U43" s="8">
        <f t="shared" si="9"/>
        <v>34</v>
      </c>
      <c r="V43" s="7">
        <v>32264</v>
      </c>
      <c r="W43" t="s">
        <v>950</v>
      </c>
      <c r="X43" s="2">
        <v>0.14099999999999999</v>
      </c>
      <c r="Y43" s="6">
        <f t="shared" si="2"/>
        <v>3.7639144710498915E-3</v>
      </c>
      <c r="AA43">
        <v>402508</v>
      </c>
      <c r="AB43">
        <v>20868</v>
      </c>
      <c r="AD43" t="s">
        <v>4</v>
      </c>
      <c r="AE43">
        <v>43</v>
      </c>
      <c r="AF43">
        <v>5</v>
      </c>
      <c r="AH43" t="s">
        <v>2742</v>
      </c>
      <c r="AI43" t="s">
        <v>9125</v>
      </c>
      <c r="AK43" t="s">
        <v>9124</v>
      </c>
      <c r="AL43">
        <v>0</v>
      </c>
      <c r="AM43" s="5">
        <f t="shared" si="10"/>
        <v>0</v>
      </c>
      <c r="AN43" s="4">
        <f t="shared" si="4"/>
        <v>0</v>
      </c>
      <c r="AO43" s="3"/>
      <c r="AP43">
        <v>0</v>
      </c>
      <c r="AR43" t="s">
        <v>0</v>
      </c>
      <c r="AT43" s="2" t="s">
        <v>19</v>
      </c>
      <c r="AU43" s="1">
        <f t="shared" si="11"/>
        <v>0.26347401297349238</v>
      </c>
      <c r="AV43" s="1">
        <f t="shared" si="12"/>
        <v>0.18819572355249459</v>
      </c>
      <c r="AW43" s="1">
        <f t="shared" si="13"/>
        <v>0.11291743413149673</v>
      </c>
    </row>
    <row r="44" spans="1:49" x14ac:dyDescent="0.2">
      <c r="A44">
        <v>42</v>
      </c>
      <c r="B44" t="s">
        <v>9123</v>
      </c>
      <c r="F44" t="s">
        <v>9122</v>
      </c>
      <c r="G44" t="s">
        <v>15</v>
      </c>
      <c r="H44" t="s">
        <v>14</v>
      </c>
      <c r="I44" t="s">
        <v>9121</v>
      </c>
      <c r="N44">
        <v>3</v>
      </c>
      <c r="O44" t="s">
        <v>9120</v>
      </c>
      <c r="P44" t="s">
        <v>9119</v>
      </c>
      <c r="Q44" t="s">
        <v>532</v>
      </c>
      <c r="R44" s="7">
        <v>32264</v>
      </c>
      <c r="S44" s="8">
        <f t="shared" si="8"/>
        <v>1988</v>
      </c>
      <c r="T44" s="8">
        <v>1988</v>
      </c>
      <c r="U44" s="8">
        <f t="shared" si="9"/>
        <v>34</v>
      </c>
      <c r="V44" s="7">
        <v>32264</v>
      </c>
      <c r="W44" t="s">
        <v>950</v>
      </c>
      <c r="X44" s="2">
        <v>0.14099999999999999</v>
      </c>
      <c r="Y44" s="6">
        <f t="shared" si="2"/>
        <v>3.7639144710498915E-3</v>
      </c>
      <c r="AA44">
        <v>402508</v>
      </c>
      <c r="AB44">
        <v>20868</v>
      </c>
      <c r="AD44" t="s">
        <v>4</v>
      </c>
      <c r="AE44">
        <v>43</v>
      </c>
      <c r="AF44">
        <v>5</v>
      </c>
      <c r="AH44" t="s">
        <v>9118</v>
      </c>
      <c r="AI44" t="s">
        <v>9117</v>
      </c>
      <c r="AK44" t="s">
        <v>9116</v>
      </c>
      <c r="AL44">
        <v>0</v>
      </c>
      <c r="AM44" s="5">
        <f t="shared" si="10"/>
        <v>0</v>
      </c>
      <c r="AN44" s="4">
        <f t="shared" si="4"/>
        <v>0</v>
      </c>
      <c r="AO44" s="3"/>
      <c r="AP44">
        <v>0</v>
      </c>
      <c r="AR44" t="s">
        <v>0</v>
      </c>
      <c r="AT44" s="2" t="s">
        <v>19</v>
      </c>
      <c r="AU44" s="1">
        <f t="shared" si="11"/>
        <v>0.26347401297349238</v>
      </c>
      <c r="AV44" s="1">
        <f t="shared" si="12"/>
        <v>0.18819572355249459</v>
      </c>
      <c r="AW44" s="1">
        <f t="shared" si="13"/>
        <v>0.11291743413149673</v>
      </c>
    </row>
    <row r="45" spans="1:49" x14ac:dyDescent="0.2">
      <c r="A45">
        <v>43</v>
      </c>
      <c r="B45" t="s">
        <v>9115</v>
      </c>
      <c r="F45" t="s">
        <v>9114</v>
      </c>
      <c r="G45" t="s">
        <v>15</v>
      </c>
      <c r="H45" t="s">
        <v>14</v>
      </c>
      <c r="I45" t="s">
        <v>9113</v>
      </c>
      <c r="N45">
        <v>1</v>
      </c>
      <c r="O45" t="s">
        <v>9112</v>
      </c>
      <c r="P45">
        <v>7006448246</v>
      </c>
      <c r="R45" s="7">
        <v>32264</v>
      </c>
      <c r="S45" s="8">
        <f t="shared" si="8"/>
        <v>1988</v>
      </c>
      <c r="T45" s="8">
        <v>1988</v>
      </c>
      <c r="U45" s="8">
        <f t="shared" si="9"/>
        <v>34</v>
      </c>
      <c r="V45" s="7">
        <v>32264</v>
      </c>
      <c r="W45" t="s">
        <v>950</v>
      </c>
      <c r="X45" s="2">
        <v>0.14099999999999999</v>
      </c>
      <c r="Y45" s="6">
        <f t="shared" si="2"/>
        <v>3.7639144710498915E-3</v>
      </c>
      <c r="AA45">
        <v>402508</v>
      </c>
      <c r="AB45">
        <v>20868</v>
      </c>
      <c r="AD45" t="s">
        <v>4</v>
      </c>
      <c r="AE45">
        <v>43</v>
      </c>
      <c r="AF45">
        <v>5</v>
      </c>
      <c r="AH45" t="s">
        <v>9111</v>
      </c>
      <c r="AI45" t="s">
        <v>9110</v>
      </c>
      <c r="AK45" t="s">
        <v>9109</v>
      </c>
      <c r="AL45">
        <v>0</v>
      </c>
      <c r="AM45" s="5">
        <f t="shared" si="10"/>
        <v>0</v>
      </c>
      <c r="AN45" s="4">
        <f t="shared" si="4"/>
        <v>0</v>
      </c>
      <c r="AO45" s="3"/>
      <c r="AP45">
        <v>0</v>
      </c>
      <c r="AR45" t="s">
        <v>0</v>
      </c>
      <c r="AT45" s="2" t="s">
        <v>19</v>
      </c>
      <c r="AU45" s="1">
        <f t="shared" si="11"/>
        <v>0.26347401297349238</v>
      </c>
      <c r="AV45" s="1">
        <f t="shared" si="12"/>
        <v>0.18819572355249459</v>
      </c>
      <c r="AW45" s="1">
        <f t="shared" si="13"/>
        <v>0.11291743413149673</v>
      </c>
    </row>
    <row r="46" spans="1:49" x14ac:dyDescent="0.2">
      <c r="A46">
        <v>44</v>
      </c>
      <c r="B46" t="s">
        <v>9108</v>
      </c>
      <c r="F46" t="s">
        <v>9107</v>
      </c>
      <c r="G46" t="s">
        <v>15</v>
      </c>
      <c r="H46" t="s">
        <v>14</v>
      </c>
      <c r="I46" t="s">
        <v>9106</v>
      </c>
      <c r="N46">
        <v>2</v>
      </c>
      <c r="O46" t="s">
        <v>9105</v>
      </c>
      <c r="P46" t="s">
        <v>9104</v>
      </c>
      <c r="Q46" t="s">
        <v>501</v>
      </c>
      <c r="R46" s="7">
        <v>32264</v>
      </c>
      <c r="S46" s="8">
        <f t="shared" si="8"/>
        <v>1988</v>
      </c>
      <c r="T46" s="8">
        <v>1988</v>
      </c>
      <c r="U46" s="8">
        <f t="shared" si="9"/>
        <v>34</v>
      </c>
      <c r="V46" s="7">
        <v>32264</v>
      </c>
      <c r="W46" t="s">
        <v>950</v>
      </c>
      <c r="X46" s="2">
        <v>0.14099999999999999</v>
      </c>
      <c r="Y46" s="6">
        <f t="shared" si="2"/>
        <v>3.7639144710498915E-3</v>
      </c>
      <c r="AA46">
        <v>402508</v>
      </c>
      <c r="AB46">
        <v>20868</v>
      </c>
      <c r="AD46" t="s">
        <v>4</v>
      </c>
      <c r="AE46">
        <v>43</v>
      </c>
      <c r="AF46">
        <v>5</v>
      </c>
      <c r="AH46" t="s">
        <v>3030</v>
      </c>
      <c r="AI46" t="s">
        <v>9103</v>
      </c>
      <c r="AK46" t="s">
        <v>9102</v>
      </c>
      <c r="AL46">
        <v>0</v>
      </c>
      <c r="AM46" s="5">
        <f t="shared" si="10"/>
        <v>0</v>
      </c>
      <c r="AN46" s="4">
        <f t="shared" si="4"/>
        <v>0</v>
      </c>
      <c r="AO46" s="3"/>
      <c r="AP46">
        <v>0</v>
      </c>
      <c r="AR46" t="s">
        <v>0</v>
      </c>
      <c r="AT46" s="2" t="s">
        <v>19</v>
      </c>
      <c r="AU46" s="1">
        <f t="shared" si="11"/>
        <v>0.26347401297349238</v>
      </c>
      <c r="AV46" s="1">
        <f t="shared" si="12"/>
        <v>0.18819572355249459</v>
      </c>
      <c r="AW46" s="1">
        <f t="shared" si="13"/>
        <v>0.11291743413149673</v>
      </c>
    </row>
    <row r="47" spans="1:49" x14ac:dyDescent="0.2">
      <c r="A47">
        <v>45</v>
      </c>
      <c r="B47" t="s">
        <v>9101</v>
      </c>
      <c r="F47" t="s">
        <v>9100</v>
      </c>
      <c r="G47" t="s">
        <v>15</v>
      </c>
      <c r="H47" t="s">
        <v>14</v>
      </c>
      <c r="I47" t="s">
        <v>8455</v>
      </c>
      <c r="N47">
        <v>3</v>
      </c>
      <c r="O47" t="s">
        <v>9099</v>
      </c>
      <c r="P47" t="s">
        <v>9098</v>
      </c>
      <c r="Q47" t="s">
        <v>532</v>
      </c>
      <c r="R47" s="7">
        <v>32264</v>
      </c>
      <c r="S47" s="8">
        <f t="shared" si="8"/>
        <v>1988</v>
      </c>
      <c r="T47" s="8">
        <v>1988</v>
      </c>
      <c r="U47" s="8">
        <f t="shared" si="9"/>
        <v>34</v>
      </c>
      <c r="V47" s="7">
        <v>32264</v>
      </c>
      <c r="W47" t="s">
        <v>950</v>
      </c>
      <c r="X47" s="2">
        <v>0.14099999999999999</v>
      </c>
      <c r="Y47" s="6">
        <f t="shared" si="2"/>
        <v>3.7639144710498915E-3</v>
      </c>
      <c r="AA47">
        <v>402508</v>
      </c>
      <c r="AB47">
        <v>20868</v>
      </c>
      <c r="AD47" t="s">
        <v>4</v>
      </c>
      <c r="AE47">
        <v>43</v>
      </c>
      <c r="AF47">
        <v>5</v>
      </c>
      <c r="AH47" t="s">
        <v>9097</v>
      </c>
      <c r="AI47" t="s">
        <v>9096</v>
      </c>
      <c r="AK47" t="s">
        <v>9095</v>
      </c>
      <c r="AL47">
        <v>3</v>
      </c>
      <c r="AM47" s="5">
        <f t="shared" si="10"/>
        <v>8.8235294117647065E-2</v>
      </c>
      <c r="AN47" s="4">
        <f t="shared" si="4"/>
        <v>1.3363921865603494E-4</v>
      </c>
      <c r="AO47" s="3"/>
      <c r="AP47">
        <v>0</v>
      </c>
      <c r="AR47" t="s">
        <v>0</v>
      </c>
      <c r="AT47" s="2" t="s">
        <v>19</v>
      </c>
      <c r="AU47" s="1">
        <f t="shared" si="11"/>
        <v>0.26748318953317346</v>
      </c>
      <c r="AV47" s="1">
        <f t="shared" si="12"/>
        <v>0.19487768448529633</v>
      </c>
      <c r="AW47" s="1">
        <f t="shared" si="13"/>
        <v>0.12227217943741918</v>
      </c>
    </row>
    <row r="48" spans="1:49" x14ac:dyDescent="0.2">
      <c r="A48">
        <v>46</v>
      </c>
      <c r="B48" t="s">
        <v>9094</v>
      </c>
      <c r="F48" t="s">
        <v>9093</v>
      </c>
      <c r="G48" t="s">
        <v>15</v>
      </c>
      <c r="H48" t="s">
        <v>14</v>
      </c>
      <c r="I48" t="s">
        <v>9092</v>
      </c>
      <c r="N48">
        <v>4</v>
      </c>
      <c r="O48" t="s">
        <v>9091</v>
      </c>
      <c r="P48" t="s">
        <v>9090</v>
      </c>
      <c r="Q48" t="s">
        <v>523</v>
      </c>
      <c r="R48" s="7">
        <v>32264</v>
      </c>
      <c r="S48" s="8">
        <f t="shared" si="8"/>
        <v>1988</v>
      </c>
      <c r="T48" s="8">
        <v>1988</v>
      </c>
      <c r="U48" s="8">
        <f t="shared" si="9"/>
        <v>34</v>
      </c>
      <c r="V48" s="7">
        <v>32264</v>
      </c>
      <c r="W48" t="s">
        <v>500</v>
      </c>
      <c r="X48" s="2" t="s">
        <v>19</v>
      </c>
      <c r="Y48" s="6" t="e">
        <f t="shared" si="2"/>
        <v>#VALUE!</v>
      </c>
      <c r="AA48">
        <v>87566648</v>
      </c>
      <c r="AB48">
        <v>74127</v>
      </c>
      <c r="AD48" t="s">
        <v>4</v>
      </c>
      <c r="AE48">
        <v>33</v>
      </c>
      <c r="AF48">
        <v>5</v>
      </c>
      <c r="AH48" t="s">
        <v>9089</v>
      </c>
      <c r="AI48" t="s">
        <v>9088</v>
      </c>
      <c r="AK48" t="s">
        <v>9087</v>
      </c>
      <c r="AL48">
        <v>0</v>
      </c>
      <c r="AM48" s="5">
        <f t="shared" si="10"/>
        <v>0</v>
      </c>
      <c r="AN48" s="4">
        <f t="shared" si="4"/>
        <v>0</v>
      </c>
      <c r="AO48" s="3"/>
      <c r="AP48">
        <v>0</v>
      </c>
      <c r="AR48" t="s">
        <v>0</v>
      </c>
      <c r="AT48" s="2" t="s">
        <v>19</v>
      </c>
      <c r="AU48" s="1" t="e">
        <f t="shared" si="11"/>
        <v>#VALUE!</v>
      </c>
      <c r="AV48" s="1" t="e">
        <f t="shared" si="12"/>
        <v>#VALUE!</v>
      </c>
      <c r="AW48" s="1" t="e">
        <f t="shared" si="13"/>
        <v>#VALUE!</v>
      </c>
    </row>
    <row r="49" spans="1:49" x14ac:dyDescent="0.2">
      <c r="A49">
        <v>47</v>
      </c>
      <c r="B49" t="s">
        <v>9086</v>
      </c>
      <c r="F49" t="s">
        <v>9085</v>
      </c>
      <c r="G49" t="s">
        <v>15</v>
      </c>
      <c r="H49" t="s">
        <v>14</v>
      </c>
      <c r="I49" t="s">
        <v>8804</v>
      </c>
      <c r="J49">
        <v>101299945</v>
      </c>
      <c r="K49" t="s">
        <v>9084</v>
      </c>
      <c r="N49">
        <v>1</v>
      </c>
      <c r="O49" t="s">
        <v>8802</v>
      </c>
      <c r="P49">
        <v>36977502300</v>
      </c>
      <c r="Q49">
        <v>101299945</v>
      </c>
      <c r="R49" s="7">
        <v>32264</v>
      </c>
      <c r="S49" s="8">
        <f t="shared" si="8"/>
        <v>1988</v>
      </c>
      <c r="T49" s="8">
        <v>1988</v>
      </c>
      <c r="U49" s="8">
        <f t="shared" si="9"/>
        <v>34</v>
      </c>
      <c r="V49" s="7">
        <v>32264</v>
      </c>
      <c r="W49" t="s">
        <v>8809</v>
      </c>
      <c r="X49" s="2" t="s">
        <v>19</v>
      </c>
      <c r="Y49" s="6" t="e">
        <f t="shared" si="2"/>
        <v>#VALUE!</v>
      </c>
      <c r="AA49">
        <v>49042</v>
      </c>
      <c r="AB49">
        <v>24133</v>
      </c>
      <c r="AD49" t="s">
        <v>4</v>
      </c>
      <c r="AE49">
        <v>21</v>
      </c>
      <c r="AF49">
        <v>5</v>
      </c>
      <c r="AH49" t="s">
        <v>9083</v>
      </c>
      <c r="AI49" t="s">
        <v>9082</v>
      </c>
      <c r="AK49" t="s">
        <v>9081</v>
      </c>
      <c r="AL49">
        <v>0</v>
      </c>
      <c r="AM49" s="5">
        <f t="shared" si="10"/>
        <v>0</v>
      </c>
      <c r="AN49" s="4">
        <f t="shared" si="4"/>
        <v>0</v>
      </c>
      <c r="AO49" s="3"/>
      <c r="AP49">
        <v>0</v>
      </c>
      <c r="AR49" t="s">
        <v>0</v>
      </c>
      <c r="AT49" s="2" t="s">
        <v>19</v>
      </c>
      <c r="AU49" s="1" t="e">
        <f t="shared" si="11"/>
        <v>#VALUE!</v>
      </c>
      <c r="AV49" s="1" t="e">
        <f t="shared" si="12"/>
        <v>#VALUE!</v>
      </c>
      <c r="AW49" s="1" t="e">
        <f t="shared" si="13"/>
        <v>#VALUE!</v>
      </c>
    </row>
    <row r="50" spans="1:49" x14ac:dyDescent="0.2">
      <c r="A50">
        <v>48</v>
      </c>
      <c r="B50" t="s">
        <v>9080</v>
      </c>
      <c r="F50" t="s">
        <v>9079</v>
      </c>
      <c r="G50" t="s">
        <v>15</v>
      </c>
      <c r="H50" t="s">
        <v>14</v>
      </c>
      <c r="I50" t="s">
        <v>9078</v>
      </c>
      <c r="J50">
        <v>60072226</v>
      </c>
      <c r="K50" t="s">
        <v>9056</v>
      </c>
      <c r="L50" t="s">
        <v>9055</v>
      </c>
      <c r="M50" t="s">
        <v>300</v>
      </c>
      <c r="N50">
        <v>4</v>
      </c>
      <c r="O50" t="s">
        <v>9077</v>
      </c>
      <c r="P50" t="s">
        <v>9076</v>
      </c>
      <c r="Q50" t="s">
        <v>9075</v>
      </c>
      <c r="R50" s="7">
        <v>32264</v>
      </c>
      <c r="S50" s="8">
        <f t="shared" si="8"/>
        <v>1988</v>
      </c>
      <c r="T50" s="8">
        <v>1988</v>
      </c>
      <c r="U50" s="8">
        <f t="shared" si="9"/>
        <v>34</v>
      </c>
      <c r="V50" s="7">
        <v>32264</v>
      </c>
      <c r="W50" t="s">
        <v>9051</v>
      </c>
      <c r="X50" s="2" t="s">
        <v>19</v>
      </c>
      <c r="Y50" s="6" t="e">
        <f t="shared" si="2"/>
        <v>#VALUE!</v>
      </c>
      <c r="AA50">
        <v>2511096</v>
      </c>
      <c r="AB50">
        <v>26110</v>
      </c>
      <c r="AD50" t="s">
        <v>4</v>
      </c>
      <c r="AE50" t="s">
        <v>9050</v>
      </c>
      <c r="AH50" t="s">
        <v>9074</v>
      </c>
      <c r="AI50" t="s">
        <v>9073</v>
      </c>
      <c r="AK50" t="s">
        <v>9072</v>
      </c>
      <c r="AL50">
        <v>1</v>
      </c>
      <c r="AM50" s="5">
        <f t="shared" si="10"/>
        <v>2.9411764705882353E-2</v>
      </c>
      <c r="AN50" s="4">
        <f t="shared" si="4"/>
        <v>4.4546406218678307E-5</v>
      </c>
      <c r="AO50" s="3"/>
      <c r="AP50">
        <v>0</v>
      </c>
      <c r="AR50" t="s">
        <v>0</v>
      </c>
      <c r="AT50" s="2" t="s">
        <v>19</v>
      </c>
      <c r="AU50" s="1" t="e">
        <f t="shared" si="11"/>
        <v>#VALUE!</v>
      </c>
      <c r="AV50" s="1" t="e">
        <f t="shared" si="12"/>
        <v>#VALUE!</v>
      </c>
      <c r="AW50" s="1" t="e">
        <f t="shared" si="13"/>
        <v>#VALUE!</v>
      </c>
    </row>
    <row r="51" spans="1:49" x14ac:dyDescent="0.2">
      <c r="A51">
        <v>49</v>
      </c>
      <c r="B51" t="s">
        <v>9071</v>
      </c>
      <c r="F51" t="s">
        <v>9070</v>
      </c>
      <c r="G51" t="s">
        <v>15</v>
      </c>
      <c r="H51" t="s">
        <v>14</v>
      </c>
      <c r="I51" t="s">
        <v>8548</v>
      </c>
      <c r="N51">
        <v>1</v>
      </c>
      <c r="O51" t="s">
        <v>8547</v>
      </c>
      <c r="P51">
        <v>1</v>
      </c>
      <c r="R51" s="7">
        <v>32264</v>
      </c>
      <c r="S51" s="8">
        <f t="shared" si="8"/>
        <v>1988</v>
      </c>
      <c r="T51" s="8">
        <v>1988</v>
      </c>
      <c r="U51" s="8">
        <f t="shared" si="9"/>
        <v>34</v>
      </c>
      <c r="V51" s="7">
        <v>32264</v>
      </c>
      <c r="W51" t="s">
        <v>9069</v>
      </c>
      <c r="X51" s="2" t="s">
        <v>19</v>
      </c>
      <c r="Y51" s="6" t="e">
        <f t="shared" si="2"/>
        <v>#VALUE!</v>
      </c>
      <c r="AA51">
        <v>3854507</v>
      </c>
      <c r="AB51">
        <v>37257</v>
      </c>
      <c r="AD51" t="s">
        <v>4</v>
      </c>
      <c r="AE51">
        <v>25</v>
      </c>
      <c r="AF51">
        <v>257</v>
      </c>
      <c r="AH51" t="s">
        <v>2472</v>
      </c>
      <c r="AI51" t="s">
        <v>9068</v>
      </c>
      <c r="AK51" t="s">
        <v>9067</v>
      </c>
      <c r="AL51">
        <v>0</v>
      </c>
      <c r="AM51" s="5">
        <f t="shared" si="10"/>
        <v>0</v>
      </c>
      <c r="AN51" s="4">
        <f t="shared" si="4"/>
        <v>0</v>
      </c>
      <c r="AO51" s="3"/>
      <c r="AP51">
        <v>0</v>
      </c>
      <c r="AR51" t="s">
        <v>0</v>
      </c>
      <c r="AT51" s="2" t="s">
        <v>19</v>
      </c>
      <c r="AU51" s="1" t="e">
        <f t="shared" si="11"/>
        <v>#VALUE!</v>
      </c>
      <c r="AV51" s="1" t="e">
        <f t="shared" si="12"/>
        <v>#VALUE!</v>
      </c>
      <c r="AW51" s="1" t="e">
        <f t="shared" si="13"/>
        <v>#VALUE!</v>
      </c>
    </row>
    <row r="52" spans="1:49" x14ac:dyDescent="0.2">
      <c r="A52">
        <v>50</v>
      </c>
      <c r="B52" t="s">
        <v>9066</v>
      </c>
      <c r="F52" t="s">
        <v>9065</v>
      </c>
      <c r="G52" t="s">
        <v>15</v>
      </c>
      <c r="H52" t="s">
        <v>14</v>
      </c>
      <c r="I52" t="s">
        <v>9064</v>
      </c>
      <c r="N52">
        <v>1</v>
      </c>
      <c r="O52" t="s">
        <v>9063</v>
      </c>
      <c r="P52">
        <v>7003764513</v>
      </c>
      <c r="R52" s="7">
        <v>32264</v>
      </c>
      <c r="S52" s="8">
        <f t="shared" si="8"/>
        <v>1988</v>
      </c>
      <c r="T52" s="8">
        <v>1988</v>
      </c>
      <c r="U52" s="8">
        <f t="shared" si="9"/>
        <v>34</v>
      </c>
      <c r="V52" s="7">
        <v>32264</v>
      </c>
      <c r="W52" t="s">
        <v>500</v>
      </c>
      <c r="X52" s="2" t="s">
        <v>19</v>
      </c>
      <c r="Y52" s="6" t="e">
        <f t="shared" si="2"/>
        <v>#VALUE!</v>
      </c>
      <c r="AA52">
        <v>87566648</v>
      </c>
      <c r="AB52">
        <v>74127</v>
      </c>
      <c r="AD52" t="s">
        <v>4</v>
      </c>
      <c r="AE52">
        <v>33</v>
      </c>
      <c r="AF52">
        <v>5</v>
      </c>
      <c r="AH52" t="s">
        <v>9062</v>
      </c>
      <c r="AI52" t="s">
        <v>9061</v>
      </c>
      <c r="AK52" t="s">
        <v>9060</v>
      </c>
      <c r="AL52">
        <v>0</v>
      </c>
      <c r="AM52" s="5">
        <f t="shared" si="10"/>
        <v>0</v>
      </c>
      <c r="AN52" s="4">
        <f t="shared" si="4"/>
        <v>0</v>
      </c>
      <c r="AO52" s="3"/>
      <c r="AP52">
        <v>0</v>
      </c>
      <c r="AR52" t="s">
        <v>0</v>
      </c>
      <c r="AT52" s="2" t="s">
        <v>19</v>
      </c>
      <c r="AU52" s="1" t="e">
        <f t="shared" si="11"/>
        <v>#VALUE!</v>
      </c>
      <c r="AV52" s="1" t="e">
        <f t="shared" si="12"/>
        <v>#VALUE!</v>
      </c>
      <c r="AW52" s="1" t="e">
        <f t="shared" si="13"/>
        <v>#VALUE!</v>
      </c>
    </row>
    <row r="53" spans="1:49" x14ac:dyDescent="0.2">
      <c r="A53">
        <v>51</v>
      </c>
      <c r="B53" t="s">
        <v>9059</v>
      </c>
      <c r="F53" t="s">
        <v>9058</v>
      </c>
      <c r="G53" t="s">
        <v>15</v>
      </c>
      <c r="H53" t="s">
        <v>14</v>
      </c>
      <c r="I53" t="s">
        <v>9057</v>
      </c>
      <c r="J53">
        <v>60072226</v>
      </c>
      <c r="K53" t="s">
        <v>9056</v>
      </c>
      <c r="L53" t="s">
        <v>9055</v>
      </c>
      <c r="M53" t="s">
        <v>300</v>
      </c>
      <c r="N53">
        <v>3</v>
      </c>
      <c r="O53" t="s">
        <v>9054</v>
      </c>
      <c r="P53" t="s">
        <v>9053</v>
      </c>
      <c r="Q53" t="s">
        <v>9052</v>
      </c>
      <c r="R53" s="7">
        <v>32264</v>
      </c>
      <c r="S53" s="8">
        <f t="shared" si="8"/>
        <v>1988</v>
      </c>
      <c r="T53" s="8">
        <v>1988</v>
      </c>
      <c r="U53" s="8">
        <f t="shared" si="9"/>
        <v>34</v>
      </c>
      <c r="V53" s="7">
        <v>32264</v>
      </c>
      <c r="W53" t="s">
        <v>9051</v>
      </c>
      <c r="X53" s="2" t="s">
        <v>19</v>
      </c>
      <c r="Y53" s="6" t="e">
        <f t="shared" si="2"/>
        <v>#VALUE!</v>
      </c>
      <c r="AA53">
        <v>2511096</v>
      </c>
      <c r="AB53">
        <v>26110</v>
      </c>
      <c r="AD53" t="s">
        <v>4</v>
      </c>
      <c r="AE53" t="s">
        <v>9050</v>
      </c>
      <c r="AH53" t="s">
        <v>9049</v>
      </c>
      <c r="AI53" t="s">
        <v>9048</v>
      </c>
      <c r="AK53" t="s">
        <v>9047</v>
      </c>
      <c r="AL53">
        <v>0</v>
      </c>
      <c r="AM53" s="5">
        <f t="shared" si="10"/>
        <v>0</v>
      </c>
      <c r="AN53" s="4">
        <f t="shared" si="4"/>
        <v>0</v>
      </c>
      <c r="AO53" s="3"/>
      <c r="AP53">
        <v>0</v>
      </c>
      <c r="AR53" t="s">
        <v>0</v>
      </c>
      <c r="AT53" s="2" t="s">
        <v>19</v>
      </c>
      <c r="AU53" s="1" t="e">
        <f t="shared" si="11"/>
        <v>#VALUE!</v>
      </c>
      <c r="AV53" s="1" t="e">
        <f t="shared" si="12"/>
        <v>#VALUE!</v>
      </c>
      <c r="AW53" s="1" t="e">
        <f t="shared" si="13"/>
        <v>#VALUE!</v>
      </c>
    </row>
    <row r="54" spans="1:49" x14ac:dyDescent="0.2">
      <c r="A54">
        <v>52</v>
      </c>
      <c r="B54" t="s">
        <v>9046</v>
      </c>
      <c r="C54" t="s">
        <v>9045</v>
      </c>
      <c r="F54" t="s">
        <v>9044</v>
      </c>
      <c r="G54" t="s">
        <v>15</v>
      </c>
      <c r="H54" t="s">
        <v>14</v>
      </c>
      <c r="I54" t="s">
        <v>9043</v>
      </c>
      <c r="J54">
        <v>100352200</v>
      </c>
      <c r="K54" t="s">
        <v>9042</v>
      </c>
      <c r="L54" t="s">
        <v>9041</v>
      </c>
      <c r="M54" t="s">
        <v>31</v>
      </c>
      <c r="N54">
        <v>2</v>
      </c>
      <c r="O54" t="s">
        <v>9040</v>
      </c>
      <c r="P54" t="s">
        <v>9039</v>
      </c>
      <c r="Q54" t="s">
        <v>9038</v>
      </c>
      <c r="R54" s="7">
        <v>32264</v>
      </c>
      <c r="S54" s="8">
        <f t="shared" si="8"/>
        <v>1988</v>
      </c>
      <c r="T54" s="8">
        <v>1988</v>
      </c>
      <c r="U54" s="8">
        <f t="shared" si="9"/>
        <v>34</v>
      </c>
      <c r="V54" s="7">
        <v>32264</v>
      </c>
      <c r="W54" t="s">
        <v>8296</v>
      </c>
      <c r="X54" s="2">
        <v>0.61499999999999999</v>
      </c>
      <c r="Y54" s="6">
        <f t="shared" si="2"/>
        <v>1.6417073756706976E-2</v>
      </c>
      <c r="AA54">
        <v>1959271</v>
      </c>
      <c r="AB54">
        <v>12141</v>
      </c>
      <c r="AC54">
        <v>15729559</v>
      </c>
      <c r="AD54" t="s">
        <v>4</v>
      </c>
      <c r="AE54">
        <v>9</v>
      </c>
      <c r="AF54">
        <v>5</v>
      </c>
      <c r="AH54" t="s">
        <v>9037</v>
      </c>
      <c r="AI54" t="s">
        <v>9036</v>
      </c>
      <c r="AK54" t="s">
        <v>9035</v>
      </c>
      <c r="AL54">
        <v>2</v>
      </c>
      <c r="AM54" s="5">
        <f t="shared" si="10"/>
        <v>5.8823529411764705E-2</v>
      </c>
      <c r="AN54" s="4">
        <f t="shared" si="4"/>
        <v>8.9092812437356614E-5</v>
      </c>
      <c r="AO54" s="3"/>
      <c r="AP54">
        <v>0</v>
      </c>
      <c r="AR54" t="s">
        <v>0</v>
      </c>
      <c r="AT54" s="2" t="s">
        <v>19</v>
      </c>
      <c r="AU54" s="1">
        <f t="shared" si="11"/>
        <v>1.1518679473426088</v>
      </c>
      <c r="AV54" s="1">
        <f t="shared" si="12"/>
        <v>0.82530832845721658</v>
      </c>
      <c r="AW54" s="1">
        <f t="shared" si="13"/>
        <v>0.49874870957182421</v>
      </c>
    </row>
    <row r="55" spans="1:49" x14ac:dyDescent="0.2">
      <c r="A55">
        <v>53</v>
      </c>
      <c r="B55" t="s">
        <v>9034</v>
      </c>
      <c r="C55" t="s">
        <v>9033</v>
      </c>
      <c r="F55" t="s">
        <v>9032</v>
      </c>
      <c r="G55" t="s">
        <v>15</v>
      </c>
      <c r="H55" t="s">
        <v>14</v>
      </c>
      <c r="I55" t="s">
        <v>9031</v>
      </c>
      <c r="J55" t="s">
        <v>9030</v>
      </c>
      <c r="K55" t="s">
        <v>9029</v>
      </c>
      <c r="L55" t="s">
        <v>9028</v>
      </c>
      <c r="M55" t="s">
        <v>9</v>
      </c>
      <c r="N55">
        <v>3</v>
      </c>
      <c r="O55" t="s">
        <v>9027</v>
      </c>
      <c r="P55" t="s">
        <v>9026</v>
      </c>
      <c r="Q55" t="s">
        <v>9025</v>
      </c>
      <c r="R55" s="7">
        <v>32264</v>
      </c>
      <c r="S55" s="8">
        <f t="shared" si="8"/>
        <v>1988</v>
      </c>
      <c r="T55" s="8">
        <v>1988</v>
      </c>
      <c r="U55" s="8">
        <f t="shared" si="9"/>
        <v>34</v>
      </c>
      <c r="V55" s="7">
        <v>32264</v>
      </c>
      <c r="W55" t="s">
        <v>191</v>
      </c>
      <c r="X55" s="2">
        <v>0.85499999999999998</v>
      </c>
      <c r="Y55" s="6">
        <f t="shared" si="2"/>
        <v>2.28237366861536E-2</v>
      </c>
      <c r="AA55">
        <v>980331</v>
      </c>
      <c r="AB55">
        <v>23342</v>
      </c>
      <c r="AC55">
        <v>15731561</v>
      </c>
      <c r="AD55" t="s">
        <v>4</v>
      </c>
      <c r="AE55">
        <v>14</v>
      </c>
      <c r="AF55">
        <v>5</v>
      </c>
      <c r="AH55" t="s">
        <v>9024</v>
      </c>
      <c r="AI55" t="s">
        <v>9023</v>
      </c>
      <c r="AJ55" t="s">
        <v>9022</v>
      </c>
      <c r="AK55" t="s">
        <v>9021</v>
      </c>
      <c r="AL55">
        <v>17</v>
      </c>
      <c r="AM55" s="5">
        <f t="shared" si="10"/>
        <v>0.5</v>
      </c>
      <c r="AN55" s="4">
        <f t="shared" si="4"/>
        <v>7.572889057175312E-4</v>
      </c>
      <c r="AO55" s="3"/>
      <c r="AP55">
        <v>0</v>
      </c>
      <c r="AR55" t="s">
        <v>0</v>
      </c>
      <c r="AT55" s="2">
        <v>2.6259999999999999</v>
      </c>
      <c r="AU55" s="1">
        <f t="shared" si="11"/>
        <v>1.6203802352022778</v>
      </c>
      <c r="AV55" s="1">
        <f t="shared" si="12"/>
        <v>1.1790512795935566</v>
      </c>
      <c r="AW55" s="1">
        <f t="shared" si="13"/>
        <v>0.73772232398483517</v>
      </c>
    </row>
    <row r="56" spans="1:49" x14ac:dyDescent="0.2">
      <c r="A56">
        <v>54</v>
      </c>
      <c r="B56" t="s">
        <v>9020</v>
      </c>
      <c r="C56" t="s">
        <v>9019</v>
      </c>
      <c r="F56" t="s">
        <v>9018</v>
      </c>
      <c r="G56" t="s">
        <v>15</v>
      </c>
      <c r="H56" t="s">
        <v>14</v>
      </c>
      <c r="I56" t="s">
        <v>9017</v>
      </c>
      <c r="J56">
        <v>60011373</v>
      </c>
      <c r="K56" t="s">
        <v>3544</v>
      </c>
      <c r="L56" t="s">
        <v>3543</v>
      </c>
      <c r="M56" t="s">
        <v>3542</v>
      </c>
      <c r="N56">
        <v>2</v>
      </c>
      <c r="O56" t="s">
        <v>9016</v>
      </c>
      <c r="P56" t="s">
        <v>9015</v>
      </c>
      <c r="Q56" t="s">
        <v>3539</v>
      </c>
      <c r="R56" s="7">
        <v>32264</v>
      </c>
      <c r="S56" s="8">
        <f t="shared" si="8"/>
        <v>1988</v>
      </c>
      <c r="T56" s="8">
        <v>1988</v>
      </c>
      <c r="U56" s="8">
        <f t="shared" si="9"/>
        <v>34</v>
      </c>
      <c r="V56" s="7">
        <v>32264</v>
      </c>
      <c r="W56" t="s">
        <v>9014</v>
      </c>
      <c r="X56" s="2">
        <v>0.66400000000000003</v>
      </c>
      <c r="Y56" s="6">
        <f t="shared" si="2"/>
        <v>1.7725100771468997E-2</v>
      </c>
      <c r="AA56">
        <v>1757571</v>
      </c>
      <c r="AB56">
        <v>14877</v>
      </c>
      <c r="AC56">
        <v>14321017</v>
      </c>
      <c r="AD56" t="s">
        <v>4</v>
      </c>
      <c r="AE56">
        <v>16</v>
      </c>
      <c r="AF56">
        <v>1</v>
      </c>
      <c r="AH56" s="9">
        <v>44470</v>
      </c>
      <c r="AI56" t="s">
        <v>9013</v>
      </c>
      <c r="AJ56" t="s">
        <v>9012</v>
      </c>
      <c r="AK56" t="s">
        <v>9011</v>
      </c>
      <c r="AL56">
        <v>76</v>
      </c>
      <c r="AM56" s="5">
        <f t="shared" si="10"/>
        <v>2.2352941176470589</v>
      </c>
      <c r="AN56" s="4">
        <f t="shared" si="4"/>
        <v>3.3855268726195515E-3</v>
      </c>
      <c r="AO56" s="3"/>
      <c r="AP56">
        <v>0</v>
      </c>
      <c r="AR56" t="s">
        <v>0</v>
      </c>
      <c r="AT56" s="2" t="s">
        <v>19</v>
      </c>
      <c r="AU56" s="1">
        <f t="shared" si="11"/>
        <v>1.3423228601814163</v>
      </c>
      <c r="AV56" s="1">
        <f t="shared" si="12"/>
        <v>1.0555313822044274</v>
      </c>
      <c r="AW56" s="1">
        <f t="shared" si="13"/>
        <v>0.76873990422743843</v>
      </c>
    </row>
    <row r="57" spans="1:49" x14ac:dyDescent="0.2">
      <c r="A57">
        <v>55</v>
      </c>
      <c r="B57" t="s">
        <v>9010</v>
      </c>
      <c r="C57" t="s">
        <v>9009</v>
      </c>
      <c r="F57" t="s">
        <v>9008</v>
      </c>
      <c r="G57" t="s">
        <v>15</v>
      </c>
      <c r="H57" t="s">
        <v>14</v>
      </c>
      <c r="I57" t="s">
        <v>9007</v>
      </c>
      <c r="J57">
        <v>60000356</v>
      </c>
      <c r="K57" t="s">
        <v>9006</v>
      </c>
      <c r="L57" t="s">
        <v>9005</v>
      </c>
      <c r="M57" t="s">
        <v>4420</v>
      </c>
      <c r="N57">
        <v>1</v>
      </c>
      <c r="O57" t="s">
        <v>9004</v>
      </c>
      <c r="P57">
        <v>16451284700</v>
      </c>
      <c r="Q57">
        <v>60000356</v>
      </c>
      <c r="R57" s="7">
        <v>32264</v>
      </c>
      <c r="S57" s="8">
        <f t="shared" si="8"/>
        <v>1988</v>
      </c>
      <c r="T57" s="8">
        <v>1988</v>
      </c>
      <c r="U57" s="8">
        <f t="shared" si="9"/>
        <v>34</v>
      </c>
      <c r="V57" s="7">
        <v>32264</v>
      </c>
      <c r="W57" t="s">
        <v>9003</v>
      </c>
      <c r="X57" s="2">
        <v>0.84299999999999997</v>
      </c>
      <c r="Y57" s="6">
        <f t="shared" si="2"/>
        <v>2.250340353968127E-2</v>
      </c>
      <c r="AA57">
        <v>188158</v>
      </c>
      <c r="AB57">
        <v>15168</v>
      </c>
      <c r="AC57">
        <v>15735117</v>
      </c>
      <c r="AD57" t="s">
        <v>4</v>
      </c>
      <c r="AE57">
        <v>162</v>
      </c>
      <c r="AF57">
        <v>3</v>
      </c>
      <c r="AH57" t="s">
        <v>9002</v>
      </c>
      <c r="AI57" t="s">
        <v>9001</v>
      </c>
      <c r="AJ57" t="s">
        <v>9000</v>
      </c>
      <c r="AK57" t="s">
        <v>8999</v>
      </c>
      <c r="AL57">
        <v>10</v>
      </c>
      <c r="AM57" s="5">
        <f t="shared" si="10"/>
        <v>0.29411764705882354</v>
      </c>
      <c r="AN57" s="4">
        <f t="shared" si="4"/>
        <v>4.4546406218678308E-4</v>
      </c>
      <c r="AO57" s="3"/>
      <c r="AP57">
        <v>0</v>
      </c>
      <c r="AR57" t="s">
        <v>0</v>
      </c>
      <c r="AT57" s="2">
        <v>2.694</v>
      </c>
      <c r="AU57" s="1">
        <f t="shared" si="11"/>
        <v>1.5886021696432926</v>
      </c>
      <c r="AV57" s="1">
        <f t="shared" si="12"/>
        <v>1.1474433800934027</v>
      </c>
      <c r="AW57" s="1">
        <f t="shared" si="13"/>
        <v>0.706284590543513</v>
      </c>
    </row>
    <row r="58" spans="1:49" x14ac:dyDescent="0.2">
      <c r="A58">
        <v>56</v>
      </c>
      <c r="B58" t="s">
        <v>8998</v>
      </c>
      <c r="C58" t="s">
        <v>8997</v>
      </c>
      <c r="D58" t="s">
        <v>8996</v>
      </c>
      <c r="E58">
        <v>3382944</v>
      </c>
      <c r="F58" t="s">
        <v>8995</v>
      </c>
      <c r="G58" t="s">
        <v>15</v>
      </c>
      <c r="H58" t="s">
        <v>14</v>
      </c>
      <c r="I58" t="s">
        <v>8994</v>
      </c>
      <c r="J58">
        <v>60004156</v>
      </c>
      <c r="K58" t="s">
        <v>8993</v>
      </c>
      <c r="L58" t="s">
        <v>8992</v>
      </c>
      <c r="M58" t="s">
        <v>1179</v>
      </c>
      <c r="N58">
        <v>2</v>
      </c>
      <c r="O58" t="s">
        <v>8991</v>
      </c>
      <c r="P58" t="s">
        <v>8990</v>
      </c>
      <c r="Q58" t="s">
        <v>8989</v>
      </c>
      <c r="R58" s="7">
        <v>32259</v>
      </c>
      <c r="S58" s="8">
        <f t="shared" si="8"/>
        <v>1988</v>
      </c>
      <c r="T58" s="8">
        <v>1988</v>
      </c>
      <c r="U58" s="8">
        <f t="shared" si="9"/>
        <v>34</v>
      </c>
      <c r="V58" s="7">
        <v>32259</v>
      </c>
      <c r="W58" t="s">
        <v>8940</v>
      </c>
      <c r="X58" s="2">
        <v>1.0369999999999999</v>
      </c>
      <c r="Y58" s="6">
        <f t="shared" si="2"/>
        <v>2.7682122740983955E-2</v>
      </c>
      <c r="AA58">
        <v>68993</v>
      </c>
      <c r="AB58">
        <v>14346</v>
      </c>
      <c r="AD58" t="s">
        <v>4</v>
      </c>
      <c r="AE58">
        <v>447</v>
      </c>
      <c r="AF58">
        <v>1</v>
      </c>
      <c r="AH58" s="10">
        <v>43009</v>
      </c>
      <c r="AI58" t="s">
        <v>8988</v>
      </c>
      <c r="AJ58" t="s">
        <v>8987</v>
      </c>
      <c r="AK58" t="s">
        <v>8986</v>
      </c>
      <c r="AL58">
        <v>23</v>
      </c>
      <c r="AM58" s="5">
        <f t="shared" si="10"/>
        <v>0.67647058823529416</v>
      </c>
      <c r="AN58" s="4">
        <f t="shared" si="4"/>
        <v>1.0245673430296011E-3</v>
      </c>
      <c r="AO58" s="3"/>
      <c r="AP58">
        <v>0</v>
      </c>
      <c r="AR58" t="s">
        <v>0</v>
      </c>
      <c r="AT58" s="2">
        <v>3.2519999999999998</v>
      </c>
      <c r="AU58" s="1">
        <f t="shared" si="11"/>
        <v>1.9684856121597649</v>
      </c>
      <c r="AV58" s="1">
        <f t="shared" si="12"/>
        <v>1.4353345042006778</v>
      </c>
      <c r="AW58" s="1">
        <f t="shared" si="13"/>
        <v>0.90218339624159072</v>
      </c>
    </row>
    <row r="59" spans="1:49" x14ac:dyDescent="0.2">
      <c r="A59">
        <v>57</v>
      </c>
      <c r="B59" t="s">
        <v>8985</v>
      </c>
      <c r="C59" t="s">
        <v>8984</v>
      </c>
      <c r="D59">
        <v>5272888900357</v>
      </c>
      <c r="F59" t="s">
        <v>8983</v>
      </c>
      <c r="G59" t="s">
        <v>15</v>
      </c>
      <c r="H59" t="s">
        <v>14</v>
      </c>
      <c r="I59" t="s">
        <v>8982</v>
      </c>
      <c r="J59">
        <v>60009731</v>
      </c>
      <c r="K59" t="s">
        <v>8981</v>
      </c>
      <c r="L59" t="s">
        <v>8980</v>
      </c>
      <c r="M59" t="s">
        <v>45</v>
      </c>
      <c r="N59">
        <v>3</v>
      </c>
      <c r="O59" t="s">
        <v>8979</v>
      </c>
      <c r="P59" t="s">
        <v>8978</v>
      </c>
      <c r="Q59" t="s">
        <v>8977</v>
      </c>
      <c r="R59" s="7">
        <v>32255</v>
      </c>
      <c r="S59" s="8">
        <f t="shared" si="8"/>
        <v>1988</v>
      </c>
      <c r="T59" s="8">
        <v>1988</v>
      </c>
      <c r="U59" s="8">
        <f t="shared" si="9"/>
        <v>34</v>
      </c>
      <c r="V59" s="7">
        <v>32255</v>
      </c>
      <c r="W59" t="s">
        <v>27</v>
      </c>
      <c r="X59" s="2">
        <v>1.59</v>
      </c>
      <c r="Y59" s="6">
        <f t="shared" si="2"/>
        <v>4.2444141907583888E-2</v>
      </c>
      <c r="AA59">
        <v>52728</v>
      </c>
      <c r="AB59">
        <v>16791</v>
      </c>
      <c r="AD59" t="s">
        <v>4</v>
      </c>
      <c r="AE59">
        <v>933</v>
      </c>
      <c r="AF59">
        <v>2</v>
      </c>
      <c r="AH59" t="s">
        <v>8976</v>
      </c>
      <c r="AI59" t="s">
        <v>8975</v>
      </c>
      <c r="AJ59" t="s">
        <v>8974</v>
      </c>
      <c r="AK59" t="s">
        <v>8973</v>
      </c>
      <c r="AL59">
        <v>8</v>
      </c>
      <c r="AM59" s="5">
        <f t="shared" si="10"/>
        <v>0.23529411764705882</v>
      </c>
      <c r="AN59" s="4">
        <f t="shared" si="4"/>
        <v>3.5637124974942646E-4</v>
      </c>
      <c r="AO59" s="3"/>
      <c r="AP59">
        <v>0</v>
      </c>
      <c r="AR59" t="s">
        <v>8972</v>
      </c>
      <c r="AT59" s="2" t="s">
        <v>19</v>
      </c>
      <c r="AU59" s="1">
        <f t="shared" si="11"/>
        <v>2.981781071023355</v>
      </c>
      <c r="AV59" s="1">
        <f t="shared" si="12"/>
        <v>2.1400256578666657</v>
      </c>
      <c r="AW59" s="1">
        <f t="shared" si="13"/>
        <v>1.2982702447099763</v>
      </c>
    </row>
    <row r="60" spans="1:49" x14ac:dyDescent="0.2">
      <c r="A60">
        <v>58</v>
      </c>
      <c r="B60" t="s">
        <v>8971</v>
      </c>
      <c r="C60" t="s">
        <v>8970</v>
      </c>
      <c r="D60">
        <v>5272888900370</v>
      </c>
      <c r="F60" t="s">
        <v>8969</v>
      </c>
      <c r="G60" t="s">
        <v>15</v>
      </c>
      <c r="H60" t="s">
        <v>14</v>
      </c>
      <c r="I60" t="s">
        <v>8968</v>
      </c>
      <c r="J60">
        <v>60025641</v>
      </c>
      <c r="K60" t="s">
        <v>8967</v>
      </c>
      <c r="L60" t="s">
        <v>8966</v>
      </c>
      <c r="M60" t="s">
        <v>45</v>
      </c>
      <c r="N60">
        <v>5</v>
      </c>
      <c r="O60" t="s">
        <v>8965</v>
      </c>
      <c r="P60" t="s">
        <v>8964</v>
      </c>
      <c r="Q60" t="s">
        <v>8963</v>
      </c>
      <c r="R60" s="7">
        <v>32255</v>
      </c>
      <c r="S60" s="8">
        <f t="shared" si="8"/>
        <v>1988</v>
      </c>
      <c r="T60" s="8">
        <v>1988</v>
      </c>
      <c r="U60" s="8">
        <f t="shared" si="9"/>
        <v>34</v>
      </c>
      <c r="V60" s="7">
        <v>32255</v>
      </c>
      <c r="W60" t="s">
        <v>27</v>
      </c>
      <c r="X60" s="2">
        <v>1.59</v>
      </c>
      <c r="Y60" s="6">
        <f t="shared" si="2"/>
        <v>4.2444141907583888E-2</v>
      </c>
      <c r="AA60">
        <v>52728</v>
      </c>
      <c r="AB60">
        <v>16791</v>
      </c>
      <c r="AD60" t="s">
        <v>4</v>
      </c>
      <c r="AE60">
        <v>933</v>
      </c>
      <c r="AF60">
        <v>2</v>
      </c>
      <c r="AH60" t="s">
        <v>8962</v>
      </c>
      <c r="AI60" t="s">
        <v>8961</v>
      </c>
      <c r="AJ60" t="s">
        <v>8960</v>
      </c>
      <c r="AK60" t="s">
        <v>8959</v>
      </c>
      <c r="AL60">
        <v>18</v>
      </c>
      <c r="AM60" s="5">
        <f t="shared" si="10"/>
        <v>0.52941176470588236</v>
      </c>
      <c r="AN60" s="4">
        <f t="shared" si="4"/>
        <v>8.0183531193620959E-4</v>
      </c>
      <c r="AO60" s="3"/>
      <c r="AP60">
        <v>0</v>
      </c>
      <c r="AR60" t="s">
        <v>0</v>
      </c>
      <c r="AT60" s="2" t="s">
        <v>19</v>
      </c>
      <c r="AU60" s="1">
        <f t="shared" si="11"/>
        <v>2.9951449928889584</v>
      </c>
      <c r="AV60" s="1">
        <f t="shared" si="12"/>
        <v>2.1622988609760045</v>
      </c>
      <c r="AW60" s="1">
        <f t="shared" si="13"/>
        <v>1.3294527290630511</v>
      </c>
    </row>
    <row r="61" spans="1:49" x14ac:dyDescent="0.2">
      <c r="A61">
        <v>59</v>
      </c>
      <c r="B61" t="s">
        <v>8958</v>
      </c>
      <c r="C61" t="s">
        <v>8957</v>
      </c>
      <c r="D61" t="s">
        <v>8956</v>
      </c>
      <c r="F61" t="s">
        <v>8955</v>
      </c>
      <c r="G61" t="s">
        <v>15</v>
      </c>
      <c r="H61" t="s">
        <v>14</v>
      </c>
      <c r="I61" t="s">
        <v>8909</v>
      </c>
      <c r="J61">
        <v>60014036</v>
      </c>
      <c r="K61" t="s">
        <v>8954</v>
      </c>
      <c r="L61" t="s">
        <v>8953</v>
      </c>
      <c r="M61" t="s">
        <v>8952</v>
      </c>
      <c r="N61">
        <v>1</v>
      </c>
      <c r="O61" t="s">
        <v>8951</v>
      </c>
      <c r="P61">
        <v>7004976431</v>
      </c>
      <c r="Q61">
        <v>60014036</v>
      </c>
      <c r="R61" s="7">
        <v>32251</v>
      </c>
      <c r="S61" s="8">
        <f t="shared" si="8"/>
        <v>1988</v>
      </c>
      <c r="T61" s="8">
        <v>1988</v>
      </c>
      <c r="U61" s="8">
        <f t="shared" si="9"/>
        <v>34</v>
      </c>
      <c r="V61" s="7">
        <v>32251</v>
      </c>
      <c r="W61" t="s">
        <v>8927</v>
      </c>
      <c r="X61" s="2">
        <v>0.499</v>
      </c>
      <c r="Y61" s="6">
        <f t="shared" si="2"/>
        <v>1.332052000747444E-2</v>
      </c>
      <c r="AA61">
        <v>3759601</v>
      </c>
      <c r="AB61">
        <v>29464</v>
      </c>
      <c r="AD61" t="s">
        <v>4</v>
      </c>
      <c r="AE61">
        <v>128</v>
      </c>
      <c r="AF61">
        <v>8</v>
      </c>
      <c r="AH61" t="s">
        <v>8950</v>
      </c>
      <c r="AI61" t="s">
        <v>8949</v>
      </c>
      <c r="AK61" t="s">
        <v>8948</v>
      </c>
      <c r="AL61">
        <v>3</v>
      </c>
      <c r="AM61" s="5">
        <f t="shared" si="10"/>
        <v>8.8235294117647065E-2</v>
      </c>
      <c r="AN61" s="4">
        <f t="shared" si="4"/>
        <v>1.3363921865603494E-4</v>
      </c>
      <c r="AO61" s="3"/>
      <c r="AP61">
        <v>0</v>
      </c>
      <c r="AR61" t="s">
        <v>0</v>
      </c>
      <c r="AT61" s="2">
        <v>2.6539999999999999</v>
      </c>
      <c r="AU61" s="1">
        <f t="shared" si="11"/>
        <v>0.93644557708289189</v>
      </c>
      <c r="AV61" s="1">
        <f t="shared" si="12"/>
        <v>0.67270796130652377</v>
      </c>
      <c r="AW61" s="1">
        <f t="shared" si="13"/>
        <v>0.4089703455301556</v>
      </c>
    </row>
    <row r="62" spans="1:49" x14ac:dyDescent="0.2">
      <c r="A62">
        <v>60</v>
      </c>
      <c r="B62" t="s">
        <v>8947</v>
      </c>
      <c r="C62" t="s">
        <v>8946</v>
      </c>
      <c r="D62">
        <v>6899388912024</v>
      </c>
      <c r="E62">
        <v>3370470</v>
      </c>
      <c r="F62" t="s">
        <v>8945</v>
      </c>
      <c r="G62" t="s">
        <v>15</v>
      </c>
      <c r="H62" t="s">
        <v>14</v>
      </c>
      <c r="I62" t="s">
        <v>8944</v>
      </c>
      <c r="J62">
        <v>60027561</v>
      </c>
      <c r="K62" t="s">
        <v>7343</v>
      </c>
      <c r="L62" t="s">
        <v>339</v>
      </c>
      <c r="M62" t="s">
        <v>31</v>
      </c>
      <c r="N62">
        <v>3</v>
      </c>
      <c r="O62" t="s">
        <v>8943</v>
      </c>
      <c r="P62" t="s">
        <v>8942</v>
      </c>
      <c r="Q62" t="s">
        <v>8941</v>
      </c>
      <c r="R62" s="7">
        <v>32238</v>
      </c>
      <c r="S62" s="8">
        <f t="shared" si="8"/>
        <v>1988</v>
      </c>
      <c r="T62" s="8">
        <v>1988</v>
      </c>
      <c r="U62" s="8">
        <f t="shared" si="9"/>
        <v>34</v>
      </c>
      <c r="V62" s="7">
        <v>32238</v>
      </c>
      <c r="W62" t="s">
        <v>8940</v>
      </c>
      <c r="X62" s="2">
        <v>1.0369999999999999</v>
      </c>
      <c r="Y62" s="6">
        <f t="shared" si="2"/>
        <v>2.7682122740983955E-2</v>
      </c>
      <c r="AA62">
        <v>68993</v>
      </c>
      <c r="AB62">
        <v>14346</v>
      </c>
      <c r="AD62" t="s">
        <v>4</v>
      </c>
      <c r="AE62">
        <v>445</v>
      </c>
      <c r="AF62">
        <v>2</v>
      </c>
      <c r="AH62" t="s">
        <v>8939</v>
      </c>
      <c r="AI62" t="s">
        <v>8938</v>
      </c>
      <c r="AJ62" t="s">
        <v>8937</v>
      </c>
      <c r="AK62" t="s">
        <v>8936</v>
      </c>
      <c r="AL62">
        <v>15</v>
      </c>
      <c r="AM62" s="5">
        <f t="shared" si="10"/>
        <v>0.44117647058823528</v>
      </c>
      <c r="AN62" s="4">
        <f t="shared" si="4"/>
        <v>6.6819609328017462E-4</v>
      </c>
      <c r="AO62" s="3"/>
      <c r="AP62">
        <v>0</v>
      </c>
      <c r="AQ62" t="s">
        <v>855</v>
      </c>
      <c r="AR62" t="s">
        <v>0</v>
      </c>
      <c r="AS62" t="s">
        <v>854</v>
      </c>
      <c r="AT62" s="2">
        <v>3.2519999999999998</v>
      </c>
      <c r="AU62" s="1">
        <f t="shared" si="11"/>
        <v>1.9577944746672822</v>
      </c>
      <c r="AV62" s="1">
        <f t="shared" si="12"/>
        <v>1.4175159417132064</v>
      </c>
      <c r="AW62" s="1">
        <f t="shared" si="13"/>
        <v>0.87723740875913081</v>
      </c>
    </row>
    <row r="63" spans="1:49" x14ac:dyDescent="0.2">
      <c r="A63">
        <v>61</v>
      </c>
      <c r="B63" t="s">
        <v>8935</v>
      </c>
      <c r="C63" t="s">
        <v>8934</v>
      </c>
      <c r="D63" t="s">
        <v>8933</v>
      </c>
      <c r="F63" t="s">
        <v>8932</v>
      </c>
      <c r="G63" t="s">
        <v>15</v>
      </c>
      <c r="H63" t="s">
        <v>14</v>
      </c>
      <c r="I63" t="s">
        <v>8931</v>
      </c>
      <c r="J63">
        <v>60113665</v>
      </c>
      <c r="K63" t="s">
        <v>8930</v>
      </c>
      <c r="L63" t="s">
        <v>8929</v>
      </c>
      <c r="M63" t="s">
        <v>1725</v>
      </c>
      <c r="N63">
        <v>1</v>
      </c>
      <c r="O63" t="s">
        <v>8928</v>
      </c>
      <c r="P63">
        <v>22943966700</v>
      </c>
      <c r="Q63">
        <v>60113665</v>
      </c>
      <c r="R63" s="7">
        <v>32237</v>
      </c>
      <c r="S63" s="8">
        <f t="shared" si="8"/>
        <v>1988</v>
      </c>
      <c r="T63" s="8">
        <v>1988</v>
      </c>
      <c r="U63" s="8">
        <f t="shared" si="9"/>
        <v>34</v>
      </c>
      <c r="V63" s="7">
        <v>32237</v>
      </c>
      <c r="W63" t="s">
        <v>8927</v>
      </c>
      <c r="X63" s="2">
        <v>0.499</v>
      </c>
      <c r="Y63" s="6">
        <f t="shared" si="2"/>
        <v>1.332052000747444E-2</v>
      </c>
      <c r="AA63">
        <v>3759601</v>
      </c>
      <c r="AB63">
        <v>29464</v>
      </c>
      <c r="AD63" t="s">
        <v>4</v>
      </c>
      <c r="AE63">
        <v>128</v>
      </c>
      <c r="AF63">
        <v>5</v>
      </c>
      <c r="AH63" t="s">
        <v>8926</v>
      </c>
      <c r="AI63" t="s">
        <v>8925</v>
      </c>
      <c r="AK63" t="s">
        <v>8924</v>
      </c>
      <c r="AL63">
        <v>2</v>
      </c>
      <c r="AM63" s="5">
        <f t="shared" si="10"/>
        <v>5.8823529411764705E-2</v>
      </c>
      <c r="AN63" s="4">
        <f t="shared" si="4"/>
        <v>8.9092812437356614E-5</v>
      </c>
      <c r="AO63" s="3"/>
      <c r="AP63">
        <v>0</v>
      </c>
      <c r="AR63" t="s">
        <v>0</v>
      </c>
      <c r="AT63" s="2">
        <v>2.6539999999999999</v>
      </c>
      <c r="AU63" s="1">
        <f t="shared" si="11"/>
        <v>0.93510918489633155</v>
      </c>
      <c r="AV63" s="1">
        <f t="shared" si="12"/>
        <v>0.67048064099558979</v>
      </c>
      <c r="AW63" s="1">
        <f t="shared" si="13"/>
        <v>0.40585209709484815</v>
      </c>
    </row>
    <row r="64" spans="1:49" x14ac:dyDescent="0.2">
      <c r="A64">
        <v>62</v>
      </c>
      <c r="B64" t="s">
        <v>8923</v>
      </c>
      <c r="C64" t="s">
        <v>8922</v>
      </c>
      <c r="F64" t="s">
        <v>8921</v>
      </c>
      <c r="G64" t="s">
        <v>15</v>
      </c>
      <c r="H64" t="s">
        <v>14</v>
      </c>
      <c r="I64" t="s">
        <v>8920</v>
      </c>
      <c r="J64">
        <v>100381148</v>
      </c>
      <c r="K64" t="s">
        <v>8919</v>
      </c>
      <c r="L64" t="s">
        <v>8918</v>
      </c>
      <c r="M64" t="s">
        <v>456</v>
      </c>
      <c r="N64">
        <v>1</v>
      </c>
      <c r="O64" t="s">
        <v>8917</v>
      </c>
      <c r="P64">
        <v>6507626098</v>
      </c>
      <c r="Q64">
        <v>100381148</v>
      </c>
      <c r="R64" s="7">
        <v>32234</v>
      </c>
      <c r="S64" s="8">
        <f t="shared" si="8"/>
        <v>1988</v>
      </c>
      <c r="T64" s="8">
        <v>1988</v>
      </c>
      <c r="U64" s="8">
        <f t="shared" si="9"/>
        <v>34</v>
      </c>
      <c r="V64" s="7">
        <v>32234</v>
      </c>
      <c r="W64" t="s">
        <v>7409</v>
      </c>
      <c r="X64" s="2">
        <v>0.11700000000000001</v>
      </c>
      <c r="Y64" s="6">
        <f t="shared" si="2"/>
        <v>3.1232481781052297E-3</v>
      </c>
      <c r="AA64">
        <v>2179822</v>
      </c>
      <c r="AB64">
        <v>5300152612</v>
      </c>
      <c r="AC64">
        <v>19930615</v>
      </c>
      <c r="AD64" t="s">
        <v>4</v>
      </c>
      <c r="AE64">
        <v>5</v>
      </c>
      <c r="AF64">
        <v>2</v>
      </c>
      <c r="AH64" t="s">
        <v>8916</v>
      </c>
      <c r="AI64" t="s">
        <v>8915</v>
      </c>
      <c r="AJ64" t="s">
        <v>8914</v>
      </c>
      <c r="AK64" t="s">
        <v>8913</v>
      </c>
      <c r="AL64">
        <v>0</v>
      </c>
      <c r="AM64" s="5">
        <f t="shared" si="10"/>
        <v>0</v>
      </c>
      <c r="AN64" s="4">
        <f t="shared" si="4"/>
        <v>0</v>
      </c>
      <c r="AO64" s="3"/>
      <c r="AP64">
        <v>0</v>
      </c>
      <c r="AR64" t="s">
        <v>0</v>
      </c>
      <c r="AT64" s="2" t="s">
        <v>19</v>
      </c>
      <c r="AU64" s="1">
        <f t="shared" si="11"/>
        <v>0.21862737246736608</v>
      </c>
      <c r="AV64" s="1">
        <f t="shared" si="12"/>
        <v>0.15616240890526148</v>
      </c>
      <c r="AW64" s="1">
        <f t="shared" si="13"/>
        <v>9.3697445343156896E-2</v>
      </c>
    </row>
    <row r="65" spans="1:49" x14ac:dyDescent="0.2">
      <c r="A65">
        <v>63</v>
      </c>
      <c r="B65" t="s">
        <v>8912</v>
      </c>
      <c r="C65" t="s">
        <v>8911</v>
      </c>
      <c r="F65" t="s">
        <v>8910</v>
      </c>
      <c r="G65" t="s">
        <v>15</v>
      </c>
      <c r="H65" t="s">
        <v>14</v>
      </c>
      <c r="I65" t="s">
        <v>8909</v>
      </c>
      <c r="N65">
        <v>3</v>
      </c>
      <c r="O65" t="s">
        <v>8908</v>
      </c>
      <c r="P65" t="s">
        <v>8907</v>
      </c>
      <c r="Q65" t="s">
        <v>532</v>
      </c>
      <c r="R65" s="7">
        <v>32234</v>
      </c>
      <c r="S65" s="8">
        <f t="shared" si="8"/>
        <v>1988</v>
      </c>
      <c r="T65" s="8">
        <v>1988</v>
      </c>
      <c r="U65" s="8">
        <f t="shared" si="9"/>
        <v>34</v>
      </c>
      <c r="V65" s="7">
        <v>32234</v>
      </c>
      <c r="W65" t="s">
        <v>8906</v>
      </c>
      <c r="X65" s="2">
        <v>0.318</v>
      </c>
      <c r="Y65" s="6">
        <f t="shared" si="2"/>
        <v>8.4888283815167786E-3</v>
      </c>
      <c r="AA65">
        <v>338443</v>
      </c>
      <c r="AB65">
        <v>27160</v>
      </c>
      <c r="AC65">
        <v>15739120</v>
      </c>
      <c r="AD65" t="s">
        <v>4</v>
      </c>
      <c r="AE65">
        <v>31</v>
      </c>
      <c r="AF65">
        <v>4</v>
      </c>
      <c r="AH65" t="s">
        <v>8905</v>
      </c>
      <c r="AL65">
        <v>4</v>
      </c>
      <c r="AM65" s="5">
        <f t="shared" si="10"/>
        <v>0.11764705882352941</v>
      </c>
      <c r="AN65" s="4">
        <f t="shared" si="4"/>
        <v>1.7818562487471323E-4</v>
      </c>
      <c r="AO65" s="3"/>
      <c r="AP65">
        <v>0</v>
      </c>
      <c r="AR65" t="s">
        <v>0</v>
      </c>
      <c r="AT65" s="2">
        <v>0.77</v>
      </c>
      <c r="AU65" s="1">
        <f t="shared" si="11"/>
        <v>0.59956355545241591</v>
      </c>
      <c r="AV65" s="1">
        <f t="shared" si="12"/>
        <v>0.43335070031957462</v>
      </c>
      <c r="AW65" s="1">
        <f t="shared" si="13"/>
        <v>0.26713784518673328</v>
      </c>
    </row>
    <row r="66" spans="1:49" x14ac:dyDescent="0.2">
      <c r="A66">
        <v>64</v>
      </c>
      <c r="B66" t="s">
        <v>8904</v>
      </c>
      <c r="F66" t="s">
        <v>8903</v>
      </c>
      <c r="G66" t="s">
        <v>15</v>
      </c>
      <c r="H66" t="s">
        <v>14</v>
      </c>
      <c r="I66" t="s">
        <v>8902</v>
      </c>
      <c r="J66">
        <v>60022054</v>
      </c>
      <c r="K66" t="s">
        <v>8901</v>
      </c>
      <c r="L66" t="s">
        <v>8900</v>
      </c>
      <c r="M66" t="s">
        <v>31</v>
      </c>
      <c r="N66">
        <v>2</v>
      </c>
      <c r="O66" t="s">
        <v>8899</v>
      </c>
      <c r="P66" t="s">
        <v>8898</v>
      </c>
      <c r="Q66" t="s">
        <v>8897</v>
      </c>
      <c r="R66" s="7">
        <v>32234</v>
      </c>
      <c r="S66" s="8">
        <f t="shared" si="8"/>
        <v>1988</v>
      </c>
      <c r="T66" s="8">
        <v>1988</v>
      </c>
      <c r="U66" s="8">
        <f t="shared" si="9"/>
        <v>34</v>
      </c>
      <c r="V66" s="7">
        <v>32234</v>
      </c>
      <c r="W66" t="s">
        <v>8896</v>
      </c>
      <c r="X66" s="2">
        <v>0.22</v>
      </c>
      <c r="Y66" s="6">
        <f t="shared" ref="Y66:Y129" si="14">(X66-$Z$4)/($Z$3-$Z$4)</f>
        <v>5.8727743519927395E-3</v>
      </c>
      <c r="AA66">
        <v>2705214</v>
      </c>
      <c r="AB66">
        <v>28119</v>
      </c>
      <c r="AD66" t="s">
        <v>4</v>
      </c>
      <c r="AE66">
        <v>9</v>
      </c>
      <c r="AF66">
        <v>2</v>
      </c>
      <c r="AH66" t="s">
        <v>8895</v>
      </c>
      <c r="AI66" t="s">
        <v>8894</v>
      </c>
      <c r="AK66" t="s">
        <v>8893</v>
      </c>
      <c r="AL66">
        <v>5</v>
      </c>
      <c r="AM66" s="5">
        <f t="shared" si="10"/>
        <v>0.14705882352941177</v>
      </c>
      <c r="AN66" s="4">
        <f t="shared" ref="AN66:AN129" si="15">(AM66-$AO$4)/($AO$3-$AO$4)</f>
        <v>2.2273203109339154E-4</v>
      </c>
      <c r="AO66" s="3"/>
      <c r="AP66">
        <v>0</v>
      </c>
      <c r="AR66" t="s">
        <v>0</v>
      </c>
      <c r="AT66" s="2" t="s">
        <v>19</v>
      </c>
      <c r="AU66" s="1">
        <f t="shared" si="11"/>
        <v>0.41777616557229352</v>
      </c>
      <c r="AV66" s="1">
        <f t="shared" si="12"/>
        <v>0.30477531915430656</v>
      </c>
      <c r="AW66" s="1">
        <f t="shared" si="13"/>
        <v>0.19177447273631959</v>
      </c>
    </row>
    <row r="67" spans="1:49" x14ac:dyDescent="0.2">
      <c r="A67">
        <v>65</v>
      </c>
      <c r="B67" t="s">
        <v>8892</v>
      </c>
      <c r="F67" t="s">
        <v>8891</v>
      </c>
      <c r="G67" t="s">
        <v>15</v>
      </c>
      <c r="H67" t="s">
        <v>14</v>
      </c>
      <c r="I67" t="s">
        <v>8890</v>
      </c>
      <c r="J67">
        <v>60025555</v>
      </c>
      <c r="K67" t="s">
        <v>943</v>
      </c>
      <c r="L67" t="s">
        <v>212</v>
      </c>
      <c r="M67" t="s">
        <v>211</v>
      </c>
      <c r="N67">
        <v>1</v>
      </c>
      <c r="O67" t="s">
        <v>8889</v>
      </c>
      <c r="P67">
        <v>7202678052</v>
      </c>
      <c r="Q67">
        <v>60025555</v>
      </c>
      <c r="R67" s="7">
        <v>32234</v>
      </c>
      <c r="S67" s="8">
        <f t="shared" si="8"/>
        <v>1988</v>
      </c>
      <c r="T67" s="8">
        <v>1988</v>
      </c>
      <c r="U67" s="8">
        <f t="shared" si="9"/>
        <v>34</v>
      </c>
      <c r="V67" s="7">
        <v>32234</v>
      </c>
      <c r="W67" t="s">
        <v>8888</v>
      </c>
      <c r="X67" s="2" t="s">
        <v>19</v>
      </c>
      <c r="Y67" s="6" t="e">
        <f t="shared" si="14"/>
        <v>#VALUE!</v>
      </c>
      <c r="AA67">
        <v>214744</v>
      </c>
      <c r="AB67">
        <v>32584</v>
      </c>
      <c r="AD67" t="s">
        <v>4</v>
      </c>
      <c r="AE67">
        <v>30</v>
      </c>
      <c r="AF67">
        <v>2</v>
      </c>
      <c r="AH67" t="s">
        <v>616</v>
      </c>
      <c r="AI67" t="s">
        <v>8887</v>
      </c>
      <c r="AK67" t="s">
        <v>8886</v>
      </c>
      <c r="AL67">
        <v>3</v>
      </c>
      <c r="AM67" s="5">
        <f t="shared" si="10"/>
        <v>8.8235294117647065E-2</v>
      </c>
      <c r="AN67" s="4">
        <f t="shared" si="15"/>
        <v>1.3363921865603494E-4</v>
      </c>
      <c r="AO67" s="3"/>
      <c r="AP67">
        <v>0</v>
      </c>
      <c r="AR67" t="s">
        <v>0</v>
      </c>
      <c r="AT67" s="2" t="s">
        <v>19</v>
      </c>
      <c r="AU67" s="1" t="e">
        <f t="shared" si="11"/>
        <v>#VALUE!</v>
      </c>
      <c r="AV67" s="1" t="e">
        <f t="shared" si="12"/>
        <v>#VALUE!</v>
      </c>
      <c r="AW67" s="1" t="e">
        <f t="shared" si="13"/>
        <v>#VALUE!</v>
      </c>
    </row>
    <row r="68" spans="1:49" x14ac:dyDescent="0.2">
      <c r="A68">
        <v>66</v>
      </c>
      <c r="B68" t="s">
        <v>8885</v>
      </c>
      <c r="F68" t="s">
        <v>8884</v>
      </c>
      <c r="G68" t="s">
        <v>15</v>
      </c>
      <c r="H68" t="s">
        <v>14</v>
      </c>
      <c r="I68" t="s">
        <v>8883</v>
      </c>
      <c r="J68">
        <v>60021200</v>
      </c>
      <c r="K68" t="s">
        <v>8882</v>
      </c>
      <c r="L68" t="s">
        <v>8881</v>
      </c>
      <c r="M68" t="s">
        <v>456</v>
      </c>
      <c r="N68">
        <v>3</v>
      </c>
      <c r="O68" t="s">
        <v>8880</v>
      </c>
      <c r="P68" t="s">
        <v>8879</v>
      </c>
      <c r="Q68" t="s">
        <v>8878</v>
      </c>
      <c r="R68" s="7">
        <v>32234</v>
      </c>
      <c r="S68" s="8">
        <f t="shared" si="8"/>
        <v>1988</v>
      </c>
      <c r="T68" s="8">
        <v>1988</v>
      </c>
      <c r="U68" s="8">
        <f t="shared" si="9"/>
        <v>34</v>
      </c>
      <c r="V68" s="7">
        <v>32234</v>
      </c>
      <c r="W68" t="s">
        <v>8877</v>
      </c>
      <c r="X68" s="2" t="s">
        <v>19</v>
      </c>
      <c r="Y68" s="6" t="e">
        <f t="shared" si="14"/>
        <v>#VALUE!</v>
      </c>
      <c r="AA68">
        <v>2535831</v>
      </c>
      <c r="AB68">
        <v>33812</v>
      </c>
      <c r="AD68" t="s">
        <v>4</v>
      </c>
      <c r="AE68">
        <v>31</v>
      </c>
      <c r="AF68">
        <v>4</v>
      </c>
      <c r="AH68" t="s">
        <v>8876</v>
      </c>
      <c r="AI68" t="s">
        <v>8875</v>
      </c>
      <c r="AK68" t="s">
        <v>8874</v>
      </c>
      <c r="AL68">
        <v>0</v>
      </c>
      <c r="AM68" s="5">
        <f t="shared" si="10"/>
        <v>0</v>
      </c>
      <c r="AN68" s="4">
        <f t="shared" si="15"/>
        <v>0</v>
      </c>
      <c r="AO68" s="3"/>
      <c r="AP68">
        <v>0</v>
      </c>
      <c r="AR68" t="s">
        <v>0</v>
      </c>
      <c r="AT68" s="2" t="s">
        <v>19</v>
      </c>
      <c r="AU68" s="1" t="e">
        <f t="shared" si="11"/>
        <v>#VALUE!</v>
      </c>
      <c r="AV68" s="1" t="e">
        <f t="shared" si="12"/>
        <v>#VALUE!</v>
      </c>
      <c r="AW68" s="1" t="e">
        <f t="shared" si="13"/>
        <v>#VALUE!</v>
      </c>
    </row>
    <row r="69" spans="1:49" x14ac:dyDescent="0.2">
      <c r="A69">
        <v>67</v>
      </c>
      <c r="B69" t="s">
        <v>8873</v>
      </c>
      <c r="C69" t="s">
        <v>8872</v>
      </c>
      <c r="F69" t="s">
        <v>8871</v>
      </c>
      <c r="G69" t="s">
        <v>15</v>
      </c>
      <c r="H69" t="s">
        <v>14</v>
      </c>
      <c r="I69" t="s">
        <v>8870</v>
      </c>
      <c r="J69" t="s">
        <v>8302</v>
      </c>
      <c r="K69" t="s">
        <v>8301</v>
      </c>
      <c r="L69" t="s">
        <v>8300</v>
      </c>
      <c r="M69" t="s">
        <v>9</v>
      </c>
      <c r="N69">
        <v>4</v>
      </c>
      <c r="O69" t="s">
        <v>8869</v>
      </c>
      <c r="P69" t="s">
        <v>8868</v>
      </c>
      <c r="Q69" t="s">
        <v>8867</v>
      </c>
      <c r="R69" s="7">
        <v>32234</v>
      </c>
      <c r="S69" s="8">
        <f t="shared" si="8"/>
        <v>1988</v>
      </c>
      <c r="T69" s="8">
        <v>1988</v>
      </c>
      <c r="U69" s="8">
        <f t="shared" si="9"/>
        <v>34</v>
      </c>
      <c r="V69" s="7">
        <v>32234</v>
      </c>
      <c r="W69" t="s">
        <v>8296</v>
      </c>
      <c r="X69" s="2">
        <v>0.61499999999999999</v>
      </c>
      <c r="Y69" s="6">
        <f t="shared" si="14"/>
        <v>1.6417073756706976E-2</v>
      </c>
      <c r="AA69">
        <v>1959271</v>
      </c>
      <c r="AB69">
        <v>12141</v>
      </c>
      <c r="AC69">
        <v>15729559</v>
      </c>
      <c r="AD69" t="s">
        <v>4</v>
      </c>
      <c r="AE69">
        <v>9</v>
      </c>
      <c r="AF69">
        <v>4</v>
      </c>
      <c r="AH69" t="s">
        <v>8866</v>
      </c>
      <c r="AI69" t="s">
        <v>8865</v>
      </c>
      <c r="AK69" t="s">
        <v>8864</v>
      </c>
      <c r="AL69">
        <v>17</v>
      </c>
      <c r="AM69" s="5">
        <f t="shared" si="10"/>
        <v>0.5</v>
      </c>
      <c r="AN69" s="4">
        <f t="shared" si="15"/>
        <v>7.572889057175312E-4</v>
      </c>
      <c r="AO69" s="3"/>
      <c r="AP69">
        <v>0</v>
      </c>
      <c r="AR69" t="s">
        <v>0</v>
      </c>
      <c r="AT69" s="2" t="s">
        <v>19</v>
      </c>
      <c r="AU69" s="1">
        <f t="shared" si="11"/>
        <v>1.1719138301410141</v>
      </c>
      <c r="AV69" s="1">
        <f t="shared" si="12"/>
        <v>0.85871813312122536</v>
      </c>
      <c r="AW69" s="1">
        <f t="shared" si="13"/>
        <v>0.54552243610143636</v>
      </c>
    </row>
    <row r="70" spans="1:49" x14ac:dyDescent="0.2">
      <c r="A70">
        <v>68</v>
      </c>
      <c r="B70" t="s">
        <v>8863</v>
      </c>
      <c r="F70" t="s">
        <v>8862</v>
      </c>
      <c r="G70" t="s">
        <v>15</v>
      </c>
      <c r="H70" t="s">
        <v>14</v>
      </c>
      <c r="I70" t="s">
        <v>8861</v>
      </c>
      <c r="N70">
        <v>8</v>
      </c>
      <c r="O70" t="s">
        <v>8860</v>
      </c>
      <c r="P70" t="s">
        <v>8859</v>
      </c>
      <c r="Q70" t="s">
        <v>779</v>
      </c>
      <c r="R70" s="7">
        <v>32234</v>
      </c>
      <c r="S70" s="8">
        <f t="shared" si="8"/>
        <v>1988</v>
      </c>
      <c r="T70" s="8">
        <v>1988</v>
      </c>
      <c r="U70" s="8">
        <f t="shared" si="9"/>
        <v>34</v>
      </c>
      <c r="V70" s="7">
        <v>32234</v>
      </c>
      <c r="W70" t="s">
        <v>8834</v>
      </c>
      <c r="X70" s="2" t="s">
        <v>19</v>
      </c>
      <c r="Y70" s="6" t="e">
        <f t="shared" si="14"/>
        <v>#VALUE!</v>
      </c>
      <c r="AA70" t="s">
        <v>8833</v>
      </c>
      <c r="AB70">
        <v>18614</v>
      </c>
      <c r="AD70" t="s">
        <v>4</v>
      </c>
      <c r="AF70">
        <v>89</v>
      </c>
      <c r="AH70" s="9">
        <v>44378</v>
      </c>
      <c r="AI70" t="s">
        <v>8858</v>
      </c>
      <c r="AK70" t="s">
        <v>8857</v>
      </c>
      <c r="AL70">
        <v>0</v>
      </c>
      <c r="AM70" s="5">
        <f t="shared" si="10"/>
        <v>0</v>
      </c>
      <c r="AN70" s="4">
        <f t="shared" si="15"/>
        <v>0</v>
      </c>
      <c r="AO70" s="3"/>
      <c r="AP70">
        <v>0</v>
      </c>
      <c r="AR70" t="s">
        <v>0</v>
      </c>
      <c r="AT70" s="2" t="s">
        <v>19</v>
      </c>
      <c r="AU70" s="1" t="e">
        <f t="shared" si="11"/>
        <v>#VALUE!</v>
      </c>
      <c r="AV70" s="1" t="e">
        <f t="shared" si="12"/>
        <v>#VALUE!</v>
      </c>
      <c r="AW70" s="1" t="e">
        <f t="shared" si="13"/>
        <v>#VALUE!</v>
      </c>
    </row>
    <row r="71" spans="1:49" x14ac:dyDescent="0.2">
      <c r="A71">
        <v>69</v>
      </c>
      <c r="B71" t="s">
        <v>8856</v>
      </c>
      <c r="F71" t="s">
        <v>8855</v>
      </c>
      <c r="G71" t="s">
        <v>15</v>
      </c>
      <c r="H71" t="s">
        <v>14</v>
      </c>
      <c r="I71" t="s">
        <v>8854</v>
      </c>
      <c r="J71">
        <v>60009941</v>
      </c>
      <c r="K71" t="s">
        <v>5490</v>
      </c>
      <c r="L71" t="s">
        <v>5489</v>
      </c>
      <c r="M71" t="s">
        <v>45</v>
      </c>
      <c r="N71">
        <v>4</v>
      </c>
      <c r="O71" t="s">
        <v>8853</v>
      </c>
      <c r="P71" t="s">
        <v>8852</v>
      </c>
      <c r="Q71" t="s">
        <v>8851</v>
      </c>
      <c r="R71" s="7">
        <v>32234</v>
      </c>
      <c r="S71" s="8">
        <f t="shared" ref="S71:S134" si="16">YEAR(R71)</f>
        <v>1988</v>
      </c>
      <c r="T71" s="8">
        <v>1988</v>
      </c>
      <c r="U71" s="8">
        <f t="shared" ref="U71:U134" si="17">2022-T71</f>
        <v>34</v>
      </c>
      <c r="V71" s="7">
        <v>32234</v>
      </c>
      <c r="W71" t="s">
        <v>3103</v>
      </c>
      <c r="X71" s="2" t="s">
        <v>19</v>
      </c>
      <c r="Y71" s="6" t="e">
        <f t="shared" si="14"/>
        <v>#VALUE!</v>
      </c>
      <c r="AA71">
        <v>84204</v>
      </c>
      <c r="AB71">
        <v>27420</v>
      </c>
      <c r="AD71" t="s">
        <v>4</v>
      </c>
      <c r="AE71">
        <v>66</v>
      </c>
      <c r="AF71">
        <v>4</v>
      </c>
      <c r="AH71" t="s">
        <v>5359</v>
      </c>
      <c r="AI71" t="s">
        <v>8850</v>
      </c>
      <c r="AK71" t="s">
        <v>8849</v>
      </c>
      <c r="AL71">
        <v>3</v>
      </c>
      <c r="AM71" s="5">
        <f t="shared" ref="AM71:AM134" si="18">AL71/U71</f>
        <v>8.8235294117647065E-2</v>
      </c>
      <c r="AN71" s="4">
        <f t="shared" si="15"/>
        <v>1.3363921865603494E-4</v>
      </c>
      <c r="AO71" s="3"/>
      <c r="AP71">
        <v>0</v>
      </c>
      <c r="AR71" t="s">
        <v>0</v>
      </c>
      <c r="AT71" s="2">
        <v>1.24</v>
      </c>
      <c r="AU71" s="1" t="e">
        <f t="shared" ref="AU71:AU134" si="19">(Y71*0.7+AN71*0.3)*100</f>
        <v>#VALUE!</v>
      </c>
      <c r="AV71" s="1" t="e">
        <f t="shared" ref="AV71:AV134" si="20">(Y71*0.5+AN71*0.5)*100</f>
        <v>#VALUE!</v>
      </c>
      <c r="AW71" s="1" t="e">
        <f t="shared" ref="AW71:AW134" si="21">(Y71*0.3+AN71*0.7)*100</f>
        <v>#VALUE!</v>
      </c>
    </row>
    <row r="72" spans="1:49" x14ac:dyDescent="0.2">
      <c r="A72">
        <v>70</v>
      </c>
      <c r="B72" t="s">
        <v>8848</v>
      </c>
      <c r="F72" t="s">
        <v>8847</v>
      </c>
      <c r="G72" t="s">
        <v>15</v>
      </c>
      <c r="H72" t="s">
        <v>14</v>
      </c>
      <c r="I72" t="s">
        <v>8846</v>
      </c>
      <c r="N72">
        <v>9</v>
      </c>
      <c r="O72" t="s">
        <v>8845</v>
      </c>
      <c r="P72" t="s">
        <v>8844</v>
      </c>
      <c r="Q72" t="s">
        <v>8843</v>
      </c>
      <c r="R72" s="7">
        <v>32234</v>
      </c>
      <c r="S72" s="8">
        <f t="shared" si="16"/>
        <v>1988</v>
      </c>
      <c r="T72" s="8">
        <v>1988</v>
      </c>
      <c r="U72" s="8">
        <f t="shared" si="17"/>
        <v>34</v>
      </c>
      <c r="V72" s="7">
        <v>32234</v>
      </c>
      <c r="W72" t="s">
        <v>8834</v>
      </c>
      <c r="X72" s="2" t="s">
        <v>19</v>
      </c>
      <c r="Y72" s="6" t="e">
        <f t="shared" si="14"/>
        <v>#VALUE!</v>
      </c>
      <c r="AA72" t="s">
        <v>8833</v>
      </c>
      <c r="AB72">
        <v>18614</v>
      </c>
      <c r="AD72" t="s">
        <v>4</v>
      </c>
      <c r="AF72">
        <v>89</v>
      </c>
      <c r="AH72" t="s">
        <v>8842</v>
      </c>
      <c r="AI72" t="s">
        <v>8841</v>
      </c>
      <c r="AK72" t="s">
        <v>8840</v>
      </c>
      <c r="AL72">
        <v>0</v>
      </c>
      <c r="AM72" s="5">
        <f t="shared" si="18"/>
        <v>0</v>
      </c>
      <c r="AN72" s="4">
        <f t="shared" si="15"/>
        <v>0</v>
      </c>
      <c r="AO72" s="3"/>
      <c r="AP72">
        <v>0</v>
      </c>
      <c r="AR72" t="s">
        <v>0</v>
      </c>
      <c r="AT72" s="2" t="s">
        <v>19</v>
      </c>
      <c r="AU72" s="1" t="e">
        <f t="shared" si="19"/>
        <v>#VALUE!</v>
      </c>
      <c r="AV72" s="1" t="e">
        <f t="shared" si="20"/>
        <v>#VALUE!</v>
      </c>
      <c r="AW72" s="1" t="e">
        <f t="shared" si="21"/>
        <v>#VALUE!</v>
      </c>
    </row>
    <row r="73" spans="1:49" x14ac:dyDescent="0.2">
      <c r="A73">
        <v>71</v>
      </c>
      <c r="B73" t="s">
        <v>8839</v>
      </c>
      <c r="F73" t="s">
        <v>8838</v>
      </c>
      <c r="G73" t="s">
        <v>15</v>
      </c>
      <c r="H73" t="s">
        <v>14</v>
      </c>
      <c r="I73" t="s">
        <v>8837</v>
      </c>
      <c r="N73">
        <v>3</v>
      </c>
      <c r="O73" t="s">
        <v>8836</v>
      </c>
      <c r="P73" t="s">
        <v>8835</v>
      </c>
      <c r="Q73" t="s">
        <v>532</v>
      </c>
      <c r="R73" s="7">
        <v>32234</v>
      </c>
      <c r="S73" s="8">
        <f t="shared" si="16"/>
        <v>1988</v>
      </c>
      <c r="T73" s="8">
        <v>1988</v>
      </c>
      <c r="U73" s="8">
        <f t="shared" si="17"/>
        <v>34</v>
      </c>
      <c r="V73" s="7">
        <v>32234</v>
      </c>
      <c r="W73" t="s">
        <v>8834</v>
      </c>
      <c r="X73" s="2" t="s">
        <v>19</v>
      </c>
      <c r="Y73" s="6" t="e">
        <f t="shared" si="14"/>
        <v>#VALUE!</v>
      </c>
      <c r="AA73" t="s">
        <v>8833</v>
      </c>
      <c r="AB73">
        <v>18614</v>
      </c>
      <c r="AD73" t="s">
        <v>4</v>
      </c>
      <c r="AF73">
        <v>89</v>
      </c>
      <c r="AH73" t="s">
        <v>8832</v>
      </c>
      <c r="AI73" t="s">
        <v>8831</v>
      </c>
      <c r="AK73" t="s">
        <v>8830</v>
      </c>
      <c r="AL73">
        <v>3</v>
      </c>
      <c r="AM73" s="5">
        <f t="shared" si="18"/>
        <v>8.8235294117647065E-2</v>
      </c>
      <c r="AN73" s="4">
        <f t="shared" si="15"/>
        <v>1.3363921865603494E-4</v>
      </c>
      <c r="AO73" s="3"/>
      <c r="AP73">
        <v>0</v>
      </c>
      <c r="AR73" t="s">
        <v>0</v>
      </c>
      <c r="AT73" s="2" t="s">
        <v>19</v>
      </c>
      <c r="AU73" s="1" t="e">
        <f t="shared" si="19"/>
        <v>#VALUE!</v>
      </c>
      <c r="AV73" s="1" t="e">
        <f t="shared" si="20"/>
        <v>#VALUE!</v>
      </c>
      <c r="AW73" s="1" t="e">
        <f t="shared" si="21"/>
        <v>#VALUE!</v>
      </c>
    </row>
    <row r="74" spans="1:49" x14ac:dyDescent="0.2">
      <c r="A74">
        <v>72</v>
      </c>
      <c r="B74" t="s">
        <v>8829</v>
      </c>
      <c r="F74" t="s">
        <v>8828</v>
      </c>
      <c r="G74" t="s">
        <v>15</v>
      </c>
      <c r="H74" t="s">
        <v>14</v>
      </c>
      <c r="I74" t="s">
        <v>8827</v>
      </c>
      <c r="N74">
        <v>3</v>
      </c>
      <c r="O74" t="s">
        <v>8826</v>
      </c>
      <c r="P74" t="s">
        <v>8825</v>
      </c>
      <c r="Q74" t="s">
        <v>532</v>
      </c>
      <c r="R74" s="7">
        <v>32234</v>
      </c>
      <c r="S74" s="8">
        <f t="shared" si="16"/>
        <v>1988</v>
      </c>
      <c r="T74" s="8">
        <v>1988</v>
      </c>
      <c r="U74" s="8">
        <f t="shared" si="17"/>
        <v>34</v>
      </c>
      <c r="V74" s="7">
        <v>32234</v>
      </c>
      <c r="W74" t="s">
        <v>950</v>
      </c>
      <c r="X74" s="2">
        <v>0.14099999999999999</v>
      </c>
      <c r="Y74" s="6">
        <f t="shared" si="14"/>
        <v>3.7639144710498915E-3</v>
      </c>
      <c r="AA74">
        <v>402508</v>
      </c>
      <c r="AB74">
        <v>20868</v>
      </c>
      <c r="AD74" t="s">
        <v>4</v>
      </c>
      <c r="AE74">
        <v>43</v>
      </c>
      <c r="AF74">
        <v>4</v>
      </c>
      <c r="AH74" t="s">
        <v>8824</v>
      </c>
      <c r="AI74" t="s">
        <v>8823</v>
      </c>
      <c r="AK74" t="s">
        <v>8822</v>
      </c>
      <c r="AL74">
        <v>0</v>
      </c>
      <c r="AM74" s="5">
        <f t="shared" si="18"/>
        <v>0</v>
      </c>
      <c r="AN74" s="4">
        <f t="shared" si="15"/>
        <v>0</v>
      </c>
      <c r="AO74" s="3"/>
      <c r="AP74">
        <v>0</v>
      </c>
      <c r="AR74" t="s">
        <v>0</v>
      </c>
      <c r="AT74" s="2" t="s">
        <v>19</v>
      </c>
      <c r="AU74" s="1">
        <f t="shared" si="19"/>
        <v>0.26347401297349238</v>
      </c>
      <c r="AV74" s="1">
        <f t="shared" si="20"/>
        <v>0.18819572355249459</v>
      </c>
      <c r="AW74" s="1">
        <f t="shared" si="21"/>
        <v>0.11291743413149673</v>
      </c>
    </row>
    <row r="75" spans="1:49" x14ac:dyDescent="0.2">
      <c r="A75">
        <v>73</v>
      </c>
      <c r="B75" t="s">
        <v>8821</v>
      </c>
      <c r="F75" t="s">
        <v>8820</v>
      </c>
      <c r="G75" t="s">
        <v>15</v>
      </c>
      <c r="H75" t="s">
        <v>14</v>
      </c>
      <c r="I75" t="s">
        <v>8819</v>
      </c>
      <c r="N75">
        <v>2</v>
      </c>
      <c r="O75" t="s">
        <v>8818</v>
      </c>
      <c r="P75" t="s">
        <v>8817</v>
      </c>
      <c r="Q75" t="s">
        <v>501</v>
      </c>
      <c r="R75" s="7">
        <v>32234</v>
      </c>
      <c r="S75" s="8">
        <f t="shared" si="16"/>
        <v>1988</v>
      </c>
      <c r="T75" s="8">
        <v>1988</v>
      </c>
      <c r="U75" s="8">
        <f t="shared" si="17"/>
        <v>34</v>
      </c>
      <c r="V75" s="7">
        <v>32234</v>
      </c>
      <c r="W75" t="s">
        <v>950</v>
      </c>
      <c r="X75" s="2">
        <v>0.14099999999999999</v>
      </c>
      <c r="Y75" s="6">
        <f t="shared" si="14"/>
        <v>3.7639144710498915E-3</v>
      </c>
      <c r="AA75">
        <v>402508</v>
      </c>
      <c r="AB75">
        <v>20868</v>
      </c>
      <c r="AD75" t="s">
        <v>4</v>
      </c>
      <c r="AE75">
        <v>43</v>
      </c>
      <c r="AF75">
        <v>4</v>
      </c>
      <c r="AH75" t="s">
        <v>8816</v>
      </c>
      <c r="AI75" t="s">
        <v>8815</v>
      </c>
      <c r="AK75" t="s">
        <v>8814</v>
      </c>
      <c r="AL75">
        <v>0</v>
      </c>
      <c r="AM75" s="5">
        <f t="shared" si="18"/>
        <v>0</v>
      </c>
      <c r="AN75" s="4">
        <f t="shared" si="15"/>
        <v>0</v>
      </c>
      <c r="AO75" s="3"/>
      <c r="AP75">
        <v>0</v>
      </c>
      <c r="AR75" t="s">
        <v>0</v>
      </c>
      <c r="AT75" s="2" t="s">
        <v>19</v>
      </c>
      <c r="AU75" s="1">
        <f t="shared" si="19"/>
        <v>0.26347401297349238</v>
      </c>
      <c r="AV75" s="1">
        <f t="shared" si="20"/>
        <v>0.18819572355249459</v>
      </c>
      <c r="AW75" s="1">
        <f t="shared" si="21"/>
        <v>0.11291743413149673</v>
      </c>
    </row>
    <row r="76" spans="1:49" x14ac:dyDescent="0.2">
      <c r="A76">
        <v>74</v>
      </c>
      <c r="B76" t="s">
        <v>8813</v>
      </c>
      <c r="F76" t="s">
        <v>8812</v>
      </c>
      <c r="G76" t="s">
        <v>15</v>
      </c>
      <c r="H76" t="s">
        <v>14</v>
      </c>
      <c r="I76" t="s">
        <v>8811</v>
      </c>
      <c r="N76">
        <v>1</v>
      </c>
      <c r="O76" t="s">
        <v>8810</v>
      </c>
      <c r="P76">
        <v>7005209870</v>
      </c>
      <c r="R76" s="7">
        <v>32234</v>
      </c>
      <c r="S76" s="8">
        <f t="shared" si="16"/>
        <v>1988</v>
      </c>
      <c r="T76" s="8">
        <v>1988</v>
      </c>
      <c r="U76" s="8">
        <f t="shared" si="17"/>
        <v>34</v>
      </c>
      <c r="V76" s="7">
        <v>32234</v>
      </c>
      <c r="W76" t="s">
        <v>8809</v>
      </c>
      <c r="X76" s="2" t="s">
        <v>19</v>
      </c>
      <c r="Y76" s="6" t="e">
        <f t="shared" si="14"/>
        <v>#VALUE!</v>
      </c>
      <c r="AA76">
        <v>49042</v>
      </c>
      <c r="AB76">
        <v>24133</v>
      </c>
      <c r="AD76" t="s">
        <v>4</v>
      </c>
      <c r="AE76">
        <v>21</v>
      </c>
      <c r="AF76">
        <v>4</v>
      </c>
      <c r="AI76" t="s">
        <v>8808</v>
      </c>
      <c r="AK76" t="s">
        <v>8807</v>
      </c>
      <c r="AL76">
        <v>0</v>
      </c>
      <c r="AM76" s="5">
        <f t="shared" si="18"/>
        <v>0</v>
      </c>
      <c r="AN76" s="4">
        <f t="shared" si="15"/>
        <v>0</v>
      </c>
      <c r="AO76" s="3"/>
      <c r="AP76">
        <v>0</v>
      </c>
      <c r="AR76" t="s">
        <v>0</v>
      </c>
      <c r="AT76" s="2" t="s">
        <v>19</v>
      </c>
      <c r="AU76" s="1" t="e">
        <f t="shared" si="19"/>
        <v>#VALUE!</v>
      </c>
      <c r="AV76" s="1" t="e">
        <f t="shared" si="20"/>
        <v>#VALUE!</v>
      </c>
      <c r="AW76" s="1" t="e">
        <f t="shared" si="21"/>
        <v>#VALUE!</v>
      </c>
    </row>
    <row r="77" spans="1:49" x14ac:dyDescent="0.2">
      <c r="A77">
        <v>75</v>
      </c>
      <c r="B77" t="s">
        <v>8806</v>
      </c>
      <c r="F77" t="s">
        <v>8805</v>
      </c>
      <c r="G77" t="s">
        <v>15</v>
      </c>
      <c r="H77" t="s">
        <v>14</v>
      </c>
      <c r="I77" t="s">
        <v>8804</v>
      </c>
      <c r="J77">
        <v>100493659</v>
      </c>
      <c r="K77" t="s">
        <v>8803</v>
      </c>
      <c r="N77">
        <v>1</v>
      </c>
      <c r="O77" t="s">
        <v>8802</v>
      </c>
      <c r="P77">
        <v>36977502300</v>
      </c>
      <c r="Q77">
        <v>100493659</v>
      </c>
      <c r="R77" s="7">
        <v>32234</v>
      </c>
      <c r="S77" s="8">
        <f t="shared" si="16"/>
        <v>1988</v>
      </c>
      <c r="T77" s="8">
        <v>1988</v>
      </c>
      <c r="U77" s="8">
        <f t="shared" si="17"/>
        <v>34</v>
      </c>
      <c r="V77" s="7">
        <v>32234</v>
      </c>
      <c r="W77" t="s">
        <v>8801</v>
      </c>
      <c r="X77" s="2" t="s">
        <v>19</v>
      </c>
      <c r="Y77" s="6" t="e">
        <f t="shared" si="14"/>
        <v>#VALUE!</v>
      </c>
      <c r="AA77">
        <v>3052109</v>
      </c>
      <c r="AB77">
        <v>18265</v>
      </c>
      <c r="AD77" t="s">
        <v>4</v>
      </c>
      <c r="AE77">
        <v>15</v>
      </c>
      <c r="AF77">
        <v>4</v>
      </c>
      <c r="AI77" t="s">
        <v>8800</v>
      </c>
      <c r="AK77" t="s">
        <v>8799</v>
      </c>
      <c r="AL77">
        <v>0</v>
      </c>
      <c r="AM77" s="5">
        <f t="shared" si="18"/>
        <v>0</v>
      </c>
      <c r="AN77" s="4">
        <f t="shared" si="15"/>
        <v>0</v>
      </c>
      <c r="AO77" s="3"/>
      <c r="AP77">
        <v>0</v>
      </c>
      <c r="AR77" t="s">
        <v>0</v>
      </c>
      <c r="AT77" s="2" t="s">
        <v>19</v>
      </c>
      <c r="AU77" s="1" t="e">
        <f t="shared" si="19"/>
        <v>#VALUE!</v>
      </c>
      <c r="AV77" s="1" t="e">
        <f t="shared" si="20"/>
        <v>#VALUE!</v>
      </c>
      <c r="AW77" s="1" t="e">
        <f t="shared" si="21"/>
        <v>#VALUE!</v>
      </c>
    </row>
    <row r="78" spans="1:49" x14ac:dyDescent="0.2">
      <c r="A78">
        <v>76</v>
      </c>
      <c r="B78" t="s">
        <v>8798</v>
      </c>
      <c r="F78" t="s">
        <v>8797</v>
      </c>
      <c r="G78" t="s">
        <v>15</v>
      </c>
      <c r="H78" t="s">
        <v>14</v>
      </c>
      <c r="I78" t="s">
        <v>8796</v>
      </c>
      <c r="N78">
        <v>2</v>
      </c>
      <c r="O78" t="s">
        <v>8795</v>
      </c>
      <c r="P78" t="s">
        <v>8794</v>
      </c>
      <c r="Q78" t="s">
        <v>501</v>
      </c>
      <c r="R78" s="7">
        <v>32234</v>
      </c>
      <c r="S78" s="8">
        <f t="shared" si="16"/>
        <v>1988</v>
      </c>
      <c r="T78" s="8">
        <v>1988</v>
      </c>
      <c r="U78" s="8">
        <f t="shared" si="17"/>
        <v>34</v>
      </c>
      <c r="V78" s="7">
        <v>32234</v>
      </c>
      <c r="W78" t="s">
        <v>500</v>
      </c>
      <c r="X78" s="2" t="s">
        <v>19</v>
      </c>
      <c r="Y78" s="6" t="e">
        <f t="shared" si="14"/>
        <v>#VALUE!</v>
      </c>
      <c r="AA78">
        <v>87566648</v>
      </c>
      <c r="AB78">
        <v>74127</v>
      </c>
      <c r="AD78" t="s">
        <v>4</v>
      </c>
      <c r="AE78">
        <v>33</v>
      </c>
      <c r="AF78">
        <v>4</v>
      </c>
      <c r="AH78" s="9">
        <v>44348</v>
      </c>
      <c r="AI78" t="s">
        <v>8793</v>
      </c>
      <c r="AK78" t="s">
        <v>8792</v>
      </c>
      <c r="AL78">
        <v>0</v>
      </c>
      <c r="AM78" s="5">
        <f t="shared" si="18"/>
        <v>0</v>
      </c>
      <c r="AN78" s="4">
        <f t="shared" si="15"/>
        <v>0</v>
      </c>
      <c r="AO78" s="3"/>
      <c r="AP78">
        <v>0</v>
      </c>
      <c r="AR78" t="s">
        <v>0</v>
      </c>
      <c r="AT78" s="2" t="s">
        <v>19</v>
      </c>
      <c r="AU78" s="1" t="e">
        <f t="shared" si="19"/>
        <v>#VALUE!</v>
      </c>
      <c r="AV78" s="1" t="e">
        <f t="shared" si="20"/>
        <v>#VALUE!</v>
      </c>
      <c r="AW78" s="1" t="e">
        <f t="shared" si="21"/>
        <v>#VALUE!</v>
      </c>
    </row>
    <row r="79" spans="1:49" x14ac:dyDescent="0.2">
      <c r="A79">
        <v>77</v>
      </c>
      <c r="B79" t="s">
        <v>8791</v>
      </c>
      <c r="F79" t="s">
        <v>8790</v>
      </c>
      <c r="G79" t="s">
        <v>15</v>
      </c>
      <c r="H79" t="s">
        <v>14</v>
      </c>
      <c r="I79" t="s">
        <v>8789</v>
      </c>
      <c r="N79">
        <v>3</v>
      </c>
      <c r="O79" t="s">
        <v>8788</v>
      </c>
      <c r="P79" t="s">
        <v>8787</v>
      </c>
      <c r="Q79" t="s">
        <v>532</v>
      </c>
      <c r="R79" s="7">
        <v>32234</v>
      </c>
      <c r="S79" s="8">
        <f t="shared" si="16"/>
        <v>1988</v>
      </c>
      <c r="T79" s="8">
        <v>1988</v>
      </c>
      <c r="U79" s="8">
        <f t="shared" si="17"/>
        <v>34</v>
      </c>
      <c r="V79" s="7">
        <v>32234</v>
      </c>
      <c r="W79" t="s">
        <v>500</v>
      </c>
      <c r="X79" s="2" t="s">
        <v>19</v>
      </c>
      <c r="Y79" s="6" t="e">
        <f t="shared" si="14"/>
        <v>#VALUE!</v>
      </c>
      <c r="AA79">
        <v>87566648</v>
      </c>
      <c r="AB79">
        <v>74127</v>
      </c>
      <c r="AD79" t="s">
        <v>4</v>
      </c>
      <c r="AE79">
        <v>33</v>
      </c>
      <c r="AF79">
        <v>4</v>
      </c>
      <c r="AH79" t="s">
        <v>8786</v>
      </c>
      <c r="AI79" t="s">
        <v>8785</v>
      </c>
      <c r="AK79" t="s">
        <v>8784</v>
      </c>
      <c r="AL79">
        <v>0</v>
      </c>
      <c r="AM79" s="5">
        <f t="shared" si="18"/>
        <v>0</v>
      </c>
      <c r="AN79" s="4">
        <f t="shared" si="15"/>
        <v>0</v>
      </c>
      <c r="AO79" s="3"/>
      <c r="AP79">
        <v>0</v>
      </c>
      <c r="AR79" t="s">
        <v>0</v>
      </c>
      <c r="AT79" s="2" t="s">
        <v>19</v>
      </c>
      <c r="AU79" s="1" t="e">
        <f t="shared" si="19"/>
        <v>#VALUE!</v>
      </c>
      <c r="AV79" s="1" t="e">
        <f t="shared" si="20"/>
        <v>#VALUE!</v>
      </c>
      <c r="AW79" s="1" t="e">
        <f t="shared" si="21"/>
        <v>#VALUE!</v>
      </c>
    </row>
    <row r="80" spans="1:49" x14ac:dyDescent="0.2">
      <c r="A80">
        <v>78</v>
      </c>
      <c r="B80" t="s">
        <v>8783</v>
      </c>
      <c r="F80" t="s">
        <v>8782</v>
      </c>
      <c r="G80" t="s">
        <v>15</v>
      </c>
      <c r="H80" t="s">
        <v>14</v>
      </c>
      <c r="I80" t="s">
        <v>8781</v>
      </c>
      <c r="N80">
        <v>1</v>
      </c>
      <c r="O80" t="s">
        <v>8780</v>
      </c>
      <c r="P80">
        <v>7004267629</v>
      </c>
      <c r="R80" s="7">
        <v>32234</v>
      </c>
      <c r="S80" s="8">
        <f t="shared" si="16"/>
        <v>1988</v>
      </c>
      <c r="T80" s="8">
        <v>1988</v>
      </c>
      <c r="U80" s="8">
        <f t="shared" si="17"/>
        <v>34</v>
      </c>
      <c r="V80" s="7">
        <v>32234</v>
      </c>
      <c r="W80" t="s">
        <v>8779</v>
      </c>
      <c r="X80" s="2" t="s">
        <v>19</v>
      </c>
      <c r="Y80" s="6" t="e">
        <f t="shared" si="14"/>
        <v>#VALUE!</v>
      </c>
      <c r="AB80">
        <v>76609</v>
      </c>
      <c r="AD80" t="s">
        <v>4</v>
      </c>
      <c r="AF80">
        <v>192</v>
      </c>
      <c r="AI80" t="s">
        <v>8778</v>
      </c>
      <c r="AK80" t="s">
        <v>8777</v>
      </c>
      <c r="AL80">
        <v>1</v>
      </c>
      <c r="AM80" s="5">
        <f t="shared" si="18"/>
        <v>2.9411764705882353E-2</v>
      </c>
      <c r="AN80" s="4">
        <f t="shared" si="15"/>
        <v>4.4546406218678307E-5</v>
      </c>
      <c r="AO80" s="3"/>
      <c r="AP80">
        <v>0</v>
      </c>
      <c r="AR80" t="s">
        <v>0</v>
      </c>
      <c r="AT80" s="2" t="s">
        <v>19</v>
      </c>
      <c r="AU80" s="1" t="e">
        <f t="shared" si="19"/>
        <v>#VALUE!</v>
      </c>
      <c r="AV80" s="1" t="e">
        <f t="shared" si="20"/>
        <v>#VALUE!</v>
      </c>
      <c r="AW80" s="1" t="e">
        <f t="shared" si="21"/>
        <v>#VALUE!</v>
      </c>
    </row>
    <row r="81" spans="1:49" x14ac:dyDescent="0.2">
      <c r="A81">
        <v>79</v>
      </c>
      <c r="B81" t="s">
        <v>8776</v>
      </c>
      <c r="F81" t="s">
        <v>8775</v>
      </c>
      <c r="G81" t="s">
        <v>15</v>
      </c>
      <c r="H81" t="s">
        <v>14</v>
      </c>
      <c r="I81" t="s">
        <v>8774</v>
      </c>
      <c r="N81">
        <v>1</v>
      </c>
      <c r="O81" t="s">
        <v>8773</v>
      </c>
      <c r="P81">
        <v>6507865230</v>
      </c>
      <c r="R81" s="7">
        <v>32234</v>
      </c>
      <c r="S81" s="8">
        <f t="shared" si="16"/>
        <v>1988</v>
      </c>
      <c r="T81" s="8">
        <v>1988</v>
      </c>
      <c r="U81" s="8">
        <f t="shared" si="17"/>
        <v>34</v>
      </c>
      <c r="V81" s="7">
        <v>32234</v>
      </c>
      <c r="W81" t="s">
        <v>500</v>
      </c>
      <c r="X81" s="2" t="s">
        <v>19</v>
      </c>
      <c r="Y81" s="6" t="e">
        <f t="shared" si="14"/>
        <v>#VALUE!</v>
      </c>
      <c r="AA81">
        <v>87566648</v>
      </c>
      <c r="AB81">
        <v>74127</v>
      </c>
      <c r="AD81" t="s">
        <v>4</v>
      </c>
      <c r="AE81">
        <v>33</v>
      </c>
      <c r="AF81">
        <v>4</v>
      </c>
      <c r="AH81" s="10">
        <v>41791</v>
      </c>
      <c r="AI81" t="s">
        <v>8772</v>
      </c>
      <c r="AK81" t="s">
        <v>8771</v>
      </c>
      <c r="AL81">
        <v>0</v>
      </c>
      <c r="AM81" s="5">
        <f t="shared" si="18"/>
        <v>0</v>
      </c>
      <c r="AN81" s="4">
        <f t="shared" si="15"/>
        <v>0</v>
      </c>
      <c r="AO81" s="3"/>
      <c r="AP81">
        <v>0</v>
      </c>
      <c r="AR81" t="s">
        <v>0</v>
      </c>
      <c r="AT81" s="2" t="s">
        <v>19</v>
      </c>
      <c r="AU81" s="1" t="e">
        <f t="shared" si="19"/>
        <v>#VALUE!</v>
      </c>
      <c r="AV81" s="1" t="e">
        <f t="shared" si="20"/>
        <v>#VALUE!</v>
      </c>
      <c r="AW81" s="1" t="e">
        <f t="shared" si="21"/>
        <v>#VALUE!</v>
      </c>
    </row>
    <row r="82" spans="1:49" x14ac:dyDescent="0.2">
      <c r="A82">
        <v>80</v>
      </c>
      <c r="B82" t="s">
        <v>8770</v>
      </c>
      <c r="C82" t="s">
        <v>8769</v>
      </c>
      <c r="F82" t="s">
        <v>8768</v>
      </c>
      <c r="G82" t="s">
        <v>15</v>
      </c>
      <c r="H82" t="s">
        <v>14</v>
      </c>
      <c r="I82" t="s">
        <v>8767</v>
      </c>
      <c r="J82">
        <v>60005460</v>
      </c>
      <c r="K82" t="s">
        <v>181</v>
      </c>
      <c r="L82" t="s">
        <v>180</v>
      </c>
      <c r="M82" t="s">
        <v>45</v>
      </c>
      <c r="N82">
        <v>3</v>
      </c>
      <c r="O82" t="s">
        <v>8766</v>
      </c>
      <c r="P82" t="s">
        <v>8765</v>
      </c>
      <c r="Q82" t="s">
        <v>8764</v>
      </c>
      <c r="R82" s="7">
        <v>32234</v>
      </c>
      <c r="S82" s="8">
        <f t="shared" si="16"/>
        <v>1988</v>
      </c>
      <c r="T82" s="8">
        <v>1988</v>
      </c>
      <c r="U82" s="8">
        <f t="shared" si="17"/>
        <v>34</v>
      </c>
      <c r="V82" s="7">
        <v>32234</v>
      </c>
      <c r="W82" t="s">
        <v>7646</v>
      </c>
      <c r="X82" s="2">
        <v>0.30099999999999999</v>
      </c>
      <c r="Y82" s="6">
        <f t="shared" si="14"/>
        <v>8.0350230906809754E-3</v>
      </c>
      <c r="AA82">
        <v>9395075</v>
      </c>
      <c r="AB82">
        <v>14954</v>
      </c>
      <c r="AC82">
        <v>18657125</v>
      </c>
      <c r="AD82" t="s">
        <v>4</v>
      </c>
      <c r="AE82">
        <v>43</v>
      </c>
      <c r="AF82" s="9">
        <v>44289</v>
      </c>
      <c r="AH82" t="s">
        <v>8763</v>
      </c>
      <c r="AI82" t="s">
        <v>8762</v>
      </c>
      <c r="AJ82" t="s">
        <v>8761</v>
      </c>
      <c r="AK82" t="s">
        <v>8760</v>
      </c>
      <c r="AL82">
        <v>30</v>
      </c>
      <c r="AM82" s="5">
        <f t="shared" si="18"/>
        <v>0.88235294117647056</v>
      </c>
      <c r="AN82" s="4">
        <f t="shared" si="15"/>
        <v>1.3363921865603492E-3</v>
      </c>
      <c r="AO82" s="3"/>
      <c r="AP82">
        <v>1</v>
      </c>
      <c r="AR82" t="s">
        <v>0</v>
      </c>
      <c r="AT82" s="2" t="s">
        <v>19</v>
      </c>
      <c r="AU82" s="1">
        <f t="shared" si="19"/>
        <v>0.60254338194447876</v>
      </c>
      <c r="AV82" s="1">
        <f t="shared" si="20"/>
        <v>0.46857076386206625</v>
      </c>
      <c r="AW82" s="1">
        <f t="shared" si="21"/>
        <v>0.33459814577965374</v>
      </c>
    </row>
    <row r="83" spans="1:49" x14ac:dyDescent="0.2">
      <c r="A83">
        <v>81</v>
      </c>
      <c r="B83" t="s">
        <v>8759</v>
      </c>
      <c r="C83" t="s">
        <v>8758</v>
      </c>
      <c r="F83" t="s">
        <v>8757</v>
      </c>
      <c r="G83" t="s">
        <v>15</v>
      </c>
      <c r="H83" t="s">
        <v>14</v>
      </c>
      <c r="I83" t="s">
        <v>8756</v>
      </c>
      <c r="J83" t="s">
        <v>8755</v>
      </c>
      <c r="K83" t="s">
        <v>8754</v>
      </c>
      <c r="L83" t="s">
        <v>8753</v>
      </c>
      <c r="M83" t="s">
        <v>8752</v>
      </c>
      <c r="N83">
        <v>6</v>
      </c>
      <c r="O83" t="s">
        <v>8751</v>
      </c>
      <c r="P83" t="s">
        <v>8750</v>
      </c>
      <c r="Q83" t="s">
        <v>8749</v>
      </c>
      <c r="R83" s="7">
        <v>32233</v>
      </c>
      <c r="S83" s="8">
        <f t="shared" si="16"/>
        <v>1988</v>
      </c>
      <c r="T83" s="8">
        <v>1988</v>
      </c>
      <c r="U83" s="8">
        <f t="shared" si="17"/>
        <v>34</v>
      </c>
      <c r="V83" s="7">
        <v>32233</v>
      </c>
      <c r="W83" t="s">
        <v>56</v>
      </c>
      <c r="X83" s="2">
        <v>0.375</v>
      </c>
      <c r="Y83" s="6">
        <f t="shared" si="14"/>
        <v>1.0010410827260351E-2</v>
      </c>
      <c r="AA83">
        <v>135194</v>
      </c>
      <c r="AB83">
        <v>24918</v>
      </c>
      <c r="AD83" t="s">
        <v>4</v>
      </c>
      <c r="AE83">
        <v>24</v>
      </c>
      <c r="AF83">
        <v>8</v>
      </c>
      <c r="AH83" t="s">
        <v>8748</v>
      </c>
      <c r="AI83" t="s">
        <v>8747</v>
      </c>
      <c r="AJ83" t="s">
        <v>8746</v>
      </c>
      <c r="AK83" t="s">
        <v>8745</v>
      </c>
      <c r="AL83">
        <v>50</v>
      </c>
      <c r="AM83" s="5">
        <f t="shared" si="18"/>
        <v>1.4705882352941178</v>
      </c>
      <c r="AN83" s="4">
        <f t="shared" si="15"/>
        <v>2.2273203109339154E-3</v>
      </c>
      <c r="AO83" s="3"/>
      <c r="AP83">
        <v>0</v>
      </c>
      <c r="AR83" t="s">
        <v>0</v>
      </c>
      <c r="AT83" s="2">
        <v>1.3140000000000001</v>
      </c>
      <c r="AU83" s="1">
        <f t="shared" si="19"/>
        <v>0.76754836723624209</v>
      </c>
      <c r="AV83" s="1">
        <f t="shared" si="20"/>
        <v>0.61188655690971339</v>
      </c>
      <c r="AW83" s="1">
        <f t="shared" si="21"/>
        <v>0.45622474658318457</v>
      </c>
    </row>
    <row r="84" spans="1:49" x14ac:dyDescent="0.2">
      <c r="A84">
        <v>82</v>
      </c>
      <c r="B84" t="s">
        <v>8744</v>
      </c>
      <c r="C84" t="s">
        <v>8743</v>
      </c>
      <c r="F84" t="s">
        <v>8742</v>
      </c>
      <c r="G84" t="s">
        <v>15</v>
      </c>
      <c r="H84" t="s">
        <v>14</v>
      </c>
      <c r="I84" t="s">
        <v>2718</v>
      </c>
      <c r="J84">
        <v>60012162</v>
      </c>
      <c r="K84" t="s">
        <v>6337</v>
      </c>
      <c r="L84" t="s">
        <v>6336</v>
      </c>
      <c r="M84" t="s">
        <v>1725</v>
      </c>
      <c r="N84">
        <v>3</v>
      </c>
      <c r="O84" t="s">
        <v>2716</v>
      </c>
      <c r="P84" t="s">
        <v>2715</v>
      </c>
      <c r="Q84" t="s">
        <v>6334</v>
      </c>
      <c r="R84" s="7">
        <v>32233</v>
      </c>
      <c r="S84" s="8">
        <f t="shared" si="16"/>
        <v>1988</v>
      </c>
      <c r="T84" s="8">
        <v>1988</v>
      </c>
      <c r="U84" s="8">
        <f t="shared" si="17"/>
        <v>34</v>
      </c>
      <c r="V84" s="7">
        <v>32233</v>
      </c>
      <c r="W84" t="s">
        <v>56</v>
      </c>
      <c r="X84" s="2">
        <v>0.375</v>
      </c>
      <c r="Y84" s="6">
        <f t="shared" si="14"/>
        <v>1.0010410827260351E-2</v>
      </c>
      <c r="AA84">
        <v>135194</v>
      </c>
      <c r="AB84">
        <v>24918</v>
      </c>
      <c r="AD84" t="s">
        <v>4</v>
      </c>
      <c r="AE84">
        <v>24</v>
      </c>
      <c r="AF84">
        <v>8</v>
      </c>
      <c r="AH84" t="s">
        <v>8741</v>
      </c>
      <c r="AI84" t="s">
        <v>8740</v>
      </c>
      <c r="AJ84" t="s">
        <v>8739</v>
      </c>
      <c r="AK84" t="s">
        <v>8738</v>
      </c>
      <c r="AL84">
        <v>3</v>
      </c>
      <c r="AM84" s="5">
        <f t="shared" si="18"/>
        <v>8.8235294117647065E-2</v>
      </c>
      <c r="AN84" s="4">
        <f t="shared" si="15"/>
        <v>1.3363921865603494E-4</v>
      </c>
      <c r="AO84" s="3"/>
      <c r="AP84">
        <v>0</v>
      </c>
      <c r="AR84" t="s">
        <v>0</v>
      </c>
      <c r="AT84" s="2">
        <v>1.3140000000000001</v>
      </c>
      <c r="AU84" s="1">
        <f t="shared" si="19"/>
        <v>0.70473793446790567</v>
      </c>
      <c r="AV84" s="1">
        <f t="shared" si="20"/>
        <v>0.50720250229581931</v>
      </c>
      <c r="AW84" s="1">
        <f t="shared" si="21"/>
        <v>0.30966707012373296</v>
      </c>
    </row>
    <row r="85" spans="1:49" x14ac:dyDescent="0.2">
      <c r="A85">
        <v>83</v>
      </c>
      <c r="B85" t="s">
        <v>8737</v>
      </c>
      <c r="C85" t="s">
        <v>8736</v>
      </c>
      <c r="F85" t="s">
        <v>8735</v>
      </c>
      <c r="G85" t="s">
        <v>15</v>
      </c>
      <c r="H85" t="s">
        <v>14</v>
      </c>
      <c r="I85" t="s">
        <v>8734</v>
      </c>
      <c r="J85" t="s">
        <v>3160</v>
      </c>
      <c r="K85" t="s">
        <v>3159</v>
      </c>
      <c r="L85" t="s">
        <v>3158</v>
      </c>
      <c r="M85" t="s">
        <v>9</v>
      </c>
      <c r="N85">
        <v>3</v>
      </c>
      <c r="O85" t="s">
        <v>8733</v>
      </c>
      <c r="P85" t="s">
        <v>8732</v>
      </c>
      <c r="Q85" t="s">
        <v>8731</v>
      </c>
      <c r="R85" s="7">
        <v>32233</v>
      </c>
      <c r="S85" s="8">
        <f t="shared" si="16"/>
        <v>1988</v>
      </c>
      <c r="T85" s="8">
        <v>1988</v>
      </c>
      <c r="U85" s="8">
        <f t="shared" si="17"/>
        <v>34</v>
      </c>
      <c r="V85" s="7">
        <v>32233</v>
      </c>
      <c r="W85" t="s">
        <v>56</v>
      </c>
      <c r="X85" s="2">
        <v>0.375</v>
      </c>
      <c r="Y85" s="6">
        <f t="shared" si="14"/>
        <v>1.0010410827260351E-2</v>
      </c>
      <c r="AA85">
        <v>135194</v>
      </c>
      <c r="AB85">
        <v>24918</v>
      </c>
      <c r="AD85" t="s">
        <v>4</v>
      </c>
      <c r="AE85">
        <v>24</v>
      </c>
      <c r="AF85">
        <v>8</v>
      </c>
      <c r="AH85" t="s">
        <v>8730</v>
      </c>
      <c r="AI85" t="s">
        <v>8729</v>
      </c>
      <c r="AJ85" t="s">
        <v>8728</v>
      </c>
      <c r="AK85" t="s">
        <v>8727</v>
      </c>
      <c r="AL85">
        <v>65</v>
      </c>
      <c r="AM85" s="5">
        <f t="shared" si="18"/>
        <v>1.911764705882353</v>
      </c>
      <c r="AN85" s="4">
        <f t="shared" si="15"/>
        <v>2.89551640421409E-3</v>
      </c>
      <c r="AO85" s="3"/>
      <c r="AP85">
        <v>0</v>
      </c>
      <c r="AR85" t="s">
        <v>0</v>
      </c>
      <c r="AT85" s="2">
        <v>1.3140000000000001</v>
      </c>
      <c r="AU85" s="1">
        <f t="shared" si="19"/>
        <v>0.78759425003464734</v>
      </c>
      <c r="AV85" s="1">
        <f t="shared" si="20"/>
        <v>0.64529636157372205</v>
      </c>
      <c r="AW85" s="1">
        <f t="shared" si="21"/>
        <v>0.50299847311279688</v>
      </c>
    </row>
    <row r="86" spans="1:49" x14ac:dyDescent="0.2">
      <c r="A86">
        <v>84</v>
      </c>
      <c r="B86" t="s">
        <v>8726</v>
      </c>
      <c r="C86" t="s">
        <v>8725</v>
      </c>
      <c r="F86" t="s">
        <v>8724</v>
      </c>
      <c r="G86" t="s">
        <v>15</v>
      </c>
      <c r="H86" t="s">
        <v>14</v>
      </c>
      <c r="I86" t="s">
        <v>140</v>
      </c>
      <c r="J86">
        <v>60013141</v>
      </c>
      <c r="K86" t="s">
        <v>60</v>
      </c>
      <c r="L86" t="s">
        <v>59</v>
      </c>
      <c r="M86" t="s">
        <v>58</v>
      </c>
      <c r="N86">
        <v>2</v>
      </c>
      <c r="O86" t="s">
        <v>8723</v>
      </c>
      <c r="P86" t="s">
        <v>8722</v>
      </c>
      <c r="Q86" t="s">
        <v>1622</v>
      </c>
      <c r="R86" s="7">
        <v>32233</v>
      </c>
      <c r="S86" s="8">
        <f t="shared" si="16"/>
        <v>1988</v>
      </c>
      <c r="T86" s="8">
        <v>1988</v>
      </c>
      <c r="U86" s="8">
        <f t="shared" si="17"/>
        <v>34</v>
      </c>
      <c r="V86" s="7">
        <v>32233</v>
      </c>
      <c r="W86" t="s">
        <v>56</v>
      </c>
      <c r="X86" s="2">
        <v>0.375</v>
      </c>
      <c r="Y86" s="6">
        <f t="shared" si="14"/>
        <v>1.0010410827260351E-2</v>
      </c>
      <c r="AA86">
        <v>135194</v>
      </c>
      <c r="AB86">
        <v>24918</v>
      </c>
      <c r="AD86" t="s">
        <v>4</v>
      </c>
      <c r="AE86">
        <v>24</v>
      </c>
      <c r="AF86">
        <v>8</v>
      </c>
      <c r="AH86" t="s">
        <v>8721</v>
      </c>
      <c r="AI86" t="s">
        <v>8720</v>
      </c>
      <c r="AJ86" t="s">
        <v>6710</v>
      </c>
      <c r="AK86" t="s">
        <v>8719</v>
      </c>
      <c r="AL86">
        <v>46</v>
      </c>
      <c r="AM86" s="5">
        <f t="shared" si="18"/>
        <v>1.3529411764705883</v>
      </c>
      <c r="AN86" s="4">
        <f t="shared" si="15"/>
        <v>2.0491346860592023E-3</v>
      </c>
      <c r="AO86" s="3"/>
      <c r="AP86">
        <v>0</v>
      </c>
      <c r="AR86" t="s">
        <v>0</v>
      </c>
      <c r="AT86" s="2">
        <v>1.3140000000000001</v>
      </c>
      <c r="AU86" s="1">
        <f t="shared" si="19"/>
        <v>0.76220279849000061</v>
      </c>
      <c r="AV86" s="1">
        <f t="shared" si="20"/>
        <v>0.6029772756659777</v>
      </c>
      <c r="AW86" s="1">
        <f t="shared" si="21"/>
        <v>0.44375175284195462</v>
      </c>
    </row>
    <row r="87" spans="1:49" x14ac:dyDescent="0.2">
      <c r="A87">
        <v>85</v>
      </c>
      <c r="B87" t="s">
        <v>8718</v>
      </c>
      <c r="C87" t="s">
        <v>8717</v>
      </c>
      <c r="D87">
        <v>5272888900527</v>
      </c>
      <c r="F87" t="s">
        <v>8716</v>
      </c>
      <c r="G87" t="s">
        <v>15</v>
      </c>
      <c r="H87" t="s">
        <v>14</v>
      </c>
      <c r="I87" t="s">
        <v>8715</v>
      </c>
      <c r="J87">
        <v>60011604</v>
      </c>
      <c r="K87" t="s">
        <v>8714</v>
      </c>
      <c r="L87" t="s">
        <v>8713</v>
      </c>
      <c r="M87" t="s">
        <v>45</v>
      </c>
      <c r="N87">
        <v>2</v>
      </c>
      <c r="O87" t="s">
        <v>8712</v>
      </c>
      <c r="P87" t="s">
        <v>8711</v>
      </c>
      <c r="Q87" t="s">
        <v>8710</v>
      </c>
      <c r="R87" s="7">
        <v>32232</v>
      </c>
      <c r="S87" s="8">
        <f t="shared" si="16"/>
        <v>1988</v>
      </c>
      <c r="T87" s="8">
        <v>1988</v>
      </c>
      <c r="U87" s="8">
        <f t="shared" si="17"/>
        <v>34</v>
      </c>
      <c r="V87" s="7">
        <v>32232</v>
      </c>
      <c r="W87" t="s">
        <v>27</v>
      </c>
      <c r="X87" s="2">
        <v>1.59</v>
      </c>
      <c r="Y87" s="6">
        <f t="shared" si="14"/>
        <v>4.2444141907583888E-2</v>
      </c>
      <c r="AA87">
        <v>52728</v>
      </c>
      <c r="AB87">
        <v>16791</v>
      </c>
      <c r="AD87" t="s">
        <v>4</v>
      </c>
      <c r="AE87">
        <v>933</v>
      </c>
      <c r="AF87">
        <v>1</v>
      </c>
      <c r="AH87" t="s">
        <v>8709</v>
      </c>
      <c r="AI87" t="s">
        <v>8708</v>
      </c>
      <c r="AJ87" t="s">
        <v>8707</v>
      </c>
      <c r="AK87" t="s">
        <v>8706</v>
      </c>
      <c r="AL87">
        <v>41</v>
      </c>
      <c r="AM87" s="5">
        <f t="shared" si="18"/>
        <v>1.2058823529411764</v>
      </c>
      <c r="AN87" s="4">
        <f t="shared" si="15"/>
        <v>1.8264026549658105E-3</v>
      </c>
      <c r="AO87" s="3"/>
      <c r="AP87">
        <v>0</v>
      </c>
      <c r="AR87" t="s">
        <v>0</v>
      </c>
      <c r="AT87" s="2" t="s">
        <v>19</v>
      </c>
      <c r="AU87" s="1">
        <f t="shared" si="19"/>
        <v>3.0258820131798463</v>
      </c>
      <c r="AV87" s="1">
        <f t="shared" si="20"/>
        <v>2.2135272281274849</v>
      </c>
      <c r="AW87" s="1">
        <f t="shared" si="21"/>
        <v>1.4011724430751233</v>
      </c>
    </row>
    <row r="88" spans="1:49" x14ac:dyDescent="0.2">
      <c r="A88">
        <v>86</v>
      </c>
      <c r="B88" t="s">
        <v>8705</v>
      </c>
      <c r="C88" t="s">
        <v>8704</v>
      </c>
      <c r="D88">
        <v>5272888900631</v>
      </c>
      <c r="F88" t="s">
        <v>8703</v>
      </c>
      <c r="G88" t="s">
        <v>15</v>
      </c>
      <c r="H88" t="s">
        <v>14</v>
      </c>
      <c r="I88" t="s">
        <v>8702</v>
      </c>
      <c r="J88" t="s">
        <v>417</v>
      </c>
      <c r="K88" t="s">
        <v>416</v>
      </c>
      <c r="L88" t="s">
        <v>415</v>
      </c>
      <c r="M88" t="s">
        <v>414</v>
      </c>
      <c r="N88">
        <v>5</v>
      </c>
      <c r="O88" t="s">
        <v>8701</v>
      </c>
      <c r="P88" t="s">
        <v>8700</v>
      </c>
      <c r="Q88" t="s">
        <v>8699</v>
      </c>
      <c r="R88" s="7">
        <v>32232</v>
      </c>
      <c r="S88" s="8">
        <f t="shared" si="16"/>
        <v>1988</v>
      </c>
      <c r="T88" s="8">
        <v>1988</v>
      </c>
      <c r="U88" s="8">
        <f t="shared" si="17"/>
        <v>34</v>
      </c>
      <c r="V88" s="7">
        <v>32232</v>
      </c>
      <c r="W88" t="s">
        <v>27</v>
      </c>
      <c r="X88" s="2">
        <v>1.59</v>
      </c>
      <c r="Y88" s="6">
        <f t="shared" si="14"/>
        <v>4.2444141907583888E-2</v>
      </c>
      <c r="AA88">
        <v>52728</v>
      </c>
      <c r="AB88">
        <v>16791</v>
      </c>
      <c r="AD88" t="s">
        <v>4</v>
      </c>
      <c r="AE88">
        <v>933</v>
      </c>
      <c r="AF88">
        <v>1</v>
      </c>
      <c r="AH88" t="s">
        <v>8698</v>
      </c>
      <c r="AI88" t="s">
        <v>8697</v>
      </c>
      <c r="AJ88" t="s">
        <v>8696</v>
      </c>
      <c r="AK88" t="s">
        <v>8695</v>
      </c>
      <c r="AL88">
        <v>29</v>
      </c>
      <c r="AM88" s="5">
        <f t="shared" si="18"/>
        <v>0.8529411764705882</v>
      </c>
      <c r="AN88" s="4">
        <f t="shared" si="15"/>
        <v>1.2918457803416709E-3</v>
      </c>
      <c r="AO88" s="3"/>
      <c r="AP88">
        <v>0</v>
      </c>
      <c r="AQ88" t="s">
        <v>406</v>
      </c>
      <c r="AR88" t="s">
        <v>0</v>
      </c>
      <c r="AS88" t="s">
        <v>405</v>
      </c>
      <c r="AT88" s="2" t="s">
        <v>19</v>
      </c>
      <c r="AU88" s="1">
        <f t="shared" si="19"/>
        <v>3.0098453069411222</v>
      </c>
      <c r="AV88" s="1">
        <f t="shared" si="20"/>
        <v>2.1867993843962781</v>
      </c>
      <c r="AW88" s="1">
        <f t="shared" si="21"/>
        <v>1.3637534618514335</v>
      </c>
    </row>
    <row r="89" spans="1:49" x14ac:dyDescent="0.2">
      <c r="A89">
        <v>87</v>
      </c>
      <c r="B89" t="s">
        <v>8694</v>
      </c>
      <c r="C89" t="s">
        <v>8693</v>
      </c>
      <c r="F89" t="s">
        <v>8692</v>
      </c>
      <c r="G89" t="s">
        <v>15</v>
      </c>
      <c r="H89" t="s">
        <v>14</v>
      </c>
      <c r="I89" t="s">
        <v>8691</v>
      </c>
      <c r="J89">
        <v>116289873</v>
      </c>
      <c r="K89" t="s">
        <v>8690</v>
      </c>
      <c r="M89" t="s">
        <v>6018</v>
      </c>
      <c r="N89">
        <v>2</v>
      </c>
      <c r="O89" t="s">
        <v>8689</v>
      </c>
      <c r="P89" t="s">
        <v>8688</v>
      </c>
      <c r="Q89" t="s">
        <v>8687</v>
      </c>
      <c r="R89" s="7">
        <v>32203</v>
      </c>
      <c r="S89" s="8">
        <f t="shared" si="16"/>
        <v>1988</v>
      </c>
      <c r="T89" s="8">
        <v>1988</v>
      </c>
      <c r="U89" s="8">
        <f t="shared" si="17"/>
        <v>34</v>
      </c>
      <c r="V89" s="7">
        <v>32203</v>
      </c>
      <c r="W89" t="s">
        <v>8652</v>
      </c>
      <c r="X89" s="2">
        <v>0.41499999999999998</v>
      </c>
      <c r="Y89" s="6">
        <f t="shared" si="14"/>
        <v>1.1078187982168121E-2</v>
      </c>
      <c r="AA89">
        <v>318949</v>
      </c>
      <c r="AB89">
        <v>29122</v>
      </c>
      <c r="AC89">
        <v>14024896</v>
      </c>
      <c r="AD89" t="s">
        <v>4</v>
      </c>
      <c r="AE89">
        <v>37</v>
      </c>
      <c r="AF89">
        <v>3</v>
      </c>
      <c r="AH89" t="s">
        <v>8686</v>
      </c>
      <c r="AI89" t="s">
        <v>8685</v>
      </c>
      <c r="AK89" t="s">
        <v>8684</v>
      </c>
      <c r="AL89">
        <v>9</v>
      </c>
      <c r="AM89" s="5">
        <f t="shared" si="18"/>
        <v>0.26470588235294118</v>
      </c>
      <c r="AN89" s="4">
        <f t="shared" si="15"/>
        <v>4.009176559681048E-4</v>
      </c>
      <c r="AO89" s="3"/>
      <c r="AP89">
        <v>0</v>
      </c>
      <c r="AR89" t="s">
        <v>0</v>
      </c>
      <c r="AT89" s="2">
        <v>2.4870000000000001</v>
      </c>
      <c r="AU89" s="1">
        <f t="shared" si="19"/>
        <v>0.78750068843081145</v>
      </c>
      <c r="AV89" s="1">
        <f t="shared" si="20"/>
        <v>0.57395528190681133</v>
      </c>
      <c r="AW89" s="1">
        <f t="shared" si="21"/>
        <v>0.360409875382811</v>
      </c>
    </row>
    <row r="90" spans="1:49" x14ac:dyDescent="0.2">
      <c r="A90">
        <v>88</v>
      </c>
      <c r="B90" t="s">
        <v>8683</v>
      </c>
      <c r="C90" t="s">
        <v>8682</v>
      </c>
      <c r="F90" t="s">
        <v>8681</v>
      </c>
      <c r="G90" t="s">
        <v>15</v>
      </c>
      <c r="H90" t="s">
        <v>14</v>
      </c>
      <c r="I90" t="s">
        <v>8680</v>
      </c>
      <c r="J90" t="s">
        <v>8679</v>
      </c>
      <c r="K90" t="s">
        <v>8678</v>
      </c>
      <c r="L90" t="s">
        <v>8677</v>
      </c>
      <c r="M90" t="s">
        <v>8676</v>
      </c>
      <c r="N90">
        <v>3</v>
      </c>
      <c r="O90" t="s">
        <v>8675</v>
      </c>
      <c r="P90" t="s">
        <v>8674</v>
      </c>
      <c r="Q90" t="s">
        <v>8673</v>
      </c>
      <c r="R90" s="7">
        <v>32203</v>
      </c>
      <c r="S90" s="8">
        <f t="shared" si="16"/>
        <v>1988</v>
      </c>
      <c r="T90" s="8">
        <v>1988</v>
      </c>
      <c r="U90" s="8">
        <f t="shared" si="17"/>
        <v>34</v>
      </c>
      <c r="V90" s="7">
        <v>32203</v>
      </c>
      <c r="W90" t="s">
        <v>8672</v>
      </c>
      <c r="X90" s="2" t="s">
        <v>19</v>
      </c>
      <c r="Y90" s="6" t="e">
        <f t="shared" si="14"/>
        <v>#VALUE!</v>
      </c>
      <c r="AA90">
        <v>3905551</v>
      </c>
      <c r="AB90">
        <v>15400155600</v>
      </c>
      <c r="AD90" t="s">
        <v>4</v>
      </c>
      <c r="AE90">
        <v>11</v>
      </c>
      <c r="AF90">
        <v>2</v>
      </c>
      <c r="AH90" t="s">
        <v>8671</v>
      </c>
      <c r="AI90" t="s">
        <v>8670</v>
      </c>
      <c r="AJ90" t="s">
        <v>8669</v>
      </c>
      <c r="AK90" t="s">
        <v>8668</v>
      </c>
      <c r="AL90">
        <v>2</v>
      </c>
      <c r="AM90" s="5">
        <f t="shared" si="18"/>
        <v>5.8823529411764705E-2</v>
      </c>
      <c r="AN90" s="4">
        <f t="shared" si="15"/>
        <v>8.9092812437356614E-5</v>
      </c>
      <c r="AO90" s="3"/>
      <c r="AP90">
        <v>0</v>
      </c>
      <c r="AR90" t="s">
        <v>0</v>
      </c>
      <c r="AT90" s="2" t="s">
        <v>19</v>
      </c>
      <c r="AU90" s="1" t="e">
        <f t="shared" si="19"/>
        <v>#VALUE!</v>
      </c>
      <c r="AV90" s="1" t="e">
        <f t="shared" si="20"/>
        <v>#VALUE!</v>
      </c>
      <c r="AW90" s="1" t="e">
        <f t="shared" si="21"/>
        <v>#VALUE!</v>
      </c>
    </row>
    <row r="91" spans="1:49" x14ac:dyDescent="0.2">
      <c r="A91">
        <v>89</v>
      </c>
      <c r="B91" t="s">
        <v>8667</v>
      </c>
      <c r="F91" t="s">
        <v>8666</v>
      </c>
      <c r="G91" t="s">
        <v>15</v>
      </c>
      <c r="H91" t="s">
        <v>14</v>
      </c>
      <c r="I91" t="s">
        <v>8548</v>
      </c>
      <c r="N91">
        <v>1</v>
      </c>
      <c r="O91" t="s">
        <v>8547</v>
      </c>
      <c r="P91">
        <v>1</v>
      </c>
      <c r="R91" s="7">
        <v>32203</v>
      </c>
      <c r="S91" s="8">
        <f t="shared" si="16"/>
        <v>1988</v>
      </c>
      <c r="T91" s="8">
        <v>1988</v>
      </c>
      <c r="U91" s="8">
        <f t="shared" si="17"/>
        <v>34</v>
      </c>
      <c r="V91" s="7">
        <v>32203</v>
      </c>
      <c r="W91" t="s">
        <v>8515</v>
      </c>
      <c r="X91" s="2">
        <v>0.10100000000000001</v>
      </c>
      <c r="Y91" s="6">
        <f t="shared" si="14"/>
        <v>2.6961373161421215E-3</v>
      </c>
      <c r="AA91">
        <v>7452993</v>
      </c>
      <c r="AB91">
        <v>18563</v>
      </c>
      <c r="AD91" t="s">
        <v>4</v>
      </c>
      <c r="AE91">
        <v>27</v>
      </c>
      <c r="AF91">
        <v>3</v>
      </c>
      <c r="AI91" t="s">
        <v>8665</v>
      </c>
      <c r="AK91" t="s">
        <v>8664</v>
      </c>
      <c r="AL91">
        <v>0</v>
      </c>
      <c r="AM91" s="5">
        <f t="shared" si="18"/>
        <v>0</v>
      </c>
      <c r="AN91" s="4">
        <f t="shared" si="15"/>
        <v>0</v>
      </c>
      <c r="AO91" s="3"/>
      <c r="AP91">
        <v>0</v>
      </c>
      <c r="AR91" t="s">
        <v>0</v>
      </c>
      <c r="AT91" s="2" t="s">
        <v>19</v>
      </c>
      <c r="AU91" s="1">
        <f t="shared" si="19"/>
        <v>0.18872961212994849</v>
      </c>
      <c r="AV91" s="1">
        <f t="shared" si="20"/>
        <v>0.13480686580710607</v>
      </c>
      <c r="AW91" s="1">
        <f t="shared" si="21"/>
        <v>8.0884119484263647E-2</v>
      </c>
    </row>
    <row r="92" spans="1:49" x14ac:dyDescent="0.2">
      <c r="A92">
        <v>90</v>
      </c>
      <c r="B92" t="s">
        <v>8663</v>
      </c>
      <c r="C92" t="s">
        <v>8662</v>
      </c>
      <c r="F92" t="s">
        <v>8661</v>
      </c>
      <c r="G92" t="s">
        <v>15</v>
      </c>
      <c r="H92" t="s">
        <v>14</v>
      </c>
      <c r="I92" t="s">
        <v>8660</v>
      </c>
      <c r="J92" t="s">
        <v>8659</v>
      </c>
      <c r="K92" t="s">
        <v>8658</v>
      </c>
      <c r="L92" t="s">
        <v>8657</v>
      </c>
      <c r="M92" t="s">
        <v>8656</v>
      </c>
      <c r="N92">
        <v>10</v>
      </c>
      <c r="O92" t="s">
        <v>8655</v>
      </c>
      <c r="P92" t="s">
        <v>8654</v>
      </c>
      <c r="Q92" t="s">
        <v>8653</v>
      </c>
      <c r="R92" s="7">
        <v>32203</v>
      </c>
      <c r="S92" s="8">
        <f t="shared" si="16"/>
        <v>1988</v>
      </c>
      <c r="T92" s="8">
        <v>1988</v>
      </c>
      <c r="U92" s="8">
        <f t="shared" si="17"/>
        <v>34</v>
      </c>
      <c r="V92" s="7">
        <v>32203</v>
      </c>
      <c r="W92" t="s">
        <v>8652</v>
      </c>
      <c r="X92" s="2">
        <v>0.41499999999999998</v>
      </c>
      <c r="Y92" s="6">
        <f t="shared" si="14"/>
        <v>1.1078187982168121E-2</v>
      </c>
      <c r="AA92">
        <v>318949</v>
      </c>
      <c r="AB92">
        <v>29122</v>
      </c>
      <c r="AC92">
        <v>14024896</v>
      </c>
      <c r="AD92" t="s">
        <v>4</v>
      </c>
      <c r="AE92">
        <v>37</v>
      </c>
      <c r="AF92">
        <v>3</v>
      </c>
      <c r="AH92" t="s">
        <v>8651</v>
      </c>
      <c r="AI92" t="s">
        <v>8650</v>
      </c>
      <c r="AK92" t="s">
        <v>8649</v>
      </c>
      <c r="AL92">
        <v>5</v>
      </c>
      <c r="AM92" s="5">
        <f t="shared" si="18"/>
        <v>0.14705882352941177</v>
      </c>
      <c r="AN92" s="4">
        <f t="shared" si="15"/>
        <v>2.2273203109339154E-4</v>
      </c>
      <c r="AO92" s="3"/>
      <c r="AP92">
        <v>0</v>
      </c>
      <c r="AR92" t="s">
        <v>0</v>
      </c>
      <c r="AT92" s="2">
        <v>2.4870000000000001</v>
      </c>
      <c r="AU92" s="1">
        <f t="shared" si="19"/>
        <v>0.78215511968457008</v>
      </c>
      <c r="AV92" s="1">
        <f t="shared" si="20"/>
        <v>0.56504600066307564</v>
      </c>
      <c r="AW92" s="1">
        <f t="shared" si="21"/>
        <v>0.34793688164158104</v>
      </c>
    </row>
    <row r="93" spans="1:49" x14ac:dyDescent="0.2">
      <c r="A93">
        <v>91</v>
      </c>
      <c r="B93" t="s">
        <v>8648</v>
      </c>
      <c r="C93" t="s">
        <v>8647</v>
      </c>
      <c r="F93" t="s">
        <v>8646</v>
      </c>
      <c r="G93" t="s">
        <v>15</v>
      </c>
      <c r="H93" t="s">
        <v>14</v>
      </c>
      <c r="I93" t="s">
        <v>8645</v>
      </c>
      <c r="J93" t="s">
        <v>8644</v>
      </c>
      <c r="K93" t="s">
        <v>8643</v>
      </c>
      <c r="L93" t="s">
        <v>8642</v>
      </c>
      <c r="M93" t="s">
        <v>195</v>
      </c>
      <c r="N93">
        <v>7</v>
      </c>
      <c r="O93" t="s">
        <v>8641</v>
      </c>
      <c r="P93" t="s">
        <v>8640</v>
      </c>
      <c r="Q93" t="s">
        <v>8639</v>
      </c>
      <c r="R93" s="7">
        <v>32203</v>
      </c>
      <c r="S93" s="8">
        <f t="shared" si="16"/>
        <v>1988</v>
      </c>
      <c r="T93" s="8">
        <v>1988</v>
      </c>
      <c r="U93" s="8">
        <f t="shared" si="17"/>
        <v>34</v>
      </c>
      <c r="V93" s="7">
        <v>32203</v>
      </c>
      <c r="W93" t="s">
        <v>8638</v>
      </c>
      <c r="X93" s="2">
        <v>0.93500000000000005</v>
      </c>
      <c r="Y93" s="6">
        <f t="shared" si="14"/>
        <v>2.4959290995969143E-2</v>
      </c>
      <c r="AA93" t="s">
        <v>8637</v>
      </c>
      <c r="AB93">
        <v>14171</v>
      </c>
      <c r="AC93">
        <v>14344483</v>
      </c>
      <c r="AD93" t="s">
        <v>4</v>
      </c>
      <c r="AE93">
        <v>39</v>
      </c>
      <c r="AF93">
        <v>1</v>
      </c>
      <c r="AH93" t="s">
        <v>8636</v>
      </c>
      <c r="AI93" t="s">
        <v>8635</v>
      </c>
      <c r="AK93" t="s">
        <v>8634</v>
      </c>
      <c r="AL93">
        <v>21</v>
      </c>
      <c r="AM93" s="5">
        <f t="shared" si="18"/>
        <v>0.61764705882352944</v>
      </c>
      <c r="AN93" s="4">
        <f t="shared" si="15"/>
        <v>9.3547453059224456E-4</v>
      </c>
      <c r="AO93" s="3"/>
      <c r="AP93">
        <v>0</v>
      </c>
      <c r="AR93" t="s">
        <v>0</v>
      </c>
      <c r="AT93" s="2">
        <v>3.1789999999999998</v>
      </c>
      <c r="AU93" s="1">
        <f t="shared" si="19"/>
        <v>1.7752146056356073</v>
      </c>
      <c r="AV93" s="1">
        <f t="shared" si="20"/>
        <v>1.2947382763280695</v>
      </c>
      <c r="AW93" s="1">
        <f t="shared" si="21"/>
        <v>0.81426194702053145</v>
      </c>
    </row>
    <row r="94" spans="1:49" x14ac:dyDescent="0.2">
      <c r="A94">
        <v>92</v>
      </c>
      <c r="B94" t="s">
        <v>8633</v>
      </c>
      <c r="F94" t="s">
        <v>8632</v>
      </c>
      <c r="G94" t="s">
        <v>15</v>
      </c>
      <c r="H94" t="s">
        <v>14</v>
      </c>
      <c r="I94" t="s">
        <v>8631</v>
      </c>
      <c r="N94">
        <v>4</v>
      </c>
      <c r="O94" t="s">
        <v>8630</v>
      </c>
      <c r="P94" t="s">
        <v>8629</v>
      </c>
      <c r="Q94" t="s">
        <v>523</v>
      </c>
      <c r="R94" s="7">
        <v>32203</v>
      </c>
      <c r="S94" s="8">
        <f t="shared" si="16"/>
        <v>1988</v>
      </c>
      <c r="T94" s="8">
        <v>1988</v>
      </c>
      <c r="U94" s="8">
        <f t="shared" si="17"/>
        <v>34</v>
      </c>
      <c r="V94" s="7">
        <v>32203</v>
      </c>
      <c r="W94" t="s">
        <v>8524</v>
      </c>
      <c r="X94" s="2" t="s">
        <v>19</v>
      </c>
      <c r="Y94" s="6" t="e">
        <f t="shared" si="14"/>
        <v>#VALUE!</v>
      </c>
      <c r="AA94">
        <v>338001</v>
      </c>
      <c r="AB94">
        <v>32587</v>
      </c>
      <c r="AD94" t="s">
        <v>4</v>
      </c>
      <c r="AE94" t="s">
        <v>8523</v>
      </c>
      <c r="AF94">
        <v>2</v>
      </c>
      <c r="AH94" t="s">
        <v>8628</v>
      </c>
      <c r="AI94" t="s">
        <v>8627</v>
      </c>
      <c r="AK94" t="s">
        <v>8626</v>
      </c>
      <c r="AL94">
        <v>0</v>
      </c>
      <c r="AM94" s="5">
        <f t="shared" si="18"/>
        <v>0</v>
      </c>
      <c r="AN94" s="4">
        <f t="shared" si="15"/>
        <v>0</v>
      </c>
      <c r="AO94" s="3"/>
      <c r="AP94">
        <v>0</v>
      </c>
      <c r="AR94" t="s">
        <v>0</v>
      </c>
      <c r="AT94" s="2" t="s">
        <v>19</v>
      </c>
      <c r="AU94" s="1" t="e">
        <f t="shared" si="19"/>
        <v>#VALUE!</v>
      </c>
      <c r="AV94" s="1" t="e">
        <f t="shared" si="20"/>
        <v>#VALUE!</v>
      </c>
      <c r="AW94" s="1" t="e">
        <f t="shared" si="21"/>
        <v>#VALUE!</v>
      </c>
    </row>
    <row r="95" spans="1:49" x14ac:dyDescent="0.2">
      <c r="A95">
        <v>93</v>
      </c>
      <c r="B95" t="s">
        <v>8625</v>
      </c>
      <c r="F95" t="s">
        <v>8624</v>
      </c>
      <c r="G95" t="s">
        <v>15</v>
      </c>
      <c r="H95" t="s">
        <v>14</v>
      </c>
      <c r="I95" t="s">
        <v>8623</v>
      </c>
      <c r="J95">
        <v>60025709</v>
      </c>
      <c r="K95" t="s">
        <v>3296</v>
      </c>
      <c r="L95" t="s">
        <v>3295</v>
      </c>
      <c r="M95" t="s">
        <v>1088</v>
      </c>
      <c r="N95">
        <v>1</v>
      </c>
      <c r="O95" t="s">
        <v>8622</v>
      </c>
      <c r="P95">
        <v>36784627800</v>
      </c>
      <c r="Q95">
        <v>60025709</v>
      </c>
      <c r="R95" s="7">
        <v>32203</v>
      </c>
      <c r="S95" s="8">
        <f t="shared" si="16"/>
        <v>1988</v>
      </c>
      <c r="T95" s="8">
        <v>1988</v>
      </c>
      <c r="U95" s="8">
        <f t="shared" si="17"/>
        <v>34</v>
      </c>
      <c r="V95" s="7">
        <v>32203</v>
      </c>
      <c r="W95" t="s">
        <v>8621</v>
      </c>
      <c r="X95" s="2">
        <v>0.14099999999999999</v>
      </c>
      <c r="Y95" s="6">
        <f t="shared" si="14"/>
        <v>3.7639144710498915E-3</v>
      </c>
      <c r="AA95">
        <v>7252986</v>
      </c>
      <c r="AB95">
        <v>18037</v>
      </c>
      <c r="AD95" t="s">
        <v>4</v>
      </c>
      <c r="AE95">
        <v>8</v>
      </c>
      <c r="AF95">
        <v>1</v>
      </c>
      <c r="AH95" s="10">
        <v>45261</v>
      </c>
      <c r="AI95" t="s">
        <v>8620</v>
      </c>
      <c r="AK95" t="s">
        <v>8619</v>
      </c>
      <c r="AL95">
        <v>2</v>
      </c>
      <c r="AM95" s="5">
        <f t="shared" si="18"/>
        <v>5.8823529411764705E-2</v>
      </c>
      <c r="AN95" s="4">
        <f t="shared" si="15"/>
        <v>8.9092812437356614E-5</v>
      </c>
      <c r="AO95" s="3"/>
      <c r="AP95">
        <v>0</v>
      </c>
      <c r="AR95" t="s">
        <v>0</v>
      </c>
      <c r="AT95" s="2" t="s">
        <v>19</v>
      </c>
      <c r="AU95" s="1">
        <f t="shared" si="19"/>
        <v>0.26614679734661306</v>
      </c>
      <c r="AV95" s="1">
        <f t="shared" si="20"/>
        <v>0.1926503641743624</v>
      </c>
      <c r="AW95" s="1">
        <f t="shared" si="21"/>
        <v>0.1191539310021117</v>
      </c>
    </row>
    <row r="96" spans="1:49" x14ac:dyDescent="0.2">
      <c r="A96">
        <v>94</v>
      </c>
      <c r="B96" t="s">
        <v>8618</v>
      </c>
      <c r="F96" t="s">
        <v>8617</v>
      </c>
      <c r="G96" t="s">
        <v>15</v>
      </c>
      <c r="H96" t="s">
        <v>14</v>
      </c>
      <c r="I96" t="s">
        <v>8616</v>
      </c>
      <c r="J96">
        <v>60028186</v>
      </c>
      <c r="K96" t="s">
        <v>3966</v>
      </c>
      <c r="L96" t="s">
        <v>3965</v>
      </c>
      <c r="M96" t="s">
        <v>3131</v>
      </c>
      <c r="N96">
        <v>3</v>
      </c>
      <c r="O96" t="s">
        <v>8615</v>
      </c>
      <c r="P96" t="s">
        <v>8614</v>
      </c>
      <c r="Q96" t="s">
        <v>8613</v>
      </c>
      <c r="R96" s="7">
        <v>32203</v>
      </c>
      <c r="S96" s="8">
        <f t="shared" si="16"/>
        <v>1988</v>
      </c>
      <c r="T96" s="8">
        <v>1988</v>
      </c>
      <c r="U96" s="8">
        <f t="shared" si="17"/>
        <v>34</v>
      </c>
      <c r="V96" s="7">
        <v>32203</v>
      </c>
      <c r="W96" t="s">
        <v>8281</v>
      </c>
      <c r="X96" s="2" t="s">
        <v>19</v>
      </c>
      <c r="Y96" s="6" t="e">
        <f t="shared" si="14"/>
        <v>#VALUE!</v>
      </c>
      <c r="AA96">
        <v>262897</v>
      </c>
      <c r="AB96">
        <v>18580</v>
      </c>
      <c r="AD96" t="s">
        <v>4</v>
      </c>
      <c r="AE96">
        <v>31</v>
      </c>
      <c r="AF96">
        <v>3</v>
      </c>
      <c r="AH96" t="s">
        <v>8612</v>
      </c>
      <c r="AI96" t="s">
        <v>8611</v>
      </c>
      <c r="AK96" t="s">
        <v>8610</v>
      </c>
      <c r="AL96">
        <v>1</v>
      </c>
      <c r="AM96" s="5">
        <f t="shared" si="18"/>
        <v>2.9411764705882353E-2</v>
      </c>
      <c r="AN96" s="4">
        <f t="shared" si="15"/>
        <v>4.4546406218678307E-5</v>
      </c>
      <c r="AO96" s="3"/>
      <c r="AP96">
        <v>0</v>
      </c>
      <c r="AR96" t="s">
        <v>0</v>
      </c>
      <c r="AT96" s="2">
        <v>0.30599999999999999</v>
      </c>
      <c r="AU96" s="1" t="e">
        <f t="shared" si="19"/>
        <v>#VALUE!</v>
      </c>
      <c r="AV96" s="1" t="e">
        <f t="shared" si="20"/>
        <v>#VALUE!</v>
      </c>
      <c r="AW96" s="1" t="e">
        <f t="shared" si="21"/>
        <v>#VALUE!</v>
      </c>
    </row>
    <row r="97" spans="1:49" x14ac:dyDescent="0.2">
      <c r="A97">
        <v>95</v>
      </c>
      <c r="B97" t="s">
        <v>8609</v>
      </c>
      <c r="F97" t="s">
        <v>8608</v>
      </c>
      <c r="G97" t="s">
        <v>15</v>
      </c>
      <c r="H97" t="s">
        <v>14</v>
      </c>
      <c r="I97" t="s">
        <v>8607</v>
      </c>
      <c r="N97">
        <v>1</v>
      </c>
      <c r="O97" t="s">
        <v>8606</v>
      </c>
      <c r="P97">
        <v>7202239918</v>
      </c>
      <c r="R97" s="7">
        <v>32203</v>
      </c>
      <c r="S97" s="8">
        <f t="shared" si="16"/>
        <v>1988</v>
      </c>
      <c r="T97" s="8">
        <v>1988</v>
      </c>
      <c r="U97" s="8">
        <f t="shared" si="17"/>
        <v>34</v>
      </c>
      <c r="V97" s="7">
        <v>32203</v>
      </c>
      <c r="W97" t="s">
        <v>1598</v>
      </c>
      <c r="X97" s="2" t="s">
        <v>19</v>
      </c>
      <c r="Y97" s="6" t="e">
        <f t="shared" si="14"/>
        <v>#VALUE!</v>
      </c>
      <c r="AA97">
        <v>2663244</v>
      </c>
      <c r="AB97">
        <v>35055</v>
      </c>
      <c r="AD97" t="s">
        <v>4</v>
      </c>
      <c r="AE97">
        <v>94</v>
      </c>
      <c r="AF97">
        <v>1625</v>
      </c>
      <c r="AH97" t="s">
        <v>8605</v>
      </c>
      <c r="AI97" t="s">
        <v>8604</v>
      </c>
      <c r="AK97" t="s">
        <v>8603</v>
      </c>
      <c r="AL97">
        <v>0</v>
      </c>
      <c r="AM97" s="5">
        <f t="shared" si="18"/>
        <v>0</v>
      </c>
      <c r="AN97" s="4">
        <f t="shared" si="15"/>
        <v>0</v>
      </c>
      <c r="AO97" s="3"/>
      <c r="AP97">
        <v>0</v>
      </c>
      <c r="AR97" t="s">
        <v>0</v>
      </c>
      <c r="AT97" s="2" t="s">
        <v>19</v>
      </c>
      <c r="AU97" s="1" t="e">
        <f t="shared" si="19"/>
        <v>#VALUE!</v>
      </c>
      <c r="AV97" s="1" t="e">
        <f t="shared" si="20"/>
        <v>#VALUE!</v>
      </c>
      <c r="AW97" s="1" t="e">
        <f t="shared" si="21"/>
        <v>#VALUE!</v>
      </c>
    </row>
    <row r="98" spans="1:49" x14ac:dyDescent="0.2">
      <c r="A98">
        <v>96</v>
      </c>
      <c r="B98" t="s">
        <v>8602</v>
      </c>
      <c r="F98" t="s">
        <v>8601</v>
      </c>
      <c r="G98" t="s">
        <v>15</v>
      </c>
      <c r="H98" t="s">
        <v>14</v>
      </c>
      <c r="I98" t="s">
        <v>8600</v>
      </c>
      <c r="J98">
        <v>60003771</v>
      </c>
      <c r="K98" t="s">
        <v>8599</v>
      </c>
      <c r="L98" t="s">
        <v>8598</v>
      </c>
      <c r="M98" t="s">
        <v>1011</v>
      </c>
      <c r="N98">
        <v>1</v>
      </c>
      <c r="O98" t="s">
        <v>8597</v>
      </c>
      <c r="P98">
        <v>6506183079</v>
      </c>
      <c r="Q98">
        <v>60003771</v>
      </c>
      <c r="R98" s="7">
        <v>32203</v>
      </c>
      <c r="S98" s="8">
        <f t="shared" si="16"/>
        <v>1988</v>
      </c>
      <c r="T98" s="8">
        <v>1988</v>
      </c>
      <c r="U98" s="8">
        <f t="shared" si="17"/>
        <v>34</v>
      </c>
      <c r="V98" s="7">
        <v>32203</v>
      </c>
      <c r="W98" t="s">
        <v>8515</v>
      </c>
      <c r="X98" s="2">
        <v>0.10100000000000001</v>
      </c>
      <c r="Y98" s="6">
        <f t="shared" si="14"/>
        <v>2.6961373161421215E-3</v>
      </c>
      <c r="AA98">
        <v>7452993</v>
      </c>
      <c r="AB98">
        <v>18563</v>
      </c>
      <c r="AD98" t="s">
        <v>4</v>
      </c>
      <c r="AE98">
        <v>27</v>
      </c>
      <c r="AF98">
        <v>3</v>
      </c>
      <c r="AI98" t="s">
        <v>8596</v>
      </c>
      <c r="AK98" t="s">
        <v>8595</v>
      </c>
      <c r="AL98">
        <v>1</v>
      </c>
      <c r="AM98" s="5">
        <f t="shared" si="18"/>
        <v>2.9411764705882353E-2</v>
      </c>
      <c r="AN98" s="4">
        <f t="shared" si="15"/>
        <v>4.4546406218678307E-5</v>
      </c>
      <c r="AO98" s="3"/>
      <c r="AP98">
        <v>0</v>
      </c>
      <c r="AR98" t="s">
        <v>0</v>
      </c>
      <c r="AT98" s="2" t="s">
        <v>19</v>
      </c>
      <c r="AU98" s="1">
        <f t="shared" si="19"/>
        <v>0.19006600431650886</v>
      </c>
      <c r="AV98" s="1">
        <f t="shared" si="20"/>
        <v>0.13703418611804</v>
      </c>
      <c r="AW98" s="1">
        <f t="shared" si="21"/>
        <v>8.4002367919571122E-2</v>
      </c>
    </row>
    <row r="99" spans="1:49" x14ac:dyDescent="0.2">
      <c r="A99">
        <v>97</v>
      </c>
      <c r="B99" t="s">
        <v>8594</v>
      </c>
      <c r="F99" t="s">
        <v>8593</v>
      </c>
      <c r="G99" t="s">
        <v>15</v>
      </c>
      <c r="H99" t="s">
        <v>14</v>
      </c>
      <c r="I99" t="s">
        <v>8592</v>
      </c>
      <c r="J99">
        <v>60011897</v>
      </c>
      <c r="K99" t="s">
        <v>5384</v>
      </c>
      <c r="L99" t="s">
        <v>5383</v>
      </c>
      <c r="M99" t="s">
        <v>1011</v>
      </c>
      <c r="N99">
        <v>2</v>
      </c>
      <c r="O99" t="s">
        <v>8591</v>
      </c>
      <c r="P99" t="s">
        <v>8590</v>
      </c>
      <c r="Q99" t="s">
        <v>8589</v>
      </c>
      <c r="R99" s="7">
        <v>32203</v>
      </c>
      <c r="S99" s="8">
        <f t="shared" si="16"/>
        <v>1988</v>
      </c>
      <c r="T99" s="8">
        <v>1988</v>
      </c>
      <c r="U99" s="8">
        <f t="shared" si="17"/>
        <v>34</v>
      </c>
      <c r="V99" s="7">
        <v>32203</v>
      </c>
      <c r="W99" t="s">
        <v>8281</v>
      </c>
      <c r="X99" s="2" t="s">
        <v>19</v>
      </c>
      <c r="Y99" s="6" t="e">
        <f t="shared" si="14"/>
        <v>#VALUE!</v>
      </c>
      <c r="AA99">
        <v>262897</v>
      </c>
      <c r="AB99">
        <v>18580</v>
      </c>
      <c r="AD99" t="s">
        <v>4</v>
      </c>
      <c r="AE99">
        <v>31</v>
      </c>
      <c r="AF99">
        <v>3</v>
      </c>
      <c r="AH99" t="s">
        <v>8588</v>
      </c>
      <c r="AI99" t="s">
        <v>8587</v>
      </c>
      <c r="AK99" t="s">
        <v>8586</v>
      </c>
      <c r="AL99">
        <v>1</v>
      </c>
      <c r="AM99" s="5">
        <f t="shared" si="18"/>
        <v>2.9411764705882353E-2</v>
      </c>
      <c r="AN99" s="4">
        <f t="shared" si="15"/>
        <v>4.4546406218678307E-5</v>
      </c>
      <c r="AO99" s="3"/>
      <c r="AP99">
        <v>0</v>
      </c>
      <c r="AR99" t="s">
        <v>0</v>
      </c>
      <c r="AT99" s="2">
        <v>0.30599999999999999</v>
      </c>
      <c r="AU99" s="1" t="e">
        <f t="shared" si="19"/>
        <v>#VALUE!</v>
      </c>
      <c r="AV99" s="1" t="e">
        <f t="shared" si="20"/>
        <v>#VALUE!</v>
      </c>
      <c r="AW99" s="1" t="e">
        <f t="shared" si="21"/>
        <v>#VALUE!</v>
      </c>
    </row>
    <row r="100" spans="1:49" x14ac:dyDescent="0.2">
      <c r="A100">
        <v>98</v>
      </c>
      <c r="B100" t="s">
        <v>8585</v>
      </c>
      <c r="F100" t="s">
        <v>8584</v>
      </c>
      <c r="G100" t="s">
        <v>15</v>
      </c>
      <c r="H100" t="s">
        <v>14</v>
      </c>
      <c r="I100" t="s">
        <v>8583</v>
      </c>
      <c r="J100">
        <v>60001247</v>
      </c>
      <c r="K100" t="s">
        <v>1904</v>
      </c>
      <c r="M100" t="s">
        <v>31</v>
      </c>
      <c r="N100">
        <v>1</v>
      </c>
      <c r="O100" t="s">
        <v>8582</v>
      </c>
      <c r="P100">
        <v>6506826779</v>
      </c>
      <c r="Q100">
        <v>60001247</v>
      </c>
      <c r="R100" s="7">
        <v>32203</v>
      </c>
      <c r="S100" s="8">
        <f t="shared" si="16"/>
        <v>1988</v>
      </c>
      <c r="T100" s="8">
        <v>1988</v>
      </c>
      <c r="U100" s="8">
        <f t="shared" si="17"/>
        <v>34</v>
      </c>
      <c r="V100" s="7">
        <v>32203</v>
      </c>
      <c r="W100" t="s">
        <v>8281</v>
      </c>
      <c r="X100" s="2" t="s">
        <v>19</v>
      </c>
      <c r="Y100" s="6" t="e">
        <f t="shared" si="14"/>
        <v>#VALUE!</v>
      </c>
      <c r="AA100">
        <v>262897</v>
      </c>
      <c r="AB100">
        <v>18580</v>
      </c>
      <c r="AD100" t="s">
        <v>4</v>
      </c>
      <c r="AE100">
        <v>31</v>
      </c>
      <c r="AF100">
        <v>3</v>
      </c>
      <c r="AH100" t="s">
        <v>8581</v>
      </c>
      <c r="AI100" t="s">
        <v>8580</v>
      </c>
      <c r="AK100" t="s">
        <v>8579</v>
      </c>
      <c r="AL100">
        <v>16</v>
      </c>
      <c r="AM100" s="5">
        <f t="shared" si="18"/>
        <v>0.47058823529411764</v>
      </c>
      <c r="AN100" s="4">
        <f t="shared" si="15"/>
        <v>7.1274249949885291E-4</v>
      </c>
      <c r="AO100" s="3"/>
      <c r="AP100">
        <v>0</v>
      </c>
      <c r="AR100" t="s">
        <v>0</v>
      </c>
      <c r="AT100" s="2">
        <v>0.30599999999999999</v>
      </c>
      <c r="AU100" s="1" t="e">
        <f t="shared" si="19"/>
        <v>#VALUE!</v>
      </c>
      <c r="AV100" s="1" t="e">
        <f t="shared" si="20"/>
        <v>#VALUE!</v>
      </c>
      <c r="AW100" s="1" t="e">
        <f t="shared" si="21"/>
        <v>#VALUE!</v>
      </c>
    </row>
    <row r="101" spans="1:49" x14ac:dyDescent="0.2">
      <c r="A101">
        <v>99</v>
      </c>
      <c r="B101" t="s">
        <v>8578</v>
      </c>
      <c r="F101" t="s">
        <v>8577</v>
      </c>
      <c r="G101" t="s">
        <v>15</v>
      </c>
      <c r="H101" t="s">
        <v>14</v>
      </c>
      <c r="I101" t="s">
        <v>8328</v>
      </c>
      <c r="N101">
        <v>1</v>
      </c>
      <c r="O101" t="s">
        <v>8327</v>
      </c>
      <c r="P101">
        <v>7101932815</v>
      </c>
      <c r="R101" s="7">
        <v>32203</v>
      </c>
      <c r="S101" s="8">
        <f t="shared" si="16"/>
        <v>1988</v>
      </c>
      <c r="T101" s="8">
        <v>1988</v>
      </c>
      <c r="U101" s="8">
        <f t="shared" si="17"/>
        <v>34</v>
      </c>
      <c r="V101" s="7">
        <v>32203</v>
      </c>
      <c r="W101" t="s">
        <v>8326</v>
      </c>
      <c r="X101" s="2" t="s">
        <v>19</v>
      </c>
      <c r="Y101" s="6" t="e">
        <f t="shared" si="14"/>
        <v>#VALUE!</v>
      </c>
      <c r="AA101" t="s">
        <v>8325</v>
      </c>
      <c r="AB101">
        <v>74559</v>
      </c>
      <c r="AD101" t="s">
        <v>4</v>
      </c>
      <c r="AE101">
        <v>10</v>
      </c>
      <c r="AF101">
        <v>3</v>
      </c>
      <c r="AH101" t="s">
        <v>8576</v>
      </c>
      <c r="AI101" t="s">
        <v>8575</v>
      </c>
      <c r="AK101" t="s">
        <v>8574</v>
      </c>
      <c r="AL101">
        <v>0</v>
      </c>
      <c r="AM101" s="5">
        <f t="shared" si="18"/>
        <v>0</v>
      </c>
      <c r="AN101" s="4">
        <f t="shared" si="15"/>
        <v>0</v>
      </c>
      <c r="AO101" s="3"/>
      <c r="AP101">
        <v>0</v>
      </c>
      <c r="AR101" t="s">
        <v>0</v>
      </c>
      <c r="AT101" s="2" t="s">
        <v>19</v>
      </c>
      <c r="AU101" s="1" t="e">
        <f t="shared" si="19"/>
        <v>#VALUE!</v>
      </c>
      <c r="AV101" s="1" t="e">
        <f t="shared" si="20"/>
        <v>#VALUE!</v>
      </c>
      <c r="AW101" s="1" t="e">
        <f t="shared" si="21"/>
        <v>#VALUE!</v>
      </c>
    </row>
    <row r="102" spans="1:49" x14ac:dyDescent="0.2">
      <c r="A102">
        <v>100</v>
      </c>
      <c r="B102" t="s">
        <v>8573</v>
      </c>
      <c r="F102" t="s">
        <v>8572</v>
      </c>
      <c r="G102" t="s">
        <v>15</v>
      </c>
      <c r="H102" t="s">
        <v>14</v>
      </c>
      <c r="I102" t="s">
        <v>8571</v>
      </c>
      <c r="J102">
        <v>60021080</v>
      </c>
      <c r="K102" t="s">
        <v>8570</v>
      </c>
      <c r="L102" t="s">
        <v>8569</v>
      </c>
      <c r="M102" t="s">
        <v>31</v>
      </c>
      <c r="N102">
        <v>1</v>
      </c>
      <c r="O102" t="s">
        <v>8568</v>
      </c>
      <c r="P102">
        <v>6506067094</v>
      </c>
      <c r="Q102">
        <v>60021080</v>
      </c>
      <c r="R102" s="7">
        <v>32203</v>
      </c>
      <c r="S102" s="8">
        <f t="shared" si="16"/>
        <v>1988</v>
      </c>
      <c r="T102" s="8">
        <v>1988</v>
      </c>
      <c r="U102" s="8">
        <f t="shared" si="17"/>
        <v>34</v>
      </c>
      <c r="V102" s="7">
        <v>32203</v>
      </c>
      <c r="W102" t="s">
        <v>8515</v>
      </c>
      <c r="X102" s="2">
        <v>0.10100000000000001</v>
      </c>
      <c r="Y102" s="6">
        <f t="shared" si="14"/>
        <v>2.6961373161421215E-3</v>
      </c>
      <c r="AA102">
        <v>7452993</v>
      </c>
      <c r="AB102">
        <v>18563</v>
      </c>
      <c r="AD102" t="s">
        <v>4</v>
      </c>
      <c r="AE102">
        <v>27</v>
      </c>
      <c r="AF102">
        <v>3</v>
      </c>
      <c r="AH102" t="s">
        <v>8567</v>
      </c>
      <c r="AI102" t="s">
        <v>8566</v>
      </c>
      <c r="AK102" t="s">
        <v>8565</v>
      </c>
      <c r="AL102">
        <v>0</v>
      </c>
      <c r="AM102" s="5">
        <f t="shared" si="18"/>
        <v>0</v>
      </c>
      <c r="AN102" s="4">
        <f t="shared" si="15"/>
        <v>0</v>
      </c>
      <c r="AO102" s="3"/>
      <c r="AP102">
        <v>0</v>
      </c>
      <c r="AR102" t="s">
        <v>0</v>
      </c>
      <c r="AT102" s="2" t="s">
        <v>19</v>
      </c>
      <c r="AU102" s="1">
        <f t="shared" si="19"/>
        <v>0.18872961212994849</v>
      </c>
      <c r="AV102" s="1">
        <f t="shared" si="20"/>
        <v>0.13480686580710607</v>
      </c>
      <c r="AW102" s="1">
        <f t="shared" si="21"/>
        <v>8.0884119484263647E-2</v>
      </c>
    </row>
    <row r="103" spans="1:49" x14ac:dyDescent="0.2">
      <c r="A103">
        <v>101</v>
      </c>
      <c r="B103" t="s">
        <v>8564</v>
      </c>
      <c r="F103" t="s">
        <v>8563</v>
      </c>
      <c r="G103" t="s">
        <v>15</v>
      </c>
      <c r="H103" t="s">
        <v>14</v>
      </c>
      <c r="I103" t="s">
        <v>8562</v>
      </c>
      <c r="N103">
        <v>1</v>
      </c>
      <c r="O103" t="s">
        <v>8561</v>
      </c>
      <c r="P103">
        <v>57217734767</v>
      </c>
      <c r="R103" s="7">
        <v>32203</v>
      </c>
      <c r="S103" s="8">
        <f t="shared" si="16"/>
        <v>1988</v>
      </c>
      <c r="T103" s="8">
        <v>1988</v>
      </c>
      <c r="U103" s="8">
        <f t="shared" si="17"/>
        <v>34</v>
      </c>
      <c r="V103" s="7">
        <v>32203</v>
      </c>
      <c r="W103" t="s">
        <v>8524</v>
      </c>
      <c r="X103" s="2" t="s">
        <v>19</v>
      </c>
      <c r="Y103" s="6" t="e">
        <f t="shared" si="14"/>
        <v>#VALUE!</v>
      </c>
      <c r="AA103">
        <v>338001</v>
      </c>
      <c r="AB103">
        <v>32587</v>
      </c>
      <c r="AD103" t="s">
        <v>4</v>
      </c>
      <c r="AE103">
        <v>35</v>
      </c>
      <c r="AF103">
        <v>144</v>
      </c>
      <c r="AH103" t="s">
        <v>8560</v>
      </c>
      <c r="AI103" t="s">
        <v>8559</v>
      </c>
      <c r="AK103" t="s">
        <v>8558</v>
      </c>
      <c r="AL103">
        <v>2</v>
      </c>
      <c r="AM103" s="5">
        <f t="shared" si="18"/>
        <v>5.8823529411764705E-2</v>
      </c>
      <c r="AN103" s="4">
        <f t="shared" si="15"/>
        <v>8.9092812437356614E-5</v>
      </c>
      <c r="AO103" s="3"/>
      <c r="AP103">
        <v>0</v>
      </c>
      <c r="AR103" t="s">
        <v>0</v>
      </c>
      <c r="AT103" s="2" t="s">
        <v>19</v>
      </c>
      <c r="AU103" s="1" t="e">
        <f t="shared" si="19"/>
        <v>#VALUE!</v>
      </c>
      <c r="AV103" s="1" t="e">
        <f t="shared" si="20"/>
        <v>#VALUE!</v>
      </c>
      <c r="AW103" s="1" t="e">
        <f t="shared" si="21"/>
        <v>#VALUE!</v>
      </c>
    </row>
    <row r="104" spans="1:49" x14ac:dyDescent="0.2">
      <c r="A104">
        <v>102</v>
      </c>
      <c r="B104" t="s">
        <v>8557</v>
      </c>
      <c r="F104" t="s">
        <v>8556</v>
      </c>
      <c r="G104" t="s">
        <v>15</v>
      </c>
      <c r="H104" t="s">
        <v>14</v>
      </c>
      <c r="I104" t="s">
        <v>8555</v>
      </c>
      <c r="J104">
        <v>60022476</v>
      </c>
      <c r="K104" t="s">
        <v>8554</v>
      </c>
      <c r="L104" t="s">
        <v>4824</v>
      </c>
      <c r="M104" t="s">
        <v>31</v>
      </c>
      <c r="N104">
        <v>1</v>
      </c>
      <c r="O104" t="s">
        <v>8553</v>
      </c>
      <c r="P104">
        <v>7006731348</v>
      </c>
      <c r="Q104">
        <v>60022476</v>
      </c>
      <c r="R104" s="7">
        <v>32203</v>
      </c>
      <c r="S104" s="8">
        <f t="shared" si="16"/>
        <v>1988</v>
      </c>
      <c r="T104" s="8">
        <v>1988</v>
      </c>
      <c r="U104" s="8">
        <f t="shared" si="17"/>
        <v>34</v>
      </c>
      <c r="V104" s="7">
        <v>32203</v>
      </c>
      <c r="W104" t="s">
        <v>8281</v>
      </c>
      <c r="X104" s="2" t="s">
        <v>19</v>
      </c>
      <c r="Y104" s="6" t="e">
        <f t="shared" si="14"/>
        <v>#VALUE!</v>
      </c>
      <c r="AA104">
        <v>262897</v>
      </c>
      <c r="AB104">
        <v>18580</v>
      </c>
      <c r="AD104" t="s">
        <v>4</v>
      </c>
      <c r="AE104">
        <v>31</v>
      </c>
      <c r="AF104">
        <v>3</v>
      </c>
      <c r="AI104" t="s">
        <v>8552</v>
      </c>
      <c r="AK104" t="s">
        <v>8551</v>
      </c>
      <c r="AL104">
        <v>8</v>
      </c>
      <c r="AM104" s="5">
        <f t="shared" si="18"/>
        <v>0.23529411764705882</v>
      </c>
      <c r="AN104" s="4">
        <f t="shared" si="15"/>
        <v>3.5637124974942646E-4</v>
      </c>
      <c r="AO104" s="3"/>
      <c r="AP104">
        <v>0</v>
      </c>
      <c r="AR104" t="s">
        <v>0</v>
      </c>
      <c r="AT104" s="2">
        <v>0.30599999999999999</v>
      </c>
      <c r="AU104" s="1" t="e">
        <f t="shared" si="19"/>
        <v>#VALUE!</v>
      </c>
      <c r="AV104" s="1" t="e">
        <f t="shared" si="20"/>
        <v>#VALUE!</v>
      </c>
      <c r="AW104" s="1" t="e">
        <f t="shared" si="21"/>
        <v>#VALUE!</v>
      </c>
    </row>
    <row r="105" spans="1:49" x14ac:dyDescent="0.2">
      <c r="A105">
        <v>103</v>
      </c>
      <c r="B105" t="s">
        <v>8550</v>
      </c>
      <c r="F105" t="s">
        <v>8549</v>
      </c>
      <c r="G105" t="s">
        <v>15</v>
      </c>
      <c r="H105" t="s">
        <v>14</v>
      </c>
      <c r="I105" t="s">
        <v>8548</v>
      </c>
      <c r="N105">
        <v>1</v>
      </c>
      <c r="O105" t="s">
        <v>8547</v>
      </c>
      <c r="P105">
        <v>1</v>
      </c>
      <c r="R105" s="7">
        <v>32203</v>
      </c>
      <c r="S105" s="8">
        <f t="shared" si="16"/>
        <v>1988</v>
      </c>
      <c r="T105" s="8">
        <v>1988</v>
      </c>
      <c r="U105" s="8">
        <f t="shared" si="17"/>
        <v>34</v>
      </c>
      <c r="V105" s="7">
        <v>32203</v>
      </c>
      <c r="W105" t="s">
        <v>8515</v>
      </c>
      <c r="X105" s="2">
        <v>0.10100000000000001</v>
      </c>
      <c r="Y105" s="6">
        <f t="shared" si="14"/>
        <v>2.6961373161421215E-3</v>
      </c>
      <c r="AA105">
        <v>7452993</v>
      </c>
      <c r="AB105">
        <v>18563</v>
      </c>
      <c r="AD105" t="s">
        <v>4</v>
      </c>
      <c r="AE105">
        <v>27</v>
      </c>
      <c r="AF105">
        <v>3</v>
      </c>
      <c r="AI105" t="s">
        <v>8546</v>
      </c>
      <c r="AK105" t="s">
        <v>8545</v>
      </c>
      <c r="AL105">
        <v>1</v>
      </c>
      <c r="AM105" s="5">
        <f t="shared" si="18"/>
        <v>2.9411764705882353E-2</v>
      </c>
      <c r="AN105" s="4">
        <f t="shared" si="15"/>
        <v>4.4546406218678307E-5</v>
      </c>
      <c r="AO105" s="3"/>
      <c r="AP105">
        <v>0</v>
      </c>
      <c r="AR105" t="s">
        <v>0</v>
      </c>
      <c r="AT105" s="2" t="s">
        <v>19</v>
      </c>
      <c r="AU105" s="1">
        <f t="shared" si="19"/>
        <v>0.19006600431650886</v>
      </c>
      <c r="AV105" s="1">
        <f t="shared" si="20"/>
        <v>0.13703418611804</v>
      </c>
      <c r="AW105" s="1">
        <f t="shared" si="21"/>
        <v>8.4002367919571122E-2</v>
      </c>
    </row>
    <row r="106" spans="1:49" x14ac:dyDescent="0.2">
      <c r="A106">
        <v>104</v>
      </c>
      <c r="B106" t="s">
        <v>8544</v>
      </c>
      <c r="F106" t="s">
        <v>8543</v>
      </c>
      <c r="G106" t="s">
        <v>15</v>
      </c>
      <c r="H106" t="s">
        <v>14</v>
      </c>
      <c r="I106" t="s">
        <v>8542</v>
      </c>
      <c r="N106">
        <v>5</v>
      </c>
      <c r="O106" t="s">
        <v>8541</v>
      </c>
      <c r="P106" t="s">
        <v>8540</v>
      </c>
      <c r="Q106" t="s">
        <v>1309</v>
      </c>
      <c r="R106" s="7">
        <v>32203</v>
      </c>
      <c r="S106" s="8">
        <f t="shared" si="16"/>
        <v>1988</v>
      </c>
      <c r="T106" s="8">
        <v>1988</v>
      </c>
      <c r="U106" s="8">
        <f t="shared" si="17"/>
        <v>34</v>
      </c>
      <c r="V106" s="7">
        <v>32203</v>
      </c>
      <c r="W106" t="s">
        <v>8524</v>
      </c>
      <c r="X106" s="2" t="s">
        <v>19</v>
      </c>
      <c r="Y106" s="6" t="e">
        <f t="shared" si="14"/>
        <v>#VALUE!</v>
      </c>
      <c r="AA106">
        <v>338001</v>
      </c>
      <c r="AB106">
        <v>32587</v>
      </c>
      <c r="AD106" t="s">
        <v>4</v>
      </c>
      <c r="AE106" t="s">
        <v>8523</v>
      </c>
      <c r="AF106">
        <v>2</v>
      </c>
      <c r="AH106" t="s">
        <v>8539</v>
      </c>
      <c r="AI106" t="s">
        <v>8538</v>
      </c>
      <c r="AK106" t="s">
        <v>8537</v>
      </c>
      <c r="AL106">
        <v>0</v>
      </c>
      <c r="AM106" s="5">
        <f t="shared" si="18"/>
        <v>0</v>
      </c>
      <c r="AN106" s="4">
        <f t="shared" si="15"/>
        <v>0</v>
      </c>
      <c r="AO106" s="3"/>
      <c r="AP106">
        <v>0</v>
      </c>
      <c r="AR106" t="s">
        <v>0</v>
      </c>
      <c r="AT106" s="2" t="s">
        <v>19</v>
      </c>
      <c r="AU106" s="1" t="e">
        <f t="shared" si="19"/>
        <v>#VALUE!</v>
      </c>
      <c r="AV106" s="1" t="e">
        <f t="shared" si="20"/>
        <v>#VALUE!</v>
      </c>
      <c r="AW106" s="1" t="e">
        <f t="shared" si="21"/>
        <v>#VALUE!</v>
      </c>
    </row>
    <row r="107" spans="1:49" x14ac:dyDescent="0.2">
      <c r="A107">
        <v>105</v>
      </c>
      <c r="B107" t="s">
        <v>8536</v>
      </c>
      <c r="F107" t="s">
        <v>8535</v>
      </c>
      <c r="G107" t="s">
        <v>15</v>
      </c>
      <c r="H107" t="s">
        <v>14</v>
      </c>
      <c r="I107" t="s">
        <v>8534</v>
      </c>
      <c r="N107">
        <v>4</v>
      </c>
      <c r="O107" t="s">
        <v>8533</v>
      </c>
      <c r="P107" t="s">
        <v>8532</v>
      </c>
      <c r="Q107" t="s">
        <v>523</v>
      </c>
      <c r="R107" s="7">
        <v>32203</v>
      </c>
      <c r="S107" s="8">
        <f t="shared" si="16"/>
        <v>1988</v>
      </c>
      <c r="T107" s="8">
        <v>1988</v>
      </c>
      <c r="U107" s="8">
        <f t="shared" si="17"/>
        <v>34</v>
      </c>
      <c r="V107" s="7">
        <v>32203</v>
      </c>
      <c r="W107" t="s">
        <v>8524</v>
      </c>
      <c r="X107" s="2" t="s">
        <v>19</v>
      </c>
      <c r="Y107" s="6" t="e">
        <f t="shared" si="14"/>
        <v>#VALUE!</v>
      </c>
      <c r="AA107">
        <v>338001</v>
      </c>
      <c r="AB107">
        <v>32587</v>
      </c>
      <c r="AD107" t="s">
        <v>4</v>
      </c>
      <c r="AE107" t="s">
        <v>8523</v>
      </c>
      <c r="AF107">
        <v>2</v>
      </c>
      <c r="AH107" s="10">
        <v>42675</v>
      </c>
      <c r="AI107" t="s">
        <v>8531</v>
      </c>
      <c r="AK107" t="s">
        <v>8530</v>
      </c>
      <c r="AL107">
        <v>0</v>
      </c>
      <c r="AM107" s="5">
        <f t="shared" si="18"/>
        <v>0</v>
      </c>
      <c r="AN107" s="4">
        <f t="shared" si="15"/>
        <v>0</v>
      </c>
      <c r="AO107" s="3"/>
      <c r="AP107">
        <v>0</v>
      </c>
      <c r="AR107" t="s">
        <v>0</v>
      </c>
      <c r="AT107" s="2" t="s">
        <v>19</v>
      </c>
      <c r="AU107" s="1" t="e">
        <f t="shared" si="19"/>
        <v>#VALUE!</v>
      </c>
      <c r="AV107" s="1" t="e">
        <f t="shared" si="20"/>
        <v>#VALUE!</v>
      </c>
      <c r="AW107" s="1" t="e">
        <f t="shared" si="21"/>
        <v>#VALUE!</v>
      </c>
    </row>
    <row r="108" spans="1:49" x14ac:dyDescent="0.2">
      <c r="A108">
        <v>106</v>
      </c>
      <c r="B108" t="s">
        <v>8529</v>
      </c>
      <c r="F108" t="s">
        <v>8528</v>
      </c>
      <c r="G108" t="s">
        <v>15</v>
      </c>
      <c r="H108" t="s">
        <v>14</v>
      </c>
      <c r="I108" t="s">
        <v>8527</v>
      </c>
      <c r="N108">
        <v>7</v>
      </c>
      <c r="O108" t="s">
        <v>8526</v>
      </c>
      <c r="P108" t="s">
        <v>8525</v>
      </c>
      <c r="Q108" t="s">
        <v>1425</v>
      </c>
      <c r="R108" s="7">
        <v>32203</v>
      </c>
      <c r="S108" s="8">
        <f t="shared" si="16"/>
        <v>1988</v>
      </c>
      <c r="T108" s="8">
        <v>1988</v>
      </c>
      <c r="U108" s="8">
        <f t="shared" si="17"/>
        <v>34</v>
      </c>
      <c r="V108" s="7">
        <v>32203</v>
      </c>
      <c r="W108" t="s">
        <v>8524</v>
      </c>
      <c r="X108" s="2" t="s">
        <v>19</v>
      </c>
      <c r="Y108" s="6" t="e">
        <f t="shared" si="14"/>
        <v>#VALUE!</v>
      </c>
      <c r="AA108">
        <v>338001</v>
      </c>
      <c r="AB108">
        <v>32587</v>
      </c>
      <c r="AD108" t="s">
        <v>4</v>
      </c>
      <c r="AE108" t="s">
        <v>8523</v>
      </c>
      <c r="AF108">
        <v>2</v>
      </c>
      <c r="AH108" s="9">
        <v>44472</v>
      </c>
      <c r="AI108" t="s">
        <v>8522</v>
      </c>
      <c r="AK108" t="s">
        <v>8521</v>
      </c>
      <c r="AL108">
        <v>0</v>
      </c>
      <c r="AM108" s="5">
        <f t="shared" si="18"/>
        <v>0</v>
      </c>
      <c r="AN108" s="4">
        <f t="shared" si="15"/>
        <v>0</v>
      </c>
      <c r="AO108" s="3"/>
      <c r="AP108">
        <v>0</v>
      </c>
      <c r="AR108" t="s">
        <v>0</v>
      </c>
      <c r="AT108" s="2" t="s">
        <v>19</v>
      </c>
      <c r="AU108" s="1" t="e">
        <f t="shared" si="19"/>
        <v>#VALUE!</v>
      </c>
      <c r="AV108" s="1" t="e">
        <f t="shared" si="20"/>
        <v>#VALUE!</v>
      </c>
      <c r="AW108" s="1" t="e">
        <f t="shared" si="21"/>
        <v>#VALUE!</v>
      </c>
    </row>
    <row r="109" spans="1:49" x14ac:dyDescent="0.2">
      <c r="A109">
        <v>107</v>
      </c>
      <c r="B109" t="s">
        <v>8520</v>
      </c>
      <c r="F109" t="s">
        <v>8519</v>
      </c>
      <c r="G109" t="s">
        <v>15</v>
      </c>
      <c r="H109" t="s">
        <v>14</v>
      </c>
      <c r="I109" t="s">
        <v>8518</v>
      </c>
      <c r="J109">
        <v>60020536</v>
      </c>
      <c r="K109" t="s">
        <v>8517</v>
      </c>
      <c r="L109" t="s">
        <v>4453</v>
      </c>
      <c r="M109" t="s">
        <v>31</v>
      </c>
      <c r="N109">
        <v>1</v>
      </c>
      <c r="O109" t="s">
        <v>8516</v>
      </c>
      <c r="P109">
        <v>7006953298</v>
      </c>
      <c r="Q109">
        <v>60020536</v>
      </c>
      <c r="R109" s="7">
        <v>32203</v>
      </c>
      <c r="S109" s="8">
        <f t="shared" si="16"/>
        <v>1988</v>
      </c>
      <c r="T109" s="8">
        <v>1988</v>
      </c>
      <c r="U109" s="8">
        <f t="shared" si="17"/>
        <v>34</v>
      </c>
      <c r="V109" s="7">
        <v>32203</v>
      </c>
      <c r="W109" t="s">
        <v>8515</v>
      </c>
      <c r="X109" s="2">
        <v>0.10100000000000001</v>
      </c>
      <c r="Y109" s="6">
        <f t="shared" si="14"/>
        <v>2.6961373161421215E-3</v>
      </c>
      <c r="AA109">
        <v>7452993</v>
      </c>
      <c r="AB109">
        <v>18563</v>
      </c>
      <c r="AD109" t="s">
        <v>4</v>
      </c>
      <c r="AE109">
        <v>27</v>
      </c>
      <c r="AF109">
        <v>3</v>
      </c>
      <c r="AH109" t="s">
        <v>8514</v>
      </c>
      <c r="AI109" t="s">
        <v>8513</v>
      </c>
      <c r="AK109" t="s">
        <v>8512</v>
      </c>
      <c r="AL109">
        <v>1</v>
      </c>
      <c r="AM109" s="5">
        <f t="shared" si="18"/>
        <v>2.9411764705882353E-2</v>
      </c>
      <c r="AN109" s="4">
        <f t="shared" si="15"/>
        <v>4.4546406218678307E-5</v>
      </c>
      <c r="AO109" s="3"/>
      <c r="AP109">
        <v>0</v>
      </c>
      <c r="AR109" t="s">
        <v>0</v>
      </c>
      <c r="AT109" s="2" t="s">
        <v>19</v>
      </c>
      <c r="AU109" s="1">
        <f t="shared" si="19"/>
        <v>0.19006600431650886</v>
      </c>
      <c r="AV109" s="1">
        <f t="shared" si="20"/>
        <v>0.13703418611804</v>
      </c>
      <c r="AW109" s="1">
        <f t="shared" si="21"/>
        <v>8.4002367919571122E-2</v>
      </c>
    </row>
    <row r="110" spans="1:49" x14ac:dyDescent="0.2">
      <c r="A110">
        <v>108</v>
      </c>
      <c r="B110" t="s">
        <v>8511</v>
      </c>
      <c r="F110" t="s">
        <v>8510</v>
      </c>
      <c r="G110" t="s">
        <v>15</v>
      </c>
      <c r="H110" t="s">
        <v>14</v>
      </c>
      <c r="I110" t="s">
        <v>8509</v>
      </c>
      <c r="J110">
        <v>60018714</v>
      </c>
      <c r="K110" t="s">
        <v>4665</v>
      </c>
      <c r="L110" t="s">
        <v>794</v>
      </c>
      <c r="M110" t="s">
        <v>481</v>
      </c>
      <c r="N110">
        <v>2</v>
      </c>
      <c r="O110" t="s">
        <v>8508</v>
      </c>
      <c r="P110" t="s">
        <v>8507</v>
      </c>
      <c r="Q110" t="s">
        <v>8506</v>
      </c>
      <c r="R110" s="7">
        <v>32203</v>
      </c>
      <c r="S110" s="8">
        <f t="shared" si="16"/>
        <v>1988</v>
      </c>
      <c r="T110" s="8">
        <v>1988</v>
      </c>
      <c r="U110" s="8">
        <f t="shared" si="17"/>
        <v>34</v>
      </c>
      <c r="V110" s="7">
        <v>32203</v>
      </c>
      <c r="W110" t="s">
        <v>8281</v>
      </c>
      <c r="X110" s="2" t="s">
        <v>19</v>
      </c>
      <c r="Y110" s="6" t="e">
        <f t="shared" si="14"/>
        <v>#VALUE!</v>
      </c>
      <c r="AA110">
        <v>262897</v>
      </c>
      <c r="AB110">
        <v>18580</v>
      </c>
      <c r="AD110" t="s">
        <v>4</v>
      </c>
      <c r="AE110">
        <v>31</v>
      </c>
      <c r="AF110">
        <v>3</v>
      </c>
      <c r="AI110" t="s">
        <v>8505</v>
      </c>
      <c r="AK110" t="s">
        <v>8504</v>
      </c>
      <c r="AL110">
        <v>0</v>
      </c>
      <c r="AM110" s="5">
        <f t="shared" si="18"/>
        <v>0</v>
      </c>
      <c r="AN110" s="4">
        <f t="shared" si="15"/>
        <v>0</v>
      </c>
      <c r="AO110" s="3"/>
      <c r="AP110">
        <v>0</v>
      </c>
      <c r="AR110" t="s">
        <v>0</v>
      </c>
      <c r="AT110" s="2">
        <v>0.30599999999999999</v>
      </c>
      <c r="AU110" s="1" t="e">
        <f t="shared" si="19"/>
        <v>#VALUE!</v>
      </c>
      <c r="AV110" s="1" t="e">
        <f t="shared" si="20"/>
        <v>#VALUE!</v>
      </c>
      <c r="AW110" s="1" t="e">
        <f t="shared" si="21"/>
        <v>#VALUE!</v>
      </c>
    </row>
    <row r="111" spans="1:49" x14ac:dyDescent="0.2">
      <c r="A111">
        <v>109</v>
      </c>
      <c r="B111" t="s">
        <v>8503</v>
      </c>
      <c r="F111" t="s">
        <v>8502</v>
      </c>
      <c r="G111" t="s">
        <v>15</v>
      </c>
      <c r="H111" t="s">
        <v>14</v>
      </c>
      <c r="I111" t="s">
        <v>8501</v>
      </c>
      <c r="J111">
        <v>101402695</v>
      </c>
      <c r="K111" t="s">
        <v>8500</v>
      </c>
      <c r="M111" t="s">
        <v>31</v>
      </c>
      <c r="N111">
        <v>1</v>
      </c>
      <c r="O111" t="s">
        <v>8499</v>
      </c>
      <c r="P111">
        <v>6507684781</v>
      </c>
      <c r="Q111">
        <v>101402695</v>
      </c>
      <c r="R111" s="7">
        <v>32203</v>
      </c>
      <c r="S111" s="8">
        <f t="shared" si="16"/>
        <v>1988</v>
      </c>
      <c r="T111" s="8">
        <v>1988</v>
      </c>
      <c r="U111" s="8">
        <f t="shared" si="17"/>
        <v>34</v>
      </c>
      <c r="V111" s="7">
        <v>32203</v>
      </c>
      <c r="W111" t="s">
        <v>8281</v>
      </c>
      <c r="X111" s="2" t="s">
        <v>19</v>
      </c>
      <c r="Y111" s="6" t="e">
        <f t="shared" si="14"/>
        <v>#VALUE!</v>
      </c>
      <c r="AA111">
        <v>262897</v>
      </c>
      <c r="AB111">
        <v>18580</v>
      </c>
      <c r="AD111" t="s">
        <v>4</v>
      </c>
      <c r="AE111">
        <v>31</v>
      </c>
      <c r="AF111">
        <v>3</v>
      </c>
      <c r="AH111" t="s">
        <v>8498</v>
      </c>
      <c r="AI111" t="s">
        <v>8497</v>
      </c>
      <c r="AK111" t="s">
        <v>8496</v>
      </c>
      <c r="AL111">
        <v>5</v>
      </c>
      <c r="AM111" s="5">
        <f t="shared" si="18"/>
        <v>0.14705882352941177</v>
      </c>
      <c r="AN111" s="4">
        <f t="shared" si="15"/>
        <v>2.2273203109339154E-4</v>
      </c>
      <c r="AO111" s="3"/>
      <c r="AP111">
        <v>0</v>
      </c>
      <c r="AR111" t="s">
        <v>0</v>
      </c>
      <c r="AT111" s="2">
        <v>0.30599999999999999</v>
      </c>
      <c r="AU111" s="1" t="e">
        <f t="shared" si="19"/>
        <v>#VALUE!</v>
      </c>
      <c r="AV111" s="1" t="e">
        <f t="shared" si="20"/>
        <v>#VALUE!</v>
      </c>
      <c r="AW111" s="1" t="e">
        <f t="shared" si="21"/>
        <v>#VALUE!</v>
      </c>
    </row>
    <row r="112" spans="1:49" x14ac:dyDescent="0.2">
      <c r="A112">
        <v>110</v>
      </c>
      <c r="B112" t="s">
        <v>8495</v>
      </c>
      <c r="F112" t="s">
        <v>8494</v>
      </c>
      <c r="G112" t="s">
        <v>15</v>
      </c>
      <c r="H112" t="s">
        <v>14</v>
      </c>
      <c r="I112" t="s">
        <v>8493</v>
      </c>
      <c r="N112">
        <v>3</v>
      </c>
      <c r="O112" t="s">
        <v>8492</v>
      </c>
      <c r="P112" t="s">
        <v>8491</v>
      </c>
      <c r="Q112" t="s">
        <v>532</v>
      </c>
      <c r="R112" s="7">
        <v>32203</v>
      </c>
      <c r="S112" s="8">
        <f t="shared" si="16"/>
        <v>1988</v>
      </c>
      <c r="T112" s="8">
        <v>1988</v>
      </c>
      <c r="U112" s="8">
        <f t="shared" si="17"/>
        <v>34</v>
      </c>
      <c r="V112" s="7">
        <v>32203</v>
      </c>
      <c r="W112" t="s">
        <v>950</v>
      </c>
      <c r="X112" s="2">
        <v>0.14099999999999999</v>
      </c>
      <c r="Y112" s="6">
        <f t="shared" si="14"/>
        <v>3.7639144710498915E-3</v>
      </c>
      <c r="AA112">
        <v>402508</v>
      </c>
      <c r="AB112">
        <v>20868</v>
      </c>
      <c r="AD112" t="s">
        <v>4</v>
      </c>
      <c r="AE112">
        <v>43</v>
      </c>
      <c r="AF112">
        <v>3</v>
      </c>
      <c r="AH112" t="s">
        <v>8490</v>
      </c>
      <c r="AI112" t="s">
        <v>8489</v>
      </c>
      <c r="AK112" t="s">
        <v>8488</v>
      </c>
      <c r="AL112">
        <v>0</v>
      </c>
      <c r="AM112" s="5">
        <f t="shared" si="18"/>
        <v>0</v>
      </c>
      <c r="AN112" s="4">
        <f t="shared" si="15"/>
        <v>0</v>
      </c>
      <c r="AO112" s="3"/>
      <c r="AP112">
        <v>0</v>
      </c>
      <c r="AR112" t="s">
        <v>0</v>
      </c>
      <c r="AT112" s="2" t="s">
        <v>19</v>
      </c>
      <c r="AU112" s="1">
        <f t="shared" si="19"/>
        <v>0.26347401297349238</v>
      </c>
      <c r="AV112" s="1">
        <f t="shared" si="20"/>
        <v>0.18819572355249459</v>
      </c>
      <c r="AW112" s="1">
        <f t="shared" si="21"/>
        <v>0.11291743413149673</v>
      </c>
    </row>
    <row r="113" spans="1:49" x14ac:dyDescent="0.2">
      <c r="A113">
        <v>111</v>
      </c>
      <c r="B113" t="s">
        <v>8487</v>
      </c>
      <c r="F113" t="s">
        <v>8486</v>
      </c>
      <c r="G113" t="s">
        <v>15</v>
      </c>
      <c r="H113" t="s">
        <v>14</v>
      </c>
      <c r="I113" t="s">
        <v>8485</v>
      </c>
      <c r="N113">
        <v>3</v>
      </c>
      <c r="O113" t="s">
        <v>8484</v>
      </c>
      <c r="P113" t="s">
        <v>8483</v>
      </c>
      <c r="Q113" t="s">
        <v>532</v>
      </c>
      <c r="R113" s="7">
        <v>32203</v>
      </c>
      <c r="S113" s="8">
        <f t="shared" si="16"/>
        <v>1988</v>
      </c>
      <c r="T113" s="8">
        <v>1988</v>
      </c>
      <c r="U113" s="8">
        <f t="shared" si="17"/>
        <v>34</v>
      </c>
      <c r="V113" s="7">
        <v>32203</v>
      </c>
      <c r="W113" t="s">
        <v>950</v>
      </c>
      <c r="X113" s="2">
        <v>0.14099999999999999</v>
      </c>
      <c r="Y113" s="6">
        <f t="shared" si="14"/>
        <v>3.7639144710498915E-3</v>
      </c>
      <c r="AA113">
        <v>402508</v>
      </c>
      <c r="AB113">
        <v>20868</v>
      </c>
      <c r="AD113" t="s">
        <v>4</v>
      </c>
      <c r="AE113">
        <v>43</v>
      </c>
      <c r="AF113">
        <v>3</v>
      </c>
      <c r="AH113" t="s">
        <v>8482</v>
      </c>
      <c r="AI113" t="s">
        <v>8481</v>
      </c>
      <c r="AK113" t="s">
        <v>8480</v>
      </c>
      <c r="AL113">
        <v>0</v>
      </c>
      <c r="AM113" s="5">
        <f t="shared" si="18"/>
        <v>0</v>
      </c>
      <c r="AN113" s="4">
        <f t="shared" si="15"/>
        <v>0</v>
      </c>
      <c r="AO113" s="3"/>
      <c r="AP113">
        <v>0</v>
      </c>
      <c r="AR113" t="s">
        <v>0</v>
      </c>
      <c r="AT113" s="2" t="s">
        <v>19</v>
      </c>
      <c r="AU113" s="1">
        <f t="shared" si="19"/>
        <v>0.26347401297349238</v>
      </c>
      <c r="AV113" s="1">
        <f t="shared" si="20"/>
        <v>0.18819572355249459</v>
      </c>
      <c r="AW113" s="1">
        <f t="shared" si="21"/>
        <v>0.11291743413149673</v>
      </c>
    </row>
    <row r="114" spans="1:49" x14ac:dyDescent="0.2">
      <c r="A114">
        <v>112</v>
      </c>
      <c r="B114" t="s">
        <v>8479</v>
      </c>
      <c r="F114" t="s">
        <v>8478</v>
      </c>
      <c r="G114" t="s">
        <v>15</v>
      </c>
      <c r="H114" t="s">
        <v>14</v>
      </c>
      <c r="I114" t="s">
        <v>8477</v>
      </c>
      <c r="N114">
        <v>2</v>
      </c>
      <c r="O114" t="s">
        <v>8476</v>
      </c>
      <c r="P114" t="s">
        <v>8475</v>
      </c>
      <c r="Q114" t="s">
        <v>501</v>
      </c>
      <c r="R114" s="7">
        <v>32203</v>
      </c>
      <c r="S114" s="8">
        <f t="shared" si="16"/>
        <v>1988</v>
      </c>
      <c r="T114" s="8">
        <v>1988</v>
      </c>
      <c r="U114" s="8">
        <f t="shared" si="17"/>
        <v>34</v>
      </c>
      <c r="V114" s="7">
        <v>32203</v>
      </c>
      <c r="W114" t="s">
        <v>950</v>
      </c>
      <c r="X114" s="2">
        <v>0.14099999999999999</v>
      </c>
      <c r="Y114" s="6">
        <f t="shared" si="14"/>
        <v>3.7639144710498915E-3</v>
      </c>
      <c r="AA114">
        <v>402508</v>
      </c>
      <c r="AB114">
        <v>20868</v>
      </c>
      <c r="AD114" t="s">
        <v>4</v>
      </c>
      <c r="AE114">
        <v>43</v>
      </c>
      <c r="AF114">
        <v>3</v>
      </c>
      <c r="AH114" t="s">
        <v>8474</v>
      </c>
      <c r="AI114" t="s">
        <v>8473</v>
      </c>
      <c r="AK114" t="s">
        <v>8472</v>
      </c>
      <c r="AL114">
        <v>0</v>
      </c>
      <c r="AM114" s="5">
        <f t="shared" si="18"/>
        <v>0</v>
      </c>
      <c r="AN114" s="4">
        <f t="shared" si="15"/>
        <v>0</v>
      </c>
      <c r="AO114" s="3"/>
      <c r="AP114">
        <v>0</v>
      </c>
      <c r="AR114" t="s">
        <v>0</v>
      </c>
      <c r="AT114" s="2" t="s">
        <v>19</v>
      </c>
      <c r="AU114" s="1">
        <f t="shared" si="19"/>
        <v>0.26347401297349238</v>
      </c>
      <c r="AV114" s="1">
        <f t="shared" si="20"/>
        <v>0.18819572355249459</v>
      </c>
      <c r="AW114" s="1">
        <f t="shared" si="21"/>
        <v>0.11291743413149673</v>
      </c>
    </row>
    <row r="115" spans="1:49" x14ac:dyDescent="0.2">
      <c r="A115">
        <v>113</v>
      </c>
      <c r="B115" t="s">
        <v>8471</v>
      </c>
      <c r="F115" t="s">
        <v>8470</v>
      </c>
      <c r="G115" t="s">
        <v>15</v>
      </c>
      <c r="H115" t="s">
        <v>14</v>
      </c>
      <c r="I115" t="s">
        <v>8469</v>
      </c>
      <c r="N115">
        <v>3</v>
      </c>
      <c r="O115" t="s">
        <v>8468</v>
      </c>
      <c r="P115" t="s">
        <v>8467</v>
      </c>
      <c r="Q115" t="s">
        <v>532</v>
      </c>
      <c r="R115" s="7">
        <v>32203</v>
      </c>
      <c r="S115" s="8">
        <f t="shared" si="16"/>
        <v>1988</v>
      </c>
      <c r="T115" s="8">
        <v>1988</v>
      </c>
      <c r="U115" s="8">
        <f t="shared" si="17"/>
        <v>34</v>
      </c>
      <c r="V115" s="7">
        <v>32203</v>
      </c>
      <c r="W115" t="s">
        <v>950</v>
      </c>
      <c r="X115" s="2">
        <v>0.14099999999999999</v>
      </c>
      <c r="Y115" s="6">
        <f t="shared" si="14"/>
        <v>3.7639144710498915E-3</v>
      </c>
      <c r="AA115">
        <v>402508</v>
      </c>
      <c r="AB115">
        <v>20868</v>
      </c>
      <c r="AD115" t="s">
        <v>4</v>
      </c>
      <c r="AE115">
        <v>43</v>
      </c>
      <c r="AF115">
        <v>3</v>
      </c>
      <c r="AH115" t="s">
        <v>8273</v>
      </c>
      <c r="AI115" t="s">
        <v>8466</v>
      </c>
      <c r="AK115" t="s">
        <v>8465</v>
      </c>
      <c r="AL115">
        <v>0</v>
      </c>
      <c r="AM115" s="5">
        <f t="shared" si="18"/>
        <v>0</v>
      </c>
      <c r="AN115" s="4">
        <f t="shared" si="15"/>
        <v>0</v>
      </c>
      <c r="AO115" s="3"/>
      <c r="AP115">
        <v>0</v>
      </c>
      <c r="AR115" t="s">
        <v>0</v>
      </c>
      <c r="AT115" s="2" t="s">
        <v>19</v>
      </c>
      <c r="AU115" s="1">
        <f t="shared" si="19"/>
        <v>0.26347401297349238</v>
      </c>
      <c r="AV115" s="1">
        <f t="shared" si="20"/>
        <v>0.18819572355249459</v>
      </c>
      <c r="AW115" s="1">
        <f t="shared" si="21"/>
        <v>0.11291743413149673</v>
      </c>
    </row>
    <row r="116" spans="1:49" x14ac:dyDescent="0.2">
      <c r="A116">
        <v>114</v>
      </c>
      <c r="B116" t="s">
        <v>8464</v>
      </c>
      <c r="F116" t="s">
        <v>8463</v>
      </c>
      <c r="G116" t="s">
        <v>15</v>
      </c>
      <c r="H116" t="s">
        <v>14</v>
      </c>
      <c r="I116" t="s">
        <v>8462</v>
      </c>
      <c r="N116">
        <v>4</v>
      </c>
      <c r="O116" t="s">
        <v>8461</v>
      </c>
      <c r="P116" t="s">
        <v>8460</v>
      </c>
      <c r="Q116" t="s">
        <v>523</v>
      </c>
      <c r="R116" s="7">
        <v>32203</v>
      </c>
      <c r="S116" s="8">
        <f t="shared" si="16"/>
        <v>1988</v>
      </c>
      <c r="T116" s="8">
        <v>1988</v>
      </c>
      <c r="U116" s="8">
        <f t="shared" si="17"/>
        <v>34</v>
      </c>
      <c r="V116" s="7">
        <v>32203</v>
      </c>
      <c r="W116" t="s">
        <v>950</v>
      </c>
      <c r="X116" s="2">
        <v>0.14099999999999999</v>
      </c>
      <c r="Y116" s="6">
        <f t="shared" si="14"/>
        <v>3.7639144710498915E-3</v>
      </c>
      <c r="AA116">
        <v>402508</v>
      </c>
      <c r="AB116">
        <v>20868</v>
      </c>
      <c r="AD116" t="s">
        <v>4</v>
      </c>
      <c r="AE116">
        <v>43</v>
      </c>
      <c r="AF116">
        <v>3</v>
      </c>
      <c r="AH116" s="9">
        <v>44508</v>
      </c>
      <c r="AI116" t="s">
        <v>8459</v>
      </c>
      <c r="AK116" t="s">
        <v>8458</v>
      </c>
      <c r="AL116">
        <v>0</v>
      </c>
      <c r="AM116" s="5">
        <f t="shared" si="18"/>
        <v>0</v>
      </c>
      <c r="AN116" s="4">
        <f t="shared" si="15"/>
        <v>0</v>
      </c>
      <c r="AO116" s="3"/>
      <c r="AP116">
        <v>0</v>
      </c>
      <c r="AR116" t="s">
        <v>0</v>
      </c>
      <c r="AT116" s="2" t="s">
        <v>19</v>
      </c>
      <c r="AU116" s="1">
        <f t="shared" si="19"/>
        <v>0.26347401297349238</v>
      </c>
      <c r="AV116" s="1">
        <f t="shared" si="20"/>
        <v>0.18819572355249459</v>
      </c>
      <c r="AW116" s="1">
        <f t="shared" si="21"/>
        <v>0.11291743413149673</v>
      </c>
    </row>
    <row r="117" spans="1:49" x14ac:dyDescent="0.2">
      <c r="A117">
        <v>115</v>
      </c>
      <c r="B117" t="s">
        <v>8457</v>
      </c>
      <c r="F117" t="s">
        <v>8456</v>
      </c>
      <c r="G117" t="s">
        <v>15</v>
      </c>
      <c r="H117" t="s">
        <v>14</v>
      </c>
      <c r="I117" t="s">
        <v>8455</v>
      </c>
      <c r="N117">
        <v>2</v>
      </c>
      <c r="O117" t="s">
        <v>8454</v>
      </c>
      <c r="P117" t="s">
        <v>8453</v>
      </c>
      <c r="Q117" t="s">
        <v>501</v>
      </c>
      <c r="R117" s="7">
        <v>32203</v>
      </c>
      <c r="S117" s="8">
        <f t="shared" si="16"/>
        <v>1988</v>
      </c>
      <c r="T117" s="8">
        <v>1988</v>
      </c>
      <c r="U117" s="8">
        <f t="shared" si="17"/>
        <v>34</v>
      </c>
      <c r="V117" s="7">
        <v>32203</v>
      </c>
      <c r="W117" t="s">
        <v>500</v>
      </c>
      <c r="X117" s="2" t="s">
        <v>19</v>
      </c>
      <c r="Y117" s="6" t="e">
        <f t="shared" si="14"/>
        <v>#VALUE!</v>
      </c>
      <c r="AA117">
        <v>87566648</v>
      </c>
      <c r="AB117">
        <v>74127</v>
      </c>
      <c r="AD117" t="s">
        <v>4</v>
      </c>
      <c r="AE117">
        <v>33</v>
      </c>
      <c r="AF117">
        <v>3</v>
      </c>
      <c r="AH117" t="s">
        <v>8452</v>
      </c>
      <c r="AI117" t="s">
        <v>8451</v>
      </c>
      <c r="AK117" t="s">
        <v>8450</v>
      </c>
      <c r="AL117">
        <v>1</v>
      </c>
      <c r="AM117" s="5">
        <f t="shared" si="18"/>
        <v>2.9411764705882353E-2</v>
      </c>
      <c r="AN117" s="4">
        <f t="shared" si="15"/>
        <v>4.4546406218678307E-5</v>
      </c>
      <c r="AO117" s="3"/>
      <c r="AP117">
        <v>0</v>
      </c>
      <c r="AR117" t="s">
        <v>0</v>
      </c>
      <c r="AT117" s="2" t="s">
        <v>19</v>
      </c>
      <c r="AU117" s="1" t="e">
        <f t="shared" si="19"/>
        <v>#VALUE!</v>
      </c>
      <c r="AV117" s="1" t="e">
        <f t="shared" si="20"/>
        <v>#VALUE!</v>
      </c>
      <c r="AW117" s="1" t="e">
        <f t="shared" si="21"/>
        <v>#VALUE!</v>
      </c>
    </row>
    <row r="118" spans="1:49" x14ac:dyDescent="0.2">
      <c r="A118">
        <v>116</v>
      </c>
      <c r="B118" t="s">
        <v>8449</v>
      </c>
      <c r="F118" t="s">
        <v>8448</v>
      </c>
      <c r="G118" t="s">
        <v>15</v>
      </c>
      <c r="H118" t="s">
        <v>14</v>
      </c>
      <c r="I118" t="s">
        <v>8447</v>
      </c>
      <c r="N118">
        <v>2</v>
      </c>
      <c r="O118" t="s">
        <v>8446</v>
      </c>
      <c r="P118" t="s">
        <v>8445</v>
      </c>
      <c r="Q118" t="s">
        <v>501</v>
      </c>
      <c r="R118" s="7">
        <v>32203</v>
      </c>
      <c r="S118" s="8">
        <f t="shared" si="16"/>
        <v>1988</v>
      </c>
      <c r="T118" s="8">
        <v>1988</v>
      </c>
      <c r="U118" s="8">
        <f t="shared" si="17"/>
        <v>34</v>
      </c>
      <c r="V118" s="7">
        <v>32203</v>
      </c>
      <c r="W118" t="s">
        <v>500</v>
      </c>
      <c r="X118" s="2" t="s">
        <v>19</v>
      </c>
      <c r="Y118" s="6" t="e">
        <f t="shared" si="14"/>
        <v>#VALUE!</v>
      </c>
      <c r="AA118">
        <v>87566648</v>
      </c>
      <c r="AB118">
        <v>74127</v>
      </c>
      <c r="AD118" t="s">
        <v>4</v>
      </c>
      <c r="AE118">
        <v>33</v>
      </c>
      <c r="AF118">
        <v>3</v>
      </c>
      <c r="AH118" t="s">
        <v>8444</v>
      </c>
      <c r="AI118" t="s">
        <v>8443</v>
      </c>
      <c r="AK118" t="s">
        <v>8442</v>
      </c>
      <c r="AL118">
        <v>0</v>
      </c>
      <c r="AM118" s="5">
        <f t="shared" si="18"/>
        <v>0</v>
      </c>
      <c r="AN118" s="4">
        <f t="shared" si="15"/>
        <v>0</v>
      </c>
      <c r="AO118" s="3"/>
      <c r="AP118">
        <v>0</v>
      </c>
      <c r="AR118" t="s">
        <v>0</v>
      </c>
      <c r="AT118" s="2" t="s">
        <v>19</v>
      </c>
      <c r="AU118" s="1" t="e">
        <f t="shared" si="19"/>
        <v>#VALUE!</v>
      </c>
      <c r="AV118" s="1" t="e">
        <f t="shared" si="20"/>
        <v>#VALUE!</v>
      </c>
      <c r="AW118" s="1" t="e">
        <f t="shared" si="21"/>
        <v>#VALUE!</v>
      </c>
    </row>
    <row r="119" spans="1:49" x14ac:dyDescent="0.2">
      <c r="A119">
        <v>117</v>
      </c>
      <c r="B119" t="s">
        <v>8441</v>
      </c>
      <c r="F119" t="s">
        <v>8440</v>
      </c>
      <c r="G119" t="s">
        <v>15</v>
      </c>
      <c r="H119" t="s">
        <v>14</v>
      </c>
      <c r="I119" t="s">
        <v>8439</v>
      </c>
      <c r="N119">
        <v>1</v>
      </c>
      <c r="O119" t="s">
        <v>8438</v>
      </c>
      <c r="P119">
        <v>6603073230</v>
      </c>
      <c r="R119" s="7">
        <v>32203</v>
      </c>
      <c r="S119" s="8">
        <f t="shared" si="16"/>
        <v>1988</v>
      </c>
      <c r="T119" s="8">
        <v>1988</v>
      </c>
      <c r="U119" s="8">
        <f t="shared" si="17"/>
        <v>34</v>
      </c>
      <c r="V119" s="7">
        <v>32203</v>
      </c>
      <c r="W119" t="s">
        <v>500</v>
      </c>
      <c r="X119" s="2" t="s">
        <v>19</v>
      </c>
      <c r="Y119" s="6" t="e">
        <f t="shared" si="14"/>
        <v>#VALUE!</v>
      </c>
      <c r="AA119">
        <v>87566648</v>
      </c>
      <c r="AB119">
        <v>74127</v>
      </c>
      <c r="AD119" t="s">
        <v>4</v>
      </c>
      <c r="AE119">
        <v>33</v>
      </c>
      <c r="AF119">
        <v>3</v>
      </c>
      <c r="AH119" t="s">
        <v>8437</v>
      </c>
      <c r="AI119" t="s">
        <v>8436</v>
      </c>
      <c r="AK119" t="s">
        <v>8435</v>
      </c>
      <c r="AL119">
        <v>0</v>
      </c>
      <c r="AM119" s="5">
        <f t="shared" si="18"/>
        <v>0</v>
      </c>
      <c r="AN119" s="4">
        <f t="shared" si="15"/>
        <v>0</v>
      </c>
      <c r="AO119" s="3"/>
      <c r="AP119">
        <v>0</v>
      </c>
      <c r="AR119" t="s">
        <v>0</v>
      </c>
      <c r="AT119" s="2" t="s">
        <v>19</v>
      </c>
      <c r="AU119" s="1" t="e">
        <f t="shared" si="19"/>
        <v>#VALUE!</v>
      </c>
      <c r="AV119" s="1" t="e">
        <f t="shared" si="20"/>
        <v>#VALUE!</v>
      </c>
      <c r="AW119" s="1" t="e">
        <f t="shared" si="21"/>
        <v>#VALUE!</v>
      </c>
    </row>
    <row r="120" spans="1:49" x14ac:dyDescent="0.2">
      <c r="A120">
        <v>118</v>
      </c>
      <c r="B120" t="s">
        <v>8434</v>
      </c>
      <c r="F120" t="s">
        <v>8433</v>
      </c>
      <c r="G120" t="s">
        <v>15</v>
      </c>
      <c r="H120" t="s">
        <v>14</v>
      </c>
      <c r="I120" t="s">
        <v>8432</v>
      </c>
      <c r="J120">
        <v>60000809</v>
      </c>
      <c r="K120" t="s">
        <v>5001</v>
      </c>
      <c r="L120" t="s">
        <v>5000</v>
      </c>
      <c r="M120" t="s">
        <v>211</v>
      </c>
      <c r="N120">
        <v>2</v>
      </c>
      <c r="O120" t="s">
        <v>8431</v>
      </c>
      <c r="P120" t="s">
        <v>8430</v>
      </c>
      <c r="Q120" t="s">
        <v>4997</v>
      </c>
      <c r="R120" s="7">
        <v>32203</v>
      </c>
      <c r="S120" s="8">
        <f t="shared" si="16"/>
        <v>1988</v>
      </c>
      <c r="T120" s="8">
        <v>1988</v>
      </c>
      <c r="U120" s="8">
        <f t="shared" si="17"/>
        <v>34</v>
      </c>
      <c r="V120" s="7">
        <v>32203</v>
      </c>
      <c r="W120" t="s">
        <v>8429</v>
      </c>
      <c r="X120" s="2" t="s">
        <v>19</v>
      </c>
      <c r="Y120" s="6" t="e">
        <f t="shared" si="14"/>
        <v>#VALUE!</v>
      </c>
      <c r="AA120">
        <v>9110704</v>
      </c>
      <c r="AB120">
        <v>33511</v>
      </c>
      <c r="AD120" t="s">
        <v>4</v>
      </c>
      <c r="AE120">
        <v>4</v>
      </c>
      <c r="AF120">
        <v>1</v>
      </c>
      <c r="AH120" t="s">
        <v>8428</v>
      </c>
      <c r="AI120" t="s">
        <v>8427</v>
      </c>
      <c r="AK120" t="s">
        <v>8426</v>
      </c>
      <c r="AL120">
        <v>1</v>
      </c>
      <c r="AM120" s="5">
        <f t="shared" si="18"/>
        <v>2.9411764705882353E-2</v>
      </c>
      <c r="AN120" s="4">
        <f t="shared" si="15"/>
        <v>4.4546406218678307E-5</v>
      </c>
      <c r="AO120" s="3"/>
      <c r="AP120">
        <v>0</v>
      </c>
      <c r="AR120" t="s">
        <v>0</v>
      </c>
      <c r="AT120" s="2" t="s">
        <v>19</v>
      </c>
      <c r="AU120" s="1" t="e">
        <f t="shared" si="19"/>
        <v>#VALUE!</v>
      </c>
      <c r="AV120" s="1" t="e">
        <f t="shared" si="20"/>
        <v>#VALUE!</v>
      </c>
      <c r="AW120" s="1" t="e">
        <f t="shared" si="21"/>
        <v>#VALUE!</v>
      </c>
    </row>
    <row r="121" spans="1:49" x14ac:dyDescent="0.2">
      <c r="A121">
        <v>119</v>
      </c>
      <c r="B121" t="s">
        <v>8425</v>
      </c>
      <c r="F121" t="s">
        <v>8424</v>
      </c>
      <c r="G121" t="s">
        <v>15</v>
      </c>
      <c r="H121" t="s">
        <v>14</v>
      </c>
      <c r="I121" t="s">
        <v>8131</v>
      </c>
      <c r="N121">
        <v>1</v>
      </c>
      <c r="O121" t="s">
        <v>8423</v>
      </c>
      <c r="P121">
        <v>7003496334</v>
      </c>
      <c r="R121" s="7">
        <v>32203</v>
      </c>
      <c r="S121" s="8">
        <f t="shared" si="16"/>
        <v>1988</v>
      </c>
      <c r="T121" s="8">
        <v>1988</v>
      </c>
      <c r="U121" s="8">
        <f t="shared" si="17"/>
        <v>34</v>
      </c>
      <c r="V121" s="7">
        <v>32203</v>
      </c>
      <c r="W121" t="s">
        <v>500</v>
      </c>
      <c r="X121" s="2" t="s">
        <v>19</v>
      </c>
      <c r="Y121" s="6" t="e">
        <f t="shared" si="14"/>
        <v>#VALUE!</v>
      </c>
      <c r="AA121">
        <v>87566648</v>
      </c>
      <c r="AB121">
        <v>74127</v>
      </c>
      <c r="AD121" t="s">
        <v>4</v>
      </c>
      <c r="AE121">
        <v>33</v>
      </c>
      <c r="AF121">
        <v>3</v>
      </c>
      <c r="AH121" t="s">
        <v>8422</v>
      </c>
      <c r="AI121" t="s">
        <v>8421</v>
      </c>
      <c r="AK121" t="s">
        <v>8420</v>
      </c>
      <c r="AL121">
        <v>0</v>
      </c>
      <c r="AM121" s="5">
        <f t="shared" si="18"/>
        <v>0</v>
      </c>
      <c r="AN121" s="4">
        <f t="shared" si="15"/>
        <v>0</v>
      </c>
      <c r="AO121" s="3"/>
      <c r="AP121">
        <v>0</v>
      </c>
      <c r="AR121" t="s">
        <v>0</v>
      </c>
      <c r="AT121" s="2" t="s">
        <v>19</v>
      </c>
      <c r="AU121" s="1" t="e">
        <f t="shared" si="19"/>
        <v>#VALUE!</v>
      </c>
      <c r="AV121" s="1" t="e">
        <f t="shared" si="20"/>
        <v>#VALUE!</v>
      </c>
      <c r="AW121" s="1" t="e">
        <f t="shared" si="21"/>
        <v>#VALUE!</v>
      </c>
    </row>
    <row r="122" spans="1:49" x14ac:dyDescent="0.2">
      <c r="A122">
        <v>120</v>
      </c>
      <c r="B122" t="s">
        <v>8419</v>
      </c>
      <c r="C122" t="s">
        <v>8418</v>
      </c>
      <c r="F122" t="s">
        <v>8417</v>
      </c>
      <c r="G122" t="s">
        <v>15</v>
      </c>
      <c r="H122" t="s">
        <v>14</v>
      </c>
      <c r="I122" t="s">
        <v>8416</v>
      </c>
      <c r="J122" t="s">
        <v>8411</v>
      </c>
      <c r="K122" t="s">
        <v>8415</v>
      </c>
      <c r="L122" t="s">
        <v>8414</v>
      </c>
      <c r="M122" t="s">
        <v>352</v>
      </c>
      <c r="N122">
        <v>2</v>
      </c>
      <c r="O122" t="s">
        <v>8413</v>
      </c>
      <c r="P122" t="s">
        <v>8412</v>
      </c>
      <c r="Q122" t="s">
        <v>8411</v>
      </c>
      <c r="R122" s="7">
        <v>32203</v>
      </c>
      <c r="S122" s="8">
        <f t="shared" si="16"/>
        <v>1988</v>
      </c>
      <c r="T122" s="8">
        <v>1988</v>
      </c>
      <c r="U122" s="8">
        <f t="shared" si="17"/>
        <v>34</v>
      </c>
      <c r="V122" s="7">
        <v>32203</v>
      </c>
      <c r="W122" t="s">
        <v>8410</v>
      </c>
      <c r="X122" s="2">
        <v>0.93</v>
      </c>
      <c r="Y122" s="6">
        <f t="shared" si="14"/>
        <v>2.4825818851605671E-2</v>
      </c>
      <c r="AA122">
        <v>253162</v>
      </c>
      <c r="AB122">
        <v>12165</v>
      </c>
      <c r="AC122">
        <v>14321793</v>
      </c>
      <c r="AD122" t="s">
        <v>4</v>
      </c>
      <c r="AE122">
        <v>99</v>
      </c>
      <c r="AF122">
        <v>1</v>
      </c>
      <c r="AH122" t="s">
        <v>8409</v>
      </c>
      <c r="AI122" t="s">
        <v>8408</v>
      </c>
      <c r="AK122" t="s">
        <v>8407</v>
      </c>
      <c r="AL122">
        <v>48</v>
      </c>
      <c r="AM122" s="5">
        <f t="shared" si="18"/>
        <v>1.411764705882353</v>
      </c>
      <c r="AN122" s="4">
        <f t="shared" si="15"/>
        <v>2.1382274984965591E-3</v>
      </c>
      <c r="AO122" s="3"/>
      <c r="AP122">
        <v>0</v>
      </c>
      <c r="AR122" t="s">
        <v>0</v>
      </c>
      <c r="AT122" s="2">
        <v>2.573</v>
      </c>
      <c r="AU122" s="1">
        <f t="shared" si="19"/>
        <v>1.8019541445672935</v>
      </c>
      <c r="AV122" s="1">
        <f t="shared" si="20"/>
        <v>1.3482023175051114</v>
      </c>
      <c r="AW122" s="1">
        <f t="shared" si="21"/>
        <v>0.89445049044292924</v>
      </c>
    </row>
    <row r="123" spans="1:49" x14ac:dyDescent="0.2">
      <c r="A123">
        <v>121</v>
      </c>
      <c r="B123" t="s">
        <v>8406</v>
      </c>
      <c r="C123" t="s">
        <v>8405</v>
      </c>
      <c r="F123" t="s">
        <v>8404</v>
      </c>
      <c r="G123" t="s">
        <v>15</v>
      </c>
      <c r="H123" t="s">
        <v>14</v>
      </c>
      <c r="I123" t="s">
        <v>8403</v>
      </c>
      <c r="J123">
        <v>60026415</v>
      </c>
      <c r="K123" t="s">
        <v>8402</v>
      </c>
      <c r="L123" t="s">
        <v>8401</v>
      </c>
      <c r="M123" t="s">
        <v>31</v>
      </c>
      <c r="N123">
        <v>2</v>
      </c>
      <c r="O123" t="s">
        <v>8400</v>
      </c>
      <c r="P123" t="s">
        <v>8399</v>
      </c>
      <c r="Q123" t="s">
        <v>8398</v>
      </c>
      <c r="R123" s="7">
        <v>32203</v>
      </c>
      <c r="S123" s="8">
        <f t="shared" si="16"/>
        <v>1988</v>
      </c>
      <c r="T123" s="8">
        <v>1988</v>
      </c>
      <c r="U123" s="8">
        <f t="shared" si="17"/>
        <v>34</v>
      </c>
      <c r="V123" s="7">
        <v>32203</v>
      </c>
      <c r="W123" t="s">
        <v>191</v>
      </c>
      <c r="X123" s="2">
        <v>0.85499999999999998</v>
      </c>
      <c r="Y123" s="6">
        <f t="shared" si="14"/>
        <v>2.28237366861536E-2</v>
      </c>
      <c r="AA123">
        <v>980331</v>
      </c>
      <c r="AB123">
        <v>23342</v>
      </c>
      <c r="AC123">
        <v>15731561</v>
      </c>
      <c r="AD123" t="s">
        <v>4</v>
      </c>
      <c r="AE123">
        <v>14</v>
      </c>
      <c r="AF123">
        <v>3</v>
      </c>
      <c r="AH123" t="s">
        <v>8397</v>
      </c>
      <c r="AI123" t="s">
        <v>8396</v>
      </c>
      <c r="AJ123" t="s">
        <v>8395</v>
      </c>
      <c r="AK123" t="s">
        <v>8394</v>
      </c>
      <c r="AL123">
        <v>47</v>
      </c>
      <c r="AM123" s="5">
        <f t="shared" si="18"/>
        <v>1.3823529411764706</v>
      </c>
      <c r="AN123" s="4">
        <f t="shared" si="15"/>
        <v>2.0936810922778802E-3</v>
      </c>
      <c r="AO123" s="3"/>
      <c r="AP123">
        <v>0</v>
      </c>
      <c r="AR123" t="s">
        <v>0</v>
      </c>
      <c r="AT123" s="2">
        <v>2.6259999999999999</v>
      </c>
      <c r="AU123" s="1">
        <f t="shared" si="19"/>
        <v>1.6604720007990883</v>
      </c>
      <c r="AV123" s="1">
        <f t="shared" si="20"/>
        <v>1.2458708889215739</v>
      </c>
      <c r="AW123" s="1">
        <f t="shared" si="21"/>
        <v>0.83126977704405958</v>
      </c>
    </row>
    <row r="124" spans="1:49" x14ac:dyDescent="0.2">
      <c r="A124">
        <v>122</v>
      </c>
      <c r="B124" t="s">
        <v>8393</v>
      </c>
      <c r="C124" t="s">
        <v>8392</v>
      </c>
      <c r="D124">
        <v>14579388800243</v>
      </c>
      <c r="E124">
        <v>3342888</v>
      </c>
      <c r="F124" t="s">
        <v>8391</v>
      </c>
      <c r="G124" t="s">
        <v>15</v>
      </c>
      <c r="H124" t="s">
        <v>14</v>
      </c>
      <c r="I124" t="s">
        <v>8390</v>
      </c>
      <c r="J124" t="s">
        <v>8389</v>
      </c>
      <c r="K124" t="s">
        <v>8388</v>
      </c>
      <c r="L124" t="s">
        <v>8387</v>
      </c>
      <c r="M124" t="s">
        <v>8386</v>
      </c>
      <c r="N124">
        <v>6</v>
      </c>
      <c r="O124" t="s">
        <v>8385</v>
      </c>
      <c r="P124" t="s">
        <v>8384</v>
      </c>
      <c r="Q124" t="s">
        <v>8383</v>
      </c>
      <c r="R124" s="7">
        <v>32188</v>
      </c>
      <c r="S124" s="8">
        <f t="shared" si="16"/>
        <v>1988</v>
      </c>
      <c r="T124" s="8">
        <v>1988</v>
      </c>
      <c r="U124" s="8">
        <f t="shared" si="17"/>
        <v>34</v>
      </c>
      <c r="V124" s="7">
        <v>32188</v>
      </c>
      <c r="W124" t="s">
        <v>8216</v>
      </c>
      <c r="X124" s="2">
        <v>1.593</v>
      </c>
      <c r="Y124" s="6">
        <f t="shared" si="14"/>
        <v>4.2524225194201973E-2</v>
      </c>
      <c r="AA124">
        <v>145793</v>
      </c>
      <c r="AB124">
        <v>17481</v>
      </c>
      <c r="AD124" t="s">
        <v>4</v>
      </c>
      <c r="AE124">
        <v>228</v>
      </c>
      <c r="AF124">
        <v>2</v>
      </c>
      <c r="AH124" t="s">
        <v>8382</v>
      </c>
      <c r="AI124" t="s">
        <v>8381</v>
      </c>
      <c r="AJ124" t="s">
        <v>8380</v>
      </c>
      <c r="AK124" t="s">
        <v>8379</v>
      </c>
      <c r="AL124">
        <v>21</v>
      </c>
      <c r="AM124" s="5">
        <f t="shared" si="18"/>
        <v>0.61764705882352944</v>
      </c>
      <c r="AN124" s="4">
        <f t="shared" si="15"/>
        <v>9.3547453059224456E-4</v>
      </c>
      <c r="AO124" s="3"/>
      <c r="AP124">
        <v>0</v>
      </c>
      <c r="AQ124" t="s">
        <v>8378</v>
      </c>
      <c r="AR124" t="s">
        <v>8377</v>
      </c>
      <c r="AS124" t="s">
        <v>1432</v>
      </c>
      <c r="AT124" s="2">
        <v>4.1239999999999997</v>
      </c>
      <c r="AU124" s="1">
        <f t="shared" si="19"/>
        <v>3.0047599995119056</v>
      </c>
      <c r="AV124" s="1">
        <f t="shared" si="20"/>
        <v>2.1729849862397108</v>
      </c>
      <c r="AW124" s="1">
        <f t="shared" si="21"/>
        <v>1.3412099729675162</v>
      </c>
    </row>
    <row r="125" spans="1:49" x14ac:dyDescent="0.2">
      <c r="A125">
        <v>123</v>
      </c>
      <c r="B125" t="s">
        <v>8376</v>
      </c>
      <c r="C125" t="s">
        <v>8375</v>
      </c>
      <c r="D125">
        <v>22098188901888</v>
      </c>
      <c r="F125" t="s">
        <v>8374</v>
      </c>
      <c r="G125" t="s">
        <v>15</v>
      </c>
      <c r="H125" t="s">
        <v>14</v>
      </c>
      <c r="I125" t="s">
        <v>8373</v>
      </c>
      <c r="J125">
        <v>60004572</v>
      </c>
      <c r="K125" t="s">
        <v>8372</v>
      </c>
      <c r="L125" t="s">
        <v>8371</v>
      </c>
      <c r="M125" t="s">
        <v>1011</v>
      </c>
      <c r="N125">
        <v>1</v>
      </c>
      <c r="O125" t="s">
        <v>8370</v>
      </c>
      <c r="P125">
        <v>7201720749</v>
      </c>
      <c r="Q125">
        <v>60004572</v>
      </c>
      <c r="R125" s="7">
        <v>32182</v>
      </c>
      <c r="S125" s="8">
        <f t="shared" si="16"/>
        <v>1988</v>
      </c>
      <c r="T125" s="8">
        <v>1988</v>
      </c>
      <c r="U125" s="8">
        <f t="shared" si="17"/>
        <v>34</v>
      </c>
      <c r="V125" s="7">
        <v>32182</v>
      </c>
      <c r="W125" t="s">
        <v>8369</v>
      </c>
      <c r="X125" s="2">
        <v>0.96499999999999997</v>
      </c>
      <c r="Y125" s="6">
        <f t="shared" si="14"/>
        <v>2.5760123862149969E-2</v>
      </c>
      <c r="AA125">
        <v>220981</v>
      </c>
      <c r="AB125">
        <v>29606</v>
      </c>
      <c r="AD125" t="s">
        <v>4</v>
      </c>
      <c r="AE125">
        <v>115</v>
      </c>
      <c r="AF125">
        <v>1</v>
      </c>
      <c r="AH125" t="s">
        <v>8368</v>
      </c>
      <c r="AI125" t="s">
        <v>8367</v>
      </c>
      <c r="AJ125" t="s">
        <v>8366</v>
      </c>
      <c r="AK125" t="s">
        <v>8365</v>
      </c>
      <c r="AL125">
        <v>21</v>
      </c>
      <c r="AM125" s="5">
        <f t="shared" si="18"/>
        <v>0.61764705882352944</v>
      </c>
      <c r="AN125" s="4">
        <f t="shared" si="15"/>
        <v>9.3547453059224456E-4</v>
      </c>
      <c r="AO125" s="3"/>
      <c r="AP125">
        <v>0</v>
      </c>
      <c r="AR125" t="s">
        <v>0</v>
      </c>
      <c r="AT125" s="2" t="s">
        <v>19</v>
      </c>
      <c r="AU125" s="1">
        <f t="shared" si="19"/>
        <v>1.8312729062682651</v>
      </c>
      <c r="AV125" s="1">
        <f t="shared" si="20"/>
        <v>1.3347799196371106</v>
      </c>
      <c r="AW125" s="1">
        <f t="shared" si="21"/>
        <v>0.83828693300595625</v>
      </c>
    </row>
    <row r="126" spans="1:49" x14ac:dyDescent="0.2">
      <c r="A126">
        <v>124</v>
      </c>
      <c r="B126" t="s">
        <v>8364</v>
      </c>
      <c r="C126" t="s">
        <v>8363</v>
      </c>
      <c r="F126" t="s">
        <v>8362</v>
      </c>
      <c r="G126" t="s">
        <v>15</v>
      </c>
      <c r="H126" t="s">
        <v>14</v>
      </c>
      <c r="I126" t="s">
        <v>418</v>
      </c>
      <c r="J126">
        <v>60003878</v>
      </c>
      <c r="K126" t="s">
        <v>8361</v>
      </c>
      <c r="L126" t="s">
        <v>8360</v>
      </c>
      <c r="M126" t="s">
        <v>1179</v>
      </c>
      <c r="N126">
        <v>2</v>
      </c>
      <c r="O126" t="s">
        <v>8359</v>
      </c>
      <c r="P126" t="s">
        <v>8358</v>
      </c>
      <c r="Q126" t="s">
        <v>8357</v>
      </c>
      <c r="R126" s="7">
        <v>32174</v>
      </c>
      <c r="S126" s="8">
        <f t="shared" si="16"/>
        <v>1988</v>
      </c>
      <c r="T126" s="8">
        <v>1988</v>
      </c>
      <c r="U126" s="8">
        <f t="shared" si="17"/>
        <v>34</v>
      </c>
      <c r="V126" s="7">
        <v>32174</v>
      </c>
      <c r="W126" t="s">
        <v>8356</v>
      </c>
      <c r="X126" s="2">
        <v>1.1579999999999999</v>
      </c>
      <c r="Y126" s="6">
        <f t="shared" si="14"/>
        <v>3.0912148634579962E-2</v>
      </c>
      <c r="AA126">
        <v>1668595</v>
      </c>
      <c r="AB126">
        <v>14223</v>
      </c>
      <c r="AC126">
        <v>15735079</v>
      </c>
      <c r="AD126" t="s">
        <v>4</v>
      </c>
      <c r="AE126">
        <v>15</v>
      </c>
      <c r="AF126">
        <v>2</v>
      </c>
      <c r="AH126" t="s">
        <v>8355</v>
      </c>
      <c r="AI126" t="s">
        <v>8354</v>
      </c>
      <c r="AJ126" t="s">
        <v>8353</v>
      </c>
      <c r="AK126" t="s">
        <v>8352</v>
      </c>
      <c r="AL126">
        <v>26</v>
      </c>
      <c r="AM126" s="5">
        <f t="shared" si="18"/>
        <v>0.76470588235294112</v>
      </c>
      <c r="AN126" s="4">
        <f t="shared" si="15"/>
        <v>1.1582065616856359E-3</v>
      </c>
      <c r="AO126" s="3"/>
      <c r="AP126">
        <v>0</v>
      </c>
      <c r="AR126" t="s">
        <v>0</v>
      </c>
      <c r="AT126" s="2">
        <v>3.573</v>
      </c>
      <c r="AU126" s="1">
        <f t="shared" si="19"/>
        <v>2.198596601271166</v>
      </c>
      <c r="AV126" s="1">
        <f t="shared" si="20"/>
        <v>1.6035177598132797</v>
      </c>
      <c r="AW126" s="1">
        <f t="shared" si="21"/>
        <v>1.0084389183553932</v>
      </c>
    </row>
    <row r="127" spans="1:49" x14ac:dyDescent="0.2">
      <c r="A127">
        <v>125</v>
      </c>
      <c r="B127" t="s">
        <v>8351</v>
      </c>
      <c r="F127" t="s">
        <v>8350</v>
      </c>
      <c r="G127" t="s">
        <v>15</v>
      </c>
      <c r="H127" t="s">
        <v>14</v>
      </c>
      <c r="I127" t="s">
        <v>8349</v>
      </c>
      <c r="J127">
        <v>60009628</v>
      </c>
      <c r="K127" t="s">
        <v>8348</v>
      </c>
      <c r="L127" t="s">
        <v>6336</v>
      </c>
      <c r="M127" t="s">
        <v>1725</v>
      </c>
      <c r="N127">
        <v>2</v>
      </c>
      <c r="O127" t="s">
        <v>8347</v>
      </c>
      <c r="P127" t="s">
        <v>8346</v>
      </c>
      <c r="Q127" t="s">
        <v>8345</v>
      </c>
      <c r="R127" s="7">
        <v>32174</v>
      </c>
      <c r="S127" s="8">
        <f t="shared" si="16"/>
        <v>1988</v>
      </c>
      <c r="T127" s="8">
        <v>1988</v>
      </c>
      <c r="U127" s="8">
        <f t="shared" si="17"/>
        <v>34</v>
      </c>
      <c r="V127" s="7">
        <v>32174</v>
      </c>
      <c r="W127" t="s">
        <v>8344</v>
      </c>
      <c r="X127" s="2">
        <v>0.125</v>
      </c>
      <c r="Y127" s="6">
        <f t="shared" si="14"/>
        <v>3.3368036090867838E-3</v>
      </c>
      <c r="AA127">
        <v>26557</v>
      </c>
      <c r="AB127">
        <v>40401</v>
      </c>
      <c r="AD127" t="s">
        <v>4</v>
      </c>
      <c r="AE127">
        <v>57</v>
      </c>
      <c r="AF127">
        <v>2</v>
      </c>
      <c r="AH127" t="s">
        <v>8343</v>
      </c>
      <c r="AI127" t="s">
        <v>8342</v>
      </c>
      <c r="AK127" t="s">
        <v>8341</v>
      </c>
      <c r="AL127">
        <v>1</v>
      </c>
      <c r="AM127" s="5">
        <f t="shared" si="18"/>
        <v>2.9411764705882353E-2</v>
      </c>
      <c r="AN127" s="4">
        <f t="shared" si="15"/>
        <v>4.4546406218678307E-5</v>
      </c>
      <c r="AO127" s="3"/>
      <c r="AP127">
        <v>0</v>
      </c>
      <c r="AR127" t="s">
        <v>0</v>
      </c>
      <c r="AT127" s="2" t="s">
        <v>19</v>
      </c>
      <c r="AU127" s="1">
        <f t="shared" si="19"/>
        <v>0.23491264482263519</v>
      </c>
      <c r="AV127" s="1">
        <f t="shared" si="20"/>
        <v>0.1690675007652731</v>
      </c>
      <c r="AW127" s="1">
        <f t="shared" si="21"/>
        <v>0.10322235670791099</v>
      </c>
    </row>
    <row r="128" spans="1:49" x14ac:dyDescent="0.2">
      <c r="A128">
        <v>126</v>
      </c>
      <c r="B128" t="s">
        <v>8340</v>
      </c>
      <c r="F128" t="s">
        <v>8339</v>
      </c>
      <c r="G128" t="s">
        <v>15</v>
      </c>
      <c r="H128" t="s">
        <v>14</v>
      </c>
      <c r="I128" t="s">
        <v>8338</v>
      </c>
      <c r="J128">
        <v>60004643</v>
      </c>
      <c r="K128" t="s">
        <v>8337</v>
      </c>
      <c r="L128" t="s">
        <v>6610</v>
      </c>
      <c r="M128" t="s">
        <v>1011</v>
      </c>
      <c r="N128">
        <v>2</v>
      </c>
      <c r="O128" t="s">
        <v>8336</v>
      </c>
      <c r="P128" t="s">
        <v>8335</v>
      </c>
      <c r="Q128" t="s">
        <v>8334</v>
      </c>
      <c r="R128" s="7">
        <v>32174</v>
      </c>
      <c r="S128" s="8">
        <f t="shared" si="16"/>
        <v>1988</v>
      </c>
      <c r="T128" s="8">
        <v>1988</v>
      </c>
      <c r="U128" s="8">
        <f t="shared" si="17"/>
        <v>34</v>
      </c>
      <c r="V128" s="7">
        <v>32174</v>
      </c>
      <c r="W128" t="s">
        <v>8333</v>
      </c>
      <c r="X128" s="2" t="s">
        <v>19</v>
      </c>
      <c r="Y128" s="6" t="e">
        <f t="shared" si="14"/>
        <v>#VALUE!</v>
      </c>
      <c r="AA128">
        <v>3069532</v>
      </c>
      <c r="AB128">
        <v>30264</v>
      </c>
      <c r="AD128" t="s">
        <v>4</v>
      </c>
      <c r="AE128">
        <v>35</v>
      </c>
      <c r="AF128">
        <v>2</v>
      </c>
      <c r="AH128" t="s">
        <v>1521</v>
      </c>
      <c r="AI128" t="s">
        <v>8332</v>
      </c>
      <c r="AK128" t="s">
        <v>8331</v>
      </c>
      <c r="AL128">
        <v>9</v>
      </c>
      <c r="AM128" s="5">
        <f t="shared" si="18"/>
        <v>0.26470588235294118</v>
      </c>
      <c r="AN128" s="4">
        <f t="shared" si="15"/>
        <v>4.009176559681048E-4</v>
      </c>
      <c r="AO128" s="3"/>
      <c r="AP128">
        <v>0</v>
      </c>
      <c r="AR128" t="s">
        <v>0</v>
      </c>
      <c r="AT128" s="2" t="s">
        <v>19</v>
      </c>
      <c r="AU128" s="1" t="e">
        <f t="shared" si="19"/>
        <v>#VALUE!</v>
      </c>
      <c r="AV128" s="1" t="e">
        <f t="shared" si="20"/>
        <v>#VALUE!</v>
      </c>
      <c r="AW128" s="1" t="e">
        <f t="shared" si="21"/>
        <v>#VALUE!</v>
      </c>
    </row>
    <row r="129" spans="1:49" x14ac:dyDescent="0.2">
      <c r="A129">
        <v>127</v>
      </c>
      <c r="B129" t="s">
        <v>8330</v>
      </c>
      <c r="F129" t="s">
        <v>8329</v>
      </c>
      <c r="G129" t="s">
        <v>15</v>
      </c>
      <c r="H129" t="s">
        <v>14</v>
      </c>
      <c r="I129" t="s">
        <v>8328</v>
      </c>
      <c r="N129">
        <v>1</v>
      </c>
      <c r="O129" t="s">
        <v>8327</v>
      </c>
      <c r="P129">
        <v>7101932815</v>
      </c>
      <c r="R129" s="7">
        <v>32174</v>
      </c>
      <c r="S129" s="8">
        <f t="shared" si="16"/>
        <v>1988</v>
      </c>
      <c r="T129" s="8">
        <v>1988</v>
      </c>
      <c r="U129" s="8">
        <f t="shared" si="17"/>
        <v>34</v>
      </c>
      <c r="V129" s="7">
        <v>32174</v>
      </c>
      <c r="W129" t="s">
        <v>8326</v>
      </c>
      <c r="X129" s="2" t="s">
        <v>19</v>
      </c>
      <c r="Y129" s="6" t="e">
        <f t="shared" si="14"/>
        <v>#VALUE!</v>
      </c>
      <c r="AA129" t="s">
        <v>8325</v>
      </c>
      <c r="AB129">
        <v>74559</v>
      </c>
      <c r="AD129" t="s">
        <v>4</v>
      </c>
      <c r="AE129">
        <v>10</v>
      </c>
      <c r="AF129">
        <v>2</v>
      </c>
      <c r="AH129" t="s">
        <v>8324</v>
      </c>
      <c r="AI129" t="s">
        <v>8323</v>
      </c>
      <c r="AK129" t="s">
        <v>8322</v>
      </c>
      <c r="AL129">
        <v>2</v>
      </c>
      <c r="AM129" s="5">
        <f t="shared" si="18"/>
        <v>5.8823529411764705E-2</v>
      </c>
      <c r="AN129" s="4">
        <f t="shared" si="15"/>
        <v>8.9092812437356614E-5</v>
      </c>
      <c r="AO129" s="3"/>
      <c r="AP129">
        <v>0</v>
      </c>
      <c r="AR129" t="s">
        <v>0</v>
      </c>
      <c r="AT129" s="2" t="s">
        <v>19</v>
      </c>
      <c r="AU129" s="1" t="e">
        <f t="shared" si="19"/>
        <v>#VALUE!</v>
      </c>
      <c r="AV129" s="1" t="e">
        <f t="shared" si="20"/>
        <v>#VALUE!</v>
      </c>
      <c r="AW129" s="1" t="e">
        <f t="shared" si="21"/>
        <v>#VALUE!</v>
      </c>
    </row>
    <row r="130" spans="1:49" x14ac:dyDescent="0.2">
      <c r="A130">
        <v>128</v>
      </c>
      <c r="B130" t="s">
        <v>8321</v>
      </c>
      <c r="C130" t="s">
        <v>8320</v>
      </c>
      <c r="F130" t="s">
        <v>8319</v>
      </c>
      <c r="G130" t="s">
        <v>15</v>
      </c>
      <c r="H130" t="s">
        <v>14</v>
      </c>
      <c r="I130" t="s">
        <v>8318</v>
      </c>
      <c r="J130">
        <v>60032882</v>
      </c>
      <c r="K130" t="s">
        <v>1181</v>
      </c>
      <c r="L130" t="s">
        <v>1180</v>
      </c>
      <c r="M130" t="s">
        <v>1179</v>
      </c>
      <c r="N130">
        <v>2</v>
      </c>
      <c r="O130" t="s">
        <v>8317</v>
      </c>
      <c r="P130" t="s">
        <v>8316</v>
      </c>
      <c r="Q130" t="s">
        <v>1176</v>
      </c>
      <c r="R130" s="7">
        <v>32174</v>
      </c>
      <c r="S130" s="8">
        <f t="shared" si="16"/>
        <v>1988</v>
      </c>
      <c r="T130" s="8">
        <v>1988</v>
      </c>
      <c r="U130" s="8">
        <f t="shared" si="17"/>
        <v>34</v>
      </c>
      <c r="V130" s="7">
        <v>32174</v>
      </c>
      <c r="W130" t="s">
        <v>8296</v>
      </c>
      <c r="X130" s="2">
        <v>0.61499999999999999</v>
      </c>
      <c r="Y130" s="6">
        <f t="shared" ref="Y130:Y193" si="22">(X130-$Z$4)/($Z$3-$Z$4)</f>
        <v>1.6417073756706976E-2</v>
      </c>
      <c r="AA130">
        <v>1959271</v>
      </c>
      <c r="AB130">
        <v>12141</v>
      </c>
      <c r="AC130">
        <v>15729559</v>
      </c>
      <c r="AD130" t="s">
        <v>4</v>
      </c>
      <c r="AE130">
        <v>9</v>
      </c>
      <c r="AF130">
        <v>2</v>
      </c>
      <c r="AH130" t="s">
        <v>8315</v>
      </c>
      <c r="AI130" t="s">
        <v>8314</v>
      </c>
      <c r="AK130" t="s">
        <v>8313</v>
      </c>
      <c r="AL130">
        <v>1</v>
      </c>
      <c r="AM130" s="5">
        <f t="shared" si="18"/>
        <v>2.9411764705882353E-2</v>
      </c>
      <c r="AN130" s="4">
        <f t="shared" ref="AN130:AN193" si="23">(AM130-$AO$4)/($AO$3-$AO$4)</f>
        <v>4.4546406218678307E-5</v>
      </c>
      <c r="AO130" s="3"/>
      <c r="AP130">
        <v>0</v>
      </c>
      <c r="AR130" t="s">
        <v>0</v>
      </c>
      <c r="AT130" s="2" t="s">
        <v>19</v>
      </c>
      <c r="AU130" s="1">
        <f t="shared" si="19"/>
        <v>1.1505315551560484</v>
      </c>
      <c r="AV130" s="1">
        <f t="shared" si="20"/>
        <v>0.82308100814628271</v>
      </c>
      <c r="AW130" s="1">
        <f t="shared" si="21"/>
        <v>0.49563046113651665</v>
      </c>
    </row>
    <row r="131" spans="1:49" x14ac:dyDescent="0.2">
      <c r="A131">
        <v>129</v>
      </c>
      <c r="B131" t="s">
        <v>8312</v>
      </c>
      <c r="F131" t="s">
        <v>8311</v>
      </c>
      <c r="G131" t="s">
        <v>15</v>
      </c>
      <c r="H131" t="s">
        <v>14</v>
      </c>
      <c r="I131" t="s">
        <v>8310</v>
      </c>
      <c r="J131">
        <v>60020818</v>
      </c>
      <c r="K131" t="s">
        <v>2048</v>
      </c>
      <c r="L131" t="s">
        <v>2047</v>
      </c>
      <c r="M131" t="s">
        <v>31</v>
      </c>
      <c r="N131">
        <v>1</v>
      </c>
      <c r="O131" t="s">
        <v>8309</v>
      </c>
      <c r="P131">
        <v>6701356101</v>
      </c>
      <c r="Q131">
        <v>60020818</v>
      </c>
      <c r="R131" s="7">
        <v>32174</v>
      </c>
      <c r="S131" s="8">
        <f t="shared" si="16"/>
        <v>1988</v>
      </c>
      <c r="T131" s="8">
        <v>1988</v>
      </c>
      <c r="U131" s="8">
        <f t="shared" si="17"/>
        <v>34</v>
      </c>
      <c r="V131" s="7">
        <v>32174</v>
      </c>
      <c r="W131" t="s">
        <v>8281</v>
      </c>
      <c r="X131" s="2" t="s">
        <v>19</v>
      </c>
      <c r="Y131" s="6" t="e">
        <f t="shared" si="22"/>
        <v>#VALUE!</v>
      </c>
      <c r="AA131">
        <v>262897</v>
      </c>
      <c r="AB131">
        <v>18580</v>
      </c>
      <c r="AD131" t="s">
        <v>4</v>
      </c>
      <c r="AE131">
        <v>31</v>
      </c>
      <c r="AF131">
        <v>2</v>
      </c>
      <c r="AI131" t="s">
        <v>8308</v>
      </c>
      <c r="AK131" t="s">
        <v>8307</v>
      </c>
      <c r="AL131">
        <v>0</v>
      </c>
      <c r="AM131" s="5">
        <f t="shared" si="18"/>
        <v>0</v>
      </c>
      <c r="AN131" s="4">
        <f t="shared" si="23"/>
        <v>0</v>
      </c>
      <c r="AO131" s="3"/>
      <c r="AP131">
        <v>0</v>
      </c>
      <c r="AR131" t="s">
        <v>0</v>
      </c>
      <c r="AT131" s="2">
        <v>0.30599999999999999</v>
      </c>
      <c r="AU131" s="1" t="e">
        <f t="shared" si="19"/>
        <v>#VALUE!</v>
      </c>
      <c r="AV131" s="1" t="e">
        <f t="shared" si="20"/>
        <v>#VALUE!</v>
      </c>
      <c r="AW131" s="1" t="e">
        <f t="shared" si="21"/>
        <v>#VALUE!</v>
      </c>
    </row>
    <row r="132" spans="1:49" x14ac:dyDescent="0.2">
      <c r="A132">
        <v>130</v>
      </c>
      <c r="B132" t="s">
        <v>8306</v>
      </c>
      <c r="C132" t="s">
        <v>8305</v>
      </c>
      <c r="F132" t="s">
        <v>8304</v>
      </c>
      <c r="G132" t="s">
        <v>15</v>
      </c>
      <c r="H132" t="s">
        <v>14</v>
      </c>
      <c r="I132" t="s">
        <v>8303</v>
      </c>
      <c r="J132" t="s">
        <v>8302</v>
      </c>
      <c r="K132" t="s">
        <v>8301</v>
      </c>
      <c r="L132" t="s">
        <v>8300</v>
      </c>
      <c r="M132" t="s">
        <v>9</v>
      </c>
      <c r="N132">
        <v>3</v>
      </c>
      <c r="O132" t="s">
        <v>8299</v>
      </c>
      <c r="P132" t="s">
        <v>8298</v>
      </c>
      <c r="Q132" t="s">
        <v>8297</v>
      </c>
      <c r="R132" s="7">
        <v>32174</v>
      </c>
      <c r="S132" s="8">
        <f t="shared" si="16"/>
        <v>1988</v>
      </c>
      <c r="T132" s="8">
        <v>1988</v>
      </c>
      <c r="U132" s="8">
        <f t="shared" si="17"/>
        <v>34</v>
      </c>
      <c r="V132" s="7">
        <v>32174</v>
      </c>
      <c r="W132" t="s">
        <v>8296</v>
      </c>
      <c r="X132" s="2">
        <v>0.61499999999999999</v>
      </c>
      <c r="Y132" s="6">
        <f t="shared" si="22"/>
        <v>1.6417073756706976E-2</v>
      </c>
      <c r="AA132">
        <v>1959271</v>
      </c>
      <c r="AB132">
        <v>12141</v>
      </c>
      <c r="AC132">
        <v>15729559</v>
      </c>
      <c r="AD132" t="s">
        <v>4</v>
      </c>
      <c r="AE132">
        <v>9</v>
      </c>
      <c r="AF132">
        <v>2</v>
      </c>
      <c r="AH132" t="s">
        <v>8295</v>
      </c>
      <c r="AI132" t="s">
        <v>8294</v>
      </c>
      <c r="AK132" t="s">
        <v>8293</v>
      </c>
      <c r="AL132">
        <v>13</v>
      </c>
      <c r="AM132" s="5">
        <f t="shared" si="18"/>
        <v>0.38235294117647056</v>
      </c>
      <c r="AN132" s="4">
        <f t="shared" si="23"/>
        <v>5.7910328084281794E-4</v>
      </c>
      <c r="AO132" s="3"/>
      <c r="AP132">
        <v>0</v>
      </c>
      <c r="AR132" t="s">
        <v>0</v>
      </c>
      <c r="AT132" s="2" t="s">
        <v>19</v>
      </c>
      <c r="AU132" s="1">
        <f t="shared" si="19"/>
        <v>1.1665682613947725</v>
      </c>
      <c r="AV132" s="1">
        <f t="shared" si="20"/>
        <v>0.84980885187748967</v>
      </c>
      <c r="AW132" s="1">
        <f t="shared" si="21"/>
        <v>0.53304944236020646</v>
      </c>
    </row>
    <row r="133" spans="1:49" x14ac:dyDescent="0.2">
      <c r="A133">
        <v>131</v>
      </c>
      <c r="B133" t="s">
        <v>8292</v>
      </c>
      <c r="F133" t="s">
        <v>8291</v>
      </c>
      <c r="G133" t="s">
        <v>15</v>
      </c>
      <c r="H133" t="s">
        <v>14</v>
      </c>
      <c r="I133" t="s">
        <v>1658</v>
      </c>
      <c r="J133">
        <v>60006448</v>
      </c>
      <c r="K133" t="s">
        <v>1657</v>
      </c>
      <c r="L133" t="s">
        <v>1656</v>
      </c>
      <c r="M133" t="s">
        <v>1655</v>
      </c>
      <c r="N133">
        <v>1</v>
      </c>
      <c r="O133" t="s">
        <v>1654</v>
      </c>
      <c r="P133">
        <v>6603932305</v>
      </c>
      <c r="Q133">
        <v>60006448</v>
      </c>
      <c r="R133" s="7">
        <v>32174</v>
      </c>
      <c r="S133" s="8">
        <f t="shared" si="16"/>
        <v>1988</v>
      </c>
      <c r="T133" s="8">
        <v>1988</v>
      </c>
      <c r="U133" s="8">
        <f t="shared" si="17"/>
        <v>34</v>
      </c>
      <c r="V133" s="7">
        <v>32174</v>
      </c>
      <c r="W133" t="s">
        <v>1653</v>
      </c>
      <c r="X133" s="2" t="s">
        <v>19</v>
      </c>
      <c r="Y133" s="6" t="e">
        <f t="shared" si="22"/>
        <v>#VALUE!</v>
      </c>
      <c r="AA133">
        <v>17884</v>
      </c>
      <c r="AB133">
        <v>110306</v>
      </c>
      <c r="AD133" t="s">
        <v>4</v>
      </c>
      <c r="AE133">
        <v>65</v>
      </c>
      <c r="AF133">
        <v>3</v>
      </c>
      <c r="AH133" t="s">
        <v>8290</v>
      </c>
      <c r="AI133" t="s">
        <v>8289</v>
      </c>
      <c r="AK133" t="s">
        <v>8288</v>
      </c>
      <c r="AL133">
        <v>0</v>
      </c>
      <c r="AM133" s="5">
        <f t="shared" si="18"/>
        <v>0</v>
      </c>
      <c r="AN133" s="4">
        <f t="shared" si="23"/>
        <v>0</v>
      </c>
      <c r="AO133" s="3"/>
      <c r="AP133">
        <v>0</v>
      </c>
      <c r="AR133" t="s">
        <v>0</v>
      </c>
      <c r="AT133" s="2" t="s">
        <v>19</v>
      </c>
      <c r="AU133" s="1" t="e">
        <f t="shared" si="19"/>
        <v>#VALUE!</v>
      </c>
      <c r="AV133" s="1" t="e">
        <f t="shared" si="20"/>
        <v>#VALUE!</v>
      </c>
      <c r="AW133" s="1" t="e">
        <f t="shared" si="21"/>
        <v>#VALUE!</v>
      </c>
    </row>
    <row r="134" spans="1:49" x14ac:dyDescent="0.2">
      <c r="A134">
        <v>132</v>
      </c>
      <c r="B134" t="s">
        <v>8287</v>
      </c>
      <c r="F134" t="s">
        <v>8286</v>
      </c>
      <c r="G134" t="s">
        <v>15</v>
      </c>
      <c r="H134" t="s">
        <v>14</v>
      </c>
      <c r="I134" t="s">
        <v>8285</v>
      </c>
      <c r="J134">
        <v>100628804</v>
      </c>
      <c r="K134" t="s">
        <v>8284</v>
      </c>
      <c r="L134" t="s">
        <v>8283</v>
      </c>
      <c r="M134" t="s">
        <v>31</v>
      </c>
      <c r="N134">
        <v>1</v>
      </c>
      <c r="O134" t="s">
        <v>8282</v>
      </c>
      <c r="P134">
        <v>7006157650</v>
      </c>
      <c r="Q134">
        <v>100628804</v>
      </c>
      <c r="R134" s="7">
        <v>32174</v>
      </c>
      <c r="S134" s="8">
        <f t="shared" si="16"/>
        <v>1988</v>
      </c>
      <c r="T134" s="8">
        <v>1988</v>
      </c>
      <c r="U134" s="8">
        <f t="shared" si="17"/>
        <v>34</v>
      </c>
      <c r="V134" s="7">
        <v>32174</v>
      </c>
      <c r="W134" t="s">
        <v>8281</v>
      </c>
      <c r="X134" s="2" t="s">
        <v>19</v>
      </c>
      <c r="Y134" s="6" t="e">
        <f t="shared" si="22"/>
        <v>#VALUE!</v>
      </c>
      <c r="AA134">
        <v>262897</v>
      </c>
      <c r="AB134">
        <v>18580</v>
      </c>
      <c r="AD134" t="s">
        <v>4</v>
      </c>
      <c r="AE134">
        <v>31</v>
      </c>
      <c r="AF134">
        <v>2</v>
      </c>
      <c r="AI134" t="s">
        <v>8280</v>
      </c>
      <c r="AK134" t="s">
        <v>8279</v>
      </c>
      <c r="AL134">
        <v>1</v>
      </c>
      <c r="AM134" s="5">
        <f t="shared" si="18"/>
        <v>2.9411764705882353E-2</v>
      </c>
      <c r="AN134" s="4">
        <f t="shared" si="23"/>
        <v>4.4546406218678307E-5</v>
      </c>
      <c r="AO134" s="3"/>
      <c r="AP134">
        <v>0</v>
      </c>
      <c r="AR134" t="s">
        <v>0</v>
      </c>
      <c r="AT134" s="2">
        <v>0.30599999999999999</v>
      </c>
      <c r="AU134" s="1" t="e">
        <f t="shared" si="19"/>
        <v>#VALUE!</v>
      </c>
      <c r="AV134" s="1" t="e">
        <f t="shared" si="20"/>
        <v>#VALUE!</v>
      </c>
      <c r="AW134" s="1" t="e">
        <f t="shared" si="21"/>
        <v>#VALUE!</v>
      </c>
    </row>
    <row r="135" spans="1:49" x14ac:dyDescent="0.2">
      <c r="A135">
        <v>133</v>
      </c>
      <c r="B135" t="s">
        <v>8278</v>
      </c>
      <c r="F135" t="s">
        <v>8277</v>
      </c>
      <c r="G135" t="s">
        <v>15</v>
      </c>
      <c r="H135" t="s">
        <v>14</v>
      </c>
      <c r="I135" t="s">
        <v>8276</v>
      </c>
      <c r="N135">
        <v>2</v>
      </c>
      <c r="O135" t="s">
        <v>8275</v>
      </c>
      <c r="P135" t="s">
        <v>8274</v>
      </c>
      <c r="Q135" t="s">
        <v>501</v>
      </c>
      <c r="R135" s="7">
        <v>32174</v>
      </c>
      <c r="S135" s="8">
        <f t="shared" ref="S135:S198" si="24">YEAR(R135)</f>
        <v>1988</v>
      </c>
      <c r="T135" s="8">
        <v>1988</v>
      </c>
      <c r="U135" s="8">
        <f t="shared" ref="U135:U198" si="25">2022-T135</f>
        <v>34</v>
      </c>
      <c r="V135" s="7">
        <v>32174</v>
      </c>
      <c r="W135" t="s">
        <v>950</v>
      </c>
      <c r="X135" s="2">
        <v>0.14099999999999999</v>
      </c>
      <c r="Y135" s="6">
        <f t="shared" si="22"/>
        <v>3.7639144710498915E-3</v>
      </c>
      <c r="AA135">
        <v>402508</v>
      </c>
      <c r="AB135">
        <v>20868</v>
      </c>
      <c r="AD135" t="s">
        <v>4</v>
      </c>
      <c r="AE135">
        <v>43</v>
      </c>
      <c r="AF135">
        <v>2</v>
      </c>
      <c r="AH135" t="s">
        <v>8273</v>
      </c>
      <c r="AI135" t="s">
        <v>8272</v>
      </c>
      <c r="AK135" t="s">
        <v>8271</v>
      </c>
      <c r="AL135">
        <v>0</v>
      </c>
      <c r="AM135" s="5">
        <f t="shared" ref="AM135:AM198" si="26">AL135/U135</f>
        <v>0</v>
      </c>
      <c r="AN135" s="4">
        <f t="shared" si="23"/>
        <v>0</v>
      </c>
      <c r="AO135" s="3"/>
      <c r="AP135">
        <v>0</v>
      </c>
      <c r="AR135" t="s">
        <v>0</v>
      </c>
      <c r="AT135" s="2" t="s">
        <v>19</v>
      </c>
      <c r="AU135" s="1">
        <f t="shared" ref="AU135:AU198" si="27">(Y135*0.7+AN135*0.3)*100</f>
        <v>0.26347401297349238</v>
      </c>
      <c r="AV135" s="1">
        <f t="shared" ref="AV135:AV198" si="28">(Y135*0.5+AN135*0.5)*100</f>
        <v>0.18819572355249459</v>
      </c>
      <c r="AW135" s="1">
        <f t="shared" ref="AW135:AW198" si="29">(Y135*0.3+AN135*0.7)*100</f>
        <v>0.11291743413149673</v>
      </c>
    </row>
    <row r="136" spans="1:49" x14ac:dyDescent="0.2">
      <c r="A136">
        <v>134</v>
      </c>
      <c r="B136" t="s">
        <v>8270</v>
      </c>
      <c r="F136" t="s">
        <v>8269</v>
      </c>
      <c r="G136" t="s">
        <v>15</v>
      </c>
      <c r="H136" t="s">
        <v>14</v>
      </c>
      <c r="I136" t="s">
        <v>8268</v>
      </c>
      <c r="N136">
        <v>1</v>
      </c>
      <c r="O136" t="s">
        <v>8267</v>
      </c>
      <c r="P136">
        <v>6507610476</v>
      </c>
      <c r="R136" s="7">
        <v>32174</v>
      </c>
      <c r="S136" s="8">
        <f t="shared" si="24"/>
        <v>1988</v>
      </c>
      <c r="T136" s="8">
        <v>1988</v>
      </c>
      <c r="U136" s="8">
        <f t="shared" si="25"/>
        <v>34</v>
      </c>
      <c r="V136" s="7">
        <v>32174</v>
      </c>
      <c r="W136" t="s">
        <v>950</v>
      </c>
      <c r="X136" s="2">
        <v>0.14099999999999999</v>
      </c>
      <c r="Y136" s="6">
        <f t="shared" si="22"/>
        <v>3.7639144710498915E-3</v>
      </c>
      <c r="AA136">
        <v>402508</v>
      </c>
      <c r="AB136">
        <v>20868</v>
      </c>
      <c r="AD136" t="s">
        <v>4</v>
      </c>
      <c r="AE136">
        <v>43</v>
      </c>
      <c r="AF136">
        <v>2</v>
      </c>
      <c r="AH136" t="s">
        <v>8266</v>
      </c>
      <c r="AI136" t="s">
        <v>8265</v>
      </c>
      <c r="AK136" t="s">
        <v>8264</v>
      </c>
      <c r="AL136">
        <v>0</v>
      </c>
      <c r="AM136" s="5">
        <f t="shared" si="26"/>
        <v>0</v>
      </c>
      <c r="AN136" s="4">
        <f t="shared" si="23"/>
        <v>0</v>
      </c>
      <c r="AO136" s="3"/>
      <c r="AP136">
        <v>0</v>
      </c>
      <c r="AR136" t="s">
        <v>0</v>
      </c>
      <c r="AT136" s="2" t="s">
        <v>19</v>
      </c>
      <c r="AU136" s="1">
        <f t="shared" si="27"/>
        <v>0.26347401297349238</v>
      </c>
      <c r="AV136" s="1">
        <f t="shared" si="28"/>
        <v>0.18819572355249459</v>
      </c>
      <c r="AW136" s="1">
        <f t="shared" si="29"/>
        <v>0.11291743413149673</v>
      </c>
    </row>
    <row r="137" spans="1:49" x14ac:dyDescent="0.2">
      <c r="A137">
        <v>135</v>
      </c>
      <c r="B137" t="s">
        <v>8263</v>
      </c>
      <c r="F137" t="s">
        <v>8262</v>
      </c>
      <c r="G137" t="s">
        <v>15</v>
      </c>
      <c r="H137" t="s">
        <v>14</v>
      </c>
      <c r="I137" t="s">
        <v>8261</v>
      </c>
      <c r="N137">
        <v>2</v>
      </c>
      <c r="O137" t="s">
        <v>8260</v>
      </c>
      <c r="P137" t="s">
        <v>8259</v>
      </c>
      <c r="Q137" t="s">
        <v>501</v>
      </c>
      <c r="R137" s="7">
        <v>32174</v>
      </c>
      <c r="S137" s="8">
        <f t="shared" si="24"/>
        <v>1988</v>
      </c>
      <c r="T137" s="8">
        <v>1988</v>
      </c>
      <c r="U137" s="8">
        <f t="shared" si="25"/>
        <v>34</v>
      </c>
      <c r="V137" s="7">
        <v>32174</v>
      </c>
      <c r="W137" t="s">
        <v>500</v>
      </c>
      <c r="X137" s="2" t="s">
        <v>19</v>
      </c>
      <c r="Y137" s="6" t="e">
        <f t="shared" si="22"/>
        <v>#VALUE!</v>
      </c>
      <c r="AA137">
        <v>87566648</v>
      </c>
      <c r="AB137">
        <v>74127</v>
      </c>
      <c r="AD137" t="s">
        <v>4</v>
      </c>
      <c r="AE137">
        <v>33</v>
      </c>
      <c r="AF137">
        <v>2</v>
      </c>
      <c r="AH137" t="s">
        <v>8258</v>
      </c>
      <c r="AI137" t="s">
        <v>8257</v>
      </c>
      <c r="AK137" t="s">
        <v>8256</v>
      </c>
      <c r="AL137">
        <v>0</v>
      </c>
      <c r="AM137" s="5">
        <f t="shared" si="26"/>
        <v>0</v>
      </c>
      <c r="AN137" s="4">
        <f t="shared" si="23"/>
        <v>0</v>
      </c>
      <c r="AO137" s="3"/>
      <c r="AP137">
        <v>0</v>
      </c>
      <c r="AR137" t="s">
        <v>0</v>
      </c>
      <c r="AT137" s="2" t="s">
        <v>19</v>
      </c>
      <c r="AU137" s="1" t="e">
        <f t="shared" si="27"/>
        <v>#VALUE!</v>
      </c>
      <c r="AV137" s="1" t="e">
        <f t="shared" si="28"/>
        <v>#VALUE!</v>
      </c>
      <c r="AW137" s="1" t="e">
        <f t="shared" si="29"/>
        <v>#VALUE!</v>
      </c>
    </row>
    <row r="138" spans="1:49" x14ac:dyDescent="0.2">
      <c r="A138">
        <v>136</v>
      </c>
      <c r="B138" t="s">
        <v>8255</v>
      </c>
      <c r="C138" t="s">
        <v>8254</v>
      </c>
      <c r="F138" t="s">
        <v>8253</v>
      </c>
      <c r="G138" t="s">
        <v>15</v>
      </c>
      <c r="H138" t="s">
        <v>14</v>
      </c>
      <c r="I138" t="s">
        <v>8252</v>
      </c>
      <c r="J138">
        <v>60001772</v>
      </c>
      <c r="K138" t="s">
        <v>8251</v>
      </c>
      <c r="L138" t="s">
        <v>314</v>
      </c>
      <c r="M138" t="s">
        <v>127</v>
      </c>
      <c r="N138">
        <v>3</v>
      </c>
      <c r="O138" t="s">
        <v>8250</v>
      </c>
      <c r="P138" t="s">
        <v>8249</v>
      </c>
      <c r="Q138" t="s">
        <v>8248</v>
      </c>
      <c r="R138" s="7">
        <v>32174</v>
      </c>
      <c r="S138" s="8">
        <f t="shared" si="24"/>
        <v>1988</v>
      </c>
      <c r="T138" s="8">
        <v>1988</v>
      </c>
      <c r="U138" s="8">
        <f t="shared" si="25"/>
        <v>34</v>
      </c>
      <c r="V138" s="7">
        <v>32174</v>
      </c>
      <c r="W138" t="s">
        <v>8247</v>
      </c>
      <c r="X138" s="2" t="s">
        <v>19</v>
      </c>
      <c r="Y138" s="6" t="e">
        <f t="shared" si="22"/>
        <v>#VALUE!</v>
      </c>
      <c r="AA138">
        <v>263925</v>
      </c>
      <c r="AB138">
        <v>32876</v>
      </c>
      <c r="AC138">
        <v>16174623</v>
      </c>
      <c r="AD138" t="s">
        <v>4</v>
      </c>
      <c r="AE138">
        <v>211</v>
      </c>
      <c r="AF138">
        <v>2</v>
      </c>
      <c r="AH138" t="s">
        <v>8246</v>
      </c>
      <c r="AI138" t="s">
        <v>8245</v>
      </c>
      <c r="AJ138" t="s">
        <v>8244</v>
      </c>
      <c r="AK138" t="s">
        <v>8243</v>
      </c>
      <c r="AL138">
        <v>64</v>
      </c>
      <c r="AM138" s="5">
        <f t="shared" si="26"/>
        <v>1.8823529411764706</v>
      </c>
      <c r="AN138" s="4">
        <f t="shared" si="23"/>
        <v>2.8509699979954116E-3</v>
      </c>
      <c r="AO138" s="3"/>
      <c r="AP138">
        <v>0</v>
      </c>
      <c r="AR138" t="s">
        <v>0</v>
      </c>
      <c r="AT138" s="2" t="s">
        <v>19</v>
      </c>
      <c r="AU138" s="1" t="e">
        <f t="shared" si="27"/>
        <v>#VALUE!</v>
      </c>
      <c r="AV138" s="1" t="e">
        <f t="shared" si="28"/>
        <v>#VALUE!</v>
      </c>
      <c r="AW138" s="1" t="e">
        <f t="shared" si="29"/>
        <v>#VALUE!</v>
      </c>
    </row>
    <row r="139" spans="1:49" x14ac:dyDescent="0.2">
      <c r="A139">
        <v>137</v>
      </c>
      <c r="B139" t="s">
        <v>8242</v>
      </c>
      <c r="C139" t="s">
        <v>8241</v>
      </c>
      <c r="D139" t="s">
        <v>8240</v>
      </c>
      <c r="F139" t="s">
        <v>8239</v>
      </c>
      <c r="G139" t="s">
        <v>15</v>
      </c>
      <c r="H139" t="s">
        <v>14</v>
      </c>
      <c r="I139" t="s">
        <v>8238</v>
      </c>
      <c r="J139" t="s">
        <v>8233</v>
      </c>
      <c r="K139" t="s">
        <v>8237</v>
      </c>
      <c r="L139" t="s">
        <v>8236</v>
      </c>
      <c r="M139" t="s">
        <v>1707</v>
      </c>
      <c r="N139">
        <v>2</v>
      </c>
      <c r="O139" t="s">
        <v>8235</v>
      </c>
      <c r="P139" t="s">
        <v>8234</v>
      </c>
      <c r="Q139" t="s">
        <v>8233</v>
      </c>
      <c r="R139" s="7">
        <v>32164</v>
      </c>
      <c r="S139" s="8">
        <f t="shared" si="24"/>
        <v>1988</v>
      </c>
      <c r="T139" s="8">
        <v>1988</v>
      </c>
      <c r="U139" s="8">
        <f t="shared" si="25"/>
        <v>34</v>
      </c>
      <c r="V139" s="7">
        <v>32164</v>
      </c>
      <c r="W139" t="s">
        <v>8232</v>
      </c>
      <c r="X139" s="2">
        <v>1.3149999999999999</v>
      </c>
      <c r="Y139" s="6">
        <f t="shared" si="22"/>
        <v>3.5103173967592965E-2</v>
      </c>
      <c r="AA139" t="s">
        <v>8231</v>
      </c>
      <c r="AB139">
        <v>13030</v>
      </c>
      <c r="AC139">
        <v>10958568</v>
      </c>
      <c r="AD139" t="s">
        <v>4</v>
      </c>
      <c r="AE139">
        <v>120</v>
      </c>
      <c r="AF139">
        <v>2</v>
      </c>
      <c r="AH139" t="s">
        <v>8230</v>
      </c>
      <c r="AI139" t="s">
        <v>8229</v>
      </c>
      <c r="AK139" t="s">
        <v>8228</v>
      </c>
      <c r="AL139">
        <v>1</v>
      </c>
      <c r="AM139" s="5">
        <f t="shared" si="26"/>
        <v>2.9411764705882353E-2</v>
      </c>
      <c r="AN139" s="4">
        <f t="shared" si="23"/>
        <v>4.4546406218678307E-5</v>
      </c>
      <c r="AO139" s="3"/>
      <c r="AP139">
        <v>0</v>
      </c>
      <c r="AR139" t="s">
        <v>0</v>
      </c>
      <c r="AT139" s="2">
        <v>3.6549999999999998</v>
      </c>
      <c r="AU139" s="1">
        <f t="shared" si="27"/>
        <v>2.4585585699180679</v>
      </c>
      <c r="AV139" s="1">
        <f t="shared" si="28"/>
        <v>1.7573860186905821</v>
      </c>
      <c r="AW139" s="1">
        <f t="shared" si="29"/>
        <v>1.0562134674630963</v>
      </c>
    </row>
    <row r="140" spans="1:49" x14ac:dyDescent="0.2">
      <c r="A140">
        <v>138</v>
      </c>
      <c r="B140" t="s">
        <v>8227</v>
      </c>
      <c r="C140" t="s">
        <v>8226</v>
      </c>
      <c r="D140">
        <v>14579388814388</v>
      </c>
      <c r="F140" t="s">
        <v>8225</v>
      </c>
      <c r="G140" t="s">
        <v>15</v>
      </c>
      <c r="H140" t="s">
        <v>14</v>
      </c>
      <c r="I140" t="s">
        <v>8224</v>
      </c>
      <c r="J140" t="s">
        <v>8223</v>
      </c>
      <c r="K140" t="s">
        <v>8222</v>
      </c>
      <c r="L140" t="s">
        <v>8221</v>
      </c>
      <c r="M140" t="s">
        <v>8220</v>
      </c>
      <c r="N140">
        <v>3</v>
      </c>
      <c r="O140" t="s">
        <v>8219</v>
      </c>
      <c r="P140" t="s">
        <v>8218</v>
      </c>
      <c r="Q140" t="s">
        <v>8217</v>
      </c>
      <c r="R140" s="7">
        <v>32146</v>
      </c>
      <c r="S140" s="8">
        <f t="shared" si="24"/>
        <v>1988</v>
      </c>
      <c r="T140" s="8">
        <v>1988</v>
      </c>
      <c r="U140" s="8">
        <f t="shared" si="25"/>
        <v>34</v>
      </c>
      <c r="V140" s="7">
        <v>32146</v>
      </c>
      <c r="W140" t="s">
        <v>8216</v>
      </c>
      <c r="X140" s="2">
        <v>1.593</v>
      </c>
      <c r="Y140" s="6">
        <f t="shared" si="22"/>
        <v>4.2524225194201973E-2</v>
      </c>
      <c r="AA140">
        <v>145793</v>
      </c>
      <c r="AB140">
        <v>17481</v>
      </c>
      <c r="AD140" t="s">
        <v>4</v>
      </c>
      <c r="AE140">
        <v>226</v>
      </c>
      <c r="AF140">
        <v>2</v>
      </c>
      <c r="AH140" t="s">
        <v>8215</v>
      </c>
      <c r="AI140" t="s">
        <v>8214</v>
      </c>
      <c r="AJ140" t="s">
        <v>8213</v>
      </c>
      <c r="AK140" t="s">
        <v>8212</v>
      </c>
      <c r="AL140">
        <v>6</v>
      </c>
      <c r="AM140" s="5">
        <f t="shared" si="26"/>
        <v>0.17647058823529413</v>
      </c>
      <c r="AN140" s="4">
        <f t="shared" si="23"/>
        <v>2.6727843731206988E-4</v>
      </c>
      <c r="AO140" s="3"/>
      <c r="AP140">
        <v>1</v>
      </c>
      <c r="AQ140" t="s">
        <v>8211</v>
      </c>
      <c r="AR140" t="s">
        <v>0</v>
      </c>
      <c r="AS140" t="s">
        <v>8210</v>
      </c>
      <c r="AT140" s="2">
        <v>4.1239999999999997</v>
      </c>
      <c r="AU140" s="1">
        <f t="shared" si="27"/>
        <v>2.9847141167135001</v>
      </c>
      <c r="AV140" s="1">
        <f t="shared" si="28"/>
        <v>2.1395751815757023</v>
      </c>
      <c r="AW140" s="1">
        <f t="shared" si="29"/>
        <v>1.294436246437904</v>
      </c>
    </row>
    <row r="141" spans="1:49" x14ac:dyDescent="0.2">
      <c r="A141">
        <v>139</v>
      </c>
      <c r="B141" t="s">
        <v>8209</v>
      </c>
      <c r="C141" t="s">
        <v>8208</v>
      </c>
      <c r="E141">
        <v>3191923</v>
      </c>
      <c r="F141" t="s">
        <v>8207</v>
      </c>
      <c r="G141" t="s">
        <v>15</v>
      </c>
      <c r="H141" t="s">
        <v>14</v>
      </c>
      <c r="I141" t="s">
        <v>8206</v>
      </c>
      <c r="J141">
        <v>60007903</v>
      </c>
      <c r="K141" t="s">
        <v>8205</v>
      </c>
      <c r="L141" t="s">
        <v>8204</v>
      </c>
      <c r="M141" t="s">
        <v>839</v>
      </c>
      <c r="N141">
        <v>3</v>
      </c>
      <c r="O141" t="s">
        <v>8203</v>
      </c>
      <c r="P141" t="s">
        <v>8202</v>
      </c>
      <c r="Q141" t="s">
        <v>8201</v>
      </c>
      <c r="R141" s="7">
        <v>32143</v>
      </c>
      <c r="S141" s="8">
        <f t="shared" si="24"/>
        <v>1988</v>
      </c>
      <c r="T141" s="8">
        <v>1988</v>
      </c>
      <c r="U141" s="8">
        <f t="shared" si="25"/>
        <v>34</v>
      </c>
      <c r="V141" s="7">
        <v>32448</v>
      </c>
      <c r="W141" t="s">
        <v>1816</v>
      </c>
      <c r="X141" s="2">
        <v>1.9810000000000001</v>
      </c>
      <c r="Y141" s="6">
        <f t="shared" si="22"/>
        <v>5.2881663596807349E-2</v>
      </c>
      <c r="AA141">
        <v>142956</v>
      </c>
      <c r="AB141">
        <v>39034</v>
      </c>
      <c r="AC141">
        <v>14321033</v>
      </c>
      <c r="AD141" t="s">
        <v>4</v>
      </c>
      <c r="AE141">
        <v>177</v>
      </c>
      <c r="AF141">
        <v>2</v>
      </c>
      <c r="AH141" t="s">
        <v>8200</v>
      </c>
      <c r="AI141" t="s">
        <v>8199</v>
      </c>
      <c r="AK141" t="s">
        <v>8198</v>
      </c>
      <c r="AL141">
        <v>165</v>
      </c>
      <c r="AM141" s="5">
        <f t="shared" si="26"/>
        <v>4.8529411764705879</v>
      </c>
      <c r="AN141" s="4">
        <f t="shared" si="23"/>
        <v>7.35015702608192E-3</v>
      </c>
      <c r="AO141" s="3"/>
      <c r="AP141">
        <v>1</v>
      </c>
      <c r="AR141" t="s">
        <v>0</v>
      </c>
      <c r="AT141" s="2" t="s">
        <v>19</v>
      </c>
      <c r="AU141" s="1">
        <f t="shared" si="27"/>
        <v>3.922221162558972</v>
      </c>
      <c r="AV141" s="1">
        <f t="shared" si="28"/>
        <v>3.0115910311444631</v>
      </c>
      <c r="AW141" s="1">
        <f t="shared" si="29"/>
        <v>2.1009608997299547</v>
      </c>
    </row>
    <row r="142" spans="1:49" x14ac:dyDescent="0.2">
      <c r="A142">
        <v>140</v>
      </c>
      <c r="B142" t="s">
        <v>8197</v>
      </c>
      <c r="F142" t="s">
        <v>8196</v>
      </c>
      <c r="G142" t="s">
        <v>15</v>
      </c>
      <c r="H142" t="s">
        <v>14</v>
      </c>
      <c r="I142" t="s">
        <v>8195</v>
      </c>
      <c r="J142">
        <v>60000990</v>
      </c>
      <c r="K142" t="s">
        <v>7895</v>
      </c>
      <c r="L142" t="s">
        <v>7894</v>
      </c>
      <c r="M142" t="s">
        <v>6983</v>
      </c>
      <c r="N142">
        <v>1</v>
      </c>
      <c r="O142" t="s">
        <v>8194</v>
      </c>
      <c r="P142">
        <v>35617942000</v>
      </c>
      <c r="Q142">
        <v>60000990</v>
      </c>
      <c r="R142" s="7">
        <v>32143</v>
      </c>
      <c r="S142" s="8">
        <f t="shared" si="24"/>
        <v>1988</v>
      </c>
      <c r="T142" s="8">
        <v>1988</v>
      </c>
      <c r="U142" s="8">
        <f t="shared" si="25"/>
        <v>34</v>
      </c>
      <c r="V142" s="7">
        <v>1988</v>
      </c>
      <c r="W142" t="s">
        <v>8193</v>
      </c>
      <c r="X142" s="2" t="s">
        <v>19</v>
      </c>
      <c r="Y142" s="6" t="e">
        <f t="shared" si="22"/>
        <v>#VALUE!</v>
      </c>
      <c r="AA142">
        <v>3668746</v>
      </c>
      <c r="AB142">
        <v>64260</v>
      </c>
      <c r="AD142" t="s">
        <v>4</v>
      </c>
      <c r="AF142">
        <v>671</v>
      </c>
      <c r="AI142" t="s">
        <v>8192</v>
      </c>
      <c r="AK142" t="s">
        <v>8191</v>
      </c>
      <c r="AL142">
        <v>0</v>
      </c>
      <c r="AM142" s="5">
        <f t="shared" si="26"/>
        <v>0</v>
      </c>
      <c r="AN142" s="4">
        <f t="shared" si="23"/>
        <v>0</v>
      </c>
      <c r="AO142" s="3"/>
      <c r="AP142">
        <v>0</v>
      </c>
      <c r="AR142" t="s">
        <v>0</v>
      </c>
      <c r="AT142" s="2" t="s">
        <v>19</v>
      </c>
      <c r="AU142" s="1" t="e">
        <f t="shared" si="27"/>
        <v>#VALUE!</v>
      </c>
      <c r="AV142" s="1" t="e">
        <f t="shared" si="28"/>
        <v>#VALUE!</v>
      </c>
      <c r="AW142" s="1" t="e">
        <f t="shared" si="29"/>
        <v>#VALUE!</v>
      </c>
    </row>
    <row r="143" spans="1:49" x14ac:dyDescent="0.2">
      <c r="A143">
        <v>141</v>
      </c>
      <c r="B143" t="s">
        <v>8190</v>
      </c>
      <c r="C143" t="s">
        <v>8189</v>
      </c>
      <c r="D143" t="s">
        <v>8188</v>
      </c>
      <c r="F143" t="s">
        <v>8187</v>
      </c>
      <c r="G143" t="s">
        <v>15</v>
      </c>
      <c r="H143" t="s">
        <v>14</v>
      </c>
      <c r="I143" t="s">
        <v>8186</v>
      </c>
      <c r="N143">
        <v>1</v>
      </c>
      <c r="O143" t="s">
        <v>8185</v>
      </c>
      <c r="P143">
        <v>6603561155</v>
      </c>
      <c r="R143" s="7">
        <v>32143</v>
      </c>
      <c r="S143" s="8">
        <f t="shared" si="24"/>
        <v>1988</v>
      </c>
      <c r="T143" s="8">
        <v>1988</v>
      </c>
      <c r="U143" s="8">
        <f t="shared" si="25"/>
        <v>34</v>
      </c>
      <c r="V143" s="7">
        <v>1988</v>
      </c>
      <c r="W143" t="s">
        <v>8184</v>
      </c>
      <c r="X143" s="2">
        <v>1.5669999999999999</v>
      </c>
      <c r="Y143" s="6">
        <f t="shared" si="22"/>
        <v>4.1830170043511916E-2</v>
      </c>
      <c r="AA143">
        <v>7365853</v>
      </c>
      <c r="AB143">
        <v>20896</v>
      </c>
      <c r="AD143" t="s">
        <v>4</v>
      </c>
      <c r="AE143">
        <v>5</v>
      </c>
      <c r="AF143">
        <v>1</v>
      </c>
      <c r="AH143" t="s">
        <v>8183</v>
      </c>
      <c r="AI143" t="s">
        <v>8182</v>
      </c>
      <c r="AK143" t="s">
        <v>8181</v>
      </c>
      <c r="AL143">
        <v>0</v>
      </c>
      <c r="AM143" s="5">
        <f t="shared" si="26"/>
        <v>0</v>
      </c>
      <c r="AN143" s="4">
        <f t="shared" si="23"/>
        <v>0</v>
      </c>
      <c r="AO143" s="3"/>
      <c r="AP143">
        <v>0</v>
      </c>
      <c r="AR143" t="s">
        <v>0</v>
      </c>
      <c r="AT143" s="2">
        <v>6.1820000000000004</v>
      </c>
      <c r="AU143" s="1">
        <f t="shared" si="27"/>
        <v>2.928111903045834</v>
      </c>
      <c r="AV143" s="1">
        <f t="shared" si="28"/>
        <v>2.0915085021755959</v>
      </c>
      <c r="AW143" s="1">
        <f t="shared" si="29"/>
        <v>1.2549051013053574</v>
      </c>
    </row>
    <row r="144" spans="1:49" x14ac:dyDescent="0.2">
      <c r="A144">
        <v>142</v>
      </c>
      <c r="B144" t="s">
        <v>8180</v>
      </c>
      <c r="C144" t="s">
        <v>8179</v>
      </c>
      <c r="F144" t="s">
        <v>8178</v>
      </c>
      <c r="G144" t="s">
        <v>15</v>
      </c>
      <c r="H144" t="s">
        <v>14</v>
      </c>
      <c r="I144" t="s">
        <v>8177</v>
      </c>
      <c r="J144">
        <v>60000809</v>
      </c>
      <c r="K144" t="s">
        <v>5001</v>
      </c>
      <c r="L144" t="s">
        <v>5000</v>
      </c>
      <c r="M144" t="s">
        <v>211</v>
      </c>
      <c r="N144">
        <v>1</v>
      </c>
      <c r="O144" t="s">
        <v>8176</v>
      </c>
      <c r="P144">
        <v>57218129459</v>
      </c>
      <c r="Q144">
        <v>60000809</v>
      </c>
      <c r="R144" s="7">
        <v>32143</v>
      </c>
      <c r="S144" s="8">
        <f t="shared" si="24"/>
        <v>1988</v>
      </c>
      <c r="T144" s="8">
        <v>1988</v>
      </c>
      <c r="U144" s="8">
        <f t="shared" si="25"/>
        <v>34</v>
      </c>
      <c r="V144" s="7">
        <v>1988</v>
      </c>
      <c r="W144" t="s">
        <v>7068</v>
      </c>
      <c r="X144" s="2" t="s">
        <v>19</v>
      </c>
      <c r="Y144" s="6" t="e">
        <f t="shared" si="22"/>
        <v>#VALUE!</v>
      </c>
      <c r="AA144">
        <v>221392</v>
      </c>
      <c r="AB144">
        <v>34890</v>
      </c>
      <c r="AD144" t="s">
        <v>4</v>
      </c>
      <c r="AE144">
        <v>40</v>
      </c>
      <c r="AF144">
        <v>10</v>
      </c>
      <c r="AH144" t="s">
        <v>8175</v>
      </c>
      <c r="AI144" t="s">
        <v>8174</v>
      </c>
      <c r="AK144" t="s">
        <v>8173</v>
      </c>
      <c r="AL144">
        <v>1</v>
      </c>
      <c r="AM144" s="5">
        <f t="shared" si="26"/>
        <v>2.9411764705882353E-2</v>
      </c>
      <c r="AN144" s="4">
        <f t="shared" si="23"/>
        <v>4.4546406218678307E-5</v>
      </c>
      <c r="AO144" s="3"/>
      <c r="AP144">
        <v>1</v>
      </c>
      <c r="AR144" t="s">
        <v>0</v>
      </c>
      <c r="AT144" s="2" t="s">
        <v>19</v>
      </c>
      <c r="AU144" s="1" t="e">
        <f t="shared" si="27"/>
        <v>#VALUE!</v>
      </c>
      <c r="AV144" s="1" t="e">
        <f t="shared" si="28"/>
        <v>#VALUE!</v>
      </c>
      <c r="AW144" s="1" t="e">
        <f t="shared" si="29"/>
        <v>#VALUE!</v>
      </c>
    </row>
    <row r="145" spans="1:49" x14ac:dyDescent="0.2">
      <c r="A145">
        <v>143</v>
      </c>
      <c r="B145" t="s">
        <v>8172</v>
      </c>
      <c r="C145" t="s">
        <v>8171</v>
      </c>
      <c r="F145" t="s">
        <v>8170</v>
      </c>
      <c r="G145" t="s">
        <v>15</v>
      </c>
      <c r="H145" t="s">
        <v>14</v>
      </c>
      <c r="I145" t="s">
        <v>8169</v>
      </c>
      <c r="J145" t="s">
        <v>8168</v>
      </c>
      <c r="K145" t="s">
        <v>8167</v>
      </c>
      <c r="L145" t="s">
        <v>501</v>
      </c>
      <c r="M145" t="s">
        <v>9</v>
      </c>
      <c r="N145">
        <v>4</v>
      </c>
      <c r="O145" t="s">
        <v>8166</v>
      </c>
      <c r="P145" t="s">
        <v>8165</v>
      </c>
      <c r="Q145" t="s">
        <v>8164</v>
      </c>
      <c r="R145" s="7">
        <v>32143</v>
      </c>
      <c r="S145" s="8">
        <f t="shared" si="24"/>
        <v>1988</v>
      </c>
      <c r="T145" s="8">
        <v>1988</v>
      </c>
      <c r="U145" s="8">
        <f t="shared" si="25"/>
        <v>34</v>
      </c>
      <c r="V145" s="7">
        <v>1988</v>
      </c>
      <c r="W145" t="s">
        <v>7068</v>
      </c>
      <c r="X145" s="2" t="s">
        <v>19</v>
      </c>
      <c r="Y145" s="6" t="e">
        <f t="shared" si="22"/>
        <v>#VALUE!</v>
      </c>
      <c r="AA145">
        <v>221392</v>
      </c>
      <c r="AB145">
        <v>34890</v>
      </c>
      <c r="AD145" t="s">
        <v>4</v>
      </c>
      <c r="AE145">
        <v>40</v>
      </c>
      <c r="AF145">
        <v>10</v>
      </c>
      <c r="AH145" t="s">
        <v>8163</v>
      </c>
      <c r="AI145" t="s">
        <v>8162</v>
      </c>
      <c r="AK145" t="s">
        <v>8161</v>
      </c>
      <c r="AL145">
        <v>0</v>
      </c>
      <c r="AM145" s="5">
        <f t="shared" si="26"/>
        <v>0</v>
      </c>
      <c r="AN145" s="4">
        <f t="shared" si="23"/>
        <v>0</v>
      </c>
      <c r="AO145" s="3"/>
      <c r="AP145">
        <v>1</v>
      </c>
      <c r="AR145" t="s">
        <v>0</v>
      </c>
      <c r="AT145" s="2" t="s">
        <v>19</v>
      </c>
      <c r="AU145" s="1" t="e">
        <f t="shared" si="27"/>
        <v>#VALUE!</v>
      </c>
      <c r="AV145" s="1" t="e">
        <f t="shared" si="28"/>
        <v>#VALUE!</v>
      </c>
      <c r="AW145" s="1" t="e">
        <f t="shared" si="29"/>
        <v>#VALUE!</v>
      </c>
    </row>
    <row r="146" spans="1:49" x14ac:dyDescent="0.2">
      <c r="A146">
        <v>144</v>
      </c>
      <c r="B146" t="s">
        <v>8160</v>
      </c>
      <c r="C146" t="s">
        <v>8159</v>
      </c>
      <c r="F146" t="s">
        <v>8158</v>
      </c>
      <c r="G146" t="s">
        <v>15</v>
      </c>
      <c r="H146" t="s">
        <v>14</v>
      </c>
      <c r="I146" t="s">
        <v>8157</v>
      </c>
      <c r="J146" t="s">
        <v>8156</v>
      </c>
      <c r="K146" t="s">
        <v>8155</v>
      </c>
      <c r="L146" t="s">
        <v>8154</v>
      </c>
      <c r="M146" t="s">
        <v>352</v>
      </c>
      <c r="N146">
        <v>2</v>
      </c>
      <c r="O146" t="s">
        <v>8153</v>
      </c>
      <c r="P146" t="s">
        <v>8152</v>
      </c>
      <c r="Q146" t="s">
        <v>8151</v>
      </c>
      <c r="R146" s="7">
        <v>32143</v>
      </c>
      <c r="S146" s="8">
        <f t="shared" si="24"/>
        <v>1988</v>
      </c>
      <c r="T146" s="8">
        <v>1988</v>
      </c>
      <c r="U146" s="8">
        <f t="shared" si="25"/>
        <v>34</v>
      </c>
      <c r="V146" s="7">
        <v>1988</v>
      </c>
      <c r="W146" t="s">
        <v>7068</v>
      </c>
      <c r="X146" s="2" t="s">
        <v>19</v>
      </c>
      <c r="Y146" s="6" t="e">
        <f t="shared" si="22"/>
        <v>#VALUE!</v>
      </c>
      <c r="AA146">
        <v>221392</v>
      </c>
      <c r="AB146">
        <v>34890</v>
      </c>
      <c r="AD146" t="s">
        <v>4</v>
      </c>
      <c r="AE146">
        <v>40</v>
      </c>
      <c r="AF146">
        <v>11</v>
      </c>
      <c r="AH146" t="s">
        <v>8150</v>
      </c>
      <c r="AI146" t="s">
        <v>8149</v>
      </c>
      <c r="AK146" t="s">
        <v>8148</v>
      </c>
      <c r="AL146">
        <v>0</v>
      </c>
      <c r="AM146" s="5">
        <f t="shared" si="26"/>
        <v>0</v>
      </c>
      <c r="AN146" s="4">
        <f t="shared" si="23"/>
        <v>0</v>
      </c>
      <c r="AO146" s="3"/>
      <c r="AP146">
        <v>1</v>
      </c>
      <c r="AR146" t="s">
        <v>0</v>
      </c>
      <c r="AT146" s="2" t="s">
        <v>19</v>
      </c>
      <c r="AU146" s="1" t="e">
        <f t="shared" si="27"/>
        <v>#VALUE!</v>
      </c>
      <c r="AV146" s="1" t="e">
        <f t="shared" si="28"/>
        <v>#VALUE!</v>
      </c>
      <c r="AW146" s="1" t="e">
        <f t="shared" si="29"/>
        <v>#VALUE!</v>
      </c>
    </row>
    <row r="147" spans="1:49" x14ac:dyDescent="0.2">
      <c r="A147">
        <v>145</v>
      </c>
      <c r="B147" t="s">
        <v>8147</v>
      </c>
      <c r="C147" t="s">
        <v>8146</v>
      </c>
      <c r="F147" t="s">
        <v>8145</v>
      </c>
      <c r="G147" t="s">
        <v>15</v>
      </c>
      <c r="H147" t="s">
        <v>14</v>
      </c>
      <c r="I147" t="s">
        <v>8144</v>
      </c>
      <c r="J147" t="s">
        <v>8143</v>
      </c>
      <c r="K147" t="s">
        <v>8142</v>
      </c>
      <c r="L147" t="s">
        <v>8141</v>
      </c>
      <c r="M147" t="s">
        <v>1280</v>
      </c>
      <c r="N147">
        <v>4</v>
      </c>
      <c r="O147" t="s">
        <v>8140</v>
      </c>
      <c r="P147" t="s">
        <v>8139</v>
      </c>
      <c r="Q147" t="s">
        <v>8138</v>
      </c>
      <c r="R147" s="7">
        <v>32143</v>
      </c>
      <c r="S147" s="8">
        <f t="shared" si="24"/>
        <v>1988</v>
      </c>
      <c r="T147" s="8">
        <v>1988</v>
      </c>
      <c r="U147" s="8">
        <f t="shared" si="25"/>
        <v>34</v>
      </c>
      <c r="V147" s="7">
        <v>1988</v>
      </c>
      <c r="W147" t="s">
        <v>8137</v>
      </c>
      <c r="X147" s="2" t="s">
        <v>19</v>
      </c>
      <c r="Y147" s="6" t="e">
        <f t="shared" si="22"/>
        <v>#VALUE!</v>
      </c>
      <c r="AA147">
        <v>3694577</v>
      </c>
      <c r="AB147">
        <v>21407</v>
      </c>
      <c r="AD147" t="s">
        <v>4</v>
      </c>
      <c r="AE147">
        <v>1988</v>
      </c>
      <c r="AF147">
        <v>4</v>
      </c>
      <c r="AH147" t="s">
        <v>8136</v>
      </c>
      <c r="AI147" t="s">
        <v>8135</v>
      </c>
      <c r="AK147" t="s">
        <v>8134</v>
      </c>
      <c r="AL147">
        <v>0</v>
      </c>
      <c r="AM147" s="5">
        <f t="shared" si="26"/>
        <v>0</v>
      </c>
      <c r="AN147" s="4">
        <f t="shared" si="23"/>
        <v>0</v>
      </c>
      <c r="AO147" s="3"/>
      <c r="AP147">
        <v>1</v>
      </c>
      <c r="AR147" t="s">
        <v>0</v>
      </c>
      <c r="AT147" s="2" t="s">
        <v>19</v>
      </c>
      <c r="AU147" s="1" t="e">
        <f t="shared" si="27"/>
        <v>#VALUE!</v>
      </c>
      <c r="AV147" s="1" t="e">
        <f t="shared" si="28"/>
        <v>#VALUE!</v>
      </c>
      <c r="AW147" s="1" t="e">
        <f t="shared" si="29"/>
        <v>#VALUE!</v>
      </c>
    </row>
    <row r="148" spans="1:49" x14ac:dyDescent="0.2">
      <c r="A148">
        <v>146</v>
      </c>
      <c r="B148" t="s">
        <v>8133</v>
      </c>
      <c r="F148" t="s">
        <v>8132</v>
      </c>
      <c r="G148" t="s">
        <v>15</v>
      </c>
      <c r="H148" t="s">
        <v>14</v>
      </c>
      <c r="I148" t="s">
        <v>8131</v>
      </c>
      <c r="N148">
        <v>2</v>
      </c>
      <c r="O148" t="s">
        <v>8130</v>
      </c>
      <c r="P148" t="s">
        <v>8129</v>
      </c>
      <c r="Q148" t="s">
        <v>501</v>
      </c>
      <c r="R148" s="7">
        <v>32143</v>
      </c>
      <c r="S148" s="8">
        <f t="shared" si="24"/>
        <v>1988</v>
      </c>
      <c r="T148" s="8">
        <v>1988</v>
      </c>
      <c r="U148" s="8">
        <f t="shared" si="25"/>
        <v>34</v>
      </c>
      <c r="V148" s="7">
        <v>1988</v>
      </c>
      <c r="W148" t="s">
        <v>8115</v>
      </c>
      <c r="X148" s="2">
        <v>0.185</v>
      </c>
      <c r="Y148" s="6">
        <f t="shared" si="22"/>
        <v>4.9384693414484399E-3</v>
      </c>
      <c r="AA148">
        <v>7352727</v>
      </c>
      <c r="AB148">
        <v>32478</v>
      </c>
      <c r="AD148" t="s">
        <v>4</v>
      </c>
      <c r="AE148">
        <v>31</v>
      </c>
      <c r="AF148">
        <v>1</v>
      </c>
      <c r="AH148" s="9">
        <v>44348</v>
      </c>
      <c r="AI148" t="s">
        <v>8128</v>
      </c>
      <c r="AK148" t="s">
        <v>8127</v>
      </c>
      <c r="AL148">
        <v>0</v>
      </c>
      <c r="AM148" s="5">
        <f t="shared" si="26"/>
        <v>0</v>
      </c>
      <c r="AN148" s="4">
        <f t="shared" si="23"/>
        <v>0</v>
      </c>
      <c r="AO148" s="3"/>
      <c r="AP148">
        <v>0</v>
      </c>
      <c r="AR148" t="s">
        <v>0</v>
      </c>
      <c r="AT148" s="2" t="s">
        <v>19</v>
      </c>
      <c r="AU148" s="1">
        <f t="shared" si="27"/>
        <v>0.34569285390139076</v>
      </c>
      <c r="AV148" s="1">
        <f t="shared" si="28"/>
        <v>0.24692346707242199</v>
      </c>
      <c r="AW148" s="1">
        <f t="shared" si="29"/>
        <v>0.1481540802434532</v>
      </c>
    </row>
    <row r="149" spans="1:49" x14ac:dyDescent="0.2">
      <c r="A149">
        <v>147</v>
      </c>
      <c r="B149" t="s">
        <v>8126</v>
      </c>
      <c r="F149" t="s">
        <v>8125</v>
      </c>
      <c r="G149" t="s">
        <v>15</v>
      </c>
      <c r="H149" t="s">
        <v>14</v>
      </c>
      <c r="I149" t="s">
        <v>8124</v>
      </c>
      <c r="N149">
        <v>1</v>
      </c>
      <c r="O149" t="s">
        <v>8123</v>
      </c>
      <c r="P149">
        <v>57193573724</v>
      </c>
      <c r="R149" s="7">
        <v>32143</v>
      </c>
      <c r="S149" s="8">
        <f t="shared" si="24"/>
        <v>1988</v>
      </c>
      <c r="T149" s="8">
        <v>1988</v>
      </c>
      <c r="U149" s="8">
        <f t="shared" si="25"/>
        <v>34</v>
      </c>
      <c r="V149" s="7">
        <v>1988</v>
      </c>
      <c r="W149" t="s">
        <v>8115</v>
      </c>
      <c r="X149" s="2">
        <v>0.185</v>
      </c>
      <c r="Y149" s="6">
        <f t="shared" si="22"/>
        <v>4.9384693414484399E-3</v>
      </c>
      <c r="AA149">
        <v>7352727</v>
      </c>
      <c r="AB149">
        <v>32478</v>
      </c>
      <c r="AD149" t="s">
        <v>4</v>
      </c>
      <c r="AE149">
        <v>31</v>
      </c>
      <c r="AF149">
        <v>1</v>
      </c>
      <c r="AH149" t="s">
        <v>8122</v>
      </c>
      <c r="AI149" t="s">
        <v>8121</v>
      </c>
      <c r="AK149" t="s">
        <v>8120</v>
      </c>
      <c r="AL149">
        <v>0</v>
      </c>
      <c r="AM149" s="5">
        <f t="shared" si="26"/>
        <v>0</v>
      </c>
      <c r="AN149" s="4">
        <f t="shared" si="23"/>
        <v>0</v>
      </c>
      <c r="AO149" s="3"/>
      <c r="AP149">
        <v>0</v>
      </c>
      <c r="AR149" t="s">
        <v>0</v>
      </c>
      <c r="AT149" s="2" t="s">
        <v>19</v>
      </c>
      <c r="AU149" s="1">
        <f t="shared" si="27"/>
        <v>0.34569285390139076</v>
      </c>
      <c r="AV149" s="1">
        <f t="shared" si="28"/>
        <v>0.24692346707242199</v>
      </c>
      <c r="AW149" s="1">
        <f t="shared" si="29"/>
        <v>0.1481540802434532</v>
      </c>
    </row>
    <row r="150" spans="1:49" x14ac:dyDescent="0.2">
      <c r="A150">
        <v>148</v>
      </c>
      <c r="B150" t="s">
        <v>8119</v>
      </c>
      <c r="F150" t="s">
        <v>8118</v>
      </c>
      <c r="G150" t="s">
        <v>15</v>
      </c>
      <c r="H150" t="s">
        <v>14</v>
      </c>
      <c r="I150" t="s">
        <v>8117</v>
      </c>
      <c r="N150">
        <v>1</v>
      </c>
      <c r="O150" t="s">
        <v>8116</v>
      </c>
      <c r="P150">
        <v>6701711101</v>
      </c>
      <c r="R150" s="7">
        <v>32143</v>
      </c>
      <c r="S150" s="8">
        <f t="shared" si="24"/>
        <v>1988</v>
      </c>
      <c r="T150" s="8">
        <v>1988</v>
      </c>
      <c r="U150" s="8">
        <f t="shared" si="25"/>
        <v>34</v>
      </c>
      <c r="V150" s="7">
        <v>1988</v>
      </c>
      <c r="W150" t="s">
        <v>8115</v>
      </c>
      <c r="X150" s="2">
        <v>0.185</v>
      </c>
      <c r="Y150" s="6">
        <f t="shared" si="22"/>
        <v>4.9384693414484399E-3</v>
      </c>
      <c r="AA150">
        <v>7352727</v>
      </c>
      <c r="AB150">
        <v>32478</v>
      </c>
      <c r="AD150" t="s">
        <v>4</v>
      </c>
      <c r="AE150">
        <v>31</v>
      </c>
      <c r="AF150">
        <v>1</v>
      </c>
      <c r="AH150" s="9">
        <v>44537</v>
      </c>
      <c r="AI150" t="s">
        <v>8114</v>
      </c>
      <c r="AK150" t="s">
        <v>8113</v>
      </c>
      <c r="AL150">
        <v>0</v>
      </c>
      <c r="AM150" s="5">
        <f t="shared" si="26"/>
        <v>0</v>
      </c>
      <c r="AN150" s="4">
        <f t="shared" si="23"/>
        <v>0</v>
      </c>
      <c r="AO150" s="3"/>
      <c r="AP150">
        <v>0</v>
      </c>
      <c r="AR150" t="s">
        <v>0</v>
      </c>
      <c r="AT150" s="2" t="s">
        <v>19</v>
      </c>
      <c r="AU150" s="1">
        <f t="shared" si="27"/>
        <v>0.34569285390139076</v>
      </c>
      <c r="AV150" s="1">
        <f t="shared" si="28"/>
        <v>0.24692346707242199</v>
      </c>
      <c r="AW150" s="1">
        <f t="shared" si="29"/>
        <v>0.1481540802434532</v>
      </c>
    </row>
    <row r="151" spans="1:49" x14ac:dyDescent="0.2">
      <c r="A151">
        <v>149</v>
      </c>
      <c r="B151" t="s">
        <v>8112</v>
      </c>
      <c r="C151" t="s">
        <v>8111</v>
      </c>
      <c r="F151" t="s">
        <v>8110</v>
      </c>
      <c r="G151" t="s">
        <v>15</v>
      </c>
      <c r="H151" t="s">
        <v>14</v>
      </c>
      <c r="I151" t="s">
        <v>8109</v>
      </c>
      <c r="J151">
        <v>60020547</v>
      </c>
      <c r="K151" t="s">
        <v>2383</v>
      </c>
      <c r="L151" t="s">
        <v>2382</v>
      </c>
      <c r="M151" t="s">
        <v>31</v>
      </c>
      <c r="N151">
        <v>3</v>
      </c>
      <c r="O151" t="s">
        <v>8108</v>
      </c>
      <c r="P151" t="s">
        <v>8107</v>
      </c>
      <c r="Q151" t="s">
        <v>2379</v>
      </c>
      <c r="R151" s="7">
        <v>32143</v>
      </c>
      <c r="S151" s="8">
        <f t="shared" si="24"/>
        <v>1988</v>
      </c>
      <c r="T151" s="8">
        <v>1988</v>
      </c>
      <c r="U151" s="8">
        <f t="shared" si="25"/>
        <v>34</v>
      </c>
      <c r="V151" s="7">
        <v>1988</v>
      </c>
      <c r="W151" t="s">
        <v>8106</v>
      </c>
      <c r="X151" s="2">
        <v>0.40899999999999997</v>
      </c>
      <c r="Y151" s="6">
        <f t="shared" si="22"/>
        <v>1.0918021408931956E-2</v>
      </c>
      <c r="AA151">
        <v>8123985</v>
      </c>
      <c r="AB151">
        <v>100582</v>
      </c>
      <c r="AC151">
        <v>18347533</v>
      </c>
      <c r="AD151" t="s">
        <v>4</v>
      </c>
      <c r="AE151">
        <v>19</v>
      </c>
      <c r="AF151">
        <v>2</v>
      </c>
      <c r="AH151" t="s">
        <v>8105</v>
      </c>
      <c r="AI151" t="s">
        <v>8104</v>
      </c>
      <c r="AK151" t="s">
        <v>8103</v>
      </c>
      <c r="AL151">
        <v>0</v>
      </c>
      <c r="AM151" s="5">
        <f t="shared" si="26"/>
        <v>0</v>
      </c>
      <c r="AN151" s="4">
        <f t="shared" si="23"/>
        <v>0</v>
      </c>
      <c r="AO151" s="3"/>
      <c r="AP151">
        <v>0</v>
      </c>
      <c r="AR151" t="s">
        <v>0</v>
      </c>
      <c r="AT151" s="2">
        <v>0.94199999999999995</v>
      </c>
      <c r="AU151" s="1">
        <f t="shared" si="27"/>
        <v>0.76426149862523685</v>
      </c>
      <c r="AV151" s="1">
        <f t="shared" si="28"/>
        <v>0.54590107044659775</v>
      </c>
      <c r="AW151" s="1">
        <f t="shared" si="29"/>
        <v>0.3275406422679587</v>
      </c>
    </row>
    <row r="152" spans="1:49" x14ac:dyDescent="0.2">
      <c r="A152">
        <v>150</v>
      </c>
      <c r="B152" t="s">
        <v>8102</v>
      </c>
      <c r="C152" t="s">
        <v>8101</v>
      </c>
      <c r="F152" t="s">
        <v>8100</v>
      </c>
      <c r="G152" t="s">
        <v>15</v>
      </c>
      <c r="H152" t="s">
        <v>14</v>
      </c>
      <c r="I152" t="s">
        <v>8099</v>
      </c>
      <c r="J152">
        <v>60022195</v>
      </c>
      <c r="K152" t="s">
        <v>5621</v>
      </c>
      <c r="L152" t="s">
        <v>375</v>
      </c>
      <c r="M152" t="s">
        <v>31</v>
      </c>
      <c r="N152">
        <v>3</v>
      </c>
      <c r="O152" t="s">
        <v>8098</v>
      </c>
      <c r="P152" t="s">
        <v>8097</v>
      </c>
      <c r="Q152" t="s">
        <v>8096</v>
      </c>
      <c r="R152" s="7">
        <v>32143</v>
      </c>
      <c r="S152" s="8">
        <f t="shared" si="24"/>
        <v>1988</v>
      </c>
      <c r="T152" s="8">
        <v>1988</v>
      </c>
      <c r="U152" s="8">
        <f t="shared" si="25"/>
        <v>34</v>
      </c>
      <c r="V152" s="7">
        <v>1988</v>
      </c>
      <c r="W152" t="s">
        <v>8095</v>
      </c>
      <c r="X152" s="2">
        <v>0.90800000000000003</v>
      </c>
      <c r="Y152" s="6">
        <f t="shared" si="22"/>
        <v>2.4238541416406398E-2</v>
      </c>
      <c r="AA152">
        <v>212148</v>
      </c>
      <c r="AB152">
        <v>24139</v>
      </c>
      <c r="AC152">
        <v>18695868</v>
      </c>
      <c r="AD152" t="s">
        <v>4</v>
      </c>
      <c r="AE152">
        <v>28</v>
      </c>
      <c r="AF152" s="9">
        <v>44257</v>
      </c>
      <c r="AH152" t="s">
        <v>8094</v>
      </c>
      <c r="AI152" t="s">
        <v>8093</v>
      </c>
      <c r="AK152" t="s">
        <v>8092</v>
      </c>
      <c r="AL152">
        <v>44</v>
      </c>
      <c r="AM152" s="5">
        <f t="shared" si="26"/>
        <v>1.2941176470588236</v>
      </c>
      <c r="AN152" s="4">
        <f t="shared" si="23"/>
        <v>1.9600418736218455E-3</v>
      </c>
      <c r="AO152" s="3"/>
      <c r="AP152">
        <v>0</v>
      </c>
      <c r="AR152" t="s">
        <v>0</v>
      </c>
      <c r="AT152" s="2">
        <v>3.3330000000000002</v>
      </c>
      <c r="AU152" s="1">
        <f t="shared" si="27"/>
        <v>1.7554991553571031</v>
      </c>
      <c r="AV152" s="1">
        <f t="shared" si="28"/>
        <v>1.3099291645014122</v>
      </c>
      <c r="AW152" s="1">
        <f t="shared" si="29"/>
        <v>0.86435917364572101</v>
      </c>
    </row>
    <row r="153" spans="1:49" x14ac:dyDescent="0.2">
      <c r="A153">
        <v>151</v>
      </c>
      <c r="B153" t="s">
        <v>8091</v>
      </c>
      <c r="C153" t="s">
        <v>8090</v>
      </c>
      <c r="F153" t="s">
        <v>8089</v>
      </c>
      <c r="G153" t="s">
        <v>15</v>
      </c>
      <c r="H153" t="s">
        <v>14</v>
      </c>
      <c r="I153" t="s">
        <v>8088</v>
      </c>
      <c r="J153">
        <v>60025272</v>
      </c>
      <c r="K153" t="s">
        <v>8087</v>
      </c>
      <c r="L153" t="s">
        <v>212</v>
      </c>
      <c r="M153" t="s">
        <v>211</v>
      </c>
      <c r="N153">
        <v>1</v>
      </c>
      <c r="O153" t="s">
        <v>8086</v>
      </c>
      <c r="P153">
        <v>35399516500</v>
      </c>
      <c r="Q153">
        <v>60025272</v>
      </c>
      <c r="R153" s="7">
        <v>32143</v>
      </c>
      <c r="S153" s="8">
        <f t="shared" si="24"/>
        <v>1988</v>
      </c>
      <c r="T153" s="8">
        <v>1988</v>
      </c>
      <c r="U153" s="8">
        <f t="shared" si="25"/>
        <v>34</v>
      </c>
      <c r="V153" s="7">
        <v>1988</v>
      </c>
      <c r="W153" t="s">
        <v>8072</v>
      </c>
      <c r="X153" s="2">
        <v>0.46300000000000002</v>
      </c>
      <c r="Y153" s="6">
        <f t="shared" si="22"/>
        <v>1.2359520568057447E-2</v>
      </c>
      <c r="AA153">
        <v>36862</v>
      </c>
      <c r="AB153">
        <v>19141</v>
      </c>
      <c r="AC153" t="s">
        <v>8071</v>
      </c>
      <c r="AD153" t="s">
        <v>4</v>
      </c>
      <c r="AE153">
        <v>23</v>
      </c>
      <c r="AF153">
        <v>4</v>
      </c>
      <c r="AH153" t="s">
        <v>8085</v>
      </c>
      <c r="AI153" t="s">
        <v>8084</v>
      </c>
      <c r="AK153" t="s">
        <v>8083</v>
      </c>
      <c r="AL153">
        <v>5</v>
      </c>
      <c r="AM153" s="5">
        <f t="shared" si="26"/>
        <v>0.14705882352941177</v>
      </c>
      <c r="AN153" s="4">
        <f t="shared" si="23"/>
        <v>2.2273203109339154E-4</v>
      </c>
      <c r="AO153" s="3"/>
      <c r="AP153">
        <v>1</v>
      </c>
      <c r="AR153" t="s">
        <v>0</v>
      </c>
      <c r="AT153" s="2">
        <v>1.403</v>
      </c>
      <c r="AU153" s="1">
        <f t="shared" si="27"/>
        <v>0.87184840069682301</v>
      </c>
      <c r="AV153" s="1">
        <f t="shared" si="28"/>
        <v>0.62911262995754191</v>
      </c>
      <c r="AW153" s="1">
        <f t="shared" si="29"/>
        <v>0.38637685921826082</v>
      </c>
    </row>
    <row r="154" spans="1:49" x14ac:dyDescent="0.2">
      <c r="A154">
        <v>152</v>
      </c>
      <c r="B154" t="s">
        <v>8082</v>
      </c>
      <c r="C154" t="s">
        <v>8081</v>
      </c>
      <c r="F154" t="s">
        <v>8080</v>
      </c>
      <c r="G154" t="s">
        <v>15</v>
      </c>
      <c r="H154" t="s">
        <v>14</v>
      </c>
      <c r="I154" t="s">
        <v>8079</v>
      </c>
      <c r="J154" t="s">
        <v>8078</v>
      </c>
      <c r="K154" t="s">
        <v>8077</v>
      </c>
      <c r="L154" t="s">
        <v>8076</v>
      </c>
      <c r="M154" t="s">
        <v>352</v>
      </c>
      <c r="N154">
        <v>2</v>
      </c>
      <c r="O154" t="s">
        <v>8075</v>
      </c>
      <c r="P154" t="s">
        <v>8074</v>
      </c>
      <c r="Q154" t="s">
        <v>8073</v>
      </c>
      <c r="R154" s="7">
        <v>32143</v>
      </c>
      <c r="S154" s="8">
        <f t="shared" si="24"/>
        <v>1988</v>
      </c>
      <c r="T154" s="8">
        <v>1988</v>
      </c>
      <c r="U154" s="8">
        <f t="shared" si="25"/>
        <v>34</v>
      </c>
      <c r="V154" s="7">
        <v>1988</v>
      </c>
      <c r="W154" t="s">
        <v>8072</v>
      </c>
      <c r="X154" s="2">
        <v>0.46300000000000002</v>
      </c>
      <c r="Y154" s="6">
        <f t="shared" si="22"/>
        <v>1.2359520568057447E-2</v>
      </c>
      <c r="AA154">
        <v>36862</v>
      </c>
      <c r="AB154">
        <v>19141</v>
      </c>
      <c r="AC154" t="s">
        <v>8071</v>
      </c>
      <c r="AD154" t="s">
        <v>4</v>
      </c>
      <c r="AE154">
        <v>23</v>
      </c>
      <c r="AF154">
        <v>3</v>
      </c>
      <c r="AH154" t="s">
        <v>8070</v>
      </c>
      <c r="AI154" t="s">
        <v>8069</v>
      </c>
      <c r="AK154" t="s">
        <v>8068</v>
      </c>
      <c r="AL154">
        <v>2</v>
      </c>
      <c r="AM154" s="5">
        <f t="shared" si="26"/>
        <v>5.8823529411764705E-2</v>
      </c>
      <c r="AN154" s="4">
        <f t="shared" si="23"/>
        <v>8.9092812437356614E-5</v>
      </c>
      <c r="AO154" s="3"/>
      <c r="AP154">
        <v>1</v>
      </c>
      <c r="AR154" t="s">
        <v>0</v>
      </c>
      <c r="AT154" s="2">
        <v>1.403</v>
      </c>
      <c r="AU154" s="1">
        <f t="shared" si="27"/>
        <v>0.86783922413714198</v>
      </c>
      <c r="AV154" s="1">
        <f t="shared" si="28"/>
        <v>0.6224306690247402</v>
      </c>
      <c r="AW154" s="1">
        <f t="shared" si="29"/>
        <v>0.37702211391233836</v>
      </c>
    </row>
    <row r="155" spans="1:49" x14ac:dyDescent="0.2">
      <c r="A155">
        <v>153</v>
      </c>
      <c r="B155" t="s">
        <v>8067</v>
      </c>
      <c r="C155" t="s">
        <v>8066</v>
      </c>
      <c r="F155" t="s">
        <v>8065</v>
      </c>
      <c r="G155" t="s">
        <v>15</v>
      </c>
      <c r="H155" t="s">
        <v>14</v>
      </c>
      <c r="I155" t="s">
        <v>8064</v>
      </c>
      <c r="N155">
        <v>4</v>
      </c>
      <c r="O155" t="s">
        <v>8063</v>
      </c>
      <c r="P155" t="s">
        <v>8062</v>
      </c>
      <c r="Q155" t="s">
        <v>523</v>
      </c>
      <c r="R155" s="7">
        <v>32143</v>
      </c>
      <c r="S155" s="8">
        <f t="shared" si="24"/>
        <v>1988</v>
      </c>
      <c r="T155" s="8">
        <v>1988</v>
      </c>
      <c r="U155" s="8">
        <f t="shared" si="25"/>
        <v>34</v>
      </c>
      <c r="V155" s="7">
        <v>1988</v>
      </c>
      <c r="W155" t="s">
        <v>8051</v>
      </c>
      <c r="X155" s="2">
        <v>0.12</v>
      </c>
      <c r="Y155" s="6">
        <f t="shared" si="22"/>
        <v>3.2033314647233121E-3</v>
      </c>
      <c r="AA155">
        <v>9120289</v>
      </c>
      <c r="AB155">
        <v>14421</v>
      </c>
      <c r="AD155" t="s">
        <v>4</v>
      </c>
      <c r="AE155">
        <v>54</v>
      </c>
      <c r="AF155">
        <v>6</v>
      </c>
      <c r="AH155" t="s">
        <v>8061</v>
      </c>
      <c r="AI155" t="s">
        <v>8060</v>
      </c>
      <c r="AJ155" t="s">
        <v>8059</v>
      </c>
      <c r="AK155" t="s">
        <v>8058</v>
      </c>
      <c r="AL155">
        <v>4</v>
      </c>
      <c r="AM155" s="5">
        <f t="shared" si="26"/>
        <v>0.11764705882352941</v>
      </c>
      <c r="AN155" s="4">
        <f t="shared" si="23"/>
        <v>1.7818562487471323E-4</v>
      </c>
      <c r="AO155" s="3"/>
      <c r="AP155">
        <v>1</v>
      </c>
      <c r="AR155" t="s">
        <v>0</v>
      </c>
      <c r="AT155" s="2" t="s">
        <v>19</v>
      </c>
      <c r="AU155" s="1">
        <f t="shared" si="27"/>
        <v>0.22957877127687321</v>
      </c>
      <c r="AV155" s="1">
        <f t="shared" si="28"/>
        <v>0.16907585447990126</v>
      </c>
      <c r="AW155" s="1">
        <f t="shared" si="29"/>
        <v>0.10857293768292929</v>
      </c>
    </row>
    <row r="156" spans="1:49" x14ac:dyDescent="0.2">
      <c r="A156">
        <v>154</v>
      </c>
      <c r="B156" t="s">
        <v>8057</v>
      </c>
      <c r="C156" t="s">
        <v>8056</v>
      </c>
      <c r="F156" t="s">
        <v>8055</v>
      </c>
      <c r="G156" t="s">
        <v>15</v>
      </c>
      <c r="H156" t="s">
        <v>14</v>
      </c>
      <c r="I156" t="s">
        <v>8054</v>
      </c>
      <c r="N156">
        <v>2</v>
      </c>
      <c r="O156" t="s">
        <v>8053</v>
      </c>
      <c r="P156" t="s">
        <v>8052</v>
      </c>
      <c r="Q156" t="s">
        <v>501</v>
      </c>
      <c r="R156" s="7">
        <v>32143</v>
      </c>
      <c r="S156" s="8">
        <f t="shared" si="24"/>
        <v>1988</v>
      </c>
      <c r="T156" s="8">
        <v>1988</v>
      </c>
      <c r="U156" s="8">
        <f t="shared" si="25"/>
        <v>34</v>
      </c>
      <c r="V156" s="7">
        <v>1988</v>
      </c>
      <c r="W156" t="s">
        <v>8051</v>
      </c>
      <c r="X156" s="2">
        <v>0.12</v>
      </c>
      <c r="Y156" s="6">
        <f t="shared" si="22"/>
        <v>3.2033314647233121E-3</v>
      </c>
      <c r="AA156">
        <v>9120289</v>
      </c>
      <c r="AB156">
        <v>14421</v>
      </c>
      <c r="AD156" t="s">
        <v>4</v>
      </c>
      <c r="AE156">
        <v>54</v>
      </c>
      <c r="AF156">
        <v>11</v>
      </c>
      <c r="AH156" t="s">
        <v>8050</v>
      </c>
      <c r="AI156" t="s">
        <v>8049</v>
      </c>
      <c r="AJ156" t="s">
        <v>8048</v>
      </c>
      <c r="AK156" t="s">
        <v>8047</v>
      </c>
      <c r="AL156">
        <v>2</v>
      </c>
      <c r="AM156" s="5">
        <f t="shared" si="26"/>
        <v>5.8823529411764705E-2</v>
      </c>
      <c r="AN156" s="4">
        <f t="shared" si="23"/>
        <v>8.9092812437356614E-5</v>
      </c>
      <c r="AO156" s="3"/>
      <c r="AP156">
        <v>1</v>
      </c>
      <c r="AR156" t="s">
        <v>0</v>
      </c>
      <c r="AT156" s="2" t="s">
        <v>19</v>
      </c>
      <c r="AU156" s="1">
        <f t="shared" si="27"/>
        <v>0.22690598690375255</v>
      </c>
      <c r="AV156" s="1">
        <f t="shared" si="28"/>
        <v>0.16462121385803344</v>
      </c>
      <c r="AW156" s="1">
        <f t="shared" si="29"/>
        <v>0.10233644081231433</v>
      </c>
    </row>
    <row r="157" spans="1:49" x14ac:dyDescent="0.2">
      <c r="A157">
        <v>155</v>
      </c>
      <c r="B157" t="s">
        <v>8046</v>
      </c>
      <c r="C157" t="s">
        <v>8045</v>
      </c>
      <c r="F157" t="s">
        <v>8044</v>
      </c>
      <c r="G157" t="s">
        <v>15</v>
      </c>
      <c r="H157" t="s">
        <v>14</v>
      </c>
      <c r="I157" t="s">
        <v>8043</v>
      </c>
      <c r="J157">
        <v>60027550</v>
      </c>
      <c r="K157" t="s">
        <v>1124</v>
      </c>
      <c r="L157" t="s">
        <v>751</v>
      </c>
      <c r="M157" t="s">
        <v>31</v>
      </c>
      <c r="N157">
        <v>1</v>
      </c>
      <c r="O157" t="s">
        <v>8042</v>
      </c>
      <c r="P157">
        <v>7202416287</v>
      </c>
      <c r="Q157">
        <v>60027550</v>
      </c>
      <c r="R157" s="7">
        <v>32143</v>
      </c>
      <c r="S157" s="8">
        <f t="shared" si="24"/>
        <v>1988</v>
      </c>
      <c r="T157" s="8">
        <v>1988</v>
      </c>
      <c r="U157" s="8">
        <f t="shared" si="25"/>
        <v>34</v>
      </c>
      <c r="V157" s="7" t="s">
        <v>8028</v>
      </c>
      <c r="W157" t="s">
        <v>8027</v>
      </c>
      <c r="X157" s="2">
        <v>0.48399999999999999</v>
      </c>
      <c r="Y157" s="6">
        <f t="shared" si="22"/>
        <v>1.2920103574384027E-2</v>
      </c>
      <c r="AA157">
        <v>207608</v>
      </c>
      <c r="AB157">
        <v>24127</v>
      </c>
      <c r="AC157" t="s">
        <v>8026</v>
      </c>
      <c r="AD157" t="s">
        <v>4</v>
      </c>
      <c r="AE157">
        <v>34</v>
      </c>
      <c r="AF157" t="s">
        <v>8025</v>
      </c>
      <c r="AH157" t="s">
        <v>8041</v>
      </c>
      <c r="AI157" t="s">
        <v>8040</v>
      </c>
      <c r="AK157" t="s">
        <v>8039</v>
      </c>
      <c r="AL157">
        <v>5</v>
      </c>
      <c r="AM157" s="5">
        <f t="shared" si="26"/>
        <v>0.14705882352941177</v>
      </c>
      <c r="AN157" s="4">
        <f t="shared" si="23"/>
        <v>2.2273203109339154E-4</v>
      </c>
      <c r="AO157" s="3"/>
      <c r="AP157">
        <v>0</v>
      </c>
      <c r="AR157" t="s">
        <v>0</v>
      </c>
      <c r="AT157" s="2" t="s">
        <v>19</v>
      </c>
      <c r="AU157" s="1">
        <f t="shared" si="27"/>
        <v>0.91108921113968366</v>
      </c>
      <c r="AV157" s="1">
        <f t="shared" si="28"/>
        <v>0.65714178027387093</v>
      </c>
      <c r="AW157" s="1">
        <f t="shared" si="29"/>
        <v>0.40319434940805815</v>
      </c>
    </row>
    <row r="158" spans="1:49" x14ac:dyDescent="0.2">
      <c r="A158">
        <v>156</v>
      </c>
      <c r="B158" t="s">
        <v>8038</v>
      </c>
      <c r="C158" t="s">
        <v>8037</v>
      </c>
      <c r="F158" t="s">
        <v>8036</v>
      </c>
      <c r="G158" t="s">
        <v>15</v>
      </c>
      <c r="H158" t="s">
        <v>14</v>
      </c>
      <c r="I158" t="s">
        <v>8035</v>
      </c>
      <c r="J158" t="s">
        <v>8034</v>
      </c>
      <c r="K158" t="s">
        <v>8033</v>
      </c>
      <c r="L158" t="s">
        <v>8032</v>
      </c>
      <c r="M158" t="s">
        <v>9</v>
      </c>
      <c r="N158">
        <v>3</v>
      </c>
      <c r="O158" t="s">
        <v>8031</v>
      </c>
      <c r="P158" t="s">
        <v>8030</v>
      </c>
      <c r="Q158" t="s">
        <v>8029</v>
      </c>
      <c r="R158" s="7">
        <v>32143</v>
      </c>
      <c r="S158" s="8">
        <f t="shared" si="24"/>
        <v>1988</v>
      </c>
      <c r="T158" s="8">
        <v>1988</v>
      </c>
      <c r="U158" s="8">
        <f t="shared" si="25"/>
        <v>34</v>
      </c>
      <c r="V158" s="7" t="s">
        <v>8028</v>
      </c>
      <c r="W158" t="s">
        <v>8027</v>
      </c>
      <c r="X158" s="2">
        <v>0.48399999999999999</v>
      </c>
      <c r="Y158" s="6">
        <f t="shared" si="22"/>
        <v>1.2920103574384027E-2</v>
      </c>
      <c r="AA158">
        <v>207608</v>
      </c>
      <c r="AB158">
        <v>24127</v>
      </c>
      <c r="AC158" t="s">
        <v>8026</v>
      </c>
      <c r="AD158" t="s">
        <v>4</v>
      </c>
      <c r="AE158">
        <v>34</v>
      </c>
      <c r="AF158" t="s">
        <v>8025</v>
      </c>
      <c r="AH158" t="s">
        <v>8024</v>
      </c>
      <c r="AI158" t="s">
        <v>8023</v>
      </c>
      <c r="AK158" t="s">
        <v>8022</v>
      </c>
      <c r="AL158">
        <v>0</v>
      </c>
      <c r="AM158" s="5">
        <f t="shared" si="26"/>
        <v>0</v>
      </c>
      <c r="AN158" s="4">
        <f t="shared" si="23"/>
        <v>0</v>
      </c>
      <c r="AO158" s="3"/>
      <c r="AP158">
        <v>0</v>
      </c>
      <c r="AR158" t="s">
        <v>0</v>
      </c>
      <c r="AT158" s="2" t="s">
        <v>19</v>
      </c>
      <c r="AU158" s="1">
        <f t="shared" si="27"/>
        <v>0.90440725020688195</v>
      </c>
      <c r="AV158" s="1">
        <f t="shared" si="28"/>
        <v>0.64600517871920138</v>
      </c>
      <c r="AW158" s="1">
        <f t="shared" si="29"/>
        <v>0.3876031072315208</v>
      </c>
    </row>
    <row r="159" spans="1:49" x14ac:dyDescent="0.2">
      <c r="A159">
        <v>157</v>
      </c>
      <c r="B159" t="s">
        <v>8021</v>
      </c>
      <c r="C159" t="s">
        <v>8020</v>
      </c>
      <c r="F159" t="s">
        <v>8019</v>
      </c>
      <c r="G159" t="s">
        <v>15</v>
      </c>
      <c r="H159" t="s">
        <v>14</v>
      </c>
      <c r="I159" t="s">
        <v>8018</v>
      </c>
      <c r="J159" t="s">
        <v>8017</v>
      </c>
      <c r="K159" t="s">
        <v>8016</v>
      </c>
      <c r="L159" t="s">
        <v>8015</v>
      </c>
      <c r="M159" t="s">
        <v>2834</v>
      </c>
      <c r="N159">
        <v>4</v>
      </c>
      <c r="O159" t="s">
        <v>8014</v>
      </c>
      <c r="P159" t="s">
        <v>8013</v>
      </c>
      <c r="Q159" t="s">
        <v>8012</v>
      </c>
      <c r="R159" s="7">
        <v>32143</v>
      </c>
      <c r="S159" s="8">
        <f t="shared" si="24"/>
        <v>1988</v>
      </c>
      <c r="T159" s="8">
        <v>1988</v>
      </c>
      <c r="U159" s="8">
        <f t="shared" si="25"/>
        <v>34</v>
      </c>
      <c r="V159" s="7">
        <v>32143</v>
      </c>
      <c r="W159" t="s">
        <v>8011</v>
      </c>
      <c r="X159" s="2">
        <v>0.81799999999999995</v>
      </c>
      <c r="Y159" s="6">
        <f t="shared" si="22"/>
        <v>2.1836042817863912E-2</v>
      </c>
      <c r="AA159">
        <v>318655</v>
      </c>
      <c r="AB159">
        <v>27010</v>
      </c>
      <c r="AC159">
        <v>17511097</v>
      </c>
      <c r="AD159" t="s">
        <v>4</v>
      </c>
      <c r="AE159">
        <v>47</v>
      </c>
      <c r="AF159">
        <v>1</v>
      </c>
      <c r="AH159" t="s">
        <v>8010</v>
      </c>
      <c r="AI159" t="s">
        <v>8009</v>
      </c>
      <c r="AK159" t="s">
        <v>8008</v>
      </c>
      <c r="AL159">
        <v>10</v>
      </c>
      <c r="AM159" s="5">
        <f t="shared" si="26"/>
        <v>0.29411764705882354</v>
      </c>
      <c r="AN159" s="4">
        <f t="shared" si="23"/>
        <v>4.4546406218678308E-4</v>
      </c>
      <c r="AO159" s="3"/>
      <c r="AP159">
        <v>0</v>
      </c>
      <c r="AR159" t="s">
        <v>0</v>
      </c>
      <c r="AT159" s="2">
        <v>3.4209999999999998</v>
      </c>
      <c r="AU159" s="1">
        <f t="shared" si="27"/>
        <v>1.5418869191160773</v>
      </c>
      <c r="AV159" s="1">
        <f t="shared" si="28"/>
        <v>1.1140753440025348</v>
      </c>
      <c r="AW159" s="1">
        <f t="shared" si="29"/>
        <v>0.68626376888899221</v>
      </c>
    </row>
    <row r="160" spans="1:49" x14ac:dyDescent="0.2">
      <c r="A160">
        <v>158</v>
      </c>
      <c r="B160" t="s">
        <v>8007</v>
      </c>
      <c r="C160" t="s">
        <v>8006</v>
      </c>
      <c r="F160" t="s">
        <v>8005</v>
      </c>
      <c r="G160" t="s">
        <v>15</v>
      </c>
      <c r="H160" t="s">
        <v>14</v>
      </c>
      <c r="I160" t="s">
        <v>8004</v>
      </c>
      <c r="J160">
        <v>60004176</v>
      </c>
      <c r="K160" t="s">
        <v>3212</v>
      </c>
      <c r="L160" t="s">
        <v>3211</v>
      </c>
      <c r="M160" t="s">
        <v>211</v>
      </c>
      <c r="N160">
        <v>2</v>
      </c>
      <c r="O160" t="s">
        <v>8003</v>
      </c>
      <c r="P160" t="s">
        <v>8002</v>
      </c>
      <c r="Q160" t="s">
        <v>4579</v>
      </c>
      <c r="R160" s="7">
        <v>32143</v>
      </c>
      <c r="S160" s="8">
        <f t="shared" si="24"/>
        <v>1988</v>
      </c>
      <c r="T160" s="8">
        <v>1988</v>
      </c>
      <c r="U160" s="8">
        <f t="shared" si="25"/>
        <v>34</v>
      </c>
      <c r="V160" s="7">
        <v>1988</v>
      </c>
      <c r="W160" t="s">
        <v>1033</v>
      </c>
      <c r="X160" s="2">
        <v>0.13900000000000001</v>
      </c>
      <c r="Y160" s="6">
        <f t="shared" si="22"/>
        <v>3.7105256133045036E-3</v>
      </c>
      <c r="AA160" t="s">
        <v>1032</v>
      </c>
      <c r="AB160">
        <v>24891</v>
      </c>
      <c r="AC160">
        <v>15206432</v>
      </c>
      <c r="AD160" t="s">
        <v>4</v>
      </c>
      <c r="AE160">
        <v>71</v>
      </c>
      <c r="AF160">
        <v>8</v>
      </c>
      <c r="AH160" s="9">
        <v>44470</v>
      </c>
      <c r="AI160" t="s">
        <v>8001</v>
      </c>
      <c r="AK160" t="s">
        <v>8000</v>
      </c>
      <c r="AL160">
        <v>0</v>
      </c>
      <c r="AM160" s="5">
        <f t="shared" si="26"/>
        <v>0</v>
      </c>
      <c r="AN160" s="4">
        <f t="shared" si="23"/>
        <v>0</v>
      </c>
      <c r="AO160" s="3"/>
      <c r="AP160">
        <v>0</v>
      </c>
      <c r="AR160" t="s">
        <v>0</v>
      </c>
      <c r="AT160" s="2" t="s">
        <v>19</v>
      </c>
      <c r="AU160" s="1">
        <f t="shared" si="27"/>
        <v>0.25973679293131524</v>
      </c>
      <c r="AV160" s="1">
        <f t="shared" si="28"/>
        <v>0.1855262806652252</v>
      </c>
      <c r="AW160" s="1">
        <f t="shared" si="29"/>
        <v>0.1113157683991351</v>
      </c>
    </row>
    <row r="161" spans="1:49" x14ac:dyDescent="0.2">
      <c r="A161">
        <v>159</v>
      </c>
      <c r="B161" t="s">
        <v>7999</v>
      </c>
      <c r="C161" t="s">
        <v>7998</v>
      </c>
      <c r="F161" t="s">
        <v>7997</v>
      </c>
      <c r="G161" t="s">
        <v>15</v>
      </c>
      <c r="H161" t="s">
        <v>14</v>
      </c>
      <c r="I161" t="s">
        <v>7996</v>
      </c>
      <c r="J161">
        <v>60024613</v>
      </c>
      <c r="K161" t="s">
        <v>7995</v>
      </c>
      <c r="L161" t="s">
        <v>7352</v>
      </c>
      <c r="M161" t="s">
        <v>31</v>
      </c>
      <c r="N161">
        <v>1</v>
      </c>
      <c r="O161" t="s">
        <v>7994</v>
      </c>
      <c r="P161">
        <v>7409449087</v>
      </c>
      <c r="Q161">
        <v>60024613</v>
      </c>
      <c r="R161" s="7">
        <v>32143</v>
      </c>
      <c r="S161" s="8">
        <f t="shared" si="24"/>
        <v>1988</v>
      </c>
      <c r="T161" s="8">
        <v>1988</v>
      </c>
      <c r="U161" s="8">
        <f t="shared" si="25"/>
        <v>34</v>
      </c>
      <c r="V161" s="7">
        <v>32203</v>
      </c>
      <c r="W161" t="s">
        <v>7981</v>
      </c>
      <c r="X161" s="2">
        <v>0.85</v>
      </c>
      <c r="Y161" s="6">
        <f t="shared" si="22"/>
        <v>2.2690264541790128E-2</v>
      </c>
      <c r="AA161">
        <v>223646</v>
      </c>
      <c r="AB161">
        <v>19225</v>
      </c>
      <c r="AC161">
        <v>15298817</v>
      </c>
      <c r="AD161" t="s">
        <v>4</v>
      </c>
      <c r="AE161">
        <v>24</v>
      </c>
      <c r="AF161">
        <v>1</v>
      </c>
      <c r="AH161" t="s">
        <v>7993</v>
      </c>
      <c r="AI161" t="s">
        <v>7992</v>
      </c>
      <c r="AJ161" t="s">
        <v>7991</v>
      </c>
      <c r="AK161" t="s">
        <v>7990</v>
      </c>
      <c r="AL161">
        <v>38</v>
      </c>
      <c r="AM161" s="5">
        <f t="shared" si="26"/>
        <v>1.1176470588235294</v>
      </c>
      <c r="AN161" s="4">
        <f t="shared" si="23"/>
        <v>1.6927634363097758E-3</v>
      </c>
      <c r="AO161" s="3"/>
      <c r="AP161">
        <v>0</v>
      </c>
      <c r="AR161" t="s">
        <v>0</v>
      </c>
      <c r="AT161" s="2">
        <v>2.923</v>
      </c>
      <c r="AU161" s="1">
        <f t="shared" si="27"/>
        <v>1.639101421014602</v>
      </c>
      <c r="AV161" s="1">
        <f t="shared" si="28"/>
        <v>1.2191513989049951</v>
      </c>
      <c r="AW161" s="1">
        <f t="shared" si="29"/>
        <v>0.79920137679538816</v>
      </c>
    </row>
    <row r="162" spans="1:49" x14ac:dyDescent="0.2">
      <c r="A162">
        <v>160</v>
      </c>
      <c r="B162" t="s">
        <v>7989</v>
      </c>
      <c r="C162" t="s">
        <v>7988</v>
      </c>
      <c r="F162" t="s">
        <v>7987</v>
      </c>
      <c r="G162" t="s">
        <v>15</v>
      </c>
      <c r="H162" t="s">
        <v>14</v>
      </c>
      <c r="I162" t="s">
        <v>7986</v>
      </c>
      <c r="J162">
        <v>60015033</v>
      </c>
      <c r="K162" t="s">
        <v>7985</v>
      </c>
      <c r="L162" t="s">
        <v>7352</v>
      </c>
      <c r="M162" t="s">
        <v>31</v>
      </c>
      <c r="N162">
        <v>2</v>
      </c>
      <c r="O162" t="s">
        <v>7984</v>
      </c>
      <c r="P162" t="s">
        <v>7983</v>
      </c>
      <c r="Q162" t="s">
        <v>7982</v>
      </c>
      <c r="R162" s="7">
        <v>32143</v>
      </c>
      <c r="S162" s="8">
        <f t="shared" si="24"/>
        <v>1988</v>
      </c>
      <c r="T162" s="8">
        <v>1988</v>
      </c>
      <c r="U162" s="8">
        <f t="shared" si="25"/>
        <v>34</v>
      </c>
      <c r="V162" s="7">
        <v>32478</v>
      </c>
      <c r="W162" t="s">
        <v>7981</v>
      </c>
      <c r="X162" s="2">
        <v>0.85</v>
      </c>
      <c r="Y162" s="6">
        <f t="shared" si="22"/>
        <v>2.2690264541790128E-2</v>
      </c>
      <c r="AA162">
        <v>223646</v>
      </c>
      <c r="AB162">
        <v>19225</v>
      </c>
      <c r="AC162">
        <v>15298817</v>
      </c>
      <c r="AD162" t="s">
        <v>4</v>
      </c>
      <c r="AE162">
        <v>24</v>
      </c>
      <c r="AF162">
        <v>4</v>
      </c>
      <c r="AH162" t="s">
        <v>7980</v>
      </c>
      <c r="AI162" t="s">
        <v>7979</v>
      </c>
      <c r="AJ162" t="s">
        <v>7978</v>
      </c>
      <c r="AK162" t="s">
        <v>7977</v>
      </c>
      <c r="AL162">
        <v>29</v>
      </c>
      <c r="AM162" s="5">
        <f t="shared" si="26"/>
        <v>0.8529411764705882</v>
      </c>
      <c r="AN162" s="4">
        <f t="shared" si="23"/>
        <v>1.2918457803416709E-3</v>
      </c>
      <c r="AO162" s="3"/>
      <c r="AP162">
        <v>0</v>
      </c>
      <c r="AR162" t="s">
        <v>0</v>
      </c>
      <c r="AT162" s="2">
        <v>2.923</v>
      </c>
      <c r="AU162" s="1">
        <f t="shared" si="27"/>
        <v>1.6270738913355589</v>
      </c>
      <c r="AV162" s="1">
        <f t="shared" si="28"/>
        <v>1.19910551610659</v>
      </c>
      <c r="AW162" s="1">
        <f t="shared" si="29"/>
        <v>0.77113714087762075</v>
      </c>
    </row>
    <row r="163" spans="1:49" x14ac:dyDescent="0.2">
      <c r="A163">
        <v>161</v>
      </c>
      <c r="B163" t="s">
        <v>7976</v>
      </c>
      <c r="C163" t="s">
        <v>7975</v>
      </c>
      <c r="F163" t="s">
        <v>7974</v>
      </c>
      <c r="G163" t="s">
        <v>15</v>
      </c>
      <c r="H163" t="s">
        <v>14</v>
      </c>
      <c r="I163" t="s">
        <v>7973</v>
      </c>
      <c r="J163" t="s">
        <v>7972</v>
      </c>
      <c r="K163" t="s">
        <v>7971</v>
      </c>
      <c r="L163" t="s">
        <v>7970</v>
      </c>
      <c r="M163" t="s">
        <v>9</v>
      </c>
      <c r="N163">
        <v>4</v>
      </c>
      <c r="O163" t="s">
        <v>7969</v>
      </c>
      <c r="P163" t="s">
        <v>7968</v>
      </c>
      <c r="Q163" t="s">
        <v>7967</v>
      </c>
      <c r="R163" s="7">
        <v>32143</v>
      </c>
      <c r="S163" s="8">
        <f t="shared" si="24"/>
        <v>1988</v>
      </c>
      <c r="T163" s="8">
        <v>1988</v>
      </c>
      <c r="U163" s="8">
        <f t="shared" si="25"/>
        <v>34</v>
      </c>
      <c r="V163" s="7">
        <v>32356</v>
      </c>
      <c r="W163" t="s">
        <v>80</v>
      </c>
      <c r="X163" s="2">
        <v>2.0070000000000001</v>
      </c>
      <c r="Y163" s="6">
        <f t="shared" si="22"/>
        <v>5.3575718747497406E-2</v>
      </c>
      <c r="AA163">
        <v>948276</v>
      </c>
      <c r="AB163">
        <v>27962</v>
      </c>
      <c r="AC163">
        <v>19448007</v>
      </c>
      <c r="AD163" t="s">
        <v>4</v>
      </c>
      <c r="AE163">
        <v>15</v>
      </c>
      <c r="AF163">
        <v>8</v>
      </c>
      <c r="AH163" t="s">
        <v>7966</v>
      </c>
      <c r="AI163" t="s">
        <v>7965</v>
      </c>
      <c r="AK163" t="s">
        <v>7964</v>
      </c>
      <c r="AL163">
        <v>15</v>
      </c>
      <c r="AM163" s="5">
        <f t="shared" si="26"/>
        <v>0.44117647058823528</v>
      </c>
      <c r="AN163" s="4">
        <f t="shared" si="23"/>
        <v>6.6819609328017462E-4</v>
      </c>
      <c r="AO163" s="3"/>
      <c r="AP163">
        <v>0</v>
      </c>
      <c r="AR163" t="s">
        <v>0</v>
      </c>
      <c r="AT163" s="2">
        <v>4.72</v>
      </c>
      <c r="AU163" s="1">
        <f t="shared" si="27"/>
        <v>3.7703461951232233</v>
      </c>
      <c r="AV163" s="1">
        <f t="shared" si="28"/>
        <v>2.7121957420388787</v>
      </c>
      <c r="AW163" s="1">
        <f t="shared" si="29"/>
        <v>1.6540452889545341</v>
      </c>
    </row>
    <row r="164" spans="1:49" x14ac:dyDescent="0.2">
      <c r="A164">
        <v>162</v>
      </c>
      <c r="B164" t="s">
        <v>7963</v>
      </c>
      <c r="C164" t="s">
        <v>7962</v>
      </c>
      <c r="F164" t="s">
        <v>7961</v>
      </c>
      <c r="G164" t="s">
        <v>15</v>
      </c>
      <c r="H164" t="s">
        <v>14</v>
      </c>
      <c r="I164" t="s">
        <v>7960</v>
      </c>
      <c r="J164" t="s">
        <v>7959</v>
      </c>
      <c r="K164" t="s">
        <v>7958</v>
      </c>
      <c r="L164" t="s">
        <v>7708</v>
      </c>
      <c r="M164" t="s">
        <v>352</v>
      </c>
      <c r="N164">
        <v>3</v>
      </c>
      <c r="O164" t="s">
        <v>7957</v>
      </c>
      <c r="P164" t="s">
        <v>7956</v>
      </c>
      <c r="Q164" t="s">
        <v>7955</v>
      </c>
      <c r="R164" s="7">
        <v>32143</v>
      </c>
      <c r="S164" s="8">
        <f t="shared" si="24"/>
        <v>1988</v>
      </c>
      <c r="T164" s="8">
        <v>1988</v>
      </c>
      <c r="U164" s="8">
        <f t="shared" si="25"/>
        <v>34</v>
      </c>
      <c r="V164" s="7">
        <v>32174</v>
      </c>
      <c r="W164" t="s">
        <v>80</v>
      </c>
      <c r="X164" s="2">
        <v>2.0070000000000001</v>
      </c>
      <c r="Y164" s="6">
        <f t="shared" si="22"/>
        <v>5.3575718747497406E-2</v>
      </c>
      <c r="AA164">
        <v>948276</v>
      </c>
      <c r="AB164">
        <v>27962</v>
      </c>
      <c r="AC164">
        <v>19448007</v>
      </c>
      <c r="AD164" t="s">
        <v>4</v>
      </c>
      <c r="AE164">
        <v>15</v>
      </c>
      <c r="AF164">
        <v>2</v>
      </c>
      <c r="AH164" t="s">
        <v>7954</v>
      </c>
      <c r="AI164" t="s">
        <v>7953</v>
      </c>
      <c r="AK164" t="s">
        <v>7952</v>
      </c>
      <c r="AL164">
        <v>12</v>
      </c>
      <c r="AM164" s="5">
        <f t="shared" si="26"/>
        <v>0.35294117647058826</v>
      </c>
      <c r="AN164" s="4">
        <f t="shared" si="23"/>
        <v>5.3455687462413976E-4</v>
      </c>
      <c r="AO164" s="3"/>
      <c r="AP164">
        <v>0</v>
      </c>
      <c r="AR164" t="s">
        <v>0</v>
      </c>
      <c r="AT164" s="2">
        <v>4.72</v>
      </c>
      <c r="AU164" s="1">
        <f t="shared" si="27"/>
        <v>3.7663370185635427</v>
      </c>
      <c r="AV164" s="1">
        <f t="shared" si="28"/>
        <v>2.7055137811060774</v>
      </c>
      <c r="AW164" s="1">
        <f t="shared" si="29"/>
        <v>1.6446905436486117</v>
      </c>
    </row>
    <row r="165" spans="1:49" x14ac:dyDescent="0.2">
      <c r="A165">
        <v>163</v>
      </c>
      <c r="B165" t="s">
        <v>7951</v>
      </c>
      <c r="C165" t="s">
        <v>7950</v>
      </c>
      <c r="F165" t="s">
        <v>7949</v>
      </c>
      <c r="G165" t="s">
        <v>15</v>
      </c>
      <c r="H165" t="s">
        <v>14</v>
      </c>
      <c r="I165" t="s">
        <v>7948</v>
      </c>
      <c r="J165" t="s">
        <v>7947</v>
      </c>
      <c r="K165" t="s">
        <v>7946</v>
      </c>
      <c r="L165" t="s">
        <v>7945</v>
      </c>
      <c r="M165" t="s">
        <v>352</v>
      </c>
      <c r="N165">
        <v>2</v>
      </c>
      <c r="O165" t="s">
        <v>7944</v>
      </c>
      <c r="P165" t="s">
        <v>7943</v>
      </c>
      <c r="Q165" t="s">
        <v>7942</v>
      </c>
      <c r="R165" s="7">
        <v>32143</v>
      </c>
      <c r="S165" s="8">
        <f t="shared" si="24"/>
        <v>1988</v>
      </c>
      <c r="T165" s="8">
        <v>1988</v>
      </c>
      <c r="U165" s="8">
        <f t="shared" si="25"/>
        <v>34</v>
      </c>
      <c r="V165" s="7">
        <v>32295</v>
      </c>
      <c r="W165" t="s">
        <v>1225</v>
      </c>
      <c r="X165" s="2">
        <v>0.111</v>
      </c>
      <c r="Y165" s="6">
        <f t="shared" si="22"/>
        <v>2.9630816048690639E-3</v>
      </c>
      <c r="AA165">
        <v>87566621</v>
      </c>
      <c r="AB165">
        <v>24890</v>
      </c>
      <c r="AC165">
        <v>15206424</v>
      </c>
      <c r="AD165" t="s">
        <v>4</v>
      </c>
      <c r="AE165">
        <v>71</v>
      </c>
      <c r="AF165">
        <v>6</v>
      </c>
      <c r="AH165" t="s">
        <v>7941</v>
      </c>
      <c r="AI165" t="s">
        <v>7940</v>
      </c>
      <c r="AK165" t="s">
        <v>7939</v>
      </c>
      <c r="AL165">
        <v>0</v>
      </c>
      <c r="AM165" s="5">
        <f t="shared" si="26"/>
        <v>0</v>
      </c>
      <c r="AN165" s="4">
        <f t="shared" si="23"/>
        <v>0</v>
      </c>
      <c r="AO165" s="3"/>
      <c r="AP165">
        <v>0</v>
      </c>
      <c r="AR165" t="s">
        <v>0</v>
      </c>
      <c r="AT165" s="2" t="s">
        <v>19</v>
      </c>
      <c r="AU165" s="1">
        <f t="shared" si="27"/>
        <v>0.20741571234083445</v>
      </c>
      <c r="AV165" s="1">
        <f t="shared" si="28"/>
        <v>0.1481540802434532</v>
      </c>
      <c r="AW165" s="1">
        <f t="shared" si="29"/>
        <v>8.8892448146071903E-2</v>
      </c>
    </row>
    <row r="166" spans="1:49" x14ac:dyDescent="0.2">
      <c r="A166">
        <v>164</v>
      </c>
      <c r="B166" t="s">
        <v>7938</v>
      </c>
      <c r="C166" t="s">
        <v>7937</v>
      </c>
      <c r="F166" t="s">
        <v>7936</v>
      </c>
      <c r="G166" t="s">
        <v>15</v>
      </c>
      <c r="H166" t="s">
        <v>14</v>
      </c>
      <c r="I166" t="s">
        <v>7935</v>
      </c>
      <c r="J166">
        <v>117248306</v>
      </c>
      <c r="K166" t="s">
        <v>7934</v>
      </c>
      <c r="M166" t="s">
        <v>1011</v>
      </c>
      <c r="N166">
        <v>3</v>
      </c>
      <c r="O166" t="s">
        <v>7933</v>
      </c>
      <c r="P166" t="s">
        <v>7932</v>
      </c>
      <c r="Q166" t="s">
        <v>7931</v>
      </c>
      <c r="R166" s="7">
        <v>32143</v>
      </c>
      <c r="S166" s="8">
        <f t="shared" si="24"/>
        <v>1988</v>
      </c>
      <c r="T166" s="8">
        <v>1988</v>
      </c>
      <c r="U166" s="8">
        <f t="shared" si="25"/>
        <v>34</v>
      </c>
      <c r="V166" s="7">
        <v>1988</v>
      </c>
      <c r="W166" t="s">
        <v>7930</v>
      </c>
      <c r="X166" s="2">
        <v>0.53100000000000003</v>
      </c>
      <c r="Y166" s="6">
        <f t="shared" si="22"/>
        <v>1.4174741731400658E-2</v>
      </c>
      <c r="AA166">
        <v>8631042</v>
      </c>
      <c r="AB166">
        <v>27458</v>
      </c>
      <c r="AC166">
        <v>15213986</v>
      </c>
      <c r="AD166" t="s">
        <v>4</v>
      </c>
      <c r="AE166">
        <v>28</v>
      </c>
      <c r="AF166" s="9">
        <v>44320</v>
      </c>
      <c r="AH166" t="s">
        <v>7929</v>
      </c>
      <c r="AI166" t="s">
        <v>7928</v>
      </c>
      <c r="AK166" t="s">
        <v>7927</v>
      </c>
      <c r="AL166">
        <v>2</v>
      </c>
      <c r="AM166" s="5">
        <f t="shared" si="26"/>
        <v>5.8823529411764705E-2</v>
      </c>
      <c r="AN166" s="4">
        <f t="shared" si="23"/>
        <v>8.9092812437356614E-5</v>
      </c>
      <c r="AO166" s="3"/>
      <c r="AP166">
        <v>0</v>
      </c>
      <c r="AR166" t="s">
        <v>0</v>
      </c>
      <c r="AT166" s="2">
        <v>1.5629999999999999</v>
      </c>
      <c r="AU166" s="1">
        <f t="shared" si="27"/>
        <v>0.99490470557116673</v>
      </c>
      <c r="AV166" s="1">
        <f t="shared" si="28"/>
        <v>0.71319172719190072</v>
      </c>
      <c r="AW166" s="1">
        <f t="shared" si="29"/>
        <v>0.4314787488126347</v>
      </c>
    </row>
    <row r="167" spans="1:49" x14ac:dyDescent="0.2">
      <c r="A167">
        <v>165</v>
      </c>
      <c r="B167" t="s">
        <v>7926</v>
      </c>
      <c r="C167" t="s">
        <v>7925</v>
      </c>
      <c r="F167" t="s">
        <v>7924</v>
      </c>
      <c r="G167" t="s">
        <v>15</v>
      </c>
      <c r="H167" t="s">
        <v>14</v>
      </c>
      <c r="I167" t="s">
        <v>7923</v>
      </c>
      <c r="J167">
        <v>60102558</v>
      </c>
      <c r="K167" t="s">
        <v>5991</v>
      </c>
      <c r="L167" t="s">
        <v>5990</v>
      </c>
      <c r="M167" t="s">
        <v>31</v>
      </c>
      <c r="N167">
        <v>2</v>
      </c>
      <c r="O167" t="s">
        <v>5989</v>
      </c>
      <c r="P167" t="s">
        <v>5988</v>
      </c>
      <c r="Q167" t="s">
        <v>5987</v>
      </c>
      <c r="R167" s="7">
        <v>32143</v>
      </c>
      <c r="S167" s="8">
        <f t="shared" si="24"/>
        <v>1988</v>
      </c>
      <c r="T167" s="8">
        <v>1988</v>
      </c>
      <c r="U167" s="8">
        <f t="shared" si="25"/>
        <v>34</v>
      </c>
      <c r="V167" s="7">
        <v>32417</v>
      </c>
      <c r="W167" t="s">
        <v>2328</v>
      </c>
      <c r="X167" s="2">
        <v>0.30399999999999999</v>
      </c>
      <c r="Y167" s="6">
        <f t="shared" si="22"/>
        <v>8.115106377299057E-3</v>
      </c>
      <c r="AA167">
        <v>8952477</v>
      </c>
      <c r="AB167">
        <v>12250</v>
      </c>
      <c r="AC167">
        <v>10982760</v>
      </c>
      <c r="AD167" t="s">
        <v>4</v>
      </c>
      <c r="AE167">
        <v>1</v>
      </c>
      <c r="AF167">
        <v>8</v>
      </c>
      <c r="AH167" t="s">
        <v>7922</v>
      </c>
      <c r="AI167" t="s">
        <v>7921</v>
      </c>
      <c r="AJ167" t="s">
        <v>7920</v>
      </c>
      <c r="AK167" t="s">
        <v>7919</v>
      </c>
      <c r="AL167">
        <v>0</v>
      </c>
      <c r="AM167" s="5">
        <f t="shared" si="26"/>
        <v>0</v>
      </c>
      <c r="AN167" s="4">
        <f t="shared" si="23"/>
        <v>0</v>
      </c>
      <c r="AO167" s="3"/>
      <c r="AP167">
        <v>0</v>
      </c>
      <c r="AR167" t="s">
        <v>0</v>
      </c>
      <c r="AT167" s="2" t="s">
        <v>19</v>
      </c>
      <c r="AU167" s="1">
        <f t="shared" si="27"/>
        <v>0.56805744641093392</v>
      </c>
      <c r="AV167" s="1">
        <f t="shared" si="28"/>
        <v>0.40575531886495286</v>
      </c>
      <c r="AW167" s="1">
        <f t="shared" si="29"/>
        <v>0.24345319131897172</v>
      </c>
    </row>
    <row r="168" spans="1:49" x14ac:dyDescent="0.2">
      <c r="A168">
        <v>166</v>
      </c>
      <c r="B168" t="s">
        <v>7918</v>
      </c>
      <c r="C168" t="s">
        <v>7917</v>
      </c>
      <c r="F168" t="s">
        <v>7916</v>
      </c>
      <c r="G168" t="s">
        <v>15</v>
      </c>
      <c r="H168" t="s">
        <v>14</v>
      </c>
      <c r="I168" t="s">
        <v>7915</v>
      </c>
      <c r="J168">
        <v>115597094</v>
      </c>
      <c r="K168" t="s">
        <v>7914</v>
      </c>
      <c r="L168" t="s">
        <v>7913</v>
      </c>
      <c r="M168" t="s">
        <v>31</v>
      </c>
      <c r="N168">
        <v>1</v>
      </c>
      <c r="O168" t="s">
        <v>7912</v>
      </c>
      <c r="P168">
        <v>24512080300</v>
      </c>
      <c r="Q168">
        <v>115597094</v>
      </c>
      <c r="R168" s="7">
        <v>32143</v>
      </c>
      <c r="S168" s="8">
        <f t="shared" si="24"/>
        <v>1988</v>
      </c>
      <c r="T168" s="8">
        <v>1988</v>
      </c>
      <c r="U168" s="8">
        <f t="shared" si="25"/>
        <v>34</v>
      </c>
      <c r="V168" s="7">
        <v>32478</v>
      </c>
      <c r="W168" t="s">
        <v>2328</v>
      </c>
      <c r="X168" s="2">
        <v>0.30399999999999999</v>
      </c>
      <c r="Y168" s="6">
        <f t="shared" si="22"/>
        <v>8.115106377299057E-3</v>
      </c>
      <c r="AA168">
        <v>8952477</v>
      </c>
      <c r="AB168">
        <v>12250</v>
      </c>
      <c r="AC168">
        <v>10982760</v>
      </c>
      <c r="AD168" t="s">
        <v>4</v>
      </c>
      <c r="AE168">
        <v>1</v>
      </c>
      <c r="AF168">
        <v>10</v>
      </c>
      <c r="AH168" t="s">
        <v>7911</v>
      </c>
      <c r="AI168" t="s">
        <v>7910</v>
      </c>
      <c r="AJ168" t="s">
        <v>7909</v>
      </c>
      <c r="AK168" t="s">
        <v>7908</v>
      </c>
      <c r="AL168">
        <v>0</v>
      </c>
      <c r="AM168" s="5">
        <f t="shared" si="26"/>
        <v>0</v>
      </c>
      <c r="AN168" s="4">
        <f t="shared" si="23"/>
        <v>0</v>
      </c>
      <c r="AO168" s="3"/>
      <c r="AP168">
        <v>0</v>
      </c>
      <c r="AR168" t="s">
        <v>0</v>
      </c>
      <c r="AT168" s="2" t="s">
        <v>19</v>
      </c>
      <c r="AU168" s="1">
        <f t="shared" si="27"/>
        <v>0.56805744641093392</v>
      </c>
      <c r="AV168" s="1">
        <f t="shared" si="28"/>
        <v>0.40575531886495286</v>
      </c>
      <c r="AW168" s="1">
        <f t="shared" si="29"/>
        <v>0.24345319131897172</v>
      </c>
    </row>
    <row r="169" spans="1:49" x14ac:dyDescent="0.2">
      <c r="A169">
        <v>167</v>
      </c>
      <c r="B169" t="s">
        <v>7907</v>
      </c>
      <c r="C169" t="s">
        <v>7906</v>
      </c>
      <c r="F169" t="s">
        <v>7905</v>
      </c>
      <c r="G169" t="s">
        <v>15</v>
      </c>
      <c r="H169" t="s">
        <v>14</v>
      </c>
      <c r="I169" t="s">
        <v>7685</v>
      </c>
      <c r="J169">
        <v>60000745</v>
      </c>
      <c r="K169" t="s">
        <v>3448</v>
      </c>
      <c r="L169" t="s">
        <v>3447</v>
      </c>
      <c r="M169" t="s">
        <v>31</v>
      </c>
      <c r="N169">
        <v>2</v>
      </c>
      <c r="O169" t="s">
        <v>7904</v>
      </c>
      <c r="P169" t="s">
        <v>7903</v>
      </c>
      <c r="Q169" t="s">
        <v>3444</v>
      </c>
      <c r="R169" s="7">
        <v>32143</v>
      </c>
      <c r="S169" s="8">
        <f t="shared" si="24"/>
        <v>1988</v>
      </c>
      <c r="T169" s="8">
        <v>1988</v>
      </c>
      <c r="U169" s="8">
        <f t="shared" si="25"/>
        <v>34</v>
      </c>
      <c r="V169" s="7">
        <v>32264</v>
      </c>
      <c r="W169" t="s">
        <v>2328</v>
      </c>
      <c r="X169" s="2">
        <v>0.30399999999999999</v>
      </c>
      <c r="Y169" s="6">
        <f t="shared" si="22"/>
        <v>8.115106377299057E-3</v>
      </c>
      <c r="AA169">
        <v>8952477</v>
      </c>
      <c r="AB169">
        <v>12250</v>
      </c>
      <c r="AC169">
        <v>10982760</v>
      </c>
      <c r="AD169" t="s">
        <v>4</v>
      </c>
      <c r="AE169">
        <v>1</v>
      </c>
      <c r="AF169">
        <v>3</v>
      </c>
      <c r="AH169" t="s">
        <v>580</v>
      </c>
      <c r="AI169" t="s">
        <v>7902</v>
      </c>
      <c r="AJ169" t="s">
        <v>7901</v>
      </c>
      <c r="AK169" t="s">
        <v>7900</v>
      </c>
      <c r="AL169">
        <v>5</v>
      </c>
      <c r="AM169" s="5">
        <f t="shared" si="26"/>
        <v>0.14705882352941177</v>
      </c>
      <c r="AN169" s="4">
        <f t="shared" si="23"/>
        <v>2.2273203109339154E-4</v>
      </c>
      <c r="AO169" s="3"/>
      <c r="AP169">
        <v>0</v>
      </c>
      <c r="AR169" t="s">
        <v>0</v>
      </c>
      <c r="AT169" s="2" t="s">
        <v>19</v>
      </c>
      <c r="AU169" s="1">
        <f t="shared" si="27"/>
        <v>0.57473940734373574</v>
      </c>
      <c r="AV169" s="1">
        <f t="shared" si="28"/>
        <v>0.41689192041962242</v>
      </c>
      <c r="AW169" s="1">
        <f t="shared" si="29"/>
        <v>0.25904443349550915</v>
      </c>
    </row>
    <row r="170" spans="1:49" x14ac:dyDescent="0.2">
      <c r="A170">
        <v>168</v>
      </c>
      <c r="B170" t="s">
        <v>7899</v>
      </c>
      <c r="C170" t="s">
        <v>7898</v>
      </c>
      <c r="F170" t="s">
        <v>7897</v>
      </c>
      <c r="G170" t="s">
        <v>15</v>
      </c>
      <c r="H170" t="s">
        <v>14</v>
      </c>
      <c r="I170" t="s">
        <v>7896</v>
      </c>
      <c r="J170">
        <v>60000990</v>
      </c>
      <c r="K170" t="s">
        <v>7895</v>
      </c>
      <c r="L170" t="s">
        <v>7894</v>
      </c>
      <c r="M170" t="s">
        <v>6983</v>
      </c>
      <c r="N170">
        <v>1</v>
      </c>
      <c r="O170" t="s">
        <v>7893</v>
      </c>
      <c r="P170">
        <v>57213640532</v>
      </c>
      <c r="Q170">
        <v>60000990</v>
      </c>
      <c r="R170" s="7">
        <v>32143</v>
      </c>
      <c r="S170" s="8">
        <f t="shared" si="24"/>
        <v>1988</v>
      </c>
      <c r="T170" s="8">
        <v>1988</v>
      </c>
      <c r="U170" s="8">
        <f t="shared" si="25"/>
        <v>34</v>
      </c>
      <c r="V170" s="7">
        <v>32417</v>
      </c>
      <c r="W170" t="s">
        <v>2328</v>
      </c>
      <c r="X170" s="2">
        <v>0.30399999999999999</v>
      </c>
      <c r="Y170" s="6">
        <f t="shared" si="22"/>
        <v>8.115106377299057E-3</v>
      </c>
      <c r="AA170">
        <v>8952477</v>
      </c>
      <c r="AB170">
        <v>12250</v>
      </c>
      <c r="AC170">
        <v>10982760</v>
      </c>
      <c r="AD170" t="s">
        <v>4</v>
      </c>
      <c r="AE170">
        <v>1</v>
      </c>
      <c r="AF170">
        <v>8</v>
      </c>
      <c r="AH170" t="s">
        <v>7892</v>
      </c>
      <c r="AI170" t="s">
        <v>7891</v>
      </c>
      <c r="AJ170" t="s">
        <v>7890</v>
      </c>
      <c r="AK170" t="s">
        <v>7889</v>
      </c>
      <c r="AL170">
        <v>6</v>
      </c>
      <c r="AM170" s="5">
        <f t="shared" si="26"/>
        <v>0.17647058823529413</v>
      </c>
      <c r="AN170" s="4">
        <f t="shared" si="23"/>
        <v>2.6727843731206988E-4</v>
      </c>
      <c r="AO170" s="3"/>
      <c r="AP170">
        <v>0</v>
      </c>
      <c r="AR170" t="s">
        <v>0</v>
      </c>
      <c r="AT170" s="2" t="s">
        <v>19</v>
      </c>
      <c r="AU170" s="1">
        <f t="shared" si="27"/>
        <v>0.57607579953029608</v>
      </c>
      <c r="AV170" s="1">
        <f t="shared" si="28"/>
        <v>0.41911924073055634</v>
      </c>
      <c r="AW170" s="1">
        <f t="shared" si="29"/>
        <v>0.2621626819308166</v>
      </c>
    </row>
    <row r="171" spans="1:49" x14ac:dyDescent="0.2">
      <c r="A171">
        <v>169</v>
      </c>
      <c r="B171" t="s">
        <v>7888</v>
      </c>
      <c r="C171" t="s">
        <v>7887</v>
      </c>
      <c r="F171" t="s">
        <v>7886</v>
      </c>
      <c r="G171" t="s">
        <v>15</v>
      </c>
      <c r="H171" t="s">
        <v>14</v>
      </c>
      <c r="I171" t="s">
        <v>7885</v>
      </c>
      <c r="J171">
        <v>117287963</v>
      </c>
      <c r="K171" t="s">
        <v>7884</v>
      </c>
      <c r="L171" t="s">
        <v>840</v>
      </c>
      <c r="M171" t="s">
        <v>839</v>
      </c>
      <c r="N171">
        <v>3</v>
      </c>
      <c r="O171" t="s">
        <v>7883</v>
      </c>
      <c r="P171" t="s">
        <v>7882</v>
      </c>
      <c r="Q171" t="s">
        <v>7881</v>
      </c>
      <c r="R171" s="7">
        <v>32143</v>
      </c>
      <c r="S171" s="8">
        <f t="shared" si="24"/>
        <v>1988</v>
      </c>
      <c r="T171" s="8">
        <v>1988</v>
      </c>
      <c r="U171" s="8">
        <f t="shared" si="25"/>
        <v>34</v>
      </c>
      <c r="V171" s="7">
        <v>32295</v>
      </c>
      <c r="W171" t="s">
        <v>2328</v>
      </c>
      <c r="X171" s="2">
        <v>0.30399999999999999</v>
      </c>
      <c r="Y171" s="6">
        <f t="shared" si="22"/>
        <v>8.115106377299057E-3</v>
      </c>
      <c r="AA171">
        <v>8952477</v>
      </c>
      <c r="AB171">
        <v>12250</v>
      </c>
      <c r="AC171">
        <v>10982760</v>
      </c>
      <c r="AD171" t="s">
        <v>4</v>
      </c>
      <c r="AE171">
        <v>1</v>
      </c>
      <c r="AF171">
        <v>4</v>
      </c>
      <c r="AH171" t="s">
        <v>7880</v>
      </c>
      <c r="AI171" t="s">
        <v>7879</v>
      </c>
      <c r="AJ171" t="s">
        <v>7878</v>
      </c>
      <c r="AK171" t="s">
        <v>7877</v>
      </c>
      <c r="AL171">
        <v>1</v>
      </c>
      <c r="AM171" s="5">
        <f t="shared" si="26"/>
        <v>2.9411764705882353E-2</v>
      </c>
      <c r="AN171" s="4">
        <f t="shared" si="23"/>
        <v>4.4546406218678307E-5</v>
      </c>
      <c r="AO171" s="3"/>
      <c r="AP171">
        <v>0</v>
      </c>
      <c r="AR171" t="s">
        <v>0</v>
      </c>
      <c r="AT171" s="2" t="s">
        <v>19</v>
      </c>
      <c r="AU171" s="1">
        <f t="shared" si="27"/>
        <v>0.56939383859749426</v>
      </c>
      <c r="AV171" s="1">
        <f t="shared" si="28"/>
        <v>0.40798263917588673</v>
      </c>
      <c r="AW171" s="1">
        <f t="shared" si="29"/>
        <v>0.2465714397542792</v>
      </c>
    </row>
    <row r="172" spans="1:49" x14ac:dyDescent="0.2">
      <c r="A172">
        <v>170</v>
      </c>
      <c r="B172" t="s">
        <v>7876</v>
      </c>
      <c r="C172" t="s">
        <v>7875</v>
      </c>
      <c r="F172" t="s">
        <v>7874</v>
      </c>
      <c r="G172" t="s">
        <v>15</v>
      </c>
      <c r="H172" t="s">
        <v>14</v>
      </c>
      <c r="I172" t="s">
        <v>7873</v>
      </c>
      <c r="J172" t="s">
        <v>7872</v>
      </c>
      <c r="K172" t="s">
        <v>7871</v>
      </c>
      <c r="L172" t="s">
        <v>7870</v>
      </c>
      <c r="M172" t="s">
        <v>195</v>
      </c>
      <c r="N172">
        <v>8</v>
      </c>
      <c r="O172" t="s">
        <v>7869</v>
      </c>
      <c r="P172" t="s">
        <v>7868</v>
      </c>
      <c r="Q172" t="s">
        <v>7867</v>
      </c>
      <c r="R172" s="7">
        <v>32143</v>
      </c>
      <c r="S172" s="8">
        <f t="shared" si="24"/>
        <v>1988</v>
      </c>
      <c r="T172" s="8">
        <v>1988</v>
      </c>
      <c r="U172" s="8">
        <f t="shared" si="25"/>
        <v>34</v>
      </c>
      <c r="V172" s="7">
        <v>32295</v>
      </c>
      <c r="W172" t="s">
        <v>2328</v>
      </c>
      <c r="X172" s="2">
        <v>0.30399999999999999</v>
      </c>
      <c r="Y172" s="6">
        <f t="shared" si="22"/>
        <v>8.115106377299057E-3</v>
      </c>
      <c r="AA172">
        <v>8952477</v>
      </c>
      <c r="AB172">
        <v>12250</v>
      </c>
      <c r="AC172">
        <v>10982760</v>
      </c>
      <c r="AD172" t="s">
        <v>4</v>
      </c>
      <c r="AE172">
        <v>1</v>
      </c>
      <c r="AF172">
        <v>4</v>
      </c>
      <c r="AH172" t="s">
        <v>7866</v>
      </c>
      <c r="AI172" t="s">
        <v>7865</v>
      </c>
      <c r="AJ172" t="s">
        <v>7864</v>
      </c>
      <c r="AK172" t="s">
        <v>7863</v>
      </c>
      <c r="AL172">
        <v>5</v>
      </c>
      <c r="AM172" s="5">
        <f t="shared" si="26"/>
        <v>0.14705882352941177</v>
      </c>
      <c r="AN172" s="4">
        <f t="shared" si="23"/>
        <v>2.2273203109339154E-4</v>
      </c>
      <c r="AO172" s="3"/>
      <c r="AP172">
        <v>0</v>
      </c>
      <c r="AR172" t="s">
        <v>0</v>
      </c>
      <c r="AT172" s="2" t="s">
        <v>19</v>
      </c>
      <c r="AU172" s="1">
        <f t="shared" si="27"/>
        <v>0.57473940734373574</v>
      </c>
      <c r="AV172" s="1">
        <f t="shared" si="28"/>
        <v>0.41689192041962242</v>
      </c>
      <c r="AW172" s="1">
        <f t="shared" si="29"/>
        <v>0.25904443349550915</v>
      </c>
    </row>
    <row r="173" spans="1:49" x14ac:dyDescent="0.2">
      <c r="A173">
        <v>171</v>
      </c>
      <c r="B173" t="s">
        <v>7862</v>
      </c>
      <c r="C173" t="s">
        <v>7861</v>
      </c>
      <c r="F173" t="s">
        <v>7860</v>
      </c>
      <c r="G173" t="s">
        <v>15</v>
      </c>
      <c r="H173" t="s">
        <v>14</v>
      </c>
      <c r="I173" t="s">
        <v>7859</v>
      </c>
      <c r="J173" t="s">
        <v>7858</v>
      </c>
      <c r="K173" t="s">
        <v>7857</v>
      </c>
      <c r="L173" t="s">
        <v>7856</v>
      </c>
      <c r="M173" t="s">
        <v>9</v>
      </c>
      <c r="N173">
        <v>4</v>
      </c>
      <c r="O173" t="s">
        <v>7855</v>
      </c>
      <c r="P173" t="s">
        <v>7854</v>
      </c>
      <c r="Q173" t="s">
        <v>7853</v>
      </c>
      <c r="R173" s="7">
        <v>32143</v>
      </c>
      <c r="S173" s="8">
        <f t="shared" si="24"/>
        <v>1988</v>
      </c>
      <c r="T173" s="8">
        <v>1988</v>
      </c>
      <c r="U173" s="8">
        <f t="shared" si="25"/>
        <v>34</v>
      </c>
      <c r="V173" s="7">
        <v>32264</v>
      </c>
      <c r="W173" t="s">
        <v>2328</v>
      </c>
      <c r="X173" s="2">
        <v>0.30399999999999999</v>
      </c>
      <c r="Y173" s="6">
        <f t="shared" si="22"/>
        <v>8.115106377299057E-3</v>
      </c>
      <c r="AA173">
        <v>8952477</v>
      </c>
      <c r="AB173">
        <v>12250</v>
      </c>
      <c r="AC173">
        <v>10982760</v>
      </c>
      <c r="AD173" t="s">
        <v>4</v>
      </c>
      <c r="AE173">
        <v>1</v>
      </c>
      <c r="AF173">
        <v>3</v>
      </c>
      <c r="AH173" t="s">
        <v>7852</v>
      </c>
      <c r="AI173" t="s">
        <v>7851</v>
      </c>
      <c r="AJ173" t="s">
        <v>7850</v>
      </c>
      <c r="AK173" t="s">
        <v>7849</v>
      </c>
      <c r="AL173">
        <v>2</v>
      </c>
      <c r="AM173" s="5">
        <f t="shared" si="26"/>
        <v>5.8823529411764705E-2</v>
      </c>
      <c r="AN173" s="4">
        <f t="shared" si="23"/>
        <v>8.9092812437356614E-5</v>
      </c>
      <c r="AO173" s="3"/>
      <c r="AP173">
        <v>0</v>
      </c>
      <c r="AR173" t="s">
        <v>0</v>
      </c>
      <c r="AT173" s="2" t="s">
        <v>19</v>
      </c>
      <c r="AU173" s="1">
        <f t="shared" si="27"/>
        <v>0.5707302307840546</v>
      </c>
      <c r="AV173" s="1">
        <f t="shared" si="28"/>
        <v>0.41020995948682065</v>
      </c>
      <c r="AW173" s="1">
        <f t="shared" si="29"/>
        <v>0.24968968818958667</v>
      </c>
    </row>
    <row r="174" spans="1:49" x14ac:dyDescent="0.2">
      <c r="A174">
        <v>172</v>
      </c>
      <c r="B174" t="s">
        <v>7848</v>
      </c>
      <c r="C174" t="s">
        <v>7847</v>
      </c>
      <c r="F174" t="s">
        <v>7846</v>
      </c>
      <c r="G174" t="s">
        <v>15</v>
      </c>
      <c r="H174" t="s">
        <v>14</v>
      </c>
      <c r="I174" t="s">
        <v>7845</v>
      </c>
      <c r="J174" t="s">
        <v>7844</v>
      </c>
      <c r="K174" t="s">
        <v>7843</v>
      </c>
      <c r="L174" t="s">
        <v>7842</v>
      </c>
      <c r="M174" t="s">
        <v>439</v>
      </c>
      <c r="N174">
        <v>2</v>
      </c>
      <c r="O174" t="s">
        <v>7841</v>
      </c>
      <c r="P174" t="s">
        <v>7840</v>
      </c>
      <c r="Q174" t="s">
        <v>7839</v>
      </c>
      <c r="R174" s="7">
        <v>32143</v>
      </c>
      <c r="S174" s="8">
        <f t="shared" si="24"/>
        <v>1988</v>
      </c>
      <c r="T174" s="8">
        <v>1988</v>
      </c>
      <c r="U174" s="8">
        <f t="shared" si="25"/>
        <v>34</v>
      </c>
      <c r="V174" s="7">
        <v>32387</v>
      </c>
      <c r="W174" t="s">
        <v>2328</v>
      </c>
      <c r="X174" s="2">
        <v>0.30399999999999999</v>
      </c>
      <c r="Y174" s="6">
        <f t="shared" si="22"/>
        <v>8.115106377299057E-3</v>
      </c>
      <c r="AA174">
        <v>8952477</v>
      </c>
      <c r="AB174">
        <v>12250</v>
      </c>
      <c r="AC174">
        <v>10982760</v>
      </c>
      <c r="AD174" t="s">
        <v>4</v>
      </c>
      <c r="AE174">
        <v>1</v>
      </c>
      <c r="AF174">
        <v>7</v>
      </c>
      <c r="AH174" t="s">
        <v>7838</v>
      </c>
      <c r="AI174" t="s">
        <v>7837</v>
      </c>
      <c r="AJ174" t="s">
        <v>7836</v>
      </c>
      <c r="AK174" t="s">
        <v>7835</v>
      </c>
      <c r="AL174">
        <v>0</v>
      </c>
      <c r="AM174" s="5">
        <f t="shared" si="26"/>
        <v>0</v>
      </c>
      <c r="AN174" s="4">
        <f t="shared" si="23"/>
        <v>0</v>
      </c>
      <c r="AO174" s="3"/>
      <c r="AP174">
        <v>0</v>
      </c>
      <c r="AR174" t="s">
        <v>0</v>
      </c>
      <c r="AT174" s="2" t="s">
        <v>19</v>
      </c>
      <c r="AU174" s="1">
        <f t="shared" si="27"/>
        <v>0.56805744641093392</v>
      </c>
      <c r="AV174" s="1">
        <f t="shared" si="28"/>
        <v>0.40575531886495286</v>
      </c>
      <c r="AW174" s="1">
        <f t="shared" si="29"/>
        <v>0.24345319131897172</v>
      </c>
    </row>
    <row r="175" spans="1:49" x14ac:dyDescent="0.2">
      <c r="A175">
        <v>173</v>
      </c>
      <c r="B175" t="s">
        <v>7834</v>
      </c>
      <c r="C175" t="s">
        <v>7833</v>
      </c>
      <c r="F175" t="s">
        <v>7832</v>
      </c>
      <c r="G175" t="s">
        <v>15</v>
      </c>
      <c r="H175" t="s">
        <v>14</v>
      </c>
      <c r="I175" t="s">
        <v>7831</v>
      </c>
      <c r="J175" t="s">
        <v>7830</v>
      </c>
      <c r="K175" t="s">
        <v>7829</v>
      </c>
      <c r="L175" t="s">
        <v>7828</v>
      </c>
      <c r="M175" t="s">
        <v>9</v>
      </c>
      <c r="N175">
        <v>3</v>
      </c>
      <c r="O175" t="s">
        <v>7827</v>
      </c>
      <c r="P175" t="s">
        <v>7826</v>
      </c>
      <c r="Q175" t="s">
        <v>7825</v>
      </c>
      <c r="R175" s="7">
        <v>32143</v>
      </c>
      <c r="S175" s="8">
        <f t="shared" si="24"/>
        <v>1988</v>
      </c>
      <c r="T175" s="8">
        <v>1988</v>
      </c>
      <c r="U175" s="8">
        <f t="shared" si="25"/>
        <v>34</v>
      </c>
      <c r="V175" s="7">
        <v>32264</v>
      </c>
      <c r="W175" t="s">
        <v>2328</v>
      </c>
      <c r="X175" s="2">
        <v>0.30399999999999999</v>
      </c>
      <c r="Y175" s="6">
        <f t="shared" si="22"/>
        <v>8.115106377299057E-3</v>
      </c>
      <c r="AA175">
        <v>8952477</v>
      </c>
      <c r="AB175">
        <v>12250</v>
      </c>
      <c r="AC175">
        <v>10982760</v>
      </c>
      <c r="AD175" t="s">
        <v>4</v>
      </c>
      <c r="AE175">
        <v>1</v>
      </c>
      <c r="AF175">
        <v>3</v>
      </c>
      <c r="AH175" t="s">
        <v>7824</v>
      </c>
      <c r="AI175" t="s">
        <v>7823</v>
      </c>
      <c r="AJ175" t="s">
        <v>7822</v>
      </c>
      <c r="AK175" t="s">
        <v>7821</v>
      </c>
      <c r="AL175">
        <v>5</v>
      </c>
      <c r="AM175" s="5">
        <f t="shared" si="26"/>
        <v>0.14705882352941177</v>
      </c>
      <c r="AN175" s="4">
        <f t="shared" si="23"/>
        <v>2.2273203109339154E-4</v>
      </c>
      <c r="AO175" s="3"/>
      <c r="AP175">
        <v>0</v>
      </c>
      <c r="AR175" t="s">
        <v>0</v>
      </c>
      <c r="AT175" s="2" t="s">
        <v>19</v>
      </c>
      <c r="AU175" s="1">
        <f t="shared" si="27"/>
        <v>0.57473940734373574</v>
      </c>
      <c r="AV175" s="1">
        <f t="shared" si="28"/>
        <v>0.41689192041962242</v>
      </c>
      <c r="AW175" s="1">
        <f t="shared" si="29"/>
        <v>0.25904443349550915</v>
      </c>
    </row>
    <row r="176" spans="1:49" x14ac:dyDescent="0.2">
      <c r="A176">
        <v>174</v>
      </c>
      <c r="B176" t="s">
        <v>7820</v>
      </c>
      <c r="C176" t="s">
        <v>7819</v>
      </c>
      <c r="F176" t="s">
        <v>7818</v>
      </c>
      <c r="G176" t="s">
        <v>15</v>
      </c>
      <c r="H176" t="s">
        <v>14</v>
      </c>
      <c r="I176" t="s">
        <v>7817</v>
      </c>
      <c r="J176">
        <v>60014662</v>
      </c>
      <c r="K176" t="s">
        <v>7816</v>
      </c>
      <c r="L176" t="s">
        <v>387</v>
      </c>
      <c r="M176" t="s">
        <v>31</v>
      </c>
      <c r="N176">
        <v>2</v>
      </c>
      <c r="O176" t="s">
        <v>7815</v>
      </c>
      <c r="P176" t="s">
        <v>7814</v>
      </c>
      <c r="Q176" t="s">
        <v>7813</v>
      </c>
      <c r="R176" s="7">
        <v>32143</v>
      </c>
      <c r="S176" s="8">
        <f t="shared" si="24"/>
        <v>1988</v>
      </c>
      <c r="T176" s="8">
        <v>1988</v>
      </c>
      <c r="U176" s="8">
        <f t="shared" si="25"/>
        <v>34</v>
      </c>
      <c r="V176" s="7">
        <v>32448</v>
      </c>
      <c r="W176" t="s">
        <v>2328</v>
      </c>
      <c r="X176" s="2">
        <v>0.30399999999999999</v>
      </c>
      <c r="Y176" s="6">
        <f t="shared" si="22"/>
        <v>8.115106377299057E-3</v>
      </c>
      <c r="AA176">
        <v>8952477</v>
      </c>
      <c r="AB176">
        <v>12250</v>
      </c>
      <c r="AC176">
        <v>10982760</v>
      </c>
      <c r="AD176" t="s">
        <v>4</v>
      </c>
      <c r="AE176">
        <v>1</v>
      </c>
      <c r="AF176">
        <v>9</v>
      </c>
      <c r="AH176" t="s">
        <v>7812</v>
      </c>
      <c r="AI176" t="s">
        <v>7811</v>
      </c>
      <c r="AJ176" t="s">
        <v>7810</v>
      </c>
      <c r="AK176" t="s">
        <v>7809</v>
      </c>
      <c r="AL176">
        <v>1</v>
      </c>
      <c r="AM176" s="5">
        <f t="shared" si="26"/>
        <v>2.9411764705882353E-2</v>
      </c>
      <c r="AN176" s="4">
        <f t="shared" si="23"/>
        <v>4.4546406218678307E-5</v>
      </c>
      <c r="AO176" s="3"/>
      <c r="AP176">
        <v>0</v>
      </c>
      <c r="AR176" t="s">
        <v>0</v>
      </c>
      <c r="AT176" s="2" t="s">
        <v>19</v>
      </c>
      <c r="AU176" s="1">
        <f t="shared" si="27"/>
        <v>0.56939383859749426</v>
      </c>
      <c r="AV176" s="1">
        <f t="shared" si="28"/>
        <v>0.40798263917588673</v>
      </c>
      <c r="AW176" s="1">
        <f t="shared" si="29"/>
        <v>0.2465714397542792</v>
      </c>
    </row>
    <row r="177" spans="1:49" x14ac:dyDescent="0.2">
      <c r="A177">
        <v>175</v>
      </c>
      <c r="B177" t="s">
        <v>7808</v>
      </c>
      <c r="C177" t="s">
        <v>7807</v>
      </c>
      <c r="F177" t="s">
        <v>7806</v>
      </c>
      <c r="G177" t="s">
        <v>15</v>
      </c>
      <c r="H177" t="s">
        <v>14</v>
      </c>
      <c r="I177" t="s">
        <v>7805</v>
      </c>
      <c r="J177">
        <v>60005304</v>
      </c>
      <c r="K177" t="s">
        <v>72</v>
      </c>
      <c r="L177" t="s">
        <v>71</v>
      </c>
      <c r="M177" t="s">
        <v>31</v>
      </c>
      <c r="N177">
        <v>1</v>
      </c>
      <c r="O177" t="s">
        <v>7804</v>
      </c>
      <c r="P177">
        <v>7410158021</v>
      </c>
      <c r="Q177">
        <v>60005304</v>
      </c>
      <c r="R177" s="7">
        <v>32143</v>
      </c>
      <c r="S177" s="8">
        <f t="shared" si="24"/>
        <v>1988</v>
      </c>
      <c r="T177" s="8">
        <v>1988</v>
      </c>
      <c r="U177" s="8">
        <f t="shared" si="25"/>
        <v>34</v>
      </c>
      <c r="V177" s="7">
        <v>32478</v>
      </c>
      <c r="W177" t="s">
        <v>2328</v>
      </c>
      <c r="X177" s="2">
        <v>0.30399999999999999</v>
      </c>
      <c r="Y177" s="6">
        <f t="shared" si="22"/>
        <v>8.115106377299057E-3</v>
      </c>
      <c r="AA177">
        <v>8952477</v>
      </c>
      <c r="AB177">
        <v>12250</v>
      </c>
      <c r="AC177">
        <v>10982760</v>
      </c>
      <c r="AD177" t="s">
        <v>4</v>
      </c>
      <c r="AE177">
        <v>1</v>
      </c>
      <c r="AF177">
        <v>10</v>
      </c>
      <c r="AH177" t="s">
        <v>7803</v>
      </c>
      <c r="AI177" t="s">
        <v>7802</v>
      </c>
      <c r="AJ177" t="s">
        <v>7801</v>
      </c>
      <c r="AK177" t="s">
        <v>7800</v>
      </c>
      <c r="AL177">
        <v>8</v>
      </c>
      <c r="AM177" s="5">
        <f t="shared" si="26"/>
        <v>0.23529411764705882</v>
      </c>
      <c r="AN177" s="4">
        <f t="shared" si="23"/>
        <v>3.5637124974942646E-4</v>
      </c>
      <c r="AO177" s="3"/>
      <c r="AP177">
        <v>0</v>
      </c>
      <c r="AR177" t="s">
        <v>0</v>
      </c>
      <c r="AT177" s="2" t="s">
        <v>19</v>
      </c>
      <c r="AU177" s="1">
        <f t="shared" si="27"/>
        <v>0.57874858390341666</v>
      </c>
      <c r="AV177" s="1">
        <f t="shared" si="28"/>
        <v>0.42357388135242419</v>
      </c>
      <c r="AW177" s="1">
        <f t="shared" si="29"/>
        <v>0.2683991788014316</v>
      </c>
    </row>
    <row r="178" spans="1:49" x14ac:dyDescent="0.2">
      <c r="A178">
        <v>176</v>
      </c>
      <c r="B178" t="s">
        <v>7799</v>
      </c>
      <c r="C178" t="s">
        <v>7798</v>
      </c>
      <c r="F178" t="s">
        <v>7797</v>
      </c>
      <c r="G178" t="s">
        <v>15</v>
      </c>
      <c r="H178" t="s">
        <v>14</v>
      </c>
      <c r="I178" t="s">
        <v>7796</v>
      </c>
      <c r="J178">
        <v>60010818</v>
      </c>
      <c r="K178" t="s">
        <v>4909</v>
      </c>
      <c r="L178" t="s">
        <v>4908</v>
      </c>
      <c r="M178" t="s">
        <v>1011</v>
      </c>
      <c r="N178">
        <v>2</v>
      </c>
      <c r="O178" t="s">
        <v>7795</v>
      </c>
      <c r="P178" t="s">
        <v>7794</v>
      </c>
      <c r="Q178" t="s">
        <v>7793</v>
      </c>
      <c r="R178" s="7">
        <v>32143</v>
      </c>
      <c r="S178" s="8">
        <f t="shared" si="24"/>
        <v>1988</v>
      </c>
      <c r="T178" s="8">
        <v>1988</v>
      </c>
      <c r="U178" s="8">
        <f t="shared" si="25"/>
        <v>34</v>
      </c>
      <c r="V178" s="7">
        <v>32478</v>
      </c>
      <c r="W178" t="s">
        <v>2328</v>
      </c>
      <c r="X178" s="2">
        <v>0.30399999999999999</v>
      </c>
      <c r="Y178" s="6">
        <f t="shared" si="22"/>
        <v>8.115106377299057E-3</v>
      </c>
      <c r="AA178">
        <v>8952477</v>
      </c>
      <c r="AB178">
        <v>12250</v>
      </c>
      <c r="AC178">
        <v>10982760</v>
      </c>
      <c r="AD178" t="s">
        <v>4</v>
      </c>
      <c r="AE178">
        <v>1</v>
      </c>
      <c r="AF178">
        <v>10</v>
      </c>
      <c r="AH178" t="s">
        <v>7792</v>
      </c>
      <c r="AI178" t="s">
        <v>7791</v>
      </c>
      <c r="AJ178" t="s">
        <v>7790</v>
      </c>
      <c r="AK178" t="s">
        <v>7789</v>
      </c>
      <c r="AL178">
        <v>3</v>
      </c>
      <c r="AM178" s="5">
        <f t="shared" si="26"/>
        <v>8.8235294117647065E-2</v>
      </c>
      <c r="AN178" s="4">
        <f t="shared" si="23"/>
        <v>1.3363921865603494E-4</v>
      </c>
      <c r="AO178" s="3"/>
      <c r="AP178">
        <v>0</v>
      </c>
      <c r="AR178" t="s">
        <v>0</v>
      </c>
      <c r="AT178" s="2" t="s">
        <v>19</v>
      </c>
      <c r="AU178" s="1">
        <f t="shared" si="27"/>
        <v>0.57206662297061506</v>
      </c>
      <c r="AV178" s="1">
        <f t="shared" si="28"/>
        <v>0.41243727979775463</v>
      </c>
      <c r="AW178" s="1">
        <f t="shared" si="29"/>
        <v>0.25280793662489415</v>
      </c>
    </row>
    <row r="179" spans="1:49" x14ac:dyDescent="0.2">
      <c r="A179">
        <v>177</v>
      </c>
      <c r="B179" t="s">
        <v>7788</v>
      </c>
      <c r="C179" t="s">
        <v>7787</v>
      </c>
      <c r="F179" t="s">
        <v>7786</v>
      </c>
      <c r="G179" t="s">
        <v>15</v>
      </c>
      <c r="H179" t="s">
        <v>14</v>
      </c>
      <c r="I179" t="s">
        <v>7785</v>
      </c>
      <c r="J179" t="s">
        <v>7784</v>
      </c>
      <c r="K179" t="s">
        <v>7783</v>
      </c>
      <c r="L179" t="s">
        <v>7782</v>
      </c>
      <c r="M179" t="s">
        <v>7781</v>
      </c>
      <c r="N179">
        <v>3</v>
      </c>
      <c r="O179" t="s">
        <v>7780</v>
      </c>
      <c r="P179" t="s">
        <v>7779</v>
      </c>
      <c r="Q179" t="s">
        <v>7778</v>
      </c>
      <c r="R179" s="7">
        <v>32143</v>
      </c>
      <c r="S179" s="8">
        <f t="shared" si="24"/>
        <v>1988</v>
      </c>
      <c r="T179" s="8">
        <v>1988</v>
      </c>
      <c r="U179" s="8">
        <f t="shared" si="25"/>
        <v>34</v>
      </c>
      <c r="V179" s="7">
        <v>32295</v>
      </c>
      <c r="W179" t="s">
        <v>335</v>
      </c>
      <c r="X179" s="2">
        <v>0.66800000000000004</v>
      </c>
      <c r="Y179" s="6">
        <f t="shared" si="22"/>
        <v>1.7831878486959774E-2</v>
      </c>
      <c r="AA179" t="s">
        <v>334</v>
      </c>
      <c r="AB179">
        <v>29593</v>
      </c>
      <c r="AC179">
        <v>21553165</v>
      </c>
      <c r="AD179" t="s">
        <v>4</v>
      </c>
      <c r="AE179">
        <v>27</v>
      </c>
      <c r="AF179">
        <v>11</v>
      </c>
      <c r="AH179" t="s">
        <v>7777</v>
      </c>
      <c r="AI179" t="s">
        <v>7776</v>
      </c>
      <c r="AK179" t="s">
        <v>7775</v>
      </c>
      <c r="AL179">
        <v>6</v>
      </c>
      <c r="AM179" s="5">
        <f t="shared" si="26"/>
        <v>0.17647058823529413</v>
      </c>
      <c r="AN179" s="4">
        <f t="shared" si="23"/>
        <v>2.6727843731206988E-4</v>
      </c>
      <c r="AO179" s="3"/>
      <c r="AP179">
        <v>0</v>
      </c>
      <c r="AR179" t="s">
        <v>0</v>
      </c>
      <c r="AT179" s="2">
        <v>1.98</v>
      </c>
      <c r="AU179" s="1">
        <f t="shared" si="27"/>
        <v>1.2562498472065462</v>
      </c>
      <c r="AV179" s="1">
        <f t="shared" si="28"/>
        <v>0.90495784621359221</v>
      </c>
      <c r="AW179" s="1">
        <f t="shared" si="29"/>
        <v>0.55366584522063811</v>
      </c>
    </row>
    <row r="180" spans="1:49" x14ac:dyDescent="0.2">
      <c r="A180">
        <v>178</v>
      </c>
      <c r="B180" t="s">
        <v>7774</v>
      </c>
      <c r="C180" t="s">
        <v>7773</v>
      </c>
      <c r="F180" t="s">
        <v>7772</v>
      </c>
      <c r="G180" t="s">
        <v>15</v>
      </c>
      <c r="H180" t="s">
        <v>14</v>
      </c>
      <c r="I180" t="s">
        <v>7771</v>
      </c>
      <c r="J180">
        <v>60030318</v>
      </c>
      <c r="K180" t="s">
        <v>7770</v>
      </c>
      <c r="L180" t="s">
        <v>7769</v>
      </c>
      <c r="M180" t="s">
        <v>1725</v>
      </c>
      <c r="N180">
        <v>3</v>
      </c>
      <c r="O180" t="s">
        <v>7768</v>
      </c>
      <c r="P180" t="s">
        <v>7767</v>
      </c>
      <c r="Q180" t="s">
        <v>7766</v>
      </c>
      <c r="R180" s="7">
        <v>32143</v>
      </c>
      <c r="S180" s="8">
        <f t="shared" si="24"/>
        <v>1988</v>
      </c>
      <c r="T180" s="8">
        <v>1988</v>
      </c>
      <c r="U180" s="8">
        <f t="shared" si="25"/>
        <v>34</v>
      </c>
      <c r="V180" s="7">
        <v>32143</v>
      </c>
      <c r="W180" t="s">
        <v>7765</v>
      </c>
      <c r="X180" s="2" t="s">
        <v>19</v>
      </c>
      <c r="Y180" s="6" t="e">
        <f t="shared" si="22"/>
        <v>#VALUE!</v>
      </c>
      <c r="AA180">
        <v>170070</v>
      </c>
      <c r="AB180">
        <v>68722</v>
      </c>
      <c r="AD180" t="s">
        <v>4</v>
      </c>
      <c r="AE180">
        <v>122</v>
      </c>
      <c r="AH180">
        <v>163</v>
      </c>
      <c r="AL180">
        <v>0</v>
      </c>
      <c r="AM180" s="5">
        <f t="shared" si="26"/>
        <v>0</v>
      </c>
      <c r="AN180" s="4">
        <f t="shared" si="23"/>
        <v>0</v>
      </c>
      <c r="AO180" s="3"/>
      <c r="AP180">
        <v>0</v>
      </c>
      <c r="AR180" t="s">
        <v>0</v>
      </c>
      <c r="AT180" s="2" t="s">
        <v>19</v>
      </c>
      <c r="AU180" s="1" t="e">
        <f t="shared" si="27"/>
        <v>#VALUE!</v>
      </c>
      <c r="AV180" s="1" t="e">
        <f t="shared" si="28"/>
        <v>#VALUE!</v>
      </c>
      <c r="AW180" s="1" t="e">
        <f t="shared" si="29"/>
        <v>#VALUE!</v>
      </c>
    </row>
    <row r="181" spans="1:49" x14ac:dyDescent="0.2">
      <c r="A181">
        <v>179</v>
      </c>
      <c r="B181" t="s">
        <v>7764</v>
      </c>
      <c r="C181" t="s">
        <v>2768</v>
      </c>
      <c r="F181" t="s">
        <v>7763</v>
      </c>
      <c r="G181" t="s">
        <v>15</v>
      </c>
      <c r="H181" t="s">
        <v>14</v>
      </c>
      <c r="R181" s="7">
        <v>32143</v>
      </c>
      <c r="S181" s="8">
        <f t="shared" si="24"/>
        <v>1988</v>
      </c>
      <c r="T181" s="8">
        <v>1988</v>
      </c>
      <c r="U181" s="8">
        <f t="shared" si="25"/>
        <v>34</v>
      </c>
      <c r="V181" s="7">
        <v>32234</v>
      </c>
      <c r="W181" t="s">
        <v>2763</v>
      </c>
      <c r="X181" s="2">
        <v>1.774</v>
      </c>
      <c r="Y181" s="6">
        <f t="shared" si="22"/>
        <v>4.7355916820159633E-2</v>
      </c>
      <c r="AA181">
        <v>295515</v>
      </c>
      <c r="AB181">
        <v>29066</v>
      </c>
      <c r="AC181">
        <v>17414326</v>
      </c>
      <c r="AD181" t="s">
        <v>4</v>
      </c>
      <c r="AE181">
        <v>28</v>
      </c>
      <c r="AF181">
        <v>4</v>
      </c>
      <c r="AH181" t="s">
        <v>7762</v>
      </c>
      <c r="AI181" t="s">
        <v>7761</v>
      </c>
      <c r="AK181" t="s">
        <v>7760</v>
      </c>
      <c r="AL181">
        <v>0</v>
      </c>
      <c r="AM181" s="5">
        <f t="shared" si="26"/>
        <v>0</v>
      </c>
      <c r="AN181" s="4">
        <f t="shared" si="23"/>
        <v>0</v>
      </c>
      <c r="AO181" s="3"/>
      <c r="AP181">
        <v>0</v>
      </c>
      <c r="AR181" t="s">
        <v>0</v>
      </c>
      <c r="AT181" s="2">
        <v>3.1789999999999998</v>
      </c>
      <c r="AU181" s="1">
        <f t="shared" si="27"/>
        <v>3.3149141774111741</v>
      </c>
      <c r="AV181" s="1">
        <f t="shared" si="28"/>
        <v>2.3677958410079816</v>
      </c>
      <c r="AW181" s="1">
        <f t="shared" si="29"/>
        <v>1.4206775046047888</v>
      </c>
    </row>
    <row r="182" spans="1:49" x14ac:dyDescent="0.2">
      <c r="A182">
        <v>180</v>
      </c>
      <c r="B182" t="s">
        <v>7759</v>
      </c>
      <c r="C182" t="s">
        <v>7758</v>
      </c>
      <c r="F182" t="s">
        <v>7757</v>
      </c>
      <c r="G182" t="s">
        <v>15</v>
      </c>
      <c r="H182" t="s">
        <v>14</v>
      </c>
      <c r="I182" t="s">
        <v>7756</v>
      </c>
      <c r="J182">
        <v>60003381</v>
      </c>
      <c r="K182" t="s">
        <v>7755</v>
      </c>
      <c r="L182" t="s">
        <v>212</v>
      </c>
      <c r="M182" t="s">
        <v>211</v>
      </c>
      <c r="N182">
        <v>5</v>
      </c>
      <c r="O182" t="s">
        <v>7754</v>
      </c>
      <c r="P182" t="s">
        <v>7753</v>
      </c>
      <c r="Q182" t="s">
        <v>7752</v>
      </c>
      <c r="R182" s="7">
        <v>32143</v>
      </c>
      <c r="S182" s="8">
        <f t="shared" si="24"/>
        <v>1988</v>
      </c>
      <c r="T182" s="8">
        <v>1988</v>
      </c>
      <c r="U182" s="8">
        <f t="shared" si="25"/>
        <v>34</v>
      </c>
      <c r="V182" s="7">
        <v>32143</v>
      </c>
      <c r="W182" t="s">
        <v>3207</v>
      </c>
      <c r="X182" s="2">
        <v>0.371</v>
      </c>
      <c r="Y182" s="6">
        <f t="shared" si="22"/>
        <v>9.9036331117695747E-3</v>
      </c>
      <c r="AA182">
        <v>214922</v>
      </c>
      <c r="AB182">
        <v>130262</v>
      </c>
      <c r="AC182">
        <v>13474065</v>
      </c>
      <c r="AD182" t="s">
        <v>4</v>
      </c>
      <c r="AE182">
        <v>27</v>
      </c>
      <c r="AF182" t="s">
        <v>7751</v>
      </c>
      <c r="AH182" t="s">
        <v>7750</v>
      </c>
      <c r="AI182" t="s">
        <v>7749</v>
      </c>
      <c r="AK182" t="s">
        <v>7748</v>
      </c>
      <c r="AL182">
        <v>19</v>
      </c>
      <c r="AM182" s="5">
        <f t="shared" si="26"/>
        <v>0.55882352941176472</v>
      </c>
      <c r="AN182" s="4">
        <f t="shared" si="23"/>
        <v>8.4638171815488788E-4</v>
      </c>
      <c r="AO182" s="3"/>
      <c r="AP182">
        <v>0</v>
      </c>
      <c r="AR182" t="s">
        <v>0</v>
      </c>
      <c r="AT182" s="2">
        <v>1.48</v>
      </c>
      <c r="AU182" s="1">
        <f t="shared" si="27"/>
        <v>0.71864576936851687</v>
      </c>
      <c r="AV182" s="1">
        <f t="shared" si="28"/>
        <v>0.53750074149622318</v>
      </c>
      <c r="AW182" s="1">
        <f t="shared" si="29"/>
        <v>0.35635571362392937</v>
      </c>
    </row>
    <row r="183" spans="1:49" x14ac:dyDescent="0.2">
      <c r="A183">
        <v>181</v>
      </c>
      <c r="B183" t="s">
        <v>7747</v>
      </c>
      <c r="C183" t="s">
        <v>7746</v>
      </c>
      <c r="F183" t="s">
        <v>7745</v>
      </c>
      <c r="G183" t="s">
        <v>15</v>
      </c>
      <c r="H183" t="s">
        <v>14</v>
      </c>
      <c r="I183" t="s">
        <v>7744</v>
      </c>
      <c r="J183">
        <v>60013494</v>
      </c>
      <c r="K183" t="s">
        <v>7743</v>
      </c>
      <c r="L183" t="s">
        <v>7742</v>
      </c>
      <c r="M183" t="s">
        <v>1725</v>
      </c>
      <c r="N183">
        <v>1</v>
      </c>
      <c r="O183" t="s">
        <v>7741</v>
      </c>
      <c r="P183">
        <v>7005038211</v>
      </c>
      <c r="Q183">
        <v>60013494</v>
      </c>
      <c r="R183" s="7">
        <v>32143</v>
      </c>
      <c r="S183" s="8">
        <f t="shared" si="24"/>
        <v>1988</v>
      </c>
      <c r="T183" s="8">
        <v>1988</v>
      </c>
      <c r="U183" s="8">
        <f t="shared" si="25"/>
        <v>34</v>
      </c>
      <c r="V183" s="7">
        <v>32143</v>
      </c>
      <c r="W183" t="s">
        <v>7740</v>
      </c>
      <c r="X183" s="2" t="s">
        <v>19</v>
      </c>
      <c r="Y183" s="6" t="e">
        <f t="shared" si="22"/>
        <v>#VALUE!</v>
      </c>
      <c r="AA183">
        <v>3734137</v>
      </c>
      <c r="AB183">
        <v>21100438727</v>
      </c>
      <c r="AD183" t="s">
        <v>4</v>
      </c>
      <c r="AE183">
        <v>55</v>
      </c>
      <c r="AF183" s="9">
        <v>44287</v>
      </c>
      <c r="AH183" t="s">
        <v>7739</v>
      </c>
      <c r="AI183" t="s">
        <v>7738</v>
      </c>
      <c r="AJ183" t="s">
        <v>7737</v>
      </c>
      <c r="AK183" t="s">
        <v>7736</v>
      </c>
      <c r="AL183">
        <v>16</v>
      </c>
      <c r="AM183" s="5">
        <f t="shared" si="26"/>
        <v>0.47058823529411764</v>
      </c>
      <c r="AN183" s="4">
        <f t="shared" si="23"/>
        <v>7.1274249949885291E-4</v>
      </c>
      <c r="AO183" s="3"/>
      <c r="AP183">
        <v>1</v>
      </c>
      <c r="AR183" t="s">
        <v>0</v>
      </c>
      <c r="AT183" s="2" t="s">
        <v>19</v>
      </c>
      <c r="AU183" s="1" t="e">
        <f t="shared" si="27"/>
        <v>#VALUE!</v>
      </c>
      <c r="AV183" s="1" t="e">
        <f t="shared" si="28"/>
        <v>#VALUE!</v>
      </c>
      <c r="AW183" s="1" t="e">
        <f t="shared" si="29"/>
        <v>#VALUE!</v>
      </c>
    </row>
    <row r="184" spans="1:49" x14ac:dyDescent="0.2">
      <c r="A184">
        <v>182</v>
      </c>
      <c r="B184" t="s">
        <v>7735</v>
      </c>
      <c r="C184" t="s">
        <v>7734</v>
      </c>
      <c r="F184" t="s">
        <v>7566</v>
      </c>
      <c r="G184" t="s">
        <v>15</v>
      </c>
      <c r="H184" t="s">
        <v>14</v>
      </c>
      <c r="I184" t="s">
        <v>7565</v>
      </c>
      <c r="J184">
        <v>60020818</v>
      </c>
      <c r="K184" t="s">
        <v>2048</v>
      </c>
      <c r="L184" t="s">
        <v>2047</v>
      </c>
      <c r="M184" t="s">
        <v>31</v>
      </c>
      <c r="N184">
        <v>1</v>
      </c>
      <c r="O184" t="s">
        <v>7564</v>
      </c>
      <c r="P184">
        <v>57189501138</v>
      </c>
      <c r="Q184">
        <v>60020818</v>
      </c>
      <c r="R184" s="7">
        <v>32143</v>
      </c>
      <c r="S184" s="8">
        <f t="shared" si="24"/>
        <v>1988</v>
      </c>
      <c r="T184" s="8">
        <v>1988</v>
      </c>
      <c r="U184" s="8">
        <f t="shared" si="25"/>
        <v>34</v>
      </c>
      <c r="V184" s="7">
        <v>32295</v>
      </c>
      <c r="W184" s="11" t="s">
        <v>7563</v>
      </c>
      <c r="X184" s="2">
        <v>1.3280000000000001</v>
      </c>
      <c r="Y184" s="6">
        <f t="shared" si="22"/>
        <v>3.5450201542937994E-2</v>
      </c>
      <c r="AA184">
        <v>21680329</v>
      </c>
      <c r="AB184">
        <v>21100399421</v>
      </c>
      <c r="AD184" t="s">
        <v>4</v>
      </c>
      <c r="AE184">
        <v>30</v>
      </c>
      <c r="AF184">
        <v>3</v>
      </c>
      <c r="AH184" t="s">
        <v>7733</v>
      </c>
      <c r="AL184">
        <v>0</v>
      </c>
      <c r="AM184" s="5">
        <f t="shared" si="26"/>
        <v>0</v>
      </c>
      <c r="AN184" s="4">
        <f t="shared" si="23"/>
        <v>0</v>
      </c>
      <c r="AO184" s="3"/>
      <c r="AP184">
        <v>0</v>
      </c>
      <c r="AR184" t="s">
        <v>0</v>
      </c>
      <c r="AT184" s="2" t="s">
        <v>19</v>
      </c>
      <c r="AU184" s="1">
        <f t="shared" si="27"/>
        <v>2.4815141080056597</v>
      </c>
      <c r="AV184" s="1">
        <f t="shared" si="28"/>
        <v>1.7725100771468998</v>
      </c>
      <c r="AW184" s="1">
        <f t="shared" si="29"/>
        <v>1.0635060462881398</v>
      </c>
    </row>
    <row r="185" spans="1:49" x14ac:dyDescent="0.2">
      <c r="A185">
        <v>183</v>
      </c>
      <c r="B185" t="s">
        <v>7732</v>
      </c>
      <c r="C185" t="s">
        <v>7731</v>
      </c>
      <c r="F185" t="s">
        <v>7730</v>
      </c>
      <c r="G185" t="s">
        <v>15</v>
      </c>
      <c r="H185" t="s">
        <v>14</v>
      </c>
      <c r="I185" t="s">
        <v>7729</v>
      </c>
      <c r="J185">
        <v>60025063</v>
      </c>
      <c r="K185" t="s">
        <v>5232</v>
      </c>
      <c r="L185" t="s">
        <v>5231</v>
      </c>
      <c r="M185" t="s">
        <v>1481</v>
      </c>
      <c r="N185">
        <v>1</v>
      </c>
      <c r="O185" t="s">
        <v>7728</v>
      </c>
      <c r="P185">
        <v>7003998197</v>
      </c>
      <c r="Q185">
        <v>60025063</v>
      </c>
      <c r="R185" s="7">
        <v>32143</v>
      </c>
      <c r="S185" s="8">
        <f t="shared" si="24"/>
        <v>1988</v>
      </c>
      <c r="T185" s="8">
        <v>1988</v>
      </c>
      <c r="U185" s="8">
        <f t="shared" si="25"/>
        <v>34</v>
      </c>
      <c r="V185" s="7">
        <v>32234</v>
      </c>
      <c r="W185" s="11" t="s">
        <v>7563</v>
      </c>
      <c r="X185" s="2">
        <v>1.3280000000000001</v>
      </c>
      <c r="Y185" s="6">
        <f t="shared" si="22"/>
        <v>3.5450201542937994E-2</v>
      </c>
      <c r="AA185">
        <v>21680329</v>
      </c>
      <c r="AB185">
        <v>21100399421</v>
      </c>
      <c r="AD185" t="s">
        <v>4</v>
      </c>
      <c r="AE185">
        <v>30</v>
      </c>
      <c r="AF185">
        <v>2</v>
      </c>
      <c r="AH185" t="s">
        <v>7727</v>
      </c>
      <c r="AL185">
        <v>0</v>
      </c>
      <c r="AM185" s="5">
        <f t="shared" si="26"/>
        <v>0</v>
      </c>
      <c r="AN185" s="4">
        <f t="shared" si="23"/>
        <v>0</v>
      </c>
      <c r="AO185" s="3"/>
      <c r="AP185">
        <v>0</v>
      </c>
      <c r="AQ185" t="s">
        <v>2999</v>
      </c>
      <c r="AR185" t="s">
        <v>0</v>
      </c>
      <c r="AS185" t="s">
        <v>2997</v>
      </c>
      <c r="AT185" s="2" t="s">
        <v>19</v>
      </c>
      <c r="AU185" s="1">
        <f t="shared" si="27"/>
        <v>2.4815141080056597</v>
      </c>
      <c r="AV185" s="1">
        <f t="shared" si="28"/>
        <v>1.7725100771468998</v>
      </c>
      <c r="AW185" s="1">
        <f t="shared" si="29"/>
        <v>1.0635060462881398</v>
      </c>
    </row>
    <row r="186" spans="1:49" x14ac:dyDescent="0.2">
      <c r="A186">
        <v>184</v>
      </c>
      <c r="B186" t="s">
        <v>7726</v>
      </c>
      <c r="C186" t="s">
        <v>7725</v>
      </c>
      <c r="F186" t="s">
        <v>7566</v>
      </c>
      <c r="G186" t="s">
        <v>15</v>
      </c>
      <c r="H186" t="s">
        <v>14</v>
      </c>
      <c r="I186" t="s">
        <v>7724</v>
      </c>
      <c r="J186">
        <v>60020818</v>
      </c>
      <c r="K186" t="s">
        <v>2048</v>
      </c>
      <c r="L186" t="s">
        <v>2047</v>
      </c>
      <c r="M186" t="s">
        <v>31</v>
      </c>
      <c r="N186">
        <v>1</v>
      </c>
      <c r="O186" t="s">
        <v>7723</v>
      </c>
      <c r="P186">
        <v>56981012200</v>
      </c>
      <c r="Q186">
        <v>60020818</v>
      </c>
      <c r="R186" s="7">
        <v>32143</v>
      </c>
      <c r="S186" s="8">
        <f t="shared" si="24"/>
        <v>1988</v>
      </c>
      <c r="T186" s="8">
        <v>1988</v>
      </c>
      <c r="U186" s="8">
        <f t="shared" si="25"/>
        <v>34</v>
      </c>
      <c r="V186" s="7">
        <v>32234</v>
      </c>
      <c r="W186" s="11" t="s">
        <v>7563</v>
      </c>
      <c r="X186" s="2">
        <v>1.3280000000000001</v>
      </c>
      <c r="Y186" s="6">
        <f t="shared" si="22"/>
        <v>3.5450201542937994E-2</v>
      </c>
      <c r="AA186">
        <v>21680329</v>
      </c>
      <c r="AB186">
        <v>21100399421</v>
      </c>
      <c r="AD186" t="s">
        <v>4</v>
      </c>
      <c r="AE186">
        <v>30</v>
      </c>
      <c r="AF186">
        <v>2</v>
      </c>
      <c r="AH186" t="s">
        <v>7722</v>
      </c>
      <c r="AL186">
        <v>0</v>
      </c>
      <c r="AM186" s="5">
        <f t="shared" si="26"/>
        <v>0</v>
      </c>
      <c r="AN186" s="4">
        <f t="shared" si="23"/>
        <v>0</v>
      </c>
      <c r="AO186" s="3"/>
      <c r="AP186">
        <v>0</v>
      </c>
      <c r="AR186" t="s">
        <v>0</v>
      </c>
      <c r="AT186" s="2" t="s">
        <v>19</v>
      </c>
      <c r="AU186" s="1">
        <f t="shared" si="27"/>
        <v>2.4815141080056597</v>
      </c>
      <c r="AV186" s="1">
        <f t="shared" si="28"/>
        <v>1.7725100771468998</v>
      </c>
      <c r="AW186" s="1">
        <f t="shared" si="29"/>
        <v>1.0635060462881398</v>
      </c>
    </row>
    <row r="187" spans="1:49" x14ac:dyDescent="0.2">
      <c r="A187">
        <v>185</v>
      </c>
      <c r="B187" t="s">
        <v>7721</v>
      </c>
      <c r="C187" t="s">
        <v>7720</v>
      </c>
      <c r="F187" t="s">
        <v>7719</v>
      </c>
      <c r="G187" t="s">
        <v>15</v>
      </c>
      <c r="H187" t="s">
        <v>14</v>
      </c>
      <c r="I187" t="s">
        <v>2620</v>
      </c>
      <c r="J187">
        <v>60030526</v>
      </c>
      <c r="K187" t="s">
        <v>2619</v>
      </c>
      <c r="L187" t="s">
        <v>212</v>
      </c>
      <c r="M187" t="s">
        <v>211</v>
      </c>
      <c r="N187">
        <v>1</v>
      </c>
      <c r="O187" t="s">
        <v>7718</v>
      </c>
      <c r="P187">
        <v>55633340100</v>
      </c>
      <c r="Q187">
        <v>60030526</v>
      </c>
      <c r="R187" s="7">
        <v>32143</v>
      </c>
      <c r="S187" s="8">
        <f t="shared" si="24"/>
        <v>1988</v>
      </c>
      <c r="T187" s="8">
        <v>1988</v>
      </c>
      <c r="U187" s="8">
        <f t="shared" si="25"/>
        <v>34</v>
      </c>
      <c r="V187" s="7">
        <v>32295</v>
      </c>
      <c r="W187" s="11" t="s">
        <v>7563</v>
      </c>
      <c r="X187" s="2">
        <v>1.3280000000000001</v>
      </c>
      <c r="Y187" s="6">
        <f t="shared" si="22"/>
        <v>3.5450201542937994E-2</v>
      </c>
      <c r="AA187">
        <v>21680329</v>
      </c>
      <c r="AB187">
        <v>21100399421</v>
      </c>
      <c r="AD187" t="s">
        <v>4</v>
      </c>
      <c r="AE187">
        <v>30</v>
      </c>
      <c r="AF187">
        <v>3</v>
      </c>
      <c r="AH187" t="s">
        <v>7717</v>
      </c>
      <c r="AL187">
        <v>0</v>
      </c>
      <c r="AM187" s="5">
        <f t="shared" si="26"/>
        <v>0</v>
      </c>
      <c r="AN187" s="4">
        <f t="shared" si="23"/>
        <v>0</v>
      </c>
      <c r="AO187" s="3"/>
      <c r="AP187">
        <v>0</v>
      </c>
      <c r="AR187" t="s">
        <v>0</v>
      </c>
      <c r="AT187" s="2" t="s">
        <v>19</v>
      </c>
      <c r="AU187" s="1">
        <f t="shared" si="27"/>
        <v>2.4815141080056597</v>
      </c>
      <c r="AV187" s="1">
        <f t="shared" si="28"/>
        <v>1.7725100771468998</v>
      </c>
      <c r="AW187" s="1">
        <f t="shared" si="29"/>
        <v>1.0635060462881398</v>
      </c>
    </row>
    <row r="188" spans="1:49" x14ac:dyDescent="0.2">
      <c r="A188">
        <v>186</v>
      </c>
      <c r="B188" t="s">
        <v>7716</v>
      </c>
      <c r="C188" t="s">
        <v>7715</v>
      </c>
      <c r="F188" t="s">
        <v>7566</v>
      </c>
      <c r="G188" t="s">
        <v>15</v>
      </c>
      <c r="H188" t="s">
        <v>14</v>
      </c>
      <c r="I188" t="s">
        <v>7565</v>
      </c>
      <c r="J188">
        <v>60020818</v>
      </c>
      <c r="K188" t="s">
        <v>2048</v>
      </c>
      <c r="L188" t="s">
        <v>2047</v>
      </c>
      <c r="M188" t="s">
        <v>31</v>
      </c>
      <c r="N188">
        <v>1</v>
      </c>
      <c r="O188" t="s">
        <v>7564</v>
      </c>
      <c r="P188">
        <v>57189501138</v>
      </c>
      <c r="Q188">
        <v>60020818</v>
      </c>
      <c r="R188" s="7">
        <v>32143</v>
      </c>
      <c r="S188" s="8">
        <f t="shared" si="24"/>
        <v>1988</v>
      </c>
      <c r="T188" s="8">
        <v>1988</v>
      </c>
      <c r="U188" s="8">
        <f t="shared" si="25"/>
        <v>34</v>
      </c>
      <c r="V188" s="7">
        <v>32417</v>
      </c>
      <c r="W188" s="11" t="s">
        <v>7563</v>
      </c>
      <c r="X188" s="2">
        <v>1.3280000000000001</v>
      </c>
      <c r="Y188" s="6">
        <f t="shared" si="22"/>
        <v>3.5450201542937994E-2</v>
      </c>
      <c r="AA188">
        <v>21680329</v>
      </c>
      <c r="AB188">
        <v>21100399421</v>
      </c>
      <c r="AD188" t="s">
        <v>4</v>
      </c>
      <c r="AE188">
        <v>30</v>
      </c>
      <c r="AF188">
        <v>5</v>
      </c>
      <c r="AH188" t="s">
        <v>7714</v>
      </c>
      <c r="AL188">
        <v>0</v>
      </c>
      <c r="AM188" s="5">
        <f t="shared" si="26"/>
        <v>0</v>
      </c>
      <c r="AN188" s="4">
        <f t="shared" si="23"/>
        <v>0</v>
      </c>
      <c r="AO188" s="3"/>
      <c r="AP188">
        <v>0</v>
      </c>
      <c r="AR188" t="s">
        <v>0</v>
      </c>
      <c r="AT188" s="2" t="s">
        <v>19</v>
      </c>
      <c r="AU188" s="1">
        <f t="shared" si="27"/>
        <v>2.4815141080056597</v>
      </c>
      <c r="AV188" s="1">
        <f t="shared" si="28"/>
        <v>1.7725100771468998</v>
      </c>
      <c r="AW188" s="1">
        <f t="shared" si="29"/>
        <v>1.0635060462881398</v>
      </c>
    </row>
    <row r="189" spans="1:49" x14ac:dyDescent="0.2">
      <c r="A189">
        <v>187</v>
      </c>
      <c r="B189" t="s">
        <v>7713</v>
      </c>
      <c r="C189" t="s">
        <v>7712</v>
      </c>
      <c r="F189" t="s">
        <v>7711</v>
      </c>
      <c r="G189" t="s">
        <v>15</v>
      </c>
      <c r="H189" t="s">
        <v>14</v>
      </c>
      <c r="I189" t="s">
        <v>7710</v>
      </c>
      <c r="J189" t="s">
        <v>7705</v>
      </c>
      <c r="K189" t="s">
        <v>7709</v>
      </c>
      <c r="L189" t="s">
        <v>7708</v>
      </c>
      <c r="M189" t="s">
        <v>352</v>
      </c>
      <c r="N189">
        <v>2</v>
      </c>
      <c r="O189" t="s">
        <v>7707</v>
      </c>
      <c r="P189" t="s">
        <v>7706</v>
      </c>
      <c r="Q189" t="s">
        <v>7705</v>
      </c>
      <c r="R189" s="7">
        <v>32143</v>
      </c>
      <c r="S189" s="8">
        <f t="shared" si="24"/>
        <v>1988</v>
      </c>
      <c r="T189" s="8">
        <v>1988</v>
      </c>
      <c r="U189" s="8">
        <f t="shared" si="25"/>
        <v>34</v>
      </c>
      <c r="V189" s="7">
        <v>32478</v>
      </c>
      <c r="W189" s="11" t="s">
        <v>7563</v>
      </c>
      <c r="X189" s="2">
        <v>1.3280000000000001</v>
      </c>
      <c r="Y189" s="6">
        <f t="shared" si="22"/>
        <v>3.5450201542937994E-2</v>
      </c>
      <c r="AA189">
        <v>21680329</v>
      </c>
      <c r="AB189">
        <v>21100399421</v>
      </c>
      <c r="AD189" t="s">
        <v>4</v>
      </c>
      <c r="AE189">
        <v>30</v>
      </c>
      <c r="AF189">
        <v>6</v>
      </c>
      <c r="AH189" s="9">
        <v>44474</v>
      </c>
      <c r="AL189">
        <v>0</v>
      </c>
      <c r="AM189" s="5">
        <f t="shared" si="26"/>
        <v>0</v>
      </c>
      <c r="AN189" s="4">
        <f t="shared" si="23"/>
        <v>0</v>
      </c>
      <c r="AO189" s="3"/>
      <c r="AP189">
        <v>0</v>
      </c>
      <c r="AR189" t="s">
        <v>0</v>
      </c>
      <c r="AT189" s="2" t="s">
        <v>19</v>
      </c>
      <c r="AU189" s="1">
        <f t="shared" si="27"/>
        <v>2.4815141080056597</v>
      </c>
      <c r="AV189" s="1">
        <f t="shared" si="28"/>
        <v>1.7725100771468998</v>
      </c>
      <c r="AW189" s="1">
        <f t="shared" si="29"/>
        <v>1.0635060462881398</v>
      </c>
    </row>
    <row r="190" spans="1:49" x14ac:dyDescent="0.2">
      <c r="A190">
        <v>188</v>
      </c>
      <c r="B190" t="s">
        <v>7704</v>
      </c>
      <c r="C190" t="s">
        <v>7703</v>
      </c>
      <c r="F190" t="s">
        <v>7566</v>
      </c>
      <c r="G190" t="s">
        <v>15</v>
      </c>
      <c r="H190" t="s">
        <v>14</v>
      </c>
      <c r="I190" t="s">
        <v>7565</v>
      </c>
      <c r="J190">
        <v>60020818</v>
      </c>
      <c r="K190" t="s">
        <v>2048</v>
      </c>
      <c r="L190" t="s">
        <v>2047</v>
      </c>
      <c r="M190" t="s">
        <v>31</v>
      </c>
      <c r="N190">
        <v>1</v>
      </c>
      <c r="O190" t="s">
        <v>7564</v>
      </c>
      <c r="P190">
        <v>57189501138</v>
      </c>
      <c r="Q190">
        <v>60020818</v>
      </c>
      <c r="R190" s="7">
        <v>32143</v>
      </c>
      <c r="S190" s="8">
        <f t="shared" si="24"/>
        <v>1988</v>
      </c>
      <c r="T190" s="8">
        <v>1988</v>
      </c>
      <c r="U190" s="8">
        <f t="shared" si="25"/>
        <v>34</v>
      </c>
      <c r="V190" s="7">
        <v>32356</v>
      </c>
      <c r="W190" s="11" t="s">
        <v>7563</v>
      </c>
      <c r="X190" s="2">
        <v>1.3280000000000001</v>
      </c>
      <c r="Y190" s="6">
        <f t="shared" si="22"/>
        <v>3.5450201542937994E-2</v>
      </c>
      <c r="AA190">
        <v>21680329</v>
      </c>
      <c r="AB190">
        <v>21100399421</v>
      </c>
      <c r="AD190" t="s">
        <v>4</v>
      </c>
      <c r="AE190">
        <v>30</v>
      </c>
      <c r="AF190">
        <v>4</v>
      </c>
      <c r="AH190">
        <v>33</v>
      </c>
      <c r="AL190">
        <v>0</v>
      </c>
      <c r="AM190" s="5">
        <f t="shared" si="26"/>
        <v>0</v>
      </c>
      <c r="AN190" s="4">
        <f t="shared" si="23"/>
        <v>0</v>
      </c>
      <c r="AO190" s="3"/>
      <c r="AP190">
        <v>0</v>
      </c>
      <c r="AR190" t="s">
        <v>0</v>
      </c>
      <c r="AT190" s="2" t="s">
        <v>19</v>
      </c>
      <c r="AU190" s="1">
        <f t="shared" si="27"/>
        <v>2.4815141080056597</v>
      </c>
      <c r="AV190" s="1">
        <f t="shared" si="28"/>
        <v>1.7725100771468998</v>
      </c>
      <c r="AW190" s="1">
        <f t="shared" si="29"/>
        <v>1.0635060462881398</v>
      </c>
    </row>
    <row r="191" spans="1:49" x14ac:dyDescent="0.2">
      <c r="A191">
        <v>189</v>
      </c>
      <c r="B191" t="s">
        <v>7702</v>
      </c>
      <c r="C191" t="s">
        <v>7701</v>
      </c>
      <c r="F191" t="s">
        <v>7566</v>
      </c>
      <c r="G191" t="s">
        <v>15</v>
      </c>
      <c r="H191" t="s">
        <v>14</v>
      </c>
      <c r="I191" t="s">
        <v>7565</v>
      </c>
      <c r="J191">
        <v>60020818</v>
      </c>
      <c r="K191" t="s">
        <v>2048</v>
      </c>
      <c r="L191" t="s">
        <v>2047</v>
      </c>
      <c r="M191" t="s">
        <v>31</v>
      </c>
      <c r="N191">
        <v>1</v>
      </c>
      <c r="O191" t="s">
        <v>7564</v>
      </c>
      <c r="P191">
        <v>57189501138</v>
      </c>
      <c r="Q191">
        <v>60020818</v>
      </c>
      <c r="R191" s="7">
        <v>32143</v>
      </c>
      <c r="S191" s="8">
        <f t="shared" si="24"/>
        <v>1988</v>
      </c>
      <c r="T191" s="8">
        <v>1988</v>
      </c>
      <c r="U191" s="8">
        <f t="shared" si="25"/>
        <v>34</v>
      </c>
      <c r="V191" s="7">
        <v>32478</v>
      </c>
      <c r="W191" s="11" t="s">
        <v>7563</v>
      </c>
      <c r="X191" s="2">
        <v>1.3280000000000001</v>
      </c>
      <c r="Y191" s="6">
        <f t="shared" si="22"/>
        <v>3.5450201542937994E-2</v>
      </c>
      <c r="AA191">
        <v>21680329</v>
      </c>
      <c r="AB191">
        <v>21100399421</v>
      </c>
      <c r="AD191" t="s">
        <v>4</v>
      </c>
      <c r="AE191">
        <v>30</v>
      </c>
      <c r="AF191">
        <v>6</v>
      </c>
      <c r="AH191" t="s">
        <v>7700</v>
      </c>
      <c r="AL191">
        <v>0</v>
      </c>
      <c r="AM191" s="5">
        <f t="shared" si="26"/>
        <v>0</v>
      </c>
      <c r="AN191" s="4">
        <f t="shared" si="23"/>
        <v>0</v>
      </c>
      <c r="AO191" s="3"/>
      <c r="AP191">
        <v>0</v>
      </c>
      <c r="AR191" t="s">
        <v>0</v>
      </c>
      <c r="AT191" s="2" t="s">
        <v>19</v>
      </c>
      <c r="AU191" s="1">
        <f t="shared" si="27"/>
        <v>2.4815141080056597</v>
      </c>
      <c r="AV191" s="1">
        <f t="shared" si="28"/>
        <v>1.7725100771468998</v>
      </c>
      <c r="AW191" s="1">
        <f t="shared" si="29"/>
        <v>1.0635060462881398</v>
      </c>
    </row>
    <row r="192" spans="1:49" x14ac:dyDescent="0.2">
      <c r="A192">
        <v>190</v>
      </c>
      <c r="B192" t="s">
        <v>7699</v>
      </c>
      <c r="C192" t="s">
        <v>7698</v>
      </c>
      <c r="F192" t="s">
        <v>7697</v>
      </c>
      <c r="G192" t="s">
        <v>15</v>
      </c>
      <c r="H192" t="s">
        <v>14</v>
      </c>
      <c r="I192" t="s">
        <v>7696</v>
      </c>
      <c r="J192">
        <v>60103653</v>
      </c>
      <c r="K192" t="s">
        <v>7695</v>
      </c>
      <c r="L192" t="s">
        <v>7694</v>
      </c>
      <c r="M192" t="s">
        <v>1777</v>
      </c>
      <c r="N192">
        <v>1</v>
      </c>
      <c r="O192" t="s">
        <v>7693</v>
      </c>
      <c r="P192">
        <v>7102492958</v>
      </c>
      <c r="Q192">
        <v>60103653</v>
      </c>
      <c r="R192" s="7">
        <v>32143</v>
      </c>
      <c r="S192" s="8">
        <f t="shared" si="24"/>
        <v>1988</v>
      </c>
      <c r="T192" s="8">
        <v>1988</v>
      </c>
      <c r="U192" s="8">
        <f t="shared" si="25"/>
        <v>34</v>
      </c>
      <c r="V192" s="7">
        <v>32143</v>
      </c>
      <c r="W192" t="s">
        <v>6966</v>
      </c>
      <c r="X192" s="2">
        <v>0.28599999999999998</v>
      </c>
      <c r="Y192" s="6">
        <f t="shared" si="22"/>
        <v>7.6346066575905605E-3</v>
      </c>
      <c r="AA192">
        <v>9205071</v>
      </c>
      <c r="AB192">
        <v>28139</v>
      </c>
      <c r="AC192">
        <v>15693937</v>
      </c>
      <c r="AD192" t="s">
        <v>4</v>
      </c>
      <c r="AE192">
        <v>2</v>
      </c>
      <c r="AF192">
        <v>2</v>
      </c>
      <c r="AH192" t="s">
        <v>7692</v>
      </c>
      <c r="AI192" t="s">
        <v>7691</v>
      </c>
      <c r="AK192" t="s">
        <v>7690</v>
      </c>
      <c r="AL192">
        <v>0</v>
      </c>
      <c r="AM192" s="5">
        <f t="shared" si="26"/>
        <v>0</v>
      </c>
      <c r="AN192" s="4">
        <f t="shared" si="23"/>
        <v>0</v>
      </c>
      <c r="AO192" s="3"/>
      <c r="AP192">
        <v>0</v>
      </c>
      <c r="AQ192" t="s">
        <v>1636</v>
      </c>
      <c r="AR192" t="s">
        <v>7689</v>
      </c>
      <c r="AS192" t="s">
        <v>1634</v>
      </c>
      <c r="AT192" s="2" t="s">
        <v>19</v>
      </c>
      <c r="AU192" s="1">
        <f t="shared" si="27"/>
        <v>0.53442246603133925</v>
      </c>
      <c r="AV192" s="1">
        <f t="shared" si="28"/>
        <v>0.38173033287952801</v>
      </c>
      <c r="AW192" s="1">
        <f t="shared" si="29"/>
        <v>0.22903819972771683</v>
      </c>
    </row>
    <row r="193" spans="1:49" x14ac:dyDescent="0.2">
      <c r="A193">
        <v>191</v>
      </c>
      <c r="B193" t="s">
        <v>7688</v>
      </c>
      <c r="C193" t="s">
        <v>7687</v>
      </c>
      <c r="F193" t="s">
        <v>7686</v>
      </c>
      <c r="G193" t="s">
        <v>15</v>
      </c>
      <c r="H193" t="s">
        <v>14</v>
      </c>
      <c r="I193" t="s">
        <v>7685</v>
      </c>
      <c r="J193" t="s">
        <v>7684</v>
      </c>
      <c r="K193" t="s">
        <v>7683</v>
      </c>
      <c r="L193" t="s">
        <v>7682</v>
      </c>
      <c r="M193" t="s">
        <v>195</v>
      </c>
      <c r="N193">
        <v>4</v>
      </c>
      <c r="O193" t="s">
        <v>7681</v>
      </c>
      <c r="P193" t="s">
        <v>7680</v>
      </c>
      <c r="Q193" t="s">
        <v>7679</v>
      </c>
      <c r="R193" s="7">
        <v>32143</v>
      </c>
      <c r="S193" s="8">
        <f t="shared" si="24"/>
        <v>1988</v>
      </c>
      <c r="T193" s="8">
        <v>1988</v>
      </c>
      <c r="U193" s="8">
        <f t="shared" si="25"/>
        <v>34</v>
      </c>
      <c r="V193" s="7">
        <v>32143</v>
      </c>
      <c r="W193" t="s">
        <v>6966</v>
      </c>
      <c r="X193" s="2">
        <v>0.28599999999999998</v>
      </c>
      <c r="Y193" s="6">
        <f t="shared" si="22"/>
        <v>7.6346066575905605E-3</v>
      </c>
      <c r="AA193">
        <v>9205071</v>
      </c>
      <c r="AB193">
        <v>28139</v>
      </c>
      <c r="AC193">
        <v>15693937</v>
      </c>
      <c r="AD193" t="s">
        <v>4</v>
      </c>
      <c r="AE193">
        <v>2</v>
      </c>
      <c r="AF193">
        <v>1</v>
      </c>
      <c r="AH193" t="s">
        <v>7678</v>
      </c>
      <c r="AI193" t="s">
        <v>7677</v>
      </c>
      <c r="AK193" t="s">
        <v>7676</v>
      </c>
      <c r="AL193">
        <v>0</v>
      </c>
      <c r="AM193" s="5">
        <f t="shared" si="26"/>
        <v>0</v>
      </c>
      <c r="AN193" s="4">
        <f t="shared" si="23"/>
        <v>0</v>
      </c>
      <c r="AO193" s="3"/>
      <c r="AP193">
        <v>0</v>
      </c>
      <c r="AR193" t="s">
        <v>0</v>
      </c>
      <c r="AT193" s="2" t="s">
        <v>19</v>
      </c>
      <c r="AU193" s="1">
        <f t="shared" si="27"/>
        <v>0.53442246603133925</v>
      </c>
      <c r="AV193" s="1">
        <f t="shared" si="28"/>
        <v>0.38173033287952801</v>
      </c>
      <c r="AW193" s="1">
        <f t="shared" si="29"/>
        <v>0.22903819972771683</v>
      </c>
    </row>
    <row r="194" spans="1:49" x14ac:dyDescent="0.2">
      <c r="A194">
        <v>192</v>
      </c>
      <c r="B194" t="s">
        <v>7675</v>
      </c>
      <c r="C194" t="s">
        <v>7674</v>
      </c>
      <c r="F194" t="s">
        <v>7673</v>
      </c>
      <c r="G194" t="s">
        <v>15</v>
      </c>
      <c r="H194" t="s">
        <v>14</v>
      </c>
      <c r="I194" t="s">
        <v>7672</v>
      </c>
      <c r="J194">
        <v>60000221</v>
      </c>
      <c r="K194" t="s">
        <v>4825</v>
      </c>
      <c r="L194" t="s">
        <v>4824</v>
      </c>
      <c r="M194" t="s">
        <v>31</v>
      </c>
      <c r="N194">
        <v>1</v>
      </c>
      <c r="O194" t="s">
        <v>7671</v>
      </c>
      <c r="P194">
        <v>35588296300</v>
      </c>
      <c r="Q194">
        <v>60000221</v>
      </c>
      <c r="R194" s="7">
        <v>32143</v>
      </c>
      <c r="S194" s="8">
        <f t="shared" si="24"/>
        <v>1988</v>
      </c>
      <c r="T194" s="8">
        <v>1988</v>
      </c>
      <c r="U194" s="8">
        <f t="shared" si="25"/>
        <v>34</v>
      </c>
      <c r="V194" s="7">
        <v>32143</v>
      </c>
      <c r="W194" t="s">
        <v>6966</v>
      </c>
      <c r="X194" s="2">
        <v>0.28599999999999998</v>
      </c>
      <c r="Y194" s="6">
        <f t="shared" ref="Y194:Y257" si="30">(X194-$Z$4)/($Z$3-$Z$4)</f>
        <v>7.6346066575905605E-3</v>
      </c>
      <c r="AA194">
        <v>9205071</v>
      </c>
      <c r="AB194">
        <v>28139</v>
      </c>
      <c r="AC194">
        <v>15693937</v>
      </c>
      <c r="AD194" t="s">
        <v>4</v>
      </c>
      <c r="AE194">
        <v>2</v>
      </c>
      <c r="AF194">
        <v>1</v>
      </c>
      <c r="AH194" t="s">
        <v>7670</v>
      </c>
      <c r="AI194" t="s">
        <v>7669</v>
      </c>
      <c r="AK194" t="s">
        <v>7668</v>
      </c>
      <c r="AL194">
        <v>16</v>
      </c>
      <c r="AM194" s="5">
        <f t="shared" si="26"/>
        <v>0.47058823529411764</v>
      </c>
      <c r="AN194" s="4">
        <f t="shared" ref="AN194:AN257" si="31">(AM194-$AO$4)/($AO$3-$AO$4)</f>
        <v>7.1274249949885291E-4</v>
      </c>
      <c r="AO194" s="3"/>
      <c r="AP194">
        <v>0</v>
      </c>
      <c r="AR194" t="s">
        <v>0</v>
      </c>
      <c r="AT194" s="2" t="s">
        <v>19</v>
      </c>
      <c r="AU194" s="1">
        <f t="shared" si="27"/>
        <v>0.55580474101630484</v>
      </c>
      <c r="AV194" s="1">
        <f t="shared" si="28"/>
        <v>0.41736745785447066</v>
      </c>
      <c r="AW194" s="1">
        <f t="shared" si="29"/>
        <v>0.27893017469263648</v>
      </c>
    </row>
    <row r="195" spans="1:49" x14ac:dyDescent="0.2">
      <c r="A195">
        <v>193</v>
      </c>
      <c r="B195" t="s">
        <v>7667</v>
      </c>
      <c r="C195" t="s">
        <v>7666</v>
      </c>
      <c r="F195" t="s">
        <v>7665</v>
      </c>
      <c r="G195" t="s">
        <v>15</v>
      </c>
      <c r="H195" t="s">
        <v>14</v>
      </c>
      <c r="I195" t="s">
        <v>140</v>
      </c>
      <c r="J195" t="s">
        <v>7664</v>
      </c>
      <c r="K195" t="s">
        <v>7663</v>
      </c>
      <c r="L195" t="s">
        <v>7662</v>
      </c>
      <c r="M195" t="s">
        <v>7661</v>
      </c>
      <c r="N195">
        <v>4</v>
      </c>
      <c r="O195" t="s">
        <v>7660</v>
      </c>
      <c r="P195" t="s">
        <v>7659</v>
      </c>
      <c r="Q195" t="s">
        <v>7658</v>
      </c>
      <c r="R195" s="7">
        <v>32143</v>
      </c>
      <c r="S195" s="8">
        <f t="shared" si="24"/>
        <v>1988</v>
      </c>
      <c r="T195" s="8">
        <v>1988</v>
      </c>
      <c r="U195" s="8">
        <f t="shared" si="25"/>
        <v>34</v>
      </c>
      <c r="V195" s="7">
        <v>32234</v>
      </c>
      <c r="W195" s="11" t="s">
        <v>7563</v>
      </c>
      <c r="X195" s="2">
        <v>1.3280000000000001</v>
      </c>
      <c r="Y195" s="6">
        <f t="shared" si="30"/>
        <v>3.5450201542937994E-2</v>
      </c>
      <c r="AA195">
        <v>21680329</v>
      </c>
      <c r="AB195">
        <v>21100399421</v>
      </c>
      <c r="AD195" t="s">
        <v>4</v>
      </c>
      <c r="AE195">
        <v>30</v>
      </c>
      <c r="AF195">
        <v>2</v>
      </c>
      <c r="AI195" t="s">
        <v>7657</v>
      </c>
      <c r="AK195" t="s">
        <v>7656</v>
      </c>
      <c r="AL195">
        <v>3</v>
      </c>
      <c r="AM195" s="5">
        <f t="shared" si="26"/>
        <v>8.8235294117647065E-2</v>
      </c>
      <c r="AN195" s="4">
        <f t="shared" si="31"/>
        <v>1.3363921865603494E-4</v>
      </c>
      <c r="AO195" s="3"/>
      <c r="AP195">
        <v>0</v>
      </c>
      <c r="AR195" t="s">
        <v>0</v>
      </c>
      <c r="AT195" s="2" t="s">
        <v>19</v>
      </c>
      <c r="AU195" s="1">
        <f t="shared" si="27"/>
        <v>2.4855232845653408</v>
      </c>
      <c r="AV195" s="1">
        <f t="shared" si="28"/>
        <v>1.7791920380797015</v>
      </c>
      <c r="AW195" s="1">
        <f t="shared" si="29"/>
        <v>1.0728607915940622</v>
      </c>
    </row>
    <row r="196" spans="1:49" x14ac:dyDescent="0.2">
      <c r="A196">
        <v>194</v>
      </c>
      <c r="B196" t="s">
        <v>7655</v>
      </c>
      <c r="C196" t="s">
        <v>7654</v>
      </c>
      <c r="E196">
        <v>3376519</v>
      </c>
      <c r="F196" t="s">
        <v>7653</v>
      </c>
      <c r="G196" t="s">
        <v>15</v>
      </c>
      <c r="H196" t="s">
        <v>14</v>
      </c>
      <c r="I196" t="s">
        <v>7652</v>
      </c>
      <c r="J196">
        <v>60025858</v>
      </c>
      <c r="K196" t="s">
        <v>7651</v>
      </c>
      <c r="L196" t="s">
        <v>7650</v>
      </c>
      <c r="M196" t="s">
        <v>3131</v>
      </c>
      <c r="N196">
        <v>5</v>
      </c>
      <c r="O196" t="s">
        <v>7649</v>
      </c>
      <c r="P196" t="s">
        <v>7648</v>
      </c>
      <c r="Q196" t="s">
        <v>7647</v>
      </c>
      <c r="R196" s="7">
        <v>32143</v>
      </c>
      <c r="S196" s="8">
        <f t="shared" si="24"/>
        <v>1988</v>
      </c>
      <c r="T196" s="8">
        <v>1988</v>
      </c>
      <c r="U196" s="8">
        <f t="shared" si="25"/>
        <v>34</v>
      </c>
      <c r="V196" s="7">
        <v>1988</v>
      </c>
      <c r="W196" t="s">
        <v>7646</v>
      </c>
      <c r="X196" s="2">
        <v>0.30099999999999999</v>
      </c>
      <c r="Y196" s="6">
        <f t="shared" si="30"/>
        <v>8.0350230906809754E-3</v>
      </c>
      <c r="AA196">
        <v>9395075</v>
      </c>
      <c r="AB196">
        <v>14954</v>
      </c>
      <c r="AC196">
        <v>18657125</v>
      </c>
      <c r="AD196" t="s">
        <v>4</v>
      </c>
      <c r="AE196">
        <v>43</v>
      </c>
      <c r="AF196" s="9">
        <v>44228</v>
      </c>
      <c r="AH196" t="s">
        <v>7645</v>
      </c>
      <c r="AI196" t="s">
        <v>7644</v>
      </c>
      <c r="AJ196" t="s">
        <v>7643</v>
      </c>
      <c r="AK196" t="s">
        <v>7642</v>
      </c>
      <c r="AL196">
        <v>17</v>
      </c>
      <c r="AM196" s="5">
        <f t="shared" si="26"/>
        <v>0.5</v>
      </c>
      <c r="AN196" s="4">
        <f t="shared" si="31"/>
        <v>7.572889057175312E-4</v>
      </c>
      <c r="AO196" s="3"/>
      <c r="AP196">
        <v>1</v>
      </c>
      <c r="AQ196" t="s">
        <v>7641</v>
      </c>
      <c r="AR196" t="s">
        <v>0</v>
      </c>
      <c r="AS196" t="s">
        <v>7640</v>
      </c>
      <c r="AT196" s="2" t="s">
        <v>19</v>
      </c>
      <c r="AU196" s="1">
        <f t="shared" si="27"/>
        <v>0.5851702835191942</v>
      </c>
      <c r="AV196" s="1">
        <f t="shared" si="28"/>
        <v>0.43961559981992532</v>
      </c>
      <c r="AW196" s="1">
        <f t="shared" si="29"/>
        <v>0.29406091612065643</v>
      </c>
    </row>
    <row r="197" spans="1:49" x14ac:dyDescent="0.2">
      <c r="A197">
        <v>195</v>
      </c>
      <c r="B197" t="s">
        <v>7639</v>
      </c>
      <c r="C197" t="s">
        <v>7638</v>
      </c>
      <c r="F197" t="s">
        <v>7637</v>
      </c>
      <c r="G197" t="s">
        <v>15</v>
      </c>
      <c r="H197" t="s">
        <v>14</v>
      </c>
      <c r="I197" t="s">
        <v>7636</v>
      </c>
      <c r="J197" t="s">
        <v>7635</v>
      </c>
      <c r="K197" t="s">
        <v>7634</v>
      </c>
      <c r="L197" t="s">
        <v>7633</v>
      </c>
      <c r="M197" t="s">
        <v>7632</v>
      </c>
      <c r="N197">
        <v>3</v>
      </c>
      <c r="O197" t="s">
        <v>7631</v>
      </c>
      <c r="P197" t="s">
        <v>7630</v>
      </c>
      <c r="Q197" t="s">
        <v>7629</v>
      </c>
      <c r="R197" s="7">
        <v>32143</v>
      </c>
      <c r="S197" s="8">
        <f t="shared" si="24"/>
        <v>1988</v>
      </c>
      <c r="T197" s="8">
        <v>1988</v>
      </c>
      <c r="U197" s="8">
        <f t="shared" si="25"/>
        <v>34</v>
      </c>
      <c r="V197" s="7">
        <v>1988</v>
      </c>
      <c r="W197" t="s">
        <v>6966</v>
      </c>
      <c r="X197" s="2">
        <v>0.28599999999999998</v>
      </c>
      <c r="Y197" s="6">
        <f t="shared" si="30"/>
        <v>7.6346066575905605E-3</v>
      </c>
      <c r="AA197">
        <v>9205071</v>
      </c>
      <c r="AB197">
        <v>28139</v>
      </c>
      <c r="AC197">
        <v>15693937</v>
      </c>
      <c r="AD197" t="s">
        <v>4</v>
      </c>
      <c r="AE197">
        <v>2</v>
      </c>
      <c r="AF197" s="9">
        <v>44352</v>
      </c>
      <c r="AH197" t="s">
        <v>7628</v>
      </c>
      <c r="AI197" t="s">
        <v>7627</v>
      </c>
      <c r="AK197" t="s">
        <v>7626</v>
      </c>
      <c r="AL197">
        <v>5</v>
      </c>
      <c r="AM197" s="5">
        <f t="shared" si="26"/>
        <v>0.14705882352941177</v>
      </c>
      <c r="AN197" s="4">
        <f t="shared" si="31"/>
        <v>2.2273203109339154E-4</v>
      </c>
      <c r="AO197" s="3"/>
      <c r="AP197">
        <v>0</v>
      </c>
      <c r="AR197" t="s">
        <v>0</v>
      </c>
      <c r="AT197" s="2" t="s">
        <v>19</v>
      </c>
      <c r="AU197" s="1">
        <f t="shared" si="27"/>
        <v>0.54110442696414096</v>
      </c>
      <c r="AV197" s="1">
        <f t="shared" si="28"/>
        <v>0.39286693443419762</v>
      </c>
      <c r="AW197" s="1">
        <f t="shared" si="29"/>
        <v>0.24462944190425423</v>
      </c>
    </row>
    <row r="198" spans="1:49" x14ac:dyDescent="0.2">
      <c r="A198">
        <v>196</v>
      </c>
      <c r="B198" t="s">
        <v>7625</v>
      </c>
      <c r="C198" t="s">
        <v>7624</v>
      </c>
      <c r="F198" t="s">
        <v>7623</v>
      </c>
      <c r="G198" t="s">
        <v>15</v>
      </c>
      <c r="H198" t="s">
        <v>14</v>
      </c>
      <c r="I198" t="s">
        <v>7622</v>
      </c>
      <c r="J198" t="s">
        <v>7621</v>
      </c>
      <c r="K198" t="s">
        <v>7620</v>
      </c>
      <c r="L198" t="s">
        <v>7619</v>
      </c>
      <c r="M198" t="s">
        <v>2476</v>
      </c>
      <c r="N198">
        <v>4</v>
      </c>
      <c r="O198" t="s">
        <v>7618</v>
      </c>
      <c r="P198" t="s">
        <v>7617</v>
      </c>
      <c r="Q198" t="s">
        <v>7616</v>
      </c>
      <c r="R198" s="7">
        <v>32143</v>
      </c>
      <c r="S198" s="8">
        <f t="shared" si="24"/>
        <v>1988</v>
      </c>
      <c r="T198" s="8">
        <v>1988</v>
      </c>
      <c r="U198" s="8">
        <f t="shared" si="25"/>
        <v>34</v>
      </c>
      <c r="V198" s="7">
        <v>1988</v>
      </c>
      <c r="W198" t="s">
        <v>7615</v>
      </c>
      <c r="X198" s="2">
        <v>3.5539999999999998</v>
      </c>
      <c r="Y198" s="6">
        <f t="shared" si="30"/>
        <v>9.4872000213555435E-2</v>
      </c>
      <c r="AA198">
        <v>320889</v>
      </c>
      <c r="AB198">
        <v>16615</v>
      </c>
      <c r="AC198">
        <v>15322548</v>
      </c>
      <c r="AD198" t="s">
        <v>4</v>
      </c>
      <c r="AE198">
        <v>87</v>
      </c>
      <c r="AF198">
        <v>2</v>
      </c>
      <c r="AH198" t="s">
        <v>7614</v>
      </c>
      <c r="AI198" t="s">
        <v>7613</v>
      </c>
      <c r="AK198" t="s">
        <v>7612</v>
      </c>
      <c r="AL198">
        <v>50</v>
      </c>
      <c r="AM198" s="5">
        <f t="shared" si="26"/>
        <v>1.4705882352941178</v>
      </c>
      <c r="AN198" s="4">
        <f t="shared" si="31"/>
        <v>2.2273203109339154E-3</v>
      </c>
      <c r="AO198" s="3"/>
      <c r="AP198">
        <v>1</v>
      </c>
      <c r="AR198" t="s">
        <v>0</v>
      </c>
      <c r="AT198" s="2">
        <v>8.34</v>
      </c>
      <c r="AU198" s="1">
        <f t="shared" si="27"/>
        <v>6.7078596242768977</v>
      </c>
      <c r="AV198" s="1">
        <f t="shared" si="28"/>
        <v>4.854966026224468</v>
      </c>
      <c r="AW198" s="1">
        <f t="shared" si="29"/>
        <v>3.002072428172037</v>
      </c>
    </row>
    <row r="199" spans="1:49" x14ac:dyDescent="0.2">
      <c r="A199">
        <v>197</v>
      </c>
      <c r="B199" t="s">
        <v>7611</v>
      </c>
      <c r="C199" t="s">
        <v>7610</v>
      </c>
      <c r="F199" t="s">
        <v>7609</v>
      </c>
      <c r="G199" t="s">
        <v>15</v>
      </c>
      <c r="H199" t="s">
        <v>14</v>
      </c>
      <c r="I199" t="s">
        <v>7608</v>
      </c>
      <c r="J199">
        <v>60016005</v>
      </c>
      <c r="K199" t="s">
        <v>7607</v>
      </c>
      <c r="L199" t="s">
        <v>7606</v>
      </c>
      <c r="M199" t="s">
        <v>481</v>
      </c>
      <c r="N199">
        <v>2</v>
      </c>
      <c r="O199" t="s">
        <v>7605</v>
      </c>
      <c r="P199" t="s">
        <v>7604</v>
      </c>
      <c r="Q199" t="s">
        <v>7603</v>
      </c>
      <c r="R199" s="7">
        <v>32143</v>
      </c>
      <c r="S199" s="8">
        <f t="shared" ref="S199:S262" si="32">YEAR(R199)</f>
        <v>1988</v>
      </c>
      <c r="T199" s="8">
        <v>1988</v>
      </c>
      <c r="U199" s="8">
        <f t="shared" ref="U199:U262" si="33">2022-T199</f>
        <v>34</v>
      </c>
      <c r="V199" s="7">
        <v>32448</v>
      </c>
      <c r="W199" t="s">
        <v>7602</v>
      </c>
      <c r="X199" s="2">
        <v>3.3119999999999998</v>
      </c>
      <c r="Y199" s="6">
        <f t="shared" si="30"/>
        <v>8.8411948426363421E-2</v>
      </c>
      <c r="AA199">
        <v>8858950</v>
      </c>
      <c r="AB199">
        <v>28825</v>
      </c>
      <c r="AC199">
        <v>15580679</v>
      </c>
      <c r="AD199" t="s">
        <v>4</v>
      </c>
      <c r="AE199">
        <v>3</v>
      </c>
      <c r="AF199">
        <v>4</v>
      </c>
      <c r="AH199" t="s">
        <v>7601</v>
      </c>
      <c r="AI199" t="s">
        <v>7600</v>
      </c>
      <c r="AJ199" t="s">
        <v>7599</v>
      </c>
      <c r="AK199" t="s">
        <v>7598</v>
      </c>
      <c r="AL199">
        <v>0</v>
      </c>
      <c r="AM199" s="5">
        <f t="shared" ref="AM199:AM262" si="34">AL199/U199</f>
        <v>0</v>
      </c>
      <c r="AN199" s="4">
        <f t="shared" si="31"/>
        <v>0</v>
      </c>
      <c r="AO199" s="3"/>
      <c r="AP199">
        <v>0</v>
      </c>
      <c r="AR199" t="s">
        <v>0</v>
      </c>
      <c r="AT199" s="2">
        <v>6.6630000000000003</v>
      </c>
      <c r="AU199" s="1">
        <f t="shared" ref="AU199:AU262" si="35">(Y199*0.7+AN199*0.3)*100</f>
        <v>6.1888363898454388</v>
      </c>
      <c r="AV199" s="1">
        <f t="shared" ref="AV199:AV262" si="36">(Y199*0.5+AN199*0.5)*100</f>
        <v>4.4205974213181713</v>
      </c>
      <c r="AW199" s="1">
        <f t="shared" ref="AW199:AW262" si="37">(Y199*0.3+AN199*0.7)*100</f>
        <v>2.6523584527909025</v>
      </c>
    </row>
    <row r="200" spans="1:49" x14ac:dyDescent="0.2">
      <c r="A200">
        <v>198</v>
      </c>
      <c r="B200" t="s">
        <v>7597</v>
      </c>
      <c r="C200" t="s">
        <v>7596</v>
      </c>
      <c r="F200" t="s">
        <v>7595</v>
      </c>
      <c r="G200" t="s">
        <v>15</v>
      </c>
      <c r="H200" t="s">
        <v>14</v>
      </c>
      <c r="I200" t="s">
        <v>7594</v>
      </c>
      <c r="J200">
        <v>60010294</v>
      </c>
      <c r="K200" t="s">
        <v>7593</v>
      </c>
      <c r="L200" t="s">
        <v>7592</v>
      </c>
      <c r="M200" t="s">
        <v>7591</v>
      </c>
      <c r="N200">
        <v>1</v>
      </c>
      <c r="O200" t="s">
        <v>7590</v>
      </c>
      <c r="P200">
        <v>35581830600</v>
      </c>
      <c r="Q200">
        <v>60010294</v>
      </c>
      <c r="R200" s="7">
        <v>32143</v>
      </c>
      <c r="S200" s="8">
        <f t="shared" si="32"/>
        <v>1988</v>
      </c>
      <c r="T200" s="8">
        <v>1988</v>
      </c>
      <c r="U200" s="8">
        <f t="shared" si="33"/>
        <v>34</v>
      </c>
      <c r="V200" s="7">
        <v>1988</v>
      </c>
      <c r="W200" t="s">
        <v>6966</v>
      </c>
      <c r="X200" s="2">
        <v>0.28599999999999998</v>
      </c>
      <c r="Y200" s="6">
        <f t="shared" si="30"/>
        <v>7.6346066575905605E-3</v>
      </c>
      <c r="AA200">
        <v>9205071</v>
      </c>
      <c r="AB200">
        <v>28139</v>
      </c>
      <c r="AC200">
        <v>15693937</v>
      </c>
      <c r="AD200" t="s">
        <v>4</v>
      </c>
      <c r="AE200">
        <v>2</v>
      </c>
      <c r="AF200" s="9">
        <v>44352</v>
      </c>
      <c r="AH200" t="s">
        <v>7589</v>
      </c>
      <c r="AI200" t="s">
        <v>7588</v>
      </c>
      <c r="AK200" t="s">
        <v>7587</v>
      </c>
      <c r="AL200">
        <v>2</v>
      </c>
      <c r="AM200" s="5">
        <f t="shared" si="34"/>
        <v>5.8823529411764705E-2</v>
      </c>
      <c r="AN200" s="4">
        <f t="shared" si="31"/>
        <v>8.9092812437356614E-5</v>
      </c>
      <c r="AO200" s="3"/>
      <c r="AP200">
        <v>0</v>
      </c>
      <c r="AR200" t="s">
        <v>0</v>
      </c>
      <c r="AT200" s="2" t="s">
        <v>19</v>
      </c>
      <c r="AU200" s="1">
        <f t="shared" si="35"/>
        <v>0.53709525040445993</v>
      </c>
      <c r="AV200" s="1">
        <f t="shared" si="36"/>
        <v>0.38618497350139586</v>
      </c>
      <c r="AW200" s="1">
        <f t="shared" si="37"/>
        <v>0.23527469659833178</v>
      </c>
    </row>
    <row r="201" spans="1:49" x14ac:dyDescent="0.2">
      <c r="A201">
        <v>199</v>
      </c>
      <c r="B201" t="s">
        <v>7586</v>
      </c>
      <c r="C201" t="s">
        <v>7585</v>
      </c>
      <c r="F201" t="s">
        <v>7584</v>
      </c>
      <c r="G201" t="s">
        <v>15</v>
      </c>
      <c r="H201" t="s">
        <v>14</v>
      </c>
      <c r="I201" t="s">
        <v>7583</v>
      </c>
      <c r="J201">
        <v>60010065</v>
      </c>
      <c r="K201" t="s">
        <v>1767</v>
      </c>
      <c r="L201" t="s">
        <v>1766</v>
      </c>
      <c r="M201" t="s">
        <v>31</v>
      </c>
      <c r="N201">
        <v>1</v>
      </c>
      <c r="O201" t="s">
        <v>7582</v>
      </c>
      <c r="P201">
        <v>7103195054</v>
      </c>
      <c r="Q201">
        <v>60010065</v>
      </c>
      <c r="R201" s="7">
        <v>32143</v>
      </c>
      <c r="S201" s="8">
        <f t="shared" si="32"/>
        <v>1988</v>
      </c>
      <c r="T201" s="8">
        <v>1988</v>
      </c>
      <c r="U201" s="8">
        <f t="shared" si="33"/>
        <v>34</v>
      </c>
      <c r="V201" s="7">
        <v>32143</v>
      </c>
      <c r="W201" t="s">
        <v>6966</v>
      </c>
      <c r="X201" s="2">
        <v>0.28599999999999998</v>
      </c>
      <c r="Y201" s="6">
        <f t="shared" si="30"/>
        <v>7.6346066575905605E-3</v>
      </c>
      <c r="AA201">
        <v>9205071</v>
      </c>
      <c r="AB201">
        <v>28139</v>
      </c>
      <c r="AC201">
        <v>15693937</v>
      </c>
      <c r="AD201" t="s">
        <v>4</v>
      </c>
      <c r="AE201">
        <v>2</v>
      </c>
      <c r="AF201">
        <v>1</v>
      </c>
      <c r="AH201" t="s">
        <v>7581</v>
      </c>
      <c r="AI201" t="s">
        <v>7580</v>
      </c>
      <c r="AK201" t="s">
        <v>7579</v>
      </c>
      <c r="AL201">
        <v>2</v>
      </c>
      <c r="AM201" s="5">
        <f t="shared" si="34"/>
        <v>5.8823529411764705E-2</v>
      </c>
      <c r="AN201" s="4">
        <f t="shared" si="31"/>
        <v>8.9092812437356614E-5</v>
      </c>
      <c r="AO201" s="3"/>
      <c r="AP201">
        <v>0</v>
      </c>
      <c r="AR201" t="s">
        <v>0</v>
      </c>
      <c r="AT201" s="2" t="s">
        <v>19</v>
      </c>
      <c r="AU201" s="1">
        <f t="shared" si="35"/>
        <v>0.53709525040445993</v>
      </c>
      <c r="AV201" s="1">
        <f t="shared" si="36"/>
        <v>0.38618497350139586</v>
      </c>
      <c r="AW201" s="1">
        <f t="shared" si="37"/>
        <v>0.23527469659833178</v>
      </c>
    </row>
    <row r="202" spans="1:49" x14ac:dyDescent="0.2">
      <c r="A202">
        <v>200</v>
      </c>
      <c r="B202" t="s">
        <v>7578</v>
      </c>
      <c r="C202" t="s">
        <v>7577</v>
      </c>
      <c r="F202" t="s">
        <v>7576</v>
      </c>
      <c r="G202" t="s">
        <v>15</v>
      </c>
      <c r="H202" t="s">
        <v>14</v>
      </c>
      <c r="I202" t="s">
        <v>7575</v>
      </c>
      <c r="J202">
        <v>60091909</v>
      </c>
      <c r="K202" t="s">
        <v>7574</v>
      </c>
      <c r="L202" t="s">
        <v>2095</v>
      </c>
      <c r="M202" t="s">
        <v>1011</v>
      </c>
      <c r="N202">
        <v>1</v>
      </c>
      <c r="O202" t="s">
        <v>7573</v>
      </c>
      <c r="P202">
        <v>6602724184</v>
      </c>
      <c r="Q202">
        <v>60091909</v>
      </c>
      <c r="R202" s="7">
        <v>32143</v>
      </c>
      <c r="S202" s="8">
        <f t="shared" si="32"/>
        <v>1988</v>
      </c>
      <c r="T202" s="8">
        <v>1988</v>
      </c>
      <c r="U202" s="8">
        <f t="shared" si="33"/>
        <v>34</v>
      </c>
      <c r="V202" s="7">
        <v>1988</v>
      </c>
      <c r="W202" t="s">
        <v>56</v>
      </c>
      <c r="X202" s="2">
        <v>0.375</v>
      </c>
      <c r="Y202" s="6">
        <f t="shared" si="30"/>
        <v>1.0010410827260351E-2</v>
      </c>
      <c r="AA202">
        <v>135194</v>
      </c>
      <c r="AB202">
        <v>24918</v>
      </c>
      <c r="AD202" t="s">
        <v>4</v>
      </c>
      <c r="AE202">
        <v>24</v>
      </c>
      <c r="AF202">
        <v>3</v>
      </c>
      <c r="AH202" t="s">
        <v>7572</v>
      </c>
      <c r="AI202" t="s">
        <v>7571</v>
      </c>
      <c r="AJ202" t="s">
        <v>7570</v>
      </c>
      <c r="AK202" t="s">
        <v>7569</v>
      </c>
      <c r="AL202">
        <v>1</v>
      </c>
      <c r="AM202" s="5">
        <f t="shared" si="34"/>
        <v>2.9411764705882353E-2</v>
      </c>
      <c r="AN202" s="4">
        <f t="shared" si="31"/>
        <v>4.4546406218678307E-5</v>
      </c>
      <c r="AO202" s="3"/>
      <c r="AP202">
        <v>0</v>
      </c>
      <c r="AR202" t="s">
        <v>0</v>
      </c>
      <c r="AT202" s="2">
        <v>1.3140000000000001</v>
      </c>
      <c r="AU202" s="1">
        <f t="shared" si="35"/>
        <v>0.70206515009478498</v>
      </c>
      <c r="AV202" s="1">
        <f t="shared" si="36"/>
        <v>0.50274786167395147</v>
      </c>
      <c r="AW202" s="1">
        <f t="shared" si="37"/>
        <v>0.30343057325311801</v>
      </c>
    </row>
    <row r="203" spans="1:49" x14ac:dyDescent="0.2">
      <c r="A203">
        <v>201</v>
      </c>
      <c r="B203" t="s">
        <v>7568</v>
      </c>
      <c r="C203" t="s">
        <v>7567</v>
      </c>
      <c r="F203" t="s">
        <v>7566</v>
      </c>
      <c r="G203" t="s">
        <v>15</v>
      </c>
      <c r="H203" t="s">
        <v>14</v>
      </c>
      <c r="I203" t="s">
        <v>7565</v>
      </c>
      <c r="J203">
        <v>60020818</v>
      </c>
      <c r="K203" t="s">
        <v>2048</v>
      </c>
      <c r="L203" t="s">
        <v>2047</v>
      </c>
      <c r="M203" t="s">
        <v>31</v>
      </c>
      <c r="N203">
        <v>1</v>
      </c>
      <c r="O203" t="s">
        <v>7564</v>
      </c>
      <c r="P203">
        <v>57189501138</v>
      </c>
      <c r="Q203">
        <v>60020818</v>
      </c>
      <c r="R203" s="7">
        <v>32143</v>
      </c>
      <c r="S203" s="8">
        <f t="shared" si="32"/>
        <v>1988</v>
      </c>
      <c r="T203" s="8">
        <v>1988</v>
      </c>
      <c r="U203" s="8">
        <f t="shared" si="33"/>
        <v>34</v>
      </c>
      <c r="V203" s="7">
        <v>32174</v>
      </c>
      <c r="W203" s="11" t="s">
        <v>7563</v>
      </c>
      <c r="X203" s="2">
        <v>1.3280000000000001</v>
      </c>
      <c r="Y203" s="6">
        <f t="shared" si="30"/>
        <v>3.5450201542937994E-2</v>
      </c>
      <c r="AA203">
        <v>21680329</v>
      </c>
      <c r="AB203">
        <v>21100399421</v>
      </c>
      <c r="AD203" t="s">
        <v>4</v>
      </c>
      <c r="AE203">
        <v>30</v>
      </c>
      <c r="AF203">
        <v>1</v>
      </c>
      <c r="AH203" s="10">
        <v>41974</v>
      </c>
      <c r="AL203">
        <v>0</v>
      </c>
      <c r="AM203" s="5">
        <f t="shared" si="34"/>
        <v>0</v>
      </c>
      <c r="AN203" s="4">
        <f t="shared" si="31"/>
        <v>0</v>
      </c>
      <c r="AO203" s="3"/>
      <c r="AP203">
        <v>0</v>
      </c>
      <c r="AR203" t="s">
        <v>0</v>
      </c>
      <c r="AT203" s="2" t="s">
        <v>19</v>
      </c>
      <c r="AU203" s="1">
        <f t="shared" si="35"/>
        <v>2.4815141080056597</v>
      </c>
      <c r="AV203" s="1">
        <f t="shared" si="36"/>
        <v>1.7725100771468998</v>
      </c>
      <c r="AW203" s="1">
        <f t="shared" si="37"/>
        <v>1.0635060462881398</v>
      </c>
    </row>
    <row r="204" spans="1:49" x14ac:dyDescent="0.2">
      <c r="A204">
        <v>202</v>
      </c>
      <c r="B204" t="s">
        <v>7562</v>
      </c>
      <c r="C204" t="s">
        <v>7561</v>
      </c>
      <c r="F204" t="s">
        <v>7560</v>
      </c>
      <c r="G204" t="s">
        <v>15</v>
      </c>
      <c r="H204" t="s">
        <v>14</v>
      </c>
      <c r="I204" t="s">
        <v>7559</v>
      </c>
      <c r="J204">
        <v>60023053</v>
      </c>
      <c r="K204" t="s">
        <v>1961</v>
      </c>
      <c r="L204" t="s">
        <v>1960</v>
      </c>
      <c r="M204" t="s">
        <v>31</v>
      </c>
      <c r="N204">
        <v>2</v>
      </c>
      <c r="O204" t="s">
        <v>7558</v>
      </c>
      <c r="P204" t="s">
        <v>7557</v>
      </c>
      <c r="Q204" t="s">
        <v>3512</v>
      </c>
      <c r="R204" s="7">
        <v>32143</v>
      </c>
      <c r="S204" s="8">
        <f t="shared" si="32"/>
        <v>1988</v>
      </c>
      <c r="T204" s="8">
        <v>1988</v>
      </c>
      <c r="U204" s="8">
        <f t="shared" si="33"/>
        <v>34</v>
      </c>
      <c r="V204" s="7">
        <v>32203</v>
      </c>
      <c r="W204" t="s">
        <v>69</v>
      </c>
      <c r="X204" s="2">
        <v>1.6519999999999999</v>
      </c>
      <c r="Y204" s="6">
        <f t="shared" si="30"/>
        <v>4.409919649769093E-2</v>
      </c>
      <c r="AA204" t="s">
        <v>68</v>
      </c>
      <c r="AB204">
        <v>17337</v>
      </c>
      <c r="AC204">
        <v>15582221</v>
      </c>
      <c r="AD204" t="s">
        <v>4</v>
      </c>
      <c r="AE204">
        <v>36</v>
      </c>
      <c r="AF204">
        <v>3</v>
      </c>
      <c r="AH204" t="s">
        <v>7556</v>
      </c>
      <c r="AI204" t="s">
        <v>7555</v>
      </c>
      <c r="AK204" t="s">
        <v>7554</v>
      </c>
      <c r="AL204">
        <v>3</v>
      </c>
      <c r="AM204" s="5">
        <f t="shared" si="34"/>
        <v>8.8235294117647065E-2</v>
      </c>
      <c r="AN204" s="4">
        <f t="shared" si="31"/>
        <v>1.3363921865603494E-4</v>
      </c>
      <c r="AO204" s="3"/>
      <c r="AP204">
        <v>0</v>
      </c>
      <c r="AR204" t="s">
        <v>0</v>
      </c>
      <c r="AT204" s="2" t="s">
        <v>19</v>
      </c>
      <c r="AU204" s="1">
        <f t="shared" si="35"/>
        <v>3.0909529313980459</v>
      </c>
      <c r="AV204" s="1">
        <f t="shared" si="36"/>
        <v>2.2116417858173483</v>
      </c>
      <c r="AW204" s="1">
        <f t="shared" si="37"/>
        <v>1.3323306402366504</v>
      </c>
    </row>
    <row r="205" spans="1:49" x14ac:dyDescent="0.2">
      <c r="A205">
        <v>203</v>
      </c>
      <c r="B205" t="s">
        <v>7553</v>
      </c>
      <c r="C205" t="s">
        <v>7552</v>
      </c>
      <c r="F205" t="s">
        <v>7551</v>
      </c>
      <c r="G205" t="s">
        <v>15</v>
      </c>
      <c r="H205" t="s">
        <v>14</v>
      </c>
      <c r="I205" t="s">
        <v>7550</v>
      </c>
      <c r="J205" t="s">
        <v>7549</v>
      </c>
      <c r="K205" t="s">
        <v>7548</v>
      </c>
      <c r="L205" t="s">
        <v>7547</v>
      </c>
      <c r="M205" t="s">
        <v>352</v>
      </c>
      <c r="N205">
        <v>4</v>
      </c>
      <c r="O205" t="s">
        <v>7546</v>
      </c>
      <c r="P205" t="s">
        <v>7545</v>
      </c>
      <c r="Q205" t="s">
        <v>7544</v>
      </c>
      <c r="R205" s="7">
        <v>32143</v>
      </c>
      <c r="S205" s="8">
        <f t="shared" si="32"/>
        <v>1988</v>
      </c>
      <c r="T205" s="8">
        <v>1988</v>
      </c>
      <c r="U205" s="8">
        <f t="shared" si="33"/>
        <v>34</v>
      </c>
      <c r="V205" s="7">
        <v>1988</v>
      </c>
      <c r="W205" t="s">
        <v>6557</v>
      </c>
      <c r="X205" s="2">
        <v>0.158</v>
      </c>
      <c r="Y205" s="6">
        <f t="shared" si="30"/>
        <v>4.2177197618856943E-3</v>
      </c>
      <c r="AA205">
        <v>380830</v>
      </c>
      <c r="AB205">
        <v>13094</v>
      </c>
      <c r="AD205" t="s">
        <v>4</v>
      </c>
      <c r="AE205">
        <v>34</v>
      </c>
      <c r="AH205" t="s">
        <v>2772</v>
      </c>
      <c r="AI205" t="s">
        <v>7543</v>
      </c>
      <c r="AK205" t="s">
        <v>7542</v>
      </c>
      <c r="AL205">
        <v>1</v>
      </c>
      <c r="AM205" s="5">
        <f t="shared" si="34"/>
        <v>2.9411764705882353E-2</v>
      </c>
      <c r="AN205" s="4">
        <f t="shared" si="31"/>
        <v>4.4546406218678307E-5</v>
      </c>
      <c r="AO205" s="3"/>
      <c r="AP205">
        <v>0</v>
      </c>
      <c r="AR205" t="s">
        <v>0</v>
      </c>
      <c r="AT205" s="2" t="s">
        <v>19</v>
      </c>
      <c r="AU205" s="1">
        <f t="shared" si="35"/>
        <v>0.29657677551855893</v>
      </c>
      <c r="AV205" s="1">
        <f t="shared" si="36"/>
        <v>0.21311330840521861</v>
      </c>
      <c r="AW205" s="1">
        <f t="shared" si="37"/>
        <v>0.12964984129187831</v>
      </c>
    </row>
    <row r="206" spans="1:49" x14ac:dyDescent="0.2">
      <c r="A206">
        <v>204</v>
      </c>
      <c r="B206" t="s">
        <v>7541</v>
      </c>
      <c r="C206" t="s">
        <v>7540</v>
      </c>
      <c r="F206" t="s">
        <v>7539</v>
      </c>
      <c r="G206" t="s">
        <v>15</v>
      </c>
      <c r="H206" t="s">
        <v>14</v>
      </c>
      <c r="I206" t="s">
        <v>7538</v>
      </c>
      <c r="J206" t="s">
        <v>7537</v>
      </c>
      <c r="K206" t="s">
        <v>7536</v>
      </c>
      <c r="L206" t="s">
        <v>7535</v>
      </c>
      <c r="M206" t="s">
        <v>195</v>
      </c>
      <c r="N206">
        <v>5</v>
      </c>
      <c r="O206" t="s">
        <v>7534</v>
      </c>
      <c r="P206" t="s">
        <v>7533</v>
      </c>
      <c r="Q206" t="s">
        <v>7532</v>
      </c>
      <c r="R206" s="7">
        <v>32143</v>
      </c>
      <c r="S206" s="8">
        <f t="shared" si="32"/>
        <v>1988</v>
      </c>
      <c r="T206" s="8">
        <v>1988</v>
      </c>
      <c r="U206" s="8">
        <f t="shared" si="33"/>
        <v>34</v>
      </c>
      <c r="V206" s="7">
        <v>32264</v>
      </c>
      <c r="W206" t="s">
        <v>6955</v>
      </c>
      <c r="X206" s="2">
        <v>0.58299999999999996</v>
      </c>
      <c r="Y206" s="6">
        <f t="shared" si="30"/>
        <v>1.5562852032780758E-2</v>
      </c>
      <c r="AA206">
        <v>7342101</v>
      </c>
      <c r="AB206">
        <v>28596</v>
      </c>
      <c r="AC206">
        <v>15208559</v>
      </c>
      <c r="AD206" t="s">
        <v>4</v>
      </c>
      <c r="AE206">
        <v>6</v>
      </c>
      <c r="AF206">
        <v>3</v>
      </c>
      <c r="AH206" t="s">
        <v>7531</v>
      </c>
      <c r="AI206" t="s">
        <v>7530</v>
      </c>
      <c r="AK206" t="s">
        <v>7529</v>
      </c>
      <c r="AL206">
        <v>1</v>
      </c>
      <c r="AM206" s="5">
        <f t="shared" si="34"/>
        <v>2.9411764705882353E-2</v>
      </c>
      <c r="AN206" s="4">
        <f t="shared" si="31"/>
        <v>4.4546406218678307E-5</v>
      </c>
      <c r="AO206" s="3"/>
      <c r="AP206">
        <v>0</v>
      </c>
      <c r="AR206" t="s">
        <v>0</v>
      </c>
      <c r="AT206" s="2" t="s">
        <v>19</v>
      </c>
      <c r="AU206" s="1">
        <f t="shared" si="35"/>
        <v>1.0907360344812134</v>
      </c>
      <c r="AV206" s="1">
        <f t="shared" si="36"/>
        <v>0.78036992194997179</v>
      </c>
      <c r="AW206" s="1">
        <f t="shared" si="37"/>
        <v>0.47000380941873016</v>
      </c>
    </row>
    <row r="207" spans="1:49" x14ac:dyDescent="0.2">
      <c r="A207">
        <v>205</v>
      </c>
      <c r="B207" t="s">
        <v>7528</v>
      </c>
      <c r="C207" t="s">
        <v>7527</v>
      </c>
      <c r="D207" t="s">
        <v>7526</v>
      </c>
      <c r="F207" t="s">
        <v>7525</v>
      </c>
      <c r="G207" t="s">
        <v>15</v>
      </c>
      <c r="H207" t="s">
        <v>14</v>
      </c>
      <c r="I207" t="s">
        <v>7524</v>
      </c>
      <c r="N207">
        <v>3</v>
      </c>
      <c r="O207" t="s">
        <v>7523</v>
      </c>
      <c r="P207" t="s">
        <v>7522</v>
      </c>
      <c r="Q207" t="s">
        <v>532</v>
      </c>
      <c r="R207" s="7">
        <v>32143</v>
      </c>
      <c r="S207" s="8">
        <f t="shared" si="32"/>
        <v>1988</v>
      </c>
      <c r="T207" s="8">
        <v>1988</v>
      </c>
      <c r="U207" s="8">
        <f t="shared" si="33"/>
        <v>34</v>
      </c>
      <c r="V207" s="7">
        <v>1988</v>
      </c>
      <c r="W207" t="s">
        <v>3142</v>
      </c>
      <c r="X207" s="2">
        <v>1.7130000000000001</v>
      </c>
      <c r="Y207" s="6">
        <f t="shared" si="30"/>
        <v>4.5727556658925285E-2</v>
      </c>
      <c r="AA207">
        <v>63495</v>
      </c>
      <c r="AB207">
        <v>14859</v>
      </c>
      <c r="AD207" t="s">
        <v>4</v>
      </c>
      <c r="AE207">
        <v>54</v>
      </c>
      <c r="AF207">
        <v>3</v>
      </c>
      <c r="AH207" t="s">
        <v>7521</v>
      </c>
      <c r="AI207" t="s">
        <v>7520</v>
      </c>
      <c r="AK207" t="s">
        <v>7519</v>
      </c>
      <c r="AL207">
        <v>310</v>
      </c>
      <c r="AM207" s="5">
        <f t="shared" si="34"/>
        <v>9.117647058823529</v>
      </c>
      <c r="AN207" s="4">
        <f t="shared" si="31"/>
        <v>1.3809385927790276E-2</v>
      </c>
      <c r="AO207" s="3"/>
      <c r="AP207">
        <v>1</v>
      </c>
      <c r="AR207" t="s">
        <v>0</v>
      </c>
      <c r="AT207" s="2">
        <v>4.0330000000000004</v>
      </c>
      <c r="AU207" s="1">
        <f t="shared" si="35"/>
        <v>3.6152105439584781</v>
      </c>
      <c r="AV207" s="1">
        <f t="shared" si="36"/>
        <v>2.9768471293357779</v>
      </c>
      <c r="AW207" s="1">
        <f t="shared" si="37"/>
        <v>2.3384837147130777</v>
      </c>
    </row>
    <row r="208" spans="1:49" x14ac:dyDescent="0.2">
      <c r="A208">
        <v>206</v>
      </c>
      <c r="B208" t="s">
        <v>7518</v>
      </c>
      <c r="C208" t="s">
        <v>7517</v>
      </c>
      <c r="F208" t="s">
        <v>7516</v>
      </c>
      <c r="G208" t="s">
        <v>15</v>
      </c>
      <c r="H208" t="s">
        <v>14</v>
      </c>
      <c r="I208" t="s">
        <v>7515</v>
      </c>
      <c r="J208" t="s">
        <v>7509</v>
      </c>
      <c r="K208" t="s">
        <v>7514</v>
      </c>
      <c r="L208" t="s">
        <v>7513</v>
      </c>
      <c r="M208" t="s">
        <v>7512</v>
      </c>
      <c r="N208">
        <v>2</v>
      </c>
      <c r="O208" t="s">
        <v>7511</v>
      </c>
      <c r="P208" t="s">
        <v>7510</v>
      </c>
      <c r="Q208" t="s">
        <v>7509</v>
      </c>
      <c r="R208" s="7">
        <v>32143</v>
      </c>
      <c r="S208" s="8">
        <f t="shared" si="32"/>
        <v>1988</v>
      </c>
      <c r="T208" s="8">
        <v>1988</v>
      </c>
      <c r="U208" s="8">
        <f t="shared" si="33"/>
        <v>34</v>
      </c>
      <c r="V208" s="7">
        <v>32295</v>
      </c>
      <c r="W208" t="s">
        <v>7508</v>
      </c>
      <c r="X208" s="2">
        <v>0.61899999999999999</v>
      </c>
      <c r="Y208" s="6">
        <f t="shared" si="30"/>
        <v>1.6523851472197752E-2</v>
      </c>
      <c r="AA208">
        <v>14966</v>
      </c>
      <c r="AB208">
        <v>12936</v>
      </c>
      <c r="AC208" t="s">
        <v>7507</v>
      </c>
      <c r="AD208" t="s">
        <v>4</v>
      </c>
      <c r="AE208">
        <v>83</v>
      </c>
      <c r="AF208">
        <v>6</v>
      </c>
      <c r="AH208" t="s">
        <v>7506</v>
      </c>
      <c r="AI208" t="s">
        <v>7505</v>
      </c>
      <c r="AK208" t="s">
        <v>7504</v>
      </c>
      <c r="AL208">
        <v>4</v>
      </c>
      <c r="AM208" s="5">
        <f t="shared" si="34"/>
        <v>0.11764705882352941</v>
      </c>
      <c r="AN208" s="4">
        <f t="shared" si="31"/>
        <v>1.7818562487471323E-4</v>
      </c>
      <c r="AO208" s="3"/>
      <c r="AP208">
        <v>0</v>
      </c>
      <c r="AR208" t="s">
        <v>0</v>
      </c>
      <c r="AT208" s="2" t="s">
        <v>19</v>
      </c>
      <c r="AU208" s="1">
        <f t="shared" si="35"/>
        <v>1.162015171800084</v>
      </c>
      <c r="AV208" s="1">
        <f t="shared" si="36"/>
        <v>0.8351018548536232</v>
      </c>
      <c r="AW208" s="1">
        <f t="shared" si="37"/>
        <v>0.50818853790716256</v>
      </c>
    </row>
    <row r="209" spans="1:49" x14ac:dyDescent="0.2">
      <c r="A209">
        <v>207</v>
      </c>
      <c r="B209" t="s">
        <v>7503</v>
      </c>
      <c r="C209" t="s">
        <v>7502</v>
      </c>
      <c r="F209" t="s">
        <v>7501</v>
      </c>
      <c r="G209" t="s">
        <v>15</v>
      </c>
      <c r="H209" t="s">
        <v>14</v>
      </c>
      <c r="I209" t="s">
        <v>7500</v>
      </c>
      <c r="J209">
        <v>60017311</v>
      </c>
      <c r="K209" t="s">
        <v>7499</v>
      </c>
      <c r="L209" t="s">
        <v>7498</v>
      </c>
      <c r="M209" t="s">
        <v>6018</v>
      </c>
      <c r="N209">
        <v>1</v>
      </c>
      <c r="O209" t="s">
        <v>7497</v>
      </c>
      <c r="P209">
        <v>7004520441</v>
      </c>
      <c r="Q209">
        <v>60017311</v>
      </c>
      <c r="R209" s="7">
        <v>32143</v>
      </c>
      <c r="S209" s="8">
        <f t="shared" si="32"/>
        <v>1988</v>
      </c>
      <c r="T209" s="8">
        <v>1988</v>
      </c>
      <c r="U209" s="8">
        <f t="shared" si="33"/>
        <v>34</v>
      </c>
      <c r="V209" s="7">
        <v>1988</v>
      </c>
      <c r="W209" t="s">
        <v>7068</v>
      </c>
      <c r="X209" s="2" t="s">
        <v>19</v>
      </c>
      <c r="Y209" s="6" t="e">
        <f t="shared" si="30"/>
        <v>#VALUE!</v>
      </c>
      <c r="AA209">
        <v>221392</v>
      </c>
      <c r="AB209">
        <v>34890</v>
      </c>
      <c r="AD209" t="s">
        <v>4</v>
      </c>
      <c r="AE209">
        <v>40</v>
      </c>
      <c r="AF209">
        <v>10</v>
      </c>
      <c r="AH209" t="s">
        <v>7496</v>
      </c>
      <c r="AI209" t="s">
        <v>7495</v>
      </c>
      <c r="AK209" t="s">
        <v>7494</v>
      </c>
      <c r="AL209">
        <v>2</v>
      </c>
      <c r="AM209" s="5">
        <f t="shared" si="34"/>
        <v>5.8823529411764705E-2</v>
      </c>
      <c r="AN209" s="4">
        <f t="shared" si="31"/>
        <v>8.9092812437356614E-5</v>
      </c>
      <c r="AO209" s="3"/>
      <c r="AP209">
        <v>1</v>
      </c>
      <c r="AR209" t="s">
        <v>0</v>
      </c>
      <c r="AT209" s="2" t="s">
        <v>19</v>
      </c>
      <c r="AU209" s="1" t="e">
        <f t="shared" si="35"/>
        <v>#VALUE!</v>
      </c>
      <c r="AV209" s="1" t="e">
        <f t="shared" si="36"/>
        <v>#VALUE!</v>
      </c>
      <c r="AW209" s="1" t="e">
        <f t="shared" si="37"/>
        <v>#VALUE!</v>
      </c>
    </row>
    <row r="210" spans="1:49" x14ac:dyDescent="0.2">
      <c r="A210">
        <v>208</v>
      </c>
      <c r="B210" t="s">
        <v>7493</v>
      </c>
      <c r="C210" t="s">
        <v>7492</v>
      </c>
      <c r="F210" t="s">
        <v>7491</v>
      </c>
      <c r="G210" t="s">
        <v>15</v>
      </c>
      <c r="H210" t="s">
        <v>14</v>
      </c>
      <c r="I210" t="s">
        <v>7490</v>
      </c>
      <c r="J210">
        <v>60003467</v>
      </c>
      <c r="K210" t="s">
        <v>886</v>
      </c>
      <c r="L210" t="s">
        <v>885</v>
      </c>
      <c r="M210" t="s">
        <v>31</v>
      </c>
      <c r="N210">
        <v>2</v>
      </c>
      <c r="O210" t="s">
        <v>7489</v>
      </c>
      <c r="P210" t="s">
        <v>7488</v>
      </c>
      <c r="Q210" t="s">
        <v>882</v>
      </c>
      <c r="R210" s="7">
        <v>32143</v>
      </c>
      <c r="S210" s="8">
        <f t="shared" si="32"/>
        <v>1988</v>
      </c>
      <c r="T210" s="8">
        <v>1988</v>
      </c>
      <c r="U210" s="8">
        <f t="shared" si="33"/>
        <v>34</v>
      </c>
      <c r="V210" s="7">
        <v>1988</v>
      </c>
      <c r="W210" t="s">
        <v>6966</v>
      </c>
      <c r="X210" s="2">
        <v>0.28599999999999998</v>
      </c>
      <c r="Y210" s="6">
        <f t="shared" si="30"/>
        <v>7.6346066575905605E-3</v>
      </c>
      <c r="AA210">
        <v>9205071</v>
      </c>
      <c r="AB210">
        <v>28139</v>
      </c>
      <c r="AC210">
        <v>15693937</v>
      </c>
      <c r="AD210" t="s">
        <v>4</v>
      </c>
      <c r="AE210">
        <v>2</v>
      </c>
      <c r="AF210" s="9">
        <v>44352</v>
      </c>
      <c r="AH210" t="s">
        <v>7487</v>
      </c>
      <c r="AI210" t="s">
        <v>7486</v>
      </c>
      <c r="AK210" t="s">
        <v>7485</v>
      </c>
      <c r="AL210">
        <v>2</v>
      </c>
      <c r="AM210" s="5">
        <f t="shared" si="34"/>
        <v>5.8823529411764705E-2</v>
      </c>
      <c r="AN210" s="4">
        <f t="shared" si="31"/>
        <v>8.9092812437356614E-5</v>
      </c>
      <c r="AO210" s="3"/>
      <c r="AP210">
        <v>0</v>
      </c>
      <c r="AR210" t="s">
        <v>0</v>
      </c>
      <c r="AT210" s="2" t="s">
        <v>19</v>
      </c>
      <c r="AU210" s="1">
        <f t="shared" si="35"/>
        <v>0.53709525040445993</v>
      </c>
      <c r="AV210" s="1">
        <f t="shared" si="36"/>
        <v>0.38618497350139586</v>
      </c>
      <c r="AW210" s="1">
        <f t="shared" si="37"/>
        <v>0.23527469659833178</v>
      </c>
    </row>
    <row r="211" spans="1:49" x14ac:dyDescent="0.2">
      <c r="A211">
        <v>209</v>
      </c>
      <c r="B211" t="s">
        <v>7484</v>
      </c>
      <c r="C211" t="s">
        <v>7483</v>
      </c>
      <c r="F211" t="s">
        <v>7482</v>
      </c>
      <c r="G211" t="s">
        <v>15</v>
      </c>
      <c r="H211" t="s">
        <v>14</v>
      </c>
      <c r="I211" t="s">
        <v>6428</v>
      </c>
      <c r="J211">
        <v>60009697</v>
      </c>
      <c r="K211" t="s">
        <v>1417</v>
      </c>
      <c r="L211" t="s">
        <v>1416</v>
      </c>
      <c r="M211" t="s">
        <v>481</v>
      </c>
      <c r="N211">
        <v>2</v>
      </c>
      <c r="O211" t="s">
        <v>7481</v>
      </c>
      <c r="P211" t="s">
        <v>6426</v>
      </c>
      <c r="Q211" t="s">
        <v>1413</v>
      </c>
      <c r="R211" s="7">
        <v>32143</v>
      </c>
      <c r="S211" s="8">
        <f t="shared" si="32"/>
        <v>1988</v>
      </c>
      <c r="T211" s="8">
        <v>1988</v>
      </c>
      <c r="U211" s="8">
        <f t="shared" si="33"/>
        <v>34</v>
      </c>
      <c r="V211" s="7">
        <v>32203</v>
      </c>
      <c r="W211" t="s">
        <v>69</v>
      </c>
      <c r="X211" s="2">
        <v>1.6519999999999999</v>
      </c>
      <c r="Y211" s="6">
        <f t="shared" si="30"/>
        <v>4.409919649769093E-2</v>
      </c>
      <c r="AA211" t="s">
        <v>68</v>
      </c>
      <c r="AB211">
        <v>17337</v>
      </c>
      <c r="AC211">
        <v>15582221</v>
      </c>
      <c r="AD211" t="s">
        <v>4</v>
      </c>
      <c r="AE211">
        <v>36</v>
      </c>
      <c r="AF211">
        <v>3</v>
      </c>
      <c r="AH211" t="s">
        <v>7480</v>
      </c>
      <c r="AI211" t="s">
        <v>7479</v>
      </c>
      <c r="AK211" t="s">
        <v>7478</v>
      </c>
      <c r="AL211">
        <v>4</v>
      </c>
      <c r="AM211" s="5">
        <f t="shared" si="34"/>
        <v>0.11764705882352941</v>
      </c>
      <c r="AN211" s="4">
        <f t="shared" si="31"/>
        <v>1.7818562487471323E-4</v>
      </c>
      <c r="AO211" s="3"/>
      <c r="AP211">
        <v>0</v>
      </c>
      <c r="AR211" t="s">
        <v>0</v>
      </c>
      <c r="AT211" s="2" t="s">
        <v>19</v>
      </c>
      <c r="AU211" s="1">
        <f t="shared" si="35"/>
        <v>3.0922893235846063</v>
      </c>
      <c r="AV211" s="1">
        <f t="shared" si="36"/>
        <v>2.213869106128282</v>
      </c>
      <c r="AW211" s="1">
        <f t="shared" si="37"/>
        <v>1.3354488886719578</v>
      </c>
    </row>
    <row r="212" spans="1:49" x14ac:dyDescent="0.2">
      <c r="A212">
        <v>210</v>
      </c>
      <c r="B212" t="s">
        <v>7477</v>
      </c>
      <c r="C212" t="s">
        <v>7476</v>
      </c>
      <c r="F212" t="s">
        <v>7475</v>
      </c>
      <c r="G212" t="s">
        <v>15</v>
      </c>
      <c r="H212" t="s">
        <v>14</v>
      </c>
      <c r="I212" t="s">
        <v>7474</v>
      </c>
      <c r="J212">
        <v>60005304</v>
      </c>
      <c r="K212" t="s">
        <v>72</v>
      </c>
      <c r="L212" t="s">
        <v>71</v>
      </c>
      <c r="M212" t="s">
        <v>31</v>
      </c>
      <c r="N212">
        <v>1</v>
      </c>
      <c r="O212" t="s">
        <v>7473</v>
      </c>
      <c r="P212">
        <v>6602621821</v>
      </c>
      <c r="Q212">
        <v>60005304</v>
      </c>
      <c r="R212" s="7">
        <v>32143</v>
      </c>
      <c r="S212" s="8">
        <f t="shared" si="32"/>
        <v>1988</v>
      </c>
      <c r="T212" s="8">
        <v>1988</v>
      </c>
      <c r="U212" s="8">
        <f t="shared" si="33"/>
        <v>34</v>
      </c>
      <c r="V212" s="7">
        <v>32203</v>
      </c>
      <c r="W212" t="s">
        <v>69</v>
      </c>
      <c r="X212" s="2">
        <v>1.6519999999999999</v>
      </c>
      <c r="Y212" s="6">
        <f t="shared" si="30"/>
        <v>4.409919649769093E-2</v>
      </c>
      <c r="AA212" t="s">
        <v>68</v>
      </c>
      <c r="AB212">
        <v>17337</v>
      </c>
      <c r="AC212">
        <v>15582221</v>
      </c>
      <c r="AD212" t="s">
        <v>4</v>
      </c>
      <c r="AE212">
        <v>36</v>
      </c>
      <c r="AF212">
        <v>3</v>
      </c>
      <c r="AH212" t="s">
        <v>7472</v>
      </c>
      <c r="AI212" t="s">
        <v>7471</v>
      </c>
      <c r="AK212" t="s">
        <v>7470</v>
      </c>
      <c r="AL212">
        <v>4</v>
      </c>
      <c r="AM212" s="5">
        <f t="shared" si="34"/>
        <v>0.11764705882352941</v>
      </c>
      <c r="AN212" s="4">
        <f t="shared" si="31"/>
        <v>1.7818562487471323E-4</v>
      </c>
      <c r="AO212" s="3"/>
      <c r="AP212">
        <v>0</v>
      </c>
      <c r="AR212" t="s">
        <v>0</v>
      </c>
      <c r="AT212" s="2" t="s">
        <v>19</v>
      </c>
      <c r="AU212" s="1">
        <f t="shared" si="35"/>
        <v>3.0922893235846063</v>
      </c>
      <c r="AV212" s="1">
        <f t="shared" si="36"/>
        <v>2.213869106128282</v>
      </c>
      <c r="AW212" s="1">
        <f t="shared" si="37"/>
        <v>1.3354488886719578</v>
      </c>
    </row>
    <row r="213" spans="1:49" x14ac:dyDescent="0.2">
      <c r="A213">
        <v>211</v>
      </c>
      <c r="B213" t="s">
        <v>7469</v>
      </c>
      <c r="C213" t="s">
        <v>7468</v>
      </c>
      <c r="F213" t="s">
        <v>7467</v>
      </c>
      <c r="G213" t="s">
        <v>15</v>
      </c>
      <c r="H213" t="s">
        <v>14</v>
      </c>
      <c r="I213" t="s">
        <v>7466</v>
      </c>
      <c r="J213" t="s">
        <v>7465</v>
      </c>
      <c r="K213" t="s">
        <v>7464</v>
      </c>
      <c r="L213" t="s">
        <v>6238</v>
      </c>
      <c r="M213" t="s">
        <v>352</v>
      </c>
      <c r="N213">
        <v>3</v>
      </c>
      <c r="O213" t="s">
        <v>7463</v>
      </c>
      <c r="P213" t="s">
        <v>7462</v>
      </c>
      <c r="Q213" t="s">
        <v>7461</v>
      </c>
      <c r="R213" s="7">
        <v>32143</v>
      </c>
      <c r="S213" s="8">
        <f t="shared" si="32"/>
        <v>1988</v>
      </c>
      <c r="T213" s="8">
        <v>1988</v>
      </c>
      <c r="U213" s="8">
        <f t="shared" si="33"/>
        <v>34</v>
      </c>
      <c r="V213" s="7">
        <v>1988</v>
      </c>
      <c r="W213" t="s">
        <v>7460</v>
      </c>
      <c r="X213" s="2">
        <v>0.76</v>
      </c>
      <c r="Y213" s="6">
        <f t="shared" si="30"/>
        <v>2.0287765943247646E-2</v>
      </c>
      <c r="AA213">
        <v>319015</v>
      </c>
      <c r="AB213">
        <v>29173</v>
      </c>
      <c r="AC213">
        <v>13474073</v>
      </c>
      <c r="AD213" t="s">
        <v>4</v>
      </c>
      <c r="AE213">
        <v>57</v>
      </c>
      <c r="AF213">
        <v>2</v>
      </c>
      <c r="AH213" t="s">
        <v>7459</v>
      </c>
      <c r="AL213">
        <v>2</v>
      </c>
      <c r="AM213" s="5">
        <f t="shared" si="34"/>
        <v>5.8823529411764705E-2</v>
      </c>
      <c r="AN213" s="4">
        <f t="shared" si="31"/>
        <v>8.9092812437356614E-5</v>
      </c>
      <c r="AO213" s="3"/>
      <c r="AP213">
        <v>0</v>
      </c>
      <c r="AR213" t="s">
        <v>0</v>
      </c>
      <c r="AT213" s="2" t="s">
        <v>19</v>
      </c>
      <c r="AU213" s="1">
        <f t="shared" si="35"/>
        <v>1.4228164004004558</v>
      </c>
      <c r="AV213" s="1">
        <f t="shared" si="36"/>
        <v>1.0188429377842501</v>
      </c>
      <c r="AW213" s="1">
        <f t="shared" si="37"/>
        <v>0.61486947516804435</v>
      </c>
    </row>
    <row r="214" spans="1:49" x14ac:dyDescent="0.2">
      <c r="A214">
        <v>212</v>
      </c>
      <c r="B214" t="s">
        <v>7458</v>
      </c>
      <c r="C214" t="s">
        <v>7457</v>
      </c>
      <c r="F214" t="s">
        <v>7456</v>
      </c>
      <c r="G214" t="s">
        <v>15</v>
      </c>
      <c r="H214" t="s">
        <v>14</v>
      </c>
      <c r="I214" t="s">
        <v>7455</v>
      </c>
      <c r="J214">
        <v>60000502</v>
      </c>
      <c r="K214" t="s">
        <v>7454</v>
      </c>
      <c r="L214" t="s">
        <v>7453</v>
      </c>
      <c r="M214" t="s">
        <v>6983</v>
      </c>
      <c r="N214">
        <v>1</v>
      </c>
      <c r="O214" t="s">
        <v>7452</v>
      </c>
      <c r="P214">
        <v>55933044300</v>
      </c>
      <c r="Q214">
        <v>60000502</v>
      </c>
      <c r="R214" s="7">
        <v>32143</v>
      </c>
      <c r="S214" s="8">
        <f t="shared" si="32"/>
        <v>1988</v>
      </c>
      <c r="T214" s="8">
        <v>1988</v>
      </c>
      <c r="U214" s="8">
        <f t="shared" si="33"/>
        <v>34</v>
      </c>
      <c r="V214" s="7">
        <v>32143</v>
      </c>
      <c r="W214" t="s">
        <v>6966</v>
      </c>
      <c r="X214" s="2">
        <v>0.28599999999999998</v>
      </c>
      <c r="Y214" s="6">
        <f t="shared" si="30"/>
        <v>7.6346066575905605E-3</v>
      </c>
      <c r="AA214">
        <v>9205071</v>
      </c>
      <c r="AB214">
        <v>28139</v>
      </c>
      <c r="AC214">
        <v>15693937</v>
      </c>
      <c r="AD214" t="s">
        <v>4</v>
      </c>
      <c r="AE214">
        <v>2</v>
      </c>
      <c r="AF214" s="9">
        <v>44352</v>
      </c>
      <c r="AH214" t="s">
        <v>7451</v>
      </c>
      <c r="AI214" t="s">
        <v>7450</v>
      </c>
      <c r="AK214" t="s">
        <v>7449</v>
      </c>
      <c r="AL214">
        <v>3</v>
      </c>
      <c r="AM214" s="5">
        <f t="shared" si="34"/>
        <v>8.8235294117647065E-2</v>
      </c>
      <c r="AN214" s="4">
        <f t="shared" si="31"/>
        <v>1.3363921865603494E-4</v>
      </c>
      <c r="AO214" s="3"/>
      <c r="AP214">
        <v>0</v>
      </c>
      <c r="AR214" t="s">
        <v>0</v>
      </c>
      <c r="AT214" s="2" t="s">
        <v>19</v>
      </c>
      <c r="AU214" s="1">
        <f t="shared" si="35"/>
        <v>0.53843164259102028</v>
      </c>
      <c r="AV214" s="1">
        <f t="shared" si="36"/>
        <v>0.38841229381232978</v>
      </c>
      <c r="AW214" s="1">
        <f t="shared" si="37"/>
        <v>0.23839294503363925</v>
      </c>
    </row>
    <row r="215" spans="1:49" x14ac:dyDescent="0.2">
      <c r="A215">
        <v>213</v>
      </c>
      <c r="B215" t="s">
        <v>7448</v>
      </c>
      <c r="C215" t="s">
        <v>7447</v>
      </c>
      <c r="F215" t="s">
        <v>7446</v>
      </c>
      <c r="G215" t="s">
        <v>15</v>
      </c>
      <c r="H215" t="s">
        <v>14</v>
      </c>
      <c r="I215" t="s">
        <v>5124</v>
      </c>
      <c r="J215">
        <v>60016302</v>
      </c>
      <c r="K215" t="s">
        <v>6019</v>
      </c>
      <c r="M215" t="s">
        <v>6018</v>
      </c>
      <c r="N215">
        <v>1</v>
      </c>
      <c r="O215" t="s">
        <v>6017</v>
      </c>
      <c r="P215">
        <v>7201481830</v>
      </c>
      <c r="Q215">
        <v>60016302</v>
      </c>
      <c r="R215" s="7">
        <v>32143</v>
      </c>
      <c r="S215" s="8">
        <f t="shared" si="32"/>
        <v>1988</v>
      </c>
      <c r="T215" s="8">
        <v>1988</v>
      </c>
      <c r="U215" s="8">
        <f t="shared" si="33"/>
        <v>34</v>
      </c>
      <c r="V215" s="7">
        <v>32203</v>
      </c>
      <c r="W215" t="s">
        <v>69</v>
      </c>
      <c r="X215" s="2">
        <v>1.6519999999999999</v>
      </c>
      <c r="Y215" s="6">
        <f t="shared" si="30"/>
        <v>4.409919649769093E-2</v>
      </c>
      <c r="AA215" t="s">
        <v>68</v>
      </c>
      <c r="AB215">
        <v>17337</v>
      </c>
      <c r="AC215">
        <v>15582221</v>
      </c>
      <c r="AD215" t="s">
        <v>4</v>
      </c>
      <c r="AE215">
        <v>36</v>
      </c>
      <c r="AF215">
        <v>3</v>
      </c>
      <c r="AH215" t="s">
        <v>7445</v>
      </c>
      <c r="AI215" t="s">
        <v>7444</v>
      </c>
      <c r="AK215" t="s">
        <v>7443</v>
      </c>
      <c r="AL215">
        <v>67</v>
      </c>
      <c r="AM215" s="5">
        <f t="shared" si="34"/>
        <v>1.9705882352941178</v>
      </c>
      <c r="AN215" s="4">
        <f t="shared" si="31"/>
        <v>2.9846092166514468E-3</v>
      </c>
      <c r="AO215" s="3"/>
      <c r="AP215">
        <v>0</v>
      </c>
      <c r="AR215" t="s">
        <v>0</v>
      </c>
      <c r="AT215" s="2" t="s">
        <v>19</v>
      </c>
      <c r="AU215" s="1">
        <f t="shared" si="35"/>
        <v>3.1764820313379087</v>
      </c>
      <c r="AV215" s="1">
        <f t="shared" si="36"/>
        <v>2.3541902857171189</v>
      </c>
      <c r="AW215" s="1">
        <f t="shared" si="37"/>
        <v>1.531898540096329</v>
      </c>
    </row>
    <row r="216" spans="1:49" x14ac:dyDescent="0.2">
      <c r="A216">
        <v>214</v>
      </c>
      <c r="B216" t="s">
        <v>7442</v>
      </c>
      <c r="C216" t="s">
        <v>7441</v>
      </c>
      <c r="F216" t="s">
        <v>7440</v>
      </c>
      <c r="G216" t="s">
        <v>15</v>
      </c>
      <c r="H216" t="s">
        <v>14</v>
      </c>
      <c r="I216" t="s">
        <v>7439</v>
      </c>
      <c r="J216" t="s">
        <v>7434</v>
      </c>
      <c r="K216" t="s">
        <v>7438</v>
      </c>
      <c r="L216" t="s">
        <v>7437</v>
      </c>
      <c r="M216" t="s">
        <v>9</v>
      </c>
      <c r="N216">
        <v>2</v>
      </c>
      <c r="O216" t="s">
        <v>7436</v>
      </c>
      <c r="P216" t="s">
        <v>7435</v>
      </c>
      <c r="Q216" t="s">
        <v>7434</v>
      </c>
      <c r="R216" s="7">
        <v>32143</v>
      </c>
      <c r="S216" s="8">
        <f t="shared" si="32"/>
        <v>1988</v>
      </c>
      <c r="T216" s="8">
        <v>1988</v>
      </c>
      <c r="U216" s="8">
        <f t="shared" si="33"/>
        <v>34</v>
      </c>
      <c r="V216" s="7">
        <v>32203</v>
      </c>
      <c r="W216" t="s">
        <v>69</v>
      </c>
      <c r="X216" s="2">
        <v>1.6519999999999999</v>
      </c>
      <c r="Y216" s="6">
        <f t="shared" si="30"/>
        <v>4.409919649769093E-2</v>
      </c>
      <c r="AA216" t="s">
        <v>68</v>
      </c>
      <c r="AB216">
        <v>17337</v>
      </c>
      <c r="AC216">
        <v>15582221</v>
      </c>
      <c r="AD216" t="s">
        <v>4</v>
      </c>
      <c r="AE216">
        <v>36</v>
      </c>
      <c r="AF216">
        <v>3</v>
      </c>
      <c r="AH216" t="s">
        <v>7433</v>
      </c>
      <c r="AI216" t="s">
        <v>7432</v>
      </c>
      <c r="AK216" t="s">
        <v>7431</v>
      </c>
      <c r="AL216">
        <v>4</v>
      </c>
      <c r="AM216" s="5">
        <f t="shared" si="34"/>
        <v>0.11764705882352941</v>
      </c>
      <c r="AN216" s="4">
        <f t="shared" si="31"/>
        <v>1.7818562487471323E-4</v>
      </c>
      <c r="AO216" s="3"/>
      <c r="AP216">
        <v>0</v>
      </c>
      <c r="AR216" t="s">
        <v>0</v>
      </c>
      <c r="AT216" s="2" t="s">
        <v>19</v>
      </c>
      <c r="AU216" s="1">
        <f t="shared" si="35"/>
        <v>3.0922893235846063</v>
      </c>
      <c r="AV216" s="1">
        <f t="shared" si="36"/>
        <v>2.213869106128282</v>
      </c>
      <c r="AW216" s="1">
        <f t="shared" si="37"/>
        <v>1.3354488886719578</v>
      </c>
    </row>
    <row r="217" spans="1:49" x14ac:dyDescent="0.2">
      <c r="A217">
        <v>215</v>
      </c>
      <c r="B217" t="s">
        <v>7430</v>
      </c>
      <c r="C217" t="s">
        <v>7429</v>
      </c>
      <c r="F217" t="s">
        <v>7428</v>
      </c>
      <c r="G217" t="s">
        <v>15</v>
      </c>
      <c r="H217" t="s">
        <v>14</v>
      </c>
      <c r="I217" t="s">
        <v>7427</v>
      </c>
      <c r="J217" t="s">
        <v>7426</v>
      </c>
      <c r="K217" t="s">
        <v>7425</v>
      </c>
      <c r="L217" t="s">
        <v>7424</v>
      </c>
      <c r="M217" t="s">
        <v>7423</v>
      </c>
      <c r="N217">
        <v>2</v>
      </c>
      <c r="O217" t="s">
        <v>7422</v>
      </c>
      <c r="P217" t="s">
        <v>7421</v>
      </c>
      <c r="Q217" t="s">
        <v>7420</v>
      </c>
      <c r="R217" s="7">
        <v>32143</v>
      </c>
      <c r="S217" s="8">
        <f t="shared" si="32"/>
        <v>1988</v>
      </c>
      <c r="T217" s="8">
        <v>1988</v>
      </c>
      <c r="U217" s="8">
        <f t="shared" si="33"/>
        <v>34</v>
      </c>
      <c r="V217" s="7">
        <v>32143</v>
      </c>
      <c r="W217" t="s">
        <v>7419</v>
      </c>
      <c r="X217" s="2" t="s">
        <v>19</v>
      </c>
      <c r="Y217" s="6" t="e">
        <f t="shared" si="30"/>
        <v>#VALUE!</v>
      </c>
      <c r="AA217">
        <v>1051938</v>
      </c>
      <c r="AB217">
        <v>76824</v>
      </c>
      <c r="AD217" t="s">
        <v>4</v>
      </c>
      <c r="AE217">
        <v>53</v>
      </c>
      <c r="AF217">
        <v>5</v>
      </c>
      <c r="AH217" t="s">
        <v>2416</v>
      </c>
      <c r="AI217" t="s">
        <v>7418</v>
      </c>
      <c r="AJ217" t="s">
        <v>7417</v>
      </c>
      <c r="AK217" t="s">
        <v>7416</v>
      </c>
      <c r="AL217">
        <v>1</v>
      </c>
      <c r="AM217" s="5">
        <f t="shared" si="34"/>
        <v>2.9411764705882353E-2</v>
      </c>
      <c r="AN217" s="4">
        <f t="shared" si="31"/>
        <v>4.4546406218678307E-5</v>
      </c>
      <c r="AO217" s="3"/>
      <c r="AP217">
        <v>1</v>
      </c>
      <c r="AR217" t="s">
        <v>0</v>
      </c>
      <c r="AT217" s="2" t="s">
        <v>19</v>
      </c>
      <c r="AU217" s="1" t="e">
        <f t="shared" si="35"/>
        <v>#VALUE!</v>
      </c>
      <c r="AV217" s="1" t="e">
        <f t="shared" si="36"/>
        <v>#VALUE!</v>
      </c>
      <c r="AW217" s="1" t="e">
        <f t="shared" si="37"/>
        <v>#VALUE!</v>
      </c>
    </row>
    <row r="218" spans="1:49" x14ac:dyDescent="0.2">
      <c r="A218">
        <v>216</v>
      </c>
      <c r="B218" t="s">
        <v>7415</v>
      </c>
      <c r="C218" t="s">
        <v>7414</v>
      </c>
      <c r="F218" t="s">
        <v>7413</v>
      </c>
      <c r="G218" t="s">
        <v>15</v>
      </c>
      <c r="H218" t="s">
        <v>14</v>
      </c>
      <c r="I218" t="s">
        <v>7412</v>
      </c>
      <c r="N218">
        <v>4</v>
      </c>
      <c r="O218" t="s">
        <v>7411</v>
      </c>
      <c r="P218" t="s">
        <v>7410</v>
      </c>
      <c r="Q218" t="s">
        <v>523</v>
      </c>
      <c r="R218" s="7">
        <v>32143</v>
      </c>
      <c r="S218" s="8">
        <f t="shared" si="32"/>
        <v>1988</v>
      </c>
      <c r="T218" s="8">
        <v>1988</v>
      </c>
      <c r="U218" s="8">
        <f t="shared" si="33"/>
        <v>34</v>
      </c>
      <c r="V218" s="7">
        <v>32143</v>
      </c>
      <c r="W218" t="s">
        <v>7409</v>
      </c>
      <c r="X218" s="2">
        <v>0.11700000000000001</v>
      </c>
      <c r="Y218" s="6">
        <f t="shared" si="30"/>
        <v>3.1232481781052297E-3</v>
      </c>
      <c r="AA218">
        <v>2179822</v>
      </c>
      <c r="AB218">
        <v>5300152612</v>
      </c>
      <c r="AC218">
        <v>19930615</v>
      </c>
      <c r="AD218" t="s">
        <v>4</v>
      </c>
      <c r="AE218">
        <v>5</v>
      </c>
      <c r="AF218">
        <v>1</v>
      </c>
      <c r="AH218" t="s">
        <v>7408</v>
      </c>
      <c r="AI218" t="s">
        <v>7407</v>
      </c>
      <c r="AJ218" t="s">
        <v>7406</v>
      </c>
      <c r="AK218" t="s">
        <v>7405</v>
      </c>
      <c r="AL218">
        <v>0</v>
      </c>
      <c r="AM218" s="5">
        <f t="shared" si="34"/>
        <v>0</v>
      </c>
      <c r="AN218" s="4">
        <f t="shared" si="31"/>
        <v>0</v>
      </c>
      <c r="AO218" s="3"/>
      <c r="AP218">
        <v>0</v>
      </c>
      <c r="AR218" t="s">
        <v>0</v>
      </c>
      <c r="AT218" s="2" t="s">
        <v>19</v>
      </c>
      <c r="AU218" s="1">
        <f t="shared" si="35"/>
        <v>0.21862737246736608</v>
      </c>
      <c r="AV218" s="1">
        <f t="shared" si="36"/>
        <v>0.15616240890526148</v>
      </c>
      <c r="AW218" s="1">
        <f t="shared" si="37"/>
        <v>9.3697445343156896E-2</v>
      </c>
    </row>
    <row r="219" spans="1:49" x14ac:dyDescent="0.2">
      <c r="A219">
        <v>217</v>
      </c>
      <c r="B219" t="s">
        <v>7404</v>
      </c>
      <c r="C219" t="s">
        <v>7403</v>
      </c>
      <c r="D219">
        <v>21916988900803</v>
      </c>
      <c r="F219" t="s">
        <v>7402</v>
      </c>
      <c r="G219" t="s">
        <v>15</v>
      </c>
      <c r="H219" t="s">
        <v>14</v>
      </c>
      <c r="I219" t="s">
        <v>7401</v>
      </c>
      <c r="J219" t="s">
        <v>7400</v>
      </c>
      <c r="K219" t="s">
        <v>7399</v>
      </c>
      <c r="L219" t="s">
        <v>7398</v>
      </c>
      <c r="M219" t="s">
        <v>9</v>
      </c>
      <c r="N219">
        <v>3</v>
      </c>
      <c r="O219" t="s">
        <v>7397</v>
      </c>
      <c r="P219" t="s">
        <v>7396</v>
      </c>
      <c r="Q219" t="s">
        <v>7395</v>
      </c>
      <c r="R219" s="7">
        <v>32143</v>
      </c>
      <c r="S219" s="8">
        <f t="shared" si="32"/>
        <v>1988</v>
      </c>
      <c r="T219" s="8">
        <v>1988</v>
      </c>
      <c r="U219" s="8">
        <f t="shared" si="33"/>
        <v>34</v>
      </c>
      <c r="V219" s="7" t="s">
        <v>7394</v>
      </c>
      <c r="W219" t="s">
        <v>109</v>
      </c>
      <c r="X219" s="2">
        <v>0.51500000000000001</v>
      </c>
      <c r="Y219" s="6">
        <f t="shared" si="30"/>
        <v>1.374763086943755E-2</v>
      </c>
      <c r="AA219">
        <v>219169</v>
      </c>
      <c r="AB219">
        <v>30966</v>
      </c>
      <c r="AD219" t="s">
        <v>4</v>
      </c>
      <c r="AE219">
        <v>50</v>
      </c>
      <c r="AF219" s="9">
        <v>44510</v>
      </c>
      <c r="AH219" t="s">
        <v>7393</v>
      </c>
      <c r="AI219" t="s">
        <v>7392</v>
      </c>
      <c r="AK219" t="s">
        <v>7391</v>
      </c>
      <c r="AL219">
        <v>4</v>
      </c>
      <c r="AM219" s="5">
        <f t="shared" si="34"/>
        <v>0.11764705882352941</v>
      </c>
      <c r="AN219" s="4">
        <f t="shared" si="31"/>
        <v>1.7818562487471323E-4</v>
      </c>
      <c r="AO219" s="3"/>
      <c r="AP219">
        <v>0</v>
      </c>
      <c r="AR219" t="s">
        <v>7390</v>
      </c>
      <c r="AT219" s="2" t="s">
        <v>19</v>
      </c>
      <c r="AU219" s="1">
        <f t="shared" si="35"/>
        <v>0.96767972960686977</v>
      </c>
      <c r="AV219" s="1">
        <f t="shared" si="36"/>
        <v>0.69629082471561321</v>
      </c>
      <c r="AW219" s="1">
        <f t="shared" si="37"/>
        <v>0.42490191982435643</v>
      </c>
    </row>
    <row r="220" spans="1:49" x14ac:dyDescent="0.2">
      <c r="A220">
        <v>218</v>
      </c>
      <c r="B220" t="s">
        <v>7389</v>
      </c>
      <c r="C220" t="s">
        <v>7388</v>
      </c>
      <c r="D220">
        <v>94576588901142</v>
      </c>
      <c r="F220" t="s">
        <v>7387</v>
      </c>
      <c r="G220" t="s">
        <v>15</v>
      </c>
      <c r="H220" t="s">
        <v>14</v>
      </c>
      <c r="I220" t="s">
        <v>7386</v>
      </c>
      <c r="J220">
        <v>60025555</v>
      </c>
      <c r="K220" t="s">
        <v>943</v>
      </c>
      <c r="L220" t="s">
        <v>212</v>
      </c>
      <c r="M220" t="s">
        <v>211</v>
      </c>
      <c r="N220">
        <v>5</v>
      </c>
      <c r="O220" t="s">
        <v>7385</v>
      </c>
      <c r="P220" t="s">
        <v>7384</v>
      </c>
      <c r="Q220" t="s">
        <v>7383</v>
      </c>
      <c r="R220" s="7">
        <v>32143</v>
      </c>
      <c r="S220" s="8">
        <f t="shared" si="32"/>
        <v>1988</v>
      </c>
      <c r="T220" s="8">
        <v>1988</v>
      </c>
      <c r="U220" s="8">
        <f t="shared" si="33"/>
        <v>34</v>
      </c>
      <c r="V220" s="7">
        <v>1988</v>
      </c>
      <c r="W220" t="s">
        <v>1047</v>
      </c>
      <c r="X220" s="2">
        <v>1.1339999999999999</v>
      </c>
      <c r="Y220" s="6">
        <f t="shared" si="30"/>
        <v>3.0271482341635299E-2</v>
      </c>
      <c r="AA220">
        <v>945765</v>
      </c>
      <c r="AB220">
        <v>12372</v>
      </c>
      <c r="AD220" t="s">
        <v>4</v>
      </c>
      <c r="AE220">
        <v>18</v>
      </c>
      <c r="AF220" t="s">
        <v>26</v>
      </c>
      <c r="AH220" t="s">
        <v>3187</v>
      </c>
      <c r="AI220" t="s">
        <v>7382</v>
      </c>
      <c r="AK220" t="s">
        <v>7381</v>
      </c>
      <c r="AL220">
        <v>0</v>
      </c>
      <c r="AM220" s="5">
        <f t="shared" si="34"/>
        <v>0</v>
      </c>
      <c r="AN220" s="4">
        <f t="shared" si="31"/>
        <v>0</v>
      </c>
      <c r="AO220" s="3"/>
      <c r="AP220">
        <v>0</v>
      </c>
      <c r="AR220" t="s">
        <v>0</v>
      </c>
      <c r="AT220" s="2">
        <v>2.4129999999999998</v>
      </c>
      <c r="AU220" s="1">
        <f t="shared" si="35"/>
        <v>2.119003763914471</v>
      </c>
      <c r="AV220" s="1">
        <f t="shared" si="36"/>
        <v>1.5135741170817649</v>
      </c>
      <c r="AW220" s="1">
        <f t="shared" si="37"/>
        <v>0.90814447024905898</v>
      </c>
    </row>
    <row r="221" spans="1:49" x14ac:dyDescent="0.2">
      <c r="A221">
        <v>219</v>
      </c>
      <c r="B221" t="s">
        <v>7380</v>
      </c>
      <c r="C221" t="s">
        <v>7379</v>
      </c>
      <c r="D221" t="s">
        <v>7378</v>
      </c>
      <c r="F221" t="s">
        <v>7377</v>
      </c>
      <c r="G221" t="s">
        <v>15</v>
      </c>
      <c r="H221" t="s">
        <v>14</v>
      </c>
      <c r="I221" t="s">
        <v>7376</v>
      </c>
      <c r="J221" t="s">
        <v>7375</v>
      </c>
      <c r="K221" t="s">
        <v>7374</v>
      </c>
      <c r="L221" t="s">
        <v>7373</v>
      </c>
      <c r="M221" t="s">
        <v>7372</v>
      </c>
      <c r="N221">
        <v>2</v>
      </c>
      <c r="O221" t="s">
        <v>7371</v>
      </c>
      <c r="P221" t="s">
        <v>7370</v>
      </c>
      <c r="Q221" t="s">
        <v>7369</v>
      </c>
      <c r="R221" s="7">
        <v>32143</v>
      </c>
      <c r="S221" s="8">
        <f t="shared" si="32"/>
        <v>1988</v>
      </c>
      <c r="T221" s="8">
        <v>1988</v>
      </c>
      <c r="U221" s="8">
        <f t="shared" si="33"/>
        <v>34</v>
      </c>
      <c r="V221" s="7">
        <v>1988</v>
      </c>
      <c r="W221" t="s">
        <v>7368</v>
      </c>
      <c r="X221" s="2" t="s">
        <v>19</v>
      </c>
      <c r="Y221" s="6" t="e">
        <f t="shared" si="30"/>
        <v>#VALUE!</v>
      </c>
      <c r="AA221">
        <v>836656</v>
      </c>
      <c r="AB221">
        <v>5000157004</v>
      </c>
      <c r="AD221" t="s">
        <v>4</v>
      </c>
      <c r="AE221">
        <v>31</v>
      </c>
      <c r="AF221" t="s">
        <v>26</v>
      </c>
      <c r="AH221" t="s">
        <v>7367</v>
      </c>
      <c r="AI221" t="s">
        <v>7366</v>
      </c>
      <c r="AK221" t="s">
        <v>7365</v>
      </c>
      <c r="AL221">
        <v>0</v>
      </c>
      <c r="AM221" s="5">
        <f t="shared" si="34"/>
        <v>0</v>
      </c>
      <c r="AN221" s="4">
        <f t="shared" si="31"/>
        <v>0</v>
      </c>
      <c r="AO221" s="3"/>
      <c r="AP221">
        <v>0</v>
      </c>
      <c r="AR221" t="s">
        <v>0</v>
      </c>
      <c r="AT221" s="2" t="s">
        <v>19</v>
      </c>
      <c r="AU221" s="1" t="e">
        <f t="shared" si="35"/>
        <v>#VALUE!</v>
      </c>
      <c r="AV221" s="1" t="e">
        <f t="shared" si="36"/>
        <v>#VALUE!</v>
      </c>
      <c r="AW221" s="1" t="e">
        <f t="shared" si="37"/>
        <v>#VALUE!</v>
      </c>
    </row>
    <row r="222" spans="1:49" x14ac:dyDescent="0.2">
      <c r="A222">
        <v>220</v>
      </c>
      <c r="B222" t="s">
        <v>7364</v>
      </c>
      <c r="C222" t="s">
        <v>7363</v>
      </c>
      <c r="D222">
        <v>94576588901154</v>
      </c>
      <c r="F222" t="s">
        <v>7362</v>
      </c>
      <c r="G222" t="s">
        <v>15</v>
      </c>
      <c r="H222" t="s">
        <v>14</v>
      </c>
      <c r="I222" t="s">
        <v>7361</v>
      </c>
      <c r="J222">
        <v>60009037</v>
      </c>
      <c r="K222" t="s">
        <v>400</v>
      </c>
      <c r="L222" t="s">
        <v>399</v>
      </c>
      <c r="M222" t="s">
        <v>31</v>
      </c>
      <c r="N222">
        <v>1</v>
      </c>
      <c r="O222" t="s">
        <v>7360</v>
      </c>
      <c r="P222">
        <v>7007112166</v>
      </c>
      <c r="Q222">
        <v>60009037</v>
      </c>
      <c r="R222" s="7">
        <v>32143</v>
      </c>
      <c r="S222" s="8">
        <f t="shared" si="32"/>
        <v>1988</v>
      </c>
      <c r="T222" s="8">
        <v>1988</v>
      </c>
      <c r="U222" s="8">
        <f t="shared" si="33"/>
        <v>34</v>
      </c>
      <c r="V222" s="7">
        <v>1988</v>
      </c>
      <c r="W222" t="s">
        <v>1047</v>
      </c>
      <c r="X222" s="2">
        <v>1.1339999999999999</v>
      </c>
      <c r="Y222" s="6">
        <f t="shared" si="30"/>
        <v>3.0271482341635299E-2</v>
      </c>
      <c r="AA222">
        <v>945765</v>
      </c>
      <c r="AB222">
        <v>12372</v>
      </c>
      <c r="AD222" t="s">
        <v>4</v>
      </c>
      <c r="AE222">
        <v>18</v>
      </c>
      <c r="AF222" t="s">
        <v>26</v>
      </c>
      <c r="AH222" t="s">
        <v>7359</v>
      </c>
      <c r="AI222" t="s">
        <v>7358</v>
      </c>
      <c r="AK222" t="s">
        <v>7357</v>
      </c>
      <c r="AL222">
        <v>0</v>
      </c>
      <c r="AM222" s="5">
        <f t="shared" si="34"/>
        <v>0</v>
      </c>
      <c r="AN222" s="4">
        <f t="shared" si="31"/>
        <v>0</v>
      </c>
      <c r="AO222" s="3"/>
      <c r="AP222">
        <v>0</v>
      </c>
      <c r="AR222" t="s">
        <v>0</v>
      </c>
      <c r="AT222" s="2">
        <v>2.4129999999999998</v>
      </c>
      <c r="AU222" s="1">
        <f t="shared" si="35"/>
        <v>2.119003763914471</v>
      </c>
      <c r="AV222" s="1">
        <f t="shared" si="36"/>
        <v>1.5135741170817649</v>
      </c>
      <c r="AW222" s="1">
        <f t="shared" si="37"/>
        <v>0.90814447024905898</v>
      </c>
    </row>
    <row r="223" spans="1:49" x14ac:dyDescent="0.2">
      <c r="A223">
        <v>221</v>
      </c>
      <c r="B223" t="s">
        <v>7356</v>
      </c>
      <c r="C223" t="s">
        <v>7355</v>
      </c>
      <c r="D223">
        <v>273117788903699</v>
      </c>
      <c r="F223" t="s">
        <v>7354</v>
      </c>
      <c r="G223" t="s">
        <v>15</v>
      </c>
      <c r="H223" t="s">
        <v>14</v>
      </c>
      <c r="I223" t="s">
        <v>7353</v>
      </c>
      <c r="J223">
        <v>60016296</v>
      </c>
      <c r="K223" t="s">
        <v>575</v>
      </c>
      <c r="L223" t="s">
        <v>7352</v>
      </c>
      <c r="M223" t="s">
        <v>31</v>
      </c>
      <c r="N223">
        <v>1</v>
      </c>
      <c r="O223" t="s">
        <v>7351</v>
      </c>
      <c r="P223">
        <v>6603780166</v>
      </c>
      <c r="Q223">
        <v>60016296</v>
      </c>
      <c r="R223" s="7">
        <v>32143</v>
      </c>
      <c r="S223" s="8">
        <f t="shared" si="32"/>
        <v>1988</v>
      </c>
      <c r="T223" s="8">
        <v>1988</v>
      </c>
      <c r="U223" s="8">
        <f t="shared" si="33"/>
        <v>34</v>
      </c>
      <c r="V223" s="7">
        <v>1988</v>
      </c>
      <c r="W223" t="s">
        <v>7034</v>
      </c>
      <c r="X223" s="2">
        <v>0.68200000000000005</v>
      </c>
      <c r="Y223" s="6">
        <f t="shared" si="30"/>
        <v>1.8205600491177493E-2</v>
      </c>
      <c r="AA223">
        <v>2731177</v>
      </c>
      <c r="AB223">
        <v>12375</v>
      </c>
      <c r="AD223" t="s">
        <v>4</v>
      </c>
      <c r="AE223">
        <v>8</v>
      </c>
      <c r="AF223">
        <v>1</v>
      </c>
      <c r="AH223" t="s">
        <v>7350</v>
      </c>
      <c r="AI223" t="s">
        <v>7349</v>
      </c>
      <c r="AK223" t="s">
        <v>7348</v>
      </c>
      <c r="AL223">
        <v>0</v>
      </c>
      <c r="AM223" s="5">
        <f t="shared" si="34"/>
        <v>0</v>
      </c>
      <c r="AN223" s="4">
        <f t="shared" si="31"/>
        <v>0</v>
      </c>
      <c r="AO223" s="3"/>
      <c r="AP223">
        <v>0</v>
      </c>
      <c r="AR223" t="s">
        <v>0</v>
      </c>
      <c r="AT223" s="2">
        <v>2.1520000000000001</v>
      </c>
      <c r="AU223" s="1">
        <f t="shared" si="35"/>
        <v>1.2743920343824244</v>
      </c>
      <c r="AV223" s="1">
        <f t="shared" si="36"/>
        <v>0.91028002455887469</v>
      </c>
      <c r="AW223" s="1">
        <f t="shared" si="37"/>
        <v>0.54616801473532472</v>
      </c>
    </row>
    <row r="224" spans="1:49" x14ac:dyDescent="0.2">
      <c r="A224">
        <v>222</v>
      </c>
      <c r="B224" t="s">
        <v>7347</v>
      </c>
      <c r="C224" t="s">
        <v>7346</v>
      </c>
      <c r="D224">
        <v>45794988901563</v>
      </c>
      <c r="F224" t="s">
        <v>7345</v>
      </c>
      <c r="G224" t="s">
        <v>15</v>
      </c>
      <c r="H224" t="s">
        <v>14</v>
      </c>
      <c r="I224" t="s">
        <v>7344</v>
      </c>
      <c r="J224">
        <v>60027561</v>
      </c>
      <c r="K224" t="s">
        <v>7343</v>
      </c>
      <c r="L224" t="s">
        <v>339</v>
      </c>
      <c r="M224" t="s">
        <v>31</v>
      </c>
      <c r="N224">
        <v>2</v>
      </c>
      <c r="O224" t="s">
        <v>7342</v>
      </c>
      <c r="P224" t="s">
        <v>7341</v>
      </c>
      <c r="Q224" t="s">
        <v>7340</v>
      </c>
      <c r="R224" s="7">
        <v>32143</v>
      </c>
      <c r="S224" s="8">
        <f t="shared" si="32"/>
        <v>1988</v>
      </c>
      <c r="T224" s="8">
        <v>1988</v>
      </c>
      <c r="U224" s="8">
        <f t="shared" si="33"/>
        <v>34</v>
      </c>
      <c r="V224" s="7">
        <v>1988</v>
      </c>
      <c r="W224" t="s">
        <v>7339</v>
      </c>
      <c r="X224" s="2">
        <v>1.45</v>
      </c>
      <c r="Y224" s="6">
        <f t="shared" si="30"/>
        <v>3.8706921865406689E-2</v>
      </c>
      <c r="AA224">
        <v>457949</v>
      </c>
      <c r="AB224">
        <v>18171</v>
      </c>
      <c r="AD224" t="s">
        <v>4</v>
      </c>
      <c r="AE224">
        <v>30</v>
      </c>
      <c r="AF224">
        <v>5</v>
      </c>
      <c r="AH224" t="s">
        <v>7338</v>
      </c>
      <c r="AI224" t="s">
        <v>7337</v>
      </c>
      <c r="AK224" t="s">
        <v>7336</v>
      </c>
      <c r="AL224">
        <v>7</v>
      </c>
      <c r="AM224" s="5">
        <f t="shared" si="34"/>
        <v>0.20588235294117646</v>
      </c>
      <c r="AN224" s="4">
        <f t="shared" si="31"/>
        <v>3.1182484353074817E-4</v>
      </c>
      <c r="AO224" s="3"/>
      <c r="AP224">
        <v>0</v>
      </c>
      <c r="AR224" t="s">
        <v>0</v>
      </c>
      <c r="AT224" s="2" t="s">
        <v>19</v>
      </c>
      <c r="AU224" s="1">
        <f t="shared" si="35"/>
        <v>2.7188392758843904</v>
      </c>
      <c r="AV224" s="1">
        <f t="shared" si="36"/>
        <v>1.9509373354468718</v>
      </c>
      <c r="AW224" s="1">
        <f t="shared" si="37"/>
        <v>1.1830353950093531</v>
      </c>
    </row>
    <row r="225" spans="1:49" x14ac:dyDescent="0.2">
      <c r="A225">
        <v>223</v>
      </c>
      <c r="B225" t="s">
        <v>7335</v>
      </c>
      <c r="C225" t="s">
        <v>7334</v>
      </c>
      <c r="D225">
        <v>300325688900335</v>
      </c>
      <c r="F225" t="s">
        <v>7333</v>
      </c>
      <c r="G225" t="s">
        <v>15</v>
      </c>
      <c r="H225" t="s">
        <v>14</v>
      </c>
      <c r="I225" t="s">
        <v>7332</v>
      </c>
      <c r="J225" t="s">
        <v>7327</v>
      </c>
      <c r="K225" t="s">
        <v>7331</v>
      </c>
      <c r="L225" t="s">
        <v>7330</v>
      </c>
      <c r="M225" t="s">
        <v>167</v>
      </c>
      <c r="N225">
        <v>2</v>
      </c>
      <c r="O225" t="s">
        <v>7329</v>
      </c>
      <c r="P225" t="s">
        <v>7328</v>
      </c>
      <c r="Q225" t="s">
        <v>7327</v>
      </c>
      <c r="R225" s="7">
        <v>32143</v>
      </c>
      <c r="S225" s="8">
        <f t="shared" si="32"/>
        <v>1988</v>
      </c>
      <c r="T225" s="8">
        <v>1988</v>
      </c>
      <c r="U225" s="8">
        <f t="shared" si="33"/>
        <v>34</v>
      </c>
      <c r="V225" s="7">
        <v>32417</v>
      </c>
      <c r="W225" t="s">
        <v>7326</v>
      </c>
      <c r="X225" s="2">
        <v>1.204</v>
      </c>
      <c r="Y225" s="6">
        <f t="shared" si="30"/>
        <v>3.2140092362723902E-2</v>
      </c>
      <c r="AA225">
        <v>3003256</v>
      </c>
      <c r="AB225">
        <v>24546</v>
      </c>
      <c r="AC225">
        <v>14636409</v>
      </c>
      <c r="AD225" t="s">
        <v>4</v>
      </c>
      <c r="AE225">
        <v>17</v>
      </c>
      <c r="AF225">
        <v>4</v>
      </c>
      <c r="AH225" t="s">
        <v>4392</v>
      </c>
      <c r="AI225" t="s">
        <v>7325</v>
      </c>
      <c r="AK225" t="s">
        <v>7324</v>
      </c>
      <c r="AL225">
        <v>1</v>
      </c>
      <c r="AM225" s="5">
        <f t="shared" si="34"/>
        <v>2.9411764705882353E-2</v>
      </c>
      <c r="AN225" s="4">
        <f t="shared" si="31"/>
        <v>4.4546406218678307E-5</v>
      </c>
      <c r="AO225" s="3"/>
      <c r="AP225">
        <v>0</v>
      </c>
      <c r="AR225" t="s">
        <v>0</v>
      </c>
      <c r="AT225" s="2">
        <v>3.14</v>
      </c>
      <c r="AU225" s="1">
        <f t="shared" si="35"/>
        <v>2.2511428575772334</v>
      </c>
      <c r="AV225" s="1">
        <f t="shared" si="36"/>
        <v>1.609231938447129</v>
      </c>
      <c r="AW225" s="1">
        <f t="shared" si="37"/>
        <v>0.96732101931702452</v>
      </c>
    </row>
    <row r="226" spans="1:49" x14ac:dyDescent="0.2">
      <c r="A226">
        <v>224</v>
      </c>
      <c r="B226" t="s">
        <v>7323</v>
      </c>
      <c r="C226" t="s">
        <v>7322</v>
      </c>
      <c r="D226" t="s">
        <v>7321</v>
      </c>
      <c r="F226" t="s">
        <v>7320</v>
      </c>
      <c r="G226" t="s">
        <v>15</v>
      </c>
      <c r="H226" t="s">
        <v>14</v>
      </c>
      <c r="I226" t="s">
        <v>7319</v>
      </c>
      <c r="J226" t="s">
        <v>7318</v>
      </c>
      <c r="K226" t="s">
        <v>7317</v>
      </c>
      <c r="L226" t="s">
        <v>7316</v>
      </c>
      <c r="M226" t="s">
        <v>7315</v>
      </c>
      <c r="N226">
        <v>3</v>
      </c>
      <c r="O226" t="s">
        <v>7314</v>
      </c>
      <c r="P226" t="s">
        <v>7313</v>
      </c>
      <c r="Q226" t="s">
        <v>7312</v>
      </c>
      <c r="R226" s="7">
        <v>32143</v>
      </c>
      <c r="S226" s="8">
        <f t="shared" si="32"/>
        <v>1988</v>
      </c>
      <c r="T226" s="8">
        <v>1988</v>
      </c>
      <c r="U226" s="8">
        <f t="shared" si="33"/>
        <v>34</v>
      </c>
      <c r="V226" s="7">
        <v>32417</v>
      </c>
      <c r="W226" t="s">
        <v>1047</v>
      </c>
      <c r="X226" s="2">
        <v>1.1339999999999999</v>
      </c>
      <c r="Y226" s="6">
        <f t="shared" si="30"/>
        <v>3.0271482341635299E-2</v>
      </c>
      <c r="AA226">
        <v>945765</v>
      </c>
      <c r="AB226">
        <v>12372</v>
      </c>
      <c r="AD226" t="s">
        <v>4</v>
      </c>
      <c r="AE226">
        <v>17</v>
      </c>
      <c r="AF226">
        <v>10</v>
      </c>
      <c r="AH226" t="s">
        <v>7311</v>
      </c>
      <c r="AI226" t="s">
        <v>7310</v>
      </c>
      <c r="AK226" t="s">
        <v>7309</v>
      </c>
      <c r="AL226">
        <v>0</v>
      </c>
      <c r="AM226" s="5">
        <f t="shared" si="34"/>
        <v>0</v>
      </c>
      <c r="AN226" s="4">
        <f t="shared" si="31"/>
        <v>0</v>
      </c>
      <c r="AO226" s="3"/>
      <c r="AP226">
        <v>0</v>
      </c>
      <c r="AR226" t="s">
        <v>0</v>
      </c>
      <c r="AT226" s="2">
        <v>2.4129999999999998</v>
      </c>
      <c r="AU226" s="1">
        <f t="shared" si="35"/>
        <v>2.119003763914471</v>
      </c>
      <c r="AV226" s="1">
        <f t="shared" si="36"/>
        <v>1.5135741170817649</v>
      </c>
      <c r="AW226" s="1">
        <f t="shared" si="37"/>
        <v>0.90814447024905898</v>
      </c>
    </row>
    <row r="227" spans="1:49" x14ac:dyDescent="0.2">
      <c r="A227">
        <v>225</v>
      </c>
      <c r="B227" t="s">
        <v>7308</v>
      </c>
      <c r="C227" t="s">
        <v>7307</v>
      </c>
      <c r="D227" t="s">
        <v>7306</v>
      </c>
      <c r="F227" t="s">
        <v>7305</v>
      </c>
      <c r="G227" t="s">
        <v>15</v>
      </c>
      <c r="H227" t="s">
        <v>14</v>
      </c>
      <c r="I227" t="s">
        <v>7304</v>
      </c>
      <c r="J227">
        <v>105249529</v>
      </c>
      <c r="K227" t="s">
        <v>7303</v>
      </c>
      <c r="L227" t="s">
        <v>5978</v>
      </c>
      <c r="M227" t="s">
        <v>45</v>
      </c>
      <c r="N227">
        <v>1</v>
      </c>
      <c r="O227" t="s">
        <v>7302</v>
      </c>
      <c r="P227">
        <v>7103415926</v>
      </c>
      <c r="Q227">
        <v>105249529</v>
      </c>
      <c r="R227" s="7">
        <v>32143</v>
      </c>
      <c r="S227" s="8">
        <f t="shared" si="32"/>
        <v>1988</v>
      </c>
      <c r="T227" s="8">
        <v>1988</v>
      </c>
      <c r="U227" s="8">
        <f t="shared" si="33"/>
        <v>34</v>
      </c>
      <c r="V227" s="7">
        <v>32387</v>
      </c>
      <c r="W227" t="s">
        <v>1047</v>
      </c>
      <c r="X227" s="2">
        <v>1.1339999999999999</v>
      </c>
      <c r="Y227" s="6">
        <f t="shared" si="30"/>
        <v>3.0271482341635299E-2</v>
      </c>
      <c r="AA227">
        <v>945765</v>
      </c>
      <c r="AB227">
        <v>12372</v>
      </c>
      <c r="AD227" t="s">
        <v>4</v>
      </c>
      <c r="AE227">
        <v>17</v>
      </c>
      <c r="AF227">
        <v>9</v>
      </c>
      <c r="AH227" t="s">
        <v>7301</v>
      </c>
      <c r="AI227" t="s">
        <v>7300</v>
      </c>
      <c r="AK227" t="s">
        <v>7299</v>
      </c>
      <c r="AL227">
        <v>0</v>
      </c>
      <c r="AM227" s="5">
        <f t="shared" si="34"/>
        <v>0</v>
      </c>
      <c r="AN227" s="4">
        <f t="shared" si="31"/>
        <v>0</v>
      </c>
      <c r="AO227" s="3"/>
      <c r="AP227">
        <v>0</v>
      </c>
      <c r="AR227" t="s">
        <v>0</v>
      </c>
      <c r="AT227" s="2">
        <v>2.4129999999999998</v>
      </c>
      <c r="AU227" s="1">
        <f t="shared" si="35"/>
        <v>2.119003763914471</v>
      </c>
      <c r="AV227" s="1">
        <f t="shared" si="36"/>
        <v>1.5135741170817649</v>
      </c>
      <c r="AW227" s="1">
        <f t="shared" si="37"/>
        <v>0.90814447024905898</v>
      </c>
    </row>
    <row r="228" spans="1:49" x14ac:dyDescent="0.2">
      <c r="A228">
        <v>226</v>
      </c>
      <c r="B228" t="s">
        <v>7298</v>
      </c>
      <c r="C228" t="s">
        <v>7297</v>
      </c>
      <c r="D228">
        <v>21999188901052</v>
      </c>
      <c r="F228" t="s">
        <v>7296</v>
      </c>
      <c r="G228" t="s">
        <v>15</v>
      </c>
      <c r="H228" t="s">
        <v>14</v>
      </c>
      <c r="I228" t="s">
        <v>7295</v>
      </c>
      <c r="J228">
        <v>60024266</v>
      </c>
      <c r="K228" t="s">
        <v>5109</v>
      </c>
      <c r="L228" t="s">
        <v>5108</v>
      </c>
      <c r="M228" t="s">
        <v>31</v>
      </c>
      <c r="N228">
        <v>7</v>
      </c>
      <c r="O228" t="s">
        <v>7294</v>
      </c>
      <c r="P228" t="s">
        <v>7293</v>
      </c>
      <c r="Q228" t="s">
        <v>7292</v>
      </c>
      <c r="R228" s="7">
        <v>32143</v>
      </c>
      <c r="S228" s="8">
        <f t="shared" si="32"/>
        <v>1988</v>
      </c>
      <c r="T228" s="8">
        <v>1988</v>
      </c>
      <c r="U228" s="8">
        <f t="shared" si="33"/>
        <v>34</v>
      </c>
      <c r="V228" s="7">
        <v>32203</v>
      </c>
      <c r="W228" t="s">
        <v>7291</v>
      </c>
      <c r="X228" s="2">
        <v>1.8819999999999999</v>
      </c>
      <c r="Y228" s="6">
        <f t="shared" si="30"/>
        <v>5.0238915138410611E-2</v>
      </c>
      <c r="AA228">
        <v>219991</v>
      </c>
      <c r="AB228">
        <v>13191</v>
      </c>
      <c r="AC228">
        <v>10902716</v>
      </c>
      <c r="AD228" t="s">
        <v>4</v>
      </c>
      <c r="AE228">
        <v>75</v>
      </c>
      <c r="AF228">
        <v>1</v>
      </c>
      <c r="AH228" t="s">
        <v>7290</v>
      </c>
      <c r="AI228" t="s">
        <v>7289</v>
      </c>
      <c r="AK228" t="s">
        <v>7288</v>
      </c>
      <c r="AL228">
        <v>3</v>
      </c>
      <c r="AM228" s="5">
        <f t="shared" si="34"/>
        <v>8.8235294117647065E-2</v>
      </c>
      <c r="AN228" s="4">
        <f t="shared" si="31"/>
        <v>1.3363921865603494E-4</v>
      </c>
      <c r="AO228" s="3"/>
      <c r="AP228">
        <v>0</v>
      </c>
      <c r="AQ228" t="s">
        <v>21</v>
      </c>
      <c r="AR228" t="s">
        <v>7287</v>
      </c>
      <c r="AS228" t="s">
        <v>20</v>
      </c>
      <c r="AT228" s="2">
        <v>3.5529999999999999</v>
      </c>
      <c r="AU228" s="1">
        <f t="shared" si="35"/>
        <v>3.5207332362484229</v>
      </c>
      <c r="AV228" s="1">
        <f t="shared" si="36"/>
        <v>2.5186277178533323</v>
      </c>
      <c r="AW228" s="1">
        <f t="shared" si="37"/>
        <v>1.5165221994582407</v>
      </c>
    </row>
    <row r="229" spans="1:49" x14ac:dyDescent="0.2">
      <c r="A229">
        <v>227</v>
      </c>
      <c r="B229" t="s">
        <v>7286</v>
      </c>
      <c r="C229" t="s">
        <v>7285</v>
      </c>
      <c r="D229" t="s">
        <v>7284</v>
      </c>
      <c r="F229" t="s">
        <v>7283</v>
      </c>
      <c r="G229" t="s">
        <v>15</v>
      </c>
      <c r="H229" t="s">
        <v>14</v>
      </c>
      <c r="I229" t="s">
        <v>7282</v>
      </c>
      <c r="J229">
        <v>60031159</v>
      </c>
      <c r="K229" t="s">
        <v>6674</v>
      </c>
      <c r="L229" t="s">
        <v>6673</v>
      </c>
      <c r="M229" t="s">
        <v>1179</v>
      </c>
      <c r="N229">
        <v>2</v>
      </c>
      <c r="O229" t="s">
        <v>7281</v>
      </c>
      <c r="P229" t="s">
        <v>7280</v>
      </c>
      <c r="Q229" t="s">
        <v>7279</v>
      </c>
      <c r="R229" s="7">
        <v>32143</v>
      </c>
      <c r="S229" s="8">
        <f t="shared" si="32"/>
        <v>1988</v>
      </c>
      <c r="T229" s="8">
        <v>1988</v>
      </c>
      <c r="U229" s="8">
        <f t="shared" si="33"/>
        <v>34</v>
      </c>
      <c r="V229" s="7">
        <v>32356</v>
      </c>
      <c r="W229" t="s">
        <v>1047</v>
      </c>
      <c r="X229" s="2">
        <v>1.1339999999999999</v>
      </c>
      <c r="Y229" s="6">
        <f t="shared" si="30"/>
        <v>3.0271482341635299E-2</v>
      </c>
      <c r="AA229">
        <v>945765</v>
      </c>
      <c r="AB229">
        <v>12372</v>
      </c>
      <c r="AD229" t="s">
        <v>4</v>
      </c>
      <c r="AE229">
        <v>17</v>
      </c>
      <c r="AF229">
        <v>8</v>
      </c>
      <c r="AH229" t="s">
        <v>7278</v>
      </c>
      <c r="AI229" t="s">
        <v>7277</v>
      </c>
      <c r="AK229" t="s">
        <v>7276</v>
      </c>
      <c r="AL229">
        <v>2</v>
      </c>
      <c r="AM229" s="5">
        <f t="shared" si="34"/>
        <v>5.8823529411764705E-2</v>
      </c>
      <c r="AN229" s="4">
        <f t="shared" si="31"/>
        <v>8.9092812437356614E-5</v>
      </c>
      <c r="AO229" s="3"/>
      <c r="AP229">
        <v>0</v>
      </c>
      <c r="AR229" t="s">
        <v>0</v>
      </c>
      <c r="AT229" s="2">
        <v>2.4129999999999998</v>
      </c>
      <c r="AU229" s="1">
        <f t="shared" si="35"/>
        <v>2.1216765482875917</v>
      </c>
      <c r="AV229" s="1">
        <f t="shared" si="36"/>
        <v>1.5180287577036327</v>
      </c>
      <c r="AW229" s="1">
        <f t="shared" si="37"/>
        <v>0.91438096711967376</v>
      </c>
    </row>
    <row r="230" spans="1:49" x14ac:dyDescent="0.2">
      <c r="A230">
        <v>228</v>
      </c>
      <c r="B230" t="s">
        <v>7275</v>
      </c>
      <c r="C230" t="s">
        <v>7274</v>
      </c>
      <c r="F230" t="s">
        <v>7273</v>
      </c>
      <c r="G230" t="s">
        <v>15</v>
      </c>
      <c r="H230" t="s">
        <v>14</v>
      </c>
      <c r="I230" t="s">
        <v>7272</v>
      </c>
      <c r="J230" t="s">
        <v>7271</v>
      </c>
      <c r="K230" t="s">
        <v>7270</v>
      </c>
      <c r="L230" t="s">
        <v>7269</v>
      </c>
      <c r="M230" t="s">
        <v>7268</v>
      </c>
      <c r="N230">
        <v>4</v>
      </c>
      <c r="O230" t="s">
        <v>7267</v>
      </c>
      <c r="P230" t="s">
        <v>7266</v>
      </c>
      <c r="Q230" t="s">
        <v>7265</v>
      </c>
      <c r="R230" s="7">
        <v>32143</v>
      </c>
      <c r="S230" s="8">
        <f t="shared" si="32"/>
        <v>1988</v>
      </c>
      <c r="T230" s="8">
        <v>1988</v>
      </c>
      <c r="U230" s="8">
        <f t="shared" si="33"/>
        <v>34</v>
      </c>
      <c r="V230" s="7">
        <v>1988</v>
      </c>
      <c r="W230" t="s">
        <v>7264</v>
      </c>
      <c r="X230" s="2" t="s">
        <v>19</v>
      </c>
      <c r="Y230" s="6" t="e">
        <f t="shared" si="30"/>
        <v>#VALUE!</v>
      </c>
      <c r="AA230">
        <v>219606</v>
      </c>
      <c r="AB230">
        <v>28134</v>
      </c>
      <c r="AD230" t="s">
        <v>4</v>
      </c>
      <c r="AE230">
        <v>89</v>
      </c>
      <c r="AF230">
        <v>5</v>
      </c>
      <c r="AH230" t="s">
        <v>7263</v>
      </c>
      <c r="AI230" t="s">
        <v>7262</v>
      </c>
      <c r="AK230" t="s">
        <v>7261</v>
      </c>
      <c r="AL230">
        <v>273</v>
      </c>
      <c r="AM230" s="5">
        <f t="shared" si="34"/>
        <v>8.0294117647058822</v>
      </c>
      <c r="AN230" s="4">
        <f t="shared" si="31"/>
        <v>1.2161168897699177E-2</v>
      </c>
      <c r="AO230" s="3"/>
      <c r="AP230">
        <v>0</v>
      </c>
      <c r="AR230" t="s">
        <v>0</v>
      </c>
      <c r="AT230" s="2" t="s">
        <v>19</v>
      </c>
      <c r="AU230" s="1" t="e">
        <f t="shared" si="35"/>
        <v>#VALUE!</v>
      </c>
      <c r="AV230" s="1" t="e">
        <f t="shared" si="36"/>
        <v>#VALUE!</v>
      </c>
      <c r="AW230" s="1" t="e">
        <f t="shared" si="37"/>
        <v>#VALUE!</v>
      </c>
    </row>
    <row r="231" spans="1:49" x14ac:dyDescent="0.2">
      <c r="A231">
        <v>229</v>
      </c>
      <c r="B231" t="s">
        <v>7260</v>
      </c>
      <c r="C231" t="s">
        <v>7259</v>
      </c>
      <c r="F231" t="s">
        <v>7258</v>
      </c>
      <c r="G231" t="s">
        <v>15</v>
      </c>
      <c r="H231" t="s">
        <v>14</v>
      </c>
      <c r="I231" t="s">
        <v>7257</v>
      </c>
      <c r="J231">
        <v>60027509</v>
      </c>
      <c r="K231" t="s">
        <v>2154</v>
      </c>
      <c r="L231" t="s">
        <v>2153</v>
      </c>
      <c r="M231" t="s">
        <v>1725</v>
      </c>
      <c r="N231">
        <v>1</v>
      </c>
      <c r="O231" t="s">
        <v>7256</v>
      </c>
      <c r="P231">
        <v>7004985710</v>
      </c>
      <c r="Q231">
        <v>60027509</v>
      </c>
      <c r="R231" s="7">
        <v>32143</v>
      </c>
      <c r="S231" s="8">
        <f t="shared" si="32"/>
        <v>1988</v>
      </c>
      <c r="T231" s="8">
        <v>1988</v>
      </c>
      <c r="U231" s="8">
        <f t="shared" si="33"/>
        <v>34</v>
      </c>
      <c r="V231" s="7">
        <v>1988</v>
      </c>
      <c r="W231" t="s">
        <v>41</v>
      </c>
      <c r="X231" s="2">
        <v>1.887</v>
      </c>
      <c r="Y231" s="6">
        <f t="shared" si="30"/>
        <v>5.0372387282774087E-2</v>
      </c>
      <c r="AA231">
        <v>5562821</v>
      </c>
      <c r="AB231">
        <v>29459</v>
      </c>
      <c r="AD231" t="s">
        <v>4</v>
      </c>
      <c r="AE231">
        <v>38</v>
      </c>
      <c r="AF231">
        <v>8</v>
      </c>
      <c r="AH231" t="s">
        <v>7255</v>
      </c>
      <c r="AI231" t="s">
        <v>7254</v>
      </c>
      <c r="AK231" t="s">
        <v>7253</v>
      </c>
      <c r="AL231">
        <v>12</v>
      </c>
      <c r="AM231" s="5">
        <f t="shared" si="34"/>
        <v>0.35294117647058826</v>
      </c>
      <c r="AN231" s="4">
        <f t="shared" si="31"/>
        <v>5.3455687462413976E-4</v>
      </c>
      <c r="AO231" s="3"/>
      <c r="AP231">
        <v>0</v>
      </c>
      <c r="AR231" t="s">
        <v>0</v>
      </c>
      <c r="AT231" s="2">
        <v>5.2960000000000003</v>
      </c>
      <c r="AU231" s="1">
        <f t="shared" si="35"/>
        <v>3.5421038160329097</v>
      </c>
      <c r="AV231" s="1">
        <f t="shared" si="36"/>
        <v>2.5453472078699115</v>
      </c>
      <c r="AW231" s="1">
        <f t="shared" si="37"/>
        <v>1.5485905997069123</v>
      </c>
    </row>
    <row r="232" spans="1:49" x14ac:dyDescent="0.2">
      <c r="A232">
        <v>230</v>
      </c>
      <c r="B232" t="s">
        <v>7252</v>
      </c>
      <c r="C232" t="s">
        <v>7251</v>
      </c>
      <c r="D232" t="s">
        <v>7250</v>
      </c>
      <c r="F232" t="s">
        <v>7249</v>
      </c>
      <c r="G232" t="s">
        <v>15</v>
      </c>
      <c r="H232" t="s">
        <v>14</v>
      </c>
      <c r="I232" t="s">
        <v>7248</v>
      </c>
      <c r="J232">
        <v>60018945</v>
      </c>
      <c r="K232" t="s">
        <v>7247</v>
      </c>
      <c r="L232" t="s">
        <v>7246</v>
      </c>
      <c r="M232" t="s">
        <v>1088</v>
      </c>
      <c r="N232">
        <v>1</v>
      </c>
      <c r="O232" t="s">
        <v>7245</v>
      </c>
      <c r="P232">
        <v>6602931290</v>
      </c>
      <c r="Q232">
        <v>60018945</v>
      </c>
      <c r="R232" s="7">
        <v>32143</v>
      </c>
      <c r="S232" s="8">
        <f t="shared" si="32"/>
        <v>1988</v>
      </c>
      <c r="T232" s="8">
        <v>1988</v>
      </c>
      <c r="U232" s="8">
        <f t="shared" si="33"/>
        <v>34</v>
      </c>
      <c r="V232" s="7">
        <v>1988</v>
      </c>
      <c r="W232" t="s">
        <v>7244</v>
      </c>
      <c r="X232" s="2">
        <v>0.89900000000000002</v>
      </c>
      <c r="Y232" s="6">
        <f t="shared" si="30"/>
        <v>2.399829155655215E-2</v>
      </c>
      <c r="AA232">
        <v>221910</v>
      </c>
      <c r="AB232">
        <v>20487</v>
      </c>
      <c r="AD232" t="s">
        <v>4</v>
      </c>
      <c r="AE232">
        <v>34</v>
      </c>
      <c r="AF232">
        <v>2</v>
      </c>
      <c r="AH232" t="s">
        <v>7243</v>
      </c>
      <c r="AI232" t="s">
        <v>7242</v>
      </c>
      <c r="AJ232" t="s">
        <v>7241</v>
      </c>
      <c r="AK232" t="s">
        <v>7240</v>
      </c>
      <c r="AL232">
        <v>8</v>
      </c>
      <c r="AM232" s="5">
        <f t="shared" si="34"/>
        <v>0.23529411764705882</v>
      </c>
      <c r="AN232" s="4">
        <f t="shared" si="31"/>
        <v>3.5637124974942646E-4</v>
      </c>
      <c r="AO232" s="3"/>
      <c r="AP232">
        <v>0</v>
      </c>
      <c r="AR232" t="s">
        <v>0</v>
      </c>
      <c r="AT232" s="2">
        <v>2.3540000000000001</v>
      </c>
      <c r="AU232" s="1">
        <f t="shared" si="35"/>
        <v>1.6905715464511331</v>
      </c>
      <c r="AV232" s="1">
        <f t="shared" si="36"/>
        <v>1.2177331403150788</v>
      </c>
      <c r="AW232" s="1">
        <f t="shared" si="37"/>
        <v>0.7448947341790243</v>
      </c>
    </row>
    <row r="233" spans="1:49" x14ac:dyDescent="0.2">
      <c r="A233">
        <v>231</v>
      </c>
      <c r="B233" t="s">
        <v>7239</v>
      </c>
      <c r="C233" t="s">
        <v>7238</v>
      </c>
      <c r="D233" t="s">
        <v>7237</v>
      </c>
      <c r="F233" t="s">
        <v>7236</v>
      </c>
      <c r="G233" t="s">
        <v>15</v>
      </c>
      <c r="H233" t="s">
        <v>14</v>
      </c>
      <c r="I233" t="s">
        <v>7235</v>
      </c>
      <c r="J233">
        <v>60000078</v>
      </c>
      <c r="K233" t="s">
        <v>7234</v>
      </c>
      <c r="L233" t="s">
        <v>7233</v>
      </c>
      <c r="M233" t="s">
        <v>300</v>
      </c>
      <c r="N233">
        <v>1</v>
      </c>
      <c r="O233" t="s">
        <v>7232</v>
      </c>
      <c r="P233">
        <v>6602500416</v>
      </c>
      <c r="Q233">
        <v>60000078</v>
      </c>
      <c r="R233" s="7">
        <v>32143</v>
      </c>
      <c r="S233" s="8">
        <f t="shared" si="32"/>
        <v>1988</v>
      </c>
      <c r="T233" s="8">
        <v>1988</v>
      </c>
      <c r="U233" s="8">
        <f t="shared" si="33"/>
        <v>34</v>
      </c>
      <c r="V233" s="7">
        <v>32234</v>
      </c>
      <c r="W233" t="s">
        <v>7231</v>
      </c>
      <c r="X233" s="2">
        <v>0.63800000000000001</v>
      </c>
      <c r="Y233" s="6">
        <f t="shared" si="30"/>
        <v>1.7031045620778944E-2</v>
      </c>
      <c r="AA233" t="s">
        <v>7230</v>
      </c>
      <c r="AB233">
        <v>20954</v>
      </c>
      <c r="AD233" t="s">
        <v>4</v>
      </c>
      <c r="AE233">
        <v>24</v>
      </c>
      <c r="AF233">
        <v>2</v>
      </c>
      <c r="AH233" t="s">
        <v>7229</v>
      </c>
      <c r="AI233" t="s">
        <v>7228</v>
      </c>
      <c r="AK233" t="s">
        <v>7227</v>
      </c>
      <c r="AL233">
        <v>5</v>
      </c>
      <c r="AM233" s="5">
        <f t="shared" si="34"/>
        <v>0.14705882352941177</v>
      </c>
      <c r="AN233" s="4">
        <f t="shared" si="31"/>
        <v>2.2273203109339154E-4</v>
      </c>
      <c r="AO233" s="3"/>
      <c r="AP233">
        <v>0</v>
      </c>
      <c r="AR233" t="s">
        <v>0</v>
      </c>
      <c r="AT233" s="2">
        <v>2.6429999999999998</v>
      </c>
      <c r="AU233" s="1">
        <f t="shared" si="35"/>
        <v>1.1988551543873278</v>
      </c>
      <c r="AV233" s="1">
        <f t="shared" si="36"/>
        <v>0.86268888259361676</v>
      </c>
      <c r="AW233" s="1">
        <f t="shared" si="37"/>
        <v>0.52652261079990559</v>
      </c>
    </row>
    <row r="234" spans="1:49" x14ac:dyDescent="0.2">
      <c r="A234">
        <v>232</v>
      </c>
      <c r="B234" t="s">
        <v>7226</v>
      </c>
      <c r="C234" t="s">
        <v>7225</v>
      </c>
      <c r="D234">
        <v>21916988900049</v>
      </c>
      <c r="F234" t="s">
        <v>7224</v>
      </c>
      <c r="G234" t="s">
        <v>15</v>
      </c>
      <c r="H234" t="s">
        <v>14</v>
      </c>
      <c r="I234" t="s">
        <v>7223</v>
      </c>
      <c r="J234">
        <v>60009512</v>
      </c>
      <c r="K234" t="s">
        <v>7222</v>
      </c>
      <c r="L234" t="s">
        <v>1494</v>
      </c>
      <c r="M234" t="s">
        <v>1088</v>
      </c>
      <c r="N234">
        <v>1</v>
      </c>
      <c r="O234" t="s">
        <v>7221</v>
      </c>
      <c r="P234">
        <v>7202957110</v>
      </c>
      <c r="Q234">
        <v>60009512</v>
      </c>
      <c r="R234" s="7">
        <v>32143</v>
      </c>
      <c r="S234" s="8">
        <f t="shared" si="32"/>
        <v>1988</v>
      </c>
      <c r="T234" s="8">
        <v>1988</v>
      </c>
      <c r="U234" s="8">
        <f t="shared" si="33"/>
        <v>34</v>
      </c>
      <c r="V234" s="7">
        <v>32143</v>
      </c>
      <c r="W234" t="s">
        <v>109</v>
      </c>
      <c r="X234" s="2">
        <v>0.51500000000000001</v>
      </c>
      <c r="Y234" s="6">
        <f t="shared" si="30"/>
        <v>1.374763086943755E-2</v>
      </c>
      <c r="AA234">
        <v>219169</v>
      </c>
      <c r="AB234">
        <v>30966</v>
      </c>
      <c r="AD234" t="s">
        <v>4</v>
      </c>
      <c r="AE234">
        <v>50</v>
      </c>
      <c r="AF234">
        <v>1</v>
      </c>
      <c r="AH234" t="s">
        <v>7220</v>
      </c>
      <c r="AI234" t="s">
        <v>7219</v>
      </c>
      <c r="AK234" t="s">
        <v>7218</v>
      </c>
      <c r="AL234">
        <v>23</v>
      </c>
      <c r="AM234" s="5">
        <f t="shared" si="34"/>
        <v>0.67647058823529416</v>
      </c>
      <c r="AN234" s="4">
        <f t="shared" si="31"/>
        <v>1.0245673430296011E-3</v>
      </c>
      <c r="AO234" s="3"/>
      <c r="AP234">
        <v>0</v>
      </c>
      <c r="AR234" t="s">
        <v>0</v>
      </c>
      <c r="AT234" s="2" t="s">
        <v>19</v>
      </c>
      <c r="AU234" s="1">
        <f t="shared" si="35"/>
        <v>0.99307118115151638</v>
      </c>
      <c r="AV234" s="1">
        <f t="shared" si="36"/>
        <v>0.73860991062335757</v>
      </c>
      <c r="AW234" s="1">
        <f t="shared" si="37"/>
        <v>0.48414864009519859</v>
      </c>
    </row>
    <row r="235" spans="1:49" x14ac:dyDescent="0.2">
      <c r="A235">
        <v>233</v>
      </c>
      <c r="B235" t="s">
        <v>7217</v>
      </c>
      <c r="C235" t="s">
        <v>7216</v>
      </c>
      <c r="D235">
        <v>21916988900165</v>
      </c>
      <c r="F235" t="s">
        <v>7215</v>
      </c>
      <c r="G235" t="s">
        <v>15</v>
      </c>
      <c r="H235" t="s">
        <v>14</v>
      </c>
      <c r="I235" t="s">
        <v>7214</v>
      </c>
      <c r="J235" t="s">
        <v>7213</v>
      </c>
      <c r="K235" t="s">
        <v>7212</v>
      </c>
      <c r="L235" t="s">
        <v>7211</v>
      </c>
      <c r="M235" t="s">
        <v>167</v>
      </c>
      <c r="N235">
        <v>3</v>
      </c>
      <c r="O235" t="s">
        <v>7210</v>
      </c>
      <c r="P235" t="s">
        <v>7209</v>
      </c>
      <c r="Q235" t="s">
        <v>7208</v>
      </c>
      <c r="R235" s="7">
        <v>32143</v>
      </c>
      <c r="S235" s="8">
        <f t="shared" si="32"/>
        <v>1988</v>
      </c>
      <c r="T235" s="8">
        <v>1988</v>
      </c>
      <c r="U235" s="8">
        <f t="shared" si="33"/>
        <v>34</v>
      </c>
      <c r="V235" s="7" t="s">
        <v>7207</v>
      </c>
      <c r="W235" t="s">
        <v>109</v>
      </c>
      <c r="X235" s="2">
        <v>0.51500000000000001</v>
      </c>
      <c r="Y235" s="6">
        <f t="shared" si="30"/>
        <v>1.374763086943755E-2</v>
      </c>
      <c r="AA235">
        <v>219169</v>
      </c>
      <c r="AB235">
        <v>30966</v>
      </c>
      <c r="AD235" t="s">
        <v>4</v>
      </c>
      <c r="AE235">
        <v>50</v>
      </c>
      <c r="AF235" s="9">
        <v>44320</v>
      </c>
      <c r="AI235" t="s">
        <v>7206</v>
      </c>
      <c r="AK235" t="s">
        <v>7205</v>
      </c>
      <c r="AL235">
        <v>9</v>
      </c>
      <c r="AM235" s="5">
        <f t="shared" si="34"/>
        <v>0.26470588235294118</v>
      </c>
      <c r="AN235" s="4">
        <f t="shared" si="31"/>
        <v>4.009176559681048E-4</v>
      </c>
      <c r="AO235" s="3"/>
      <c r="AP235">
        <v>0</v>
      </c>
      <c r="AQ235" t="s">
        <v>7204</v>
      </c>
      <c r="AR235" t="s">
        <v>0</v>
      </c>
      <c r="AS235" t="s">
        <v>7203</v>
      </c>
      <c r="AT235" s="2" t="s">
        <v>19</v>
      </c>
      <c r="AU235" s="1">
        <f t="shared" si="35"/>
        <v>0.97436169053967159</v>
      </c>
      <c r="AV235" s="1">
        <f t="shared" si="36"/>
        <v>0.70742742627028277</v>
      </c>
      <c r="AW235" s="1">
        <f t="shared" si="37"/>
        <v>0.44049316200089383</v>
      </c>
    </row>
    <row r="236" spans="1:49" x14ac:dyDescent="0.2">
      <c r="A236">
        <v>234</v>
      </c>
      <c r="B236" t="s">
        <v>7202</v>
      </c>
      <c r="C236" t="s">
        <v>7201</v>
      </c>
      <c r="D236" t="s">
        <v>7200</v>
      </c>
      <c r="F236" t="s">
        <v>7199</v>
      </c>
      <c r="G236" t="s">
        <v>15</v>
      </c>
      <c r="H236" t="s">
        <v>14</v>
      </c>
      <c r="I236" t="s">
        <v>7198</v>
      </c>
      <c r="J236">
        <v>60010023</v>
      </c>
      <c r="K236" t="s">
        <v>7197</v>
      </c>
      <c r="L236" t="s">
        <v>7196</v>
      </c>
      <c r="M236" t="s">
        <v>1179</v>
      </c>
      <c r="N236">
        <v>3</v>
      </c>
      <c r="O236" t="s">
        <v>7195</v>
      </c>
      <c r="P236" t="s">
        <v>7194</v>
      </c>
      <c r="Q236" t="s">
        <v>7193</v>
      </c>
      <c r="R236" s="7">
        <v>32143</v>
      </c>
      <c r="S236" s="8">
        <f t="shared" si="32"/>
        <v>1988</v>
      </c>
      <c r="T236" s="8">
        <v>1988</v>
      </c>
      <c r="U236" s="8">
        <f t="shared" si="33"/>
        <v>34</v>
      </c>
      <c r="V236" s="7">
        <v>32234</v>
      </c>
      <c r="W236" t="s">
        <v>125</v>
      </c>
      <c r="X236" s="2">
        <v>0.998</v>
      </c>
      <c r="Y236" s="6">
        <f t="shared" si="30"/>
        <v>2.664104001494888E-2</v>
      </c>
      <c r="AA236">
        <v>207322</v>
      </c>
      <c r="AB236">
        <v>90127</v>
      </c>
      <c r="AD236" t="s">
        <v>4</v>
      </c>
      <c r="AE236">
        <v>17</v>
      </c>
      <c r="AF236">
        <v>2</v>
      </c>
      <c r="AH236" t="s">
        <v>7192</v>
      </c>
      <c r="AI236" t="s">
        <v>7191</v>
      </c>
      <c r="AJ236" t="s">
        <v>7190</v>
      </c>
      <c r="AK236" t="s">
        <v>7189</v>
      </c>
      <c r="AL236">
        <v>33</v>
      </c>
      <c r="AM236" s="5">
        <f t="shared" si="34"/>
        <v>0.97058823529411764</v>
      </c>
      <c r="AN236" s="4">
        <f t="shared" si="31"/>
        <v>1.4700314052163842E-3</v>
      </c>
      <c r="AO236" s="3"/>
      <c r="AP236">
        <v>0</v>
      </c>
      <c r="AR236" t="s">
        <v>0</v>
      </c>
      <c r="AT236" s="2" t="s">
        <v>19</v>
      </c>
      <c r="AU236" s="1">
        <f t="shared" si="35"/>
        <v>1.908973743202913</v>
      </c>
      <c r="AV236" s="1">
        <f t="shared" si="36"/>
        <v>1.4055535710082632</v>
      </c>
      <c r="AW236" s="1">
        <f t="shared" si="37"/>
        <v>0.90213339881361332</v>
      </c>
    </row>
    <row r="237" spans="1:49" x14ac:dyDescent="0.2">
      <c r="A237">
        <v>235</v>
      </c>
      <c r="B237" t="s">
        <v>7188</v>
      </c>
      <c r="C237" t="s">
        <v>7187</v>
      </c>
      <c r="D237" t="s">
        <v>7186</v>
      </c>
      <c r="F237" t="s">
        <v>7185</v>
      </c>
      <c r="G237" t="s">
        <v>15</v>
      </c>
      <c r="H237" t="s">
        <v>14</v>
      </c>
      <c r="I237" t="s">
        <v>7184</v>
      </c>
      <c r="J237">
        <v>60025988</v>
      </c>
      <c r="K237" t="s">
        <v>7183</v>
      </c>
      <c r="L237" t="s">
        <v>7182</v>
      </c>
      <c r="M237" t="s">
        <v>7181</v>
      </c>
      <c r="N237">
        <v>1</v>
      </c>
      <c r="O237" t="s">
        <v>7180</v>
      </c>
      <c r="P237">
        <v>6701671159</v>
      </c>
      <c r="Q237">
        <v>60025988</v>
      </c>
      <c r="R237" s="7">
        <v>32143</v>
      </c>
      <c r="S237" s="8">
        <f t="shared" si="32"/>
        <v>1988</v>
      </c>
      <c r="T237" s="8">
        <v>1988</v>
      </c>
      <c r="U237" s="8">
        <f t="shared" si="33"/>
        <v>34</v>
      </c>
      <c r="V237" s="7">
        <v>32234</v>
      </c>
      <c r="W237" t="s">
        <v>125</v>
      </c>
      <c r="X237" s="2">
        <v>0.998</v>
      </c>
      <c r="Y237" s="6">
        <f t="shared" si="30"/>
        <v>2.664104001494888E-2</v>
      </c>
      <c r="AA237">
        <v>207322</v>
      </c>
      <c r="AB237">
        <v>90127</v>
      </c>
      <c r="AD237" t="s">
        <v>4</v>
      </c>
      <c r="AE237">
        <v>17</v>
      </c>
      <c r="AF237">
        <v>2</v>
      </c>
      <c r="AH237" t="s">
        <v>2127</v>
      </c>
      <c r="AI237" t="s">
        <v>7179</v>
      </c>
      <c r="AJ237" t="s">
        <v>7178</v>
      </c>
      <c r="AK237" t="s">
        <v>7177</v>
      </c>
      <c r="AL237">
        <v>10</v>
      </c>
      <c r="AM237" s="5">
        <f t="shared" si="34"/>
        <v>0.29411764705882354</v>
      </c>
      <c r="AN237" s="4">
        <f t="shared" si="31"/>
        <v>4.4546406218678308E-4</v>
      </c>
      <c r="AO237" s="3"/>
      <c r="AP237">
        <v>0</v>
      </c>
      <c r="AR237" t="s">
        <v>7176</v>
      </c>
      <c r="AT237" s="2" t="s">
        <v>19</v>
      </c>
      <c r="AU237" s="1">
        <f t="shared" si="35"/>
        <v>1.8782367229120251</v>
      </c>
      <c r="AV237" s="1">
        <f t="shared" si="36"/>
        <v>1.3543252038567832</v>
      </c>
      <c r="AW237" s="1">
        <f t="shared" si="37"/>
        <v>0.8304136848015411</v>
      </c>
    </row>
    <row r="238" spans="1:49" x14ac:dyDescent="0.2">
      <c r="A238">
        <v>236</v>
      </c>
      <c r="B238" t="s">
        <v>7175</v>
      </c>
      <c r="C238" t="s">
        <v>7174</v>
      </c>
      <c r="D238">
        <v>21916988900499</v>
      </c>
      <c r="F238" t="s">
        <v>7173</v>
      </c>
      <c r="G238" t="s">
        <v>15</v>
      </c>
      <c r="H238" t="s">
        <v>14</v>
      </c>
      <c r="I238" t="s">
        <v>7172</v>
      </c>
      <c r="J238">
        <v>60017695</v>
      </c>
      <c r="K238" t="s">
        <v>85</v>
      </c>
      <c r="L238" t="s">
        <v>84</v>
      </c>
      <c r="M238" t="s">
        <v>45</v>
      </c>
      <c r="N238">
        <v>1</v>
      </c>
      <c r="O238" t="s">
        <v>7171</v>
      </c>
      <c r="P238">
        <v>7402194289</v>
      </c>
      <c r="Q238">
        <v>60017695</v>
      </c>
      <c r="R238" s="7">
        <v>32143</v>
      </c>
      <c r="S238" s="8">
        <f t="shared" si="32"/>
        <v>1988</v>
      </c>
      <c r="T238" s="8">
        <v>1988</v>
      </c>
      <c r="U238" s="8">
        <f t="shared" si="33"/>
        <v>34</v>
      </c>
      <c r="V238" s="7">
        <v>32174</v>
      </c>
      <c r="W238" t="s">
        <v>109</v>
      </c>
      <c r="X238" s="2">
        <v>0.51500000000000001</v>
      </c>
      <c r="Y238" s="6">
        <f t="shared" si="30"/>
        <v>1.374763086943755E-2</v>
      </c>
      <c r="AA238">
        <v>219169</v>
      </c>
      <c r="AB238">
        <v>30966</v>
      </c>
      <c r="AD238" t="s">
        <v>4</v>
      </c>
      <c r="AE238">
        <v>50</v>
      </c>
      <c r="AF238">
        <v>2</v>
      </c>
      <c r="AH238" t="s">
        <v>7170</v>
      </c>
      <c r="AI238" t="s">
        <v>7169</v>
      </c>
      <c r="AK238" t="s">
        <v>7168</v>
      </c>
      <c r="AL238">
        <v>19</v>
      </c>
      <c r="AM238" s="5">
        <f t="shared" si="34"/>
        <v>0.55882352941176472</v>
      </c>
      <c r="AN238" s="4">
        <f t="shared" si="31"/>
        <v>8.4638171815488788E-4</v>
      </c>
      <c r="AO238" s="3"/>
      <c r="AP238">
        <v>0</v>
      </c>
      <c r="AR238" t="s">
        <v>0</v>
      </c>
      <c r="AT238" s="2" t="s">
        <v>19</v>
      </c>
      <c r="AU238" s="1">
        <f t="shared" si="35"/>
        <v>0.98772561240527501</v>
      </c>
      <c r="AV238" s="1">
        <f t="shared" si="36"/>
        <v>0.72970062937962188</v>
      </c>
      <c r="AW238" s="1">
        <f t="shared" si="37"/>
        <v>0.47167564635396864</v>
      </c>
    </row>
    <row r="239" spans="1:49" x14ac:dyDescent="0.2">
      <c r="A239">
        <v>237</v>
      </c>
      <c r="B239" t="s">
        <v>7167</v>
      </c>
      <c r="C239" t="s">
        <v>7166</v>
      </c>
      <c r="D239">
        <v>20732288900098</v>
      </c>
      <c r="F239" t="s">
        <v>7165</v>
      </c>
      <c r="G239" t="s">
        <v>15</v>
      </c>
      <c r="H239" t="s">
        <v>14</v>
      </c>
      <c r="I239" t="s">
        <v>7164</v>
      </c>
      <c r="J239" t="s">
        <v>7163</v>
      </c>
      <c r="K239" t="s">
        <v>7162</v>
      </c>
      <c r="L239" t="s">
        <v>7161</v>
      </c>
      <c r="M239" t="s">
        <v>7058</v>
      </c>
      <c r="N239">
        <v>4</v>
      </c>
      <c r="O239" t="s">
        <v>7160</v>
      </c>
      <c r="P239" t="s">
        <v>7159</v>
      </c>
      <c r="Q239" t="s">
        <v>7158</v>
      </c>
      <c r="R239" s="7">
        <v>32143</v>
      </c>
      <c r="S239" s="8">
        <f t="shared" si="32"/>
        <v>1988</v>
      </c>
      <c r="T239" s="8">
        <v>1988</v>
      </c>
      <c r="U239" s="8">
        <f t="shared" si="33"/>
        <v>34</v>
      </c>
      <c r="V239" s="7">
        <v>32234</v>
      </c>
      <c r="W239" t="s">
        <v>125</v>
      </c>
      <c r="X239" s="2">
        <v>0.998</v>
      </c>
      <c r="Y239" s="6">
        <f t="shared" si="30"/>
        <v>2.664104001494888E-2</v>
      </c>
      <c r="AA239">
        <v>207322</v>
      </c>
      <c r="AB239">
        <v>90127</v>
      </c>
      <c r="AD239" t="s">
        <v>4</v>
      </c>
      <c r="AE239">
        <v>17</v>
      </c>
      <c r="AF239">
        <v>2</v>
      </c>
      <c r="AH239" t="s">
        <v>7157</v>
      </c>
      <c r="AI239" t="s">
        <v>7156</v>
      </c>
      <c r="AJ239" t="s">
        <v>7155</v>
      </c>
      <c r="AK239" t="s">
        <v>7154</v>
      </c>
      <c r="AL239">
        <v>13</v>
      </c>
      <c r="AM239" s="5">
        <f t="shared" si="34"/>
        <v>0.38235294117647056</v>
      </c>
      <c r="AN239" s="4">
        <f t="shared" si="31"/>
        <v>5.7910328084281794E-4</v>
      </c>
      <c r="AO239" s="3"/>
      <c r="AP239">
        <v>0</v>
      </c>
      <c r="AR239" t="s">
        <v>0</v>
      </c>
      <c r="AT239" s="2" t="s">
        <v>19</v>
      </c>
      <c r="AU239" s="1">
        <f t="shared" si="35"/>
        <v>1.8822458994717062</v>
      </c>
      <c r="AV239" s="1">
        <f t="shared" si="36"/>
        <v>1.3610071647895849</v>
      </c>
      <c r="AW239" s="1">
        <f t="shared" si="37"/>
        <v>0.8397684301074636</v>
      </c>
    </row>
    <row r="240" spans="1:49" x14ac:dyDescent="0.2">
      <c r="A240">
        <v>238</v>
      </c>
      <c r="B240" t="s">
        <v>7153</v>
      </c>
      <c r="C240" t="s">
        <v>7152</v>
      </c>
      <c r="D240">
        <v>21916988900487</v>
      </c>
      <c r="F240" t="s">
        <v>7151</v>
      </c>
      <c r="G240" t="s">
        <v>15</v>
      </c>
      <c r="H240" t="s">
        <v>14</v>
      </c>
      <c r="I240" t="s">
        <v>7150</v>
      </c>
      <c r="J240" t="s">
        <v>7149</v>
      </c>
      <c r="K240" t="s">
        <v>7148</v>
      </c>
      <c r="L240" t="s">
        <v>7147</v>
      </c>
      <c r="M240" t="s">
        <v>7146</v>
      </c>
      <c r="N240">
        <v>3</v>
      </c>
      <c r="O240" t="s">
        <v>7145</v>
      </c>
      <c r="P240" t="s">
        <v>7144</v>
      </c>
      <c r="Q240" t="s">
        <v>7143</v>
      </c>
      <c r="R240" s="7">
        <v>32143</v>
      </c>
      <c r="S240" s="8">
        <f t="shared" si="32"/>
        <v>1988</v>
      </c>
      <c r="T240" s="8">
        <v>1988</v>
      </c>
      <c r="U240" s="8">
        <f t="shared" si="33"/>
        <v>34</v>
      </c>
      <c r="V240" s="7">
        <v>32174</v>
      </c>
      <c r="W240" t="s">
        <v>109</v>
      </c>
      <c r="X240" s="2">
        <v>0.51500000000000001</v>
      </c>
      <c r="Y240" s="6">
        <f t="shared" si="30"/>
        <v>1.374763086943755E-2</v>
      </c>
      <c r="AA240">
        <v>219169</v>
      </c>
      <c r="AB240">
        <v>30966</v>
      </c>
      <c r="AD240" t="s">
        <v>4</v>
      </c>
      <c r="AE240">
        <v>50</v>
      </c>
      <c r="AF240">
        <v>2</v>
      </c>
      <c r="AI240" t="s">
        <v>7142</v>
      </c>
      <c r="AK240" t="s">
        <v>7141</v>
      </c>
      <c r="AL240">
        <v>4</v>
      </c>
      <c r="AM240" s="5">
        <f t="shared" si="34"/>
        <v>0.11764705882352941</v>
      </c>
      <c r="AN240" s="4">
        <f t="shared" si="31"/>
        <v>1.7818562487471323E-4</v>
      </c>
      <c r="AO240" s="3"/>
      <c r="AP240">
        <v>0</v>
      </c>
      <c r="AQ240" t="s">
        <v>7140</v>
      </c>
      <c r="AR240" t="s">
        <v>7139</v>
      </c>
      <c r="AS240" t="s">
        <v>7138</v>
      </c>
      <c r="AT240" s="2" t="s">
        <v>19</v>
      </c>
      <c r="AU240" s="1">
        <f t="shared" si="35"/>
        <v>0.96767972960686977</v>
      </c>
      <c r="AV240" s="1">
        <f t="shared" si="36"/>
        <v>0.69629082471561321</v>
      </c>
      <c r="AW240" s="1">
        <f t="shared" si="37"/>
        <v>0.42490191982435643</v>
      </c>
    </row>
    <row r="241" spans="1:49" x14ac:dyDescent="0.2">
      <c r="A241">
        <v>239</v>
      </c>
      <c r="B241" t="s">
        <v>7137</v>
      </c>
      <c r="C241" t="s">
        <v>7136</v>
      </c>
      <c r="D241">
        <v>17931088901111</v>
      </c>
      <c r="F241" t="s">
        <v>7135</v>
      </c>
      <c r="G241" t="s">
        <v>15</v>
      </c>
      <c r="H241" t="s">
        <v>14</v>
      </c>
      <c r="I241" t="s">
        <v>7134</v>
      </c>
      <c r="J241">
        <v>60002947</v>
      </c>
      <c r="K241" t="s">
        <v>7097</v>
      </c>
      <c r="L241" t="s">
        <v>7096</v>
      </c>
      <c r="M241" t="s">
        <v>1694</v>
      </c>
      <c r="N241">
        <v>2</v>
      </c>
      <c r="O241" t="s">
        <v>7133</v>
      </c>
      <c r="P241" t="s">
        <v>7132</v>
      </c>
      <c r="Q241" t="s">
        <v>7131</v>
      </c>
      <c r="R241" s="7">
        <v>32143</v>
      </c>
      <c r="S241" s="8">
        <f t="shared" si="32"/>
        <v>1988</v>
      </c>
      <c r="T241" s="8">
        <v>1988</v>
      </c>
      <c r="U241" s="8">
        <f t="shared" si="33"/>
        <v>34</v>
      </c>
      <c r="V241" s="7">
        <v>32417</v>
      </c>
      <c r="W241" t="s">
        <v>7130</v>
      </c>
      <c r="X241" s="2">
        <v>1.7130000000000001</v>
      </c>
      <c r="Y241" s="6">
        <f t="shared" si="30"/>
        <v>4.5727556658925285E-2</v>
      </c>
      <c r="AA241">
        <v>179310</v>
      </c>
      <c r="AB241">
        <v>20448</v>
      </c>
      <c r="AD241" t="s">
        <v>4</v>
      </c>
      <c r="AE241">
        <v>31</v>
      </c>
      <c r="AF241">
        <v>10</v>
      </c>
      <c r="AH241" t="s">
        <v>7129</v>
      </c>
      <c r="AI241" t="s">
        <v>7128</v>
      </c>
      <c r="AK241" t="s">
        <v>7127</v>
      </c>
      <c r="AL241">
        <v>10</v>
      </c>
      <c r="AM241" s="5">
        <f t="shared" si="34"/>
        <v>0.29411764705882354</v>
      </c>
      <c r="AN241" s="4">
        <f t="shared" si="31"/>
        <v>4.4546406218678308E-4</v>
      </c>
      <c r="AO241" s="3"/>
      <c r="AP241">
        <v>0</v>
      </c>
      <c r="AR241" t="s">
        <v>0</v>
      </c>
      <c r="AT241" s="2" t="s">
        <v>19</v>
      </c>
      <c r="AU241" s="1">
        <f t="shared" si="35"/>
        <v>3.2142928879903736</v>
      </c>
      <c r="AV241" s="1">
        <f t="shared" si="36"/>
        <v>2.3086510360556032</v>
      </c>
      <c r="AW241" s="1">
        <f t="shared" si="37"/>
        <v>1.4030091841208332</v>
      </c>
    </row>
    <row r="242" spans="1:49" x14ac:dyDescent="0.2">
      <c r="A242">
        <v>240</v>
      </c>
      <c r="B242" t="s">
        <v>7126</v>
      </c>
      <c r="C242" t="s">
        <v>7125</v>
      </c>
      <c r="F242" t="s">
        <v>7124</v>
      </c>
      <c r="G242" t="s">
        <v>15</v>
      </c>
      <c r="H242" t="s">
        <v>14</v>
      </c>
      <c r="I242" t="s">
        <v>7123</v>
      </c>
      <c r="J242" t="s">
        <v>7122</v>
      </c>
      <c r="K242" t="s">
        <v>7121</v>
      </c>
      <c r="L242" t="s">
        <v>7120</v>
      </c>
      <c r="M242" t="s">
        <v>7119</v>
      </c>
      <c r="N242">
        <v>3</v>
      </c>
      <c r="O242" t="s">
        <v>7118</v>
      </c>
      <c r="P242" t="s">
        <v>7117</v>
      </c>
      <c r="Q242" t="s">
        <v>7116</v>
      </c>
      <c r="R242" s="7">
        <v>32143</v>
      </c>
      <c r="S242" s="8">
        <f t="shared" si="32"/>
        <v>1988</v>
      </c>
      <c r="T242" s="8">
        <v>1988</v>
      </c>
      <c r="U242" s="8">
        <f t="shared" si="33"/>
        <v>34</v>
      </c>
      <c r="V242" s="7">
        <v>1988</v>
      </c>
      <c r="W242" t="s">
        <v>5</v>
      </c>
      <c r="X242" s="2">
        <v>15.993</v>
      </c>
      <c r="Y242" s="6">
        <f t="shared" si="30"/>
        <v>0.42692400096099947</v>
      </c>
      <c r="AA242">
        <v>280836</v>
      </c>
      <c r="AB242">
        <v>21206</v>
      </c>
      <c r="AD242" t="s">
        <v>4</v>
      </c>
      <c r="AE242">
        <v>332</v>
      </c>
      <c r="AF242">
        <v>6159</v>
      </c>
      <c r="AH242" t="s">
        <v>7115</v>
      </c>
      <c r="AI242" t="s">
        <v>7114</v>
      </c>
      <c r="AK242" t="s">
        <v>7113</v>
      </c>
      <c r="AL242">
        <v>10</v>
      </c>
      <c r="AM242" s="5">
        <f t="shared" si="34"/>
        <v>0.29411764705882354</v>
      </c>
      <c r="AN242" s="4">
        <f t="shared" si="31"/>
        <v>4.4546406218678308E-4</v>
      </c>
      <c r="AO242" s="3"/>
      <c r="AP242">
        <v>0</v>
      </c>
      <c r="AR242" t="s">
        <v>0</v>
      </c>
      <c r="AT242" s="2">
        <v>49.962000000000003</v>
      </c>
      <c r="AU242" s="1">
        <f t="shared" si="35"/>
        <v>29.898043989135566</v>
      </c>
      <c r="AV242" s="1">
        <f t="shared" si="36"/>
        <v>21.368473251159312</v>
      </c>
      <c r="AW242" s="1">
        <f t="shared" si="37"/>
        <v>12.83890251318306</v>
      </c>
    </row>
    <row r="243" spans="1:49" x14ac:dyDescent="0.2">
      <c r="A243">
        <v>241</v>
      </c>
      <c r="B243" t="s">
        <v>7112</v>
      </c>
      <c r="C243" t="s">
        <v>7111</v>
      </c>
      <c r="F243" t="s">
        <v>7110</v>
      </c>
      <c r="G243" t="s">
        <v>15</v>
      </c>
      <c r="H243" t="s">
        <v>14</v>
      </c>
      <c r="I243" t="s">
        <v>7109</v>
      </c>
      <c r="J243">
        <v>60001769</v>
      </c>
      <c r="K243" t="s">
        <v>1050</v>
      </c>
      <c r="L243" t="s">
        <v>1049</v>
      </c>
      <c r="M243" t="s">
        <v>31</v>
      </c>
      <c r="N243">
        <v>3</v>
      </c>
      <c r="O243" t="s">
        <v>7108</v>
      </c>
      <c r="P243" t="s">
        <v>7107</v>
      </c>
      <c r="Q243" t="s">
        <v>7106</v>
      </c>
      <c r="R243" s="7">
        <v>32143</v>
      </c>
      <c r="S243" s="8">
        <f t="shared" si="32"/>
        <v>1988</v>
      </c>
      <c r="T243" s="8">
        <v>1988</v>
      </c>
      <c r="U243" s="8">
        <f t="shared" si="33"/>
        <v>34</v>
      </c>
      <c r="V243" s="7">
        <v>1988</v>
      </c>
      <c r="W243" t="s">
        <v>7105</v>
      </c>
      <c r="X243" s="2">
        <v>2.609</v>
      </c>
      <c r="Y243" s="6">
        <f t="shared" si="30"/>
        <v>6.9645764928859349E-2</v>
      </c>
      <c r="AA243">
        <v>917613</v>
      </c>
      <c r="AB243">
        <v>26959</v>
      </c>
      <c r="AC243">
        <v>19432682</v>
      </c>
      <c r="AD243" t="s">
        <v>4</v>
      </c>
      <c r="AE243">
        <v>16</v>
      </c>
      <c r="AF243">
        <v>6</v>
      </c>
      <c r="AH243" t="s">
        <v>7104</v>
      </c>
      <c r="AI243" t="s">
        <v>7103</v>
      </c>
      <c r="AK243" t="s">
        <v>7102</v>
      </c>
      <c r="AL243">
        <v>10</v>
      </c>
      <c r="AM243" s="5">
        <f t="shared" si="34"/>
        <v>0.29411764705882354</v>
      </c>
      <c r="AN243" s="4">
        <f t="shared" si="31"/>
        <v>4.4546406218678308E-4</v>
      </c>
      <c r="AO243" s="3"/>
      <c r="AP243">
        <v>0</v>
      </c>
      <c r="AR243" t="s">
        <v>0</v>
      </c>
      <c r="AT243" s="2">
        <v>5.399</v>
      </c>
      <c r="AU243" s="1">
        <f t="shared" si="35"/>
        <v>4.8885674668857577</v>
      </c>
      <c r="AV243" s="1">
        <f t="shared" si="36"/>
        <v>3.5045614495523072</v>
      </c>
      <c r="AW243" s="1">
        <f t="shared" si="37"/>
        <v>2.1205554322188553</v>
      </c>
    </row>
    <row r="244" spans="1:49" x14ac:dyDescent="0.2">
      <c r="A244">
        <v>242</v>
      </c>
      <c r="B244" t="s">
        <v>7101</v>
      </c>
      <c r="C244" t="s">
        <v>7100</v>
      </c>
      <c r="F244" t="s">
        <v>7099</v>
      </c>
      <c r="G244" t="s">
        <v>15</v>
      </c>
      <c r="H244" t="s">
        <v>14</v>
      </c>
      <c r="I244" t="s">
        <v>7098</v>
      </c>
      <c r="J244">
        <v>60002947</v>
      </c>
      <c r="K244" t="s">
        <v>7097</v>
      </c>
      <c r="L244" t="s">
        <v>7096</v>
      </c>
      <c r="M244" t="s">
        <v>1694</v>
      </c>
      <c r="N244">
        <v>3</v>
      </c>
      <c r="O244" t="s">
        <v>7095</v>
      </c>
      <c r="P244" t="s">
        <v>7094</v>
      </c>
      <c r="Q244" t="s">
        <v>7093</v>
      </c>
      <c r="R244" s="7">
        <v>32143</v>
      </c>
      <c r="S244" s="8">
        <f t="shared" si="32"/>
        <v>1988</v>
      </c>
      <c r="T244" s="8">
        <v>1988</v>
      </c>
      <c r="U244" s="8">
        <f t="shared" si="33"/>
        <v>34</v>
      </c>
      <c r="V244" s="7">
        <v>32143</v>
      </c>
      <c r="W244" t="s">
        <v>6966</v>
      </c>
      <c r="X244" s="2">
        <v>0.28599999999999998</v>
      </c>
      <c r="Y244" s="6">
        <f t="shared" si="30"/>
        <v>7.6346066575905605E-3</v>
      </c>
      <c r="AA244">
        <v>9205071</v>
      </c>
      <c r="AB244">
        <v>28139</v>
      </c>
      <c r="AC244">
        <v>15693937</v>
      </c>
      <c r="AD244" t="s">
        <v>4</v>
      </c>
      <c r="AE244">
        <v>2</v>
      </c>
      <c r="AF244">
        <v>7</v>
      </c>
      <c r="AH244" t="s">
        <v>7092</v>
      </c>
      <c r="AI244" t="s">
        <v>7091</v>
      </c>
      <c r="AK244" t="s">
        <v>7090</v>
      </c>
      <c r="AL244">
        <v>13</v>
      </c>
      <c r="AM244" s="5">
        <f t="shared" si="34"/>
        <v>0.38235294117647056</v>
      </c>
      <c r="AN244" s="4">
        <f t="shared" si="31"/>
        <v>5.7910328084281794E-4</v>
      </c>
      <c r="AO244" s="3"/>
      <c r="AP244">
        <v>0</v>
      </c>
      <c r="AR244" t="s">
        <v>0</v>
      </c>
      <c r="AT244" s="2" t="s">
        <v>19</v>
      </c>
      <c r="AU244" s="1">
        <f t="shared" si="35"/>
        <v>0.55179556445662381</v>
      </c>
      <c r="AV244" s="1">
        <f t="shared" si="36"/>
        <v>0.41068549692166895</v>
      </c>
      <c r="AW244" s="1">
        <f t="shared" si="37"/>
        <v>0.26957542938671408</v>
      </c>
    </row>
    <row r="245" spans="1:49" x14ac:dyDescent="0.2">
      <c r="A245">
        <v>243</v>
      </c>
      <c r="B245" t="s">
        <v>7089</v>
      </c>
      <c r="C245" t="s">
        <v>7088</v>
      </c>
      <c r="F245" t="s">
        <v>7087</v>
      </c>
      <c r="G245" t="s">
        <v>15</v>
      </c>
      <c r="H245" t="s">
        <v>14</v>
      </c>
      <c r="I245" t="s">
        <v>7086</v>
      </c>
      <c r="J245" t="s">
        <v>7085</v>
      </c>
      <c r="K245" t="s">
        <v>7084</v>
      </c>
      <c r="L245" t="s">
        <v>7083</v>
      </c>
      <c r="M245" t="s">
        <v>7082</v>
      </c>
      <c r="N245">
        <v>3</v>
      </c>
      <c r="O245" t="s">
        <v>7081</v>
      </c>
      <c r="P245" t="s">
        <v>7080</v>
      </c>
      <c r="Q245" t="s">
        <v>7079</v>
      </c>
      <c r="R245" s="7">
        <v>32143</v>
      </c>
      <c r="S245" s="8">
        <f t="shared" si="32"/>
        <v>1988</v>
      </c>
      <c r="T245" s="8">
        <v>1988</v>
      </c>
      <c r="U245" s="8">
        <f t="shared" si="33"/>
        <v>34</v>
      </c>
      <c r="V245" s="7">
        <v>1988</v>
      </c>
      <c r="W245" t="s">
        <v>5</v>
      </c>
      <c r="X245" s="2">
        <v>15.993</v>
      </c>
      <c r="Y245" s="6">
        <f t="shared" si="30"/>
        <v>0.42692400096099947</v>
      </c>
      <c r="AA245">
        <v>280836</v>
      </c>
      <c r="AB245">
        <v>21206</v>
      </c>
      <c r="AD245" t="s">
        <v>4</v>
      </c>
      <c r="AE245">
        <v>334</v>
      </c>
      <c r="AF245">
        <v>6183</v>
      </c>
      <c r="AH245" t="s">
        <v>7078</v>
      </c>
      <c r="AI245" t="s">
        <v>7077</v>
      </c>
      <c r="AK245" t="s">
        <v>7076</v>
      </c>
      <c r="AL245">
        <v>95</v>
      </c>
      <c r="AM245" s="5">
        <f t="shared" si="34"/>
        <v>2.7941176470588234</v>
      </c>
      <c r="AN245" s="4">
        <f t="shared" si="31"/>
        <v>4.2319085907744393E-3</v>
      </c>
      <c r="AO245" s="3"/>
      <c r="AP245">
        <v>0</v>
      </c>
      <c r="AR245" t="s">
        <v>0</v>
      </c>
      <c r="AT245" s="2">
        <v>49.962000000000003</v>
      </c>
      <c r="AU245" s="1">
        <f t="shared" si="35"/>
        <v>30.011637324993188</v>
      </c>
      <c r="AV245" s="1">
        <f t="shared" si="36"/>
        <v>21.557795477588694</v>
      </c>
      <c r="AW245" s="1">
        <f t="shared" si="37"/>
        <v>13.103953630184192</v>
      </c>
    </row>
    <row r="246" spans="1:49" x14ac:dyDescent="0.2">
      <c r="A246">
        <v>244</v>
      </c>
      <c r="B246" t="s">
        <v>7075</v>
      </c>
      <c r="C246" t="s">
        <v>7074</v>
      </c>
      <c r="F246" t="s">
        <v>7073</v>
      </c>
      <c r="G246" t="s">
        <v>15</v>
      </c>
      <c r="H246" t="s">
        <v>14</v>
      </c>
      <c r="I246" t="s">
        <v>7072</v>
      </c>
      <c r="J246">
        <v>60011001</v>
      </c>
      <c r="K246" t="s">
        <v>1230</v>
      </c>
      <c r="L246" t="s">
        <v>1229</v>
      </c>
      <c r="M246" t="s">
        <v>211</v>
      </c>
      <c r="N246">
        <v>9</v>
      </c>
      <c r="O246" t="s">
        <v>7071</v>
      </c>
      <c r="P246" t="s">
        <v>7070</v>
      </c>
      <c r="Q246" t="s">
        <v>7069</v>
      </c>
      <c r="R246" s="7">
        <v>32143</v>
      </c>
      <c r="S246" s="8">
        <f t="shared" si="32"/>
        <v>1988</v>
      </c>
      <c r="T246" s="8">
        <v>1988</v>
      </c>
      <c r="U246" s="8">
        <f t="shared" si="33"/>
        <v>34</v>
      </c>
      <c r="V246" s="7">
        <v>1988</v>
      </c>
      <c r="W246" t="s">
        <v>7068</v>
      </c>
      <c r="X246" s="2" t="s">
        <v>19</v>
      </c>
      <c r="Y246" s="6" t="e">
        <f t="shared" si="30"/>
        <v>#VALUE!</v>
      </c>
      <c r="AA246">
        <v>221392</v>
      </c>
      <c r="AB246">
        <v>34890</v>
      </c>
      <c r="AD246" t="s">
        <v>4</v>
      </c>
      <c r="AE246">
        <v>40</v>
      </c>
      <c r="AF246">
        <v>8</v>
      </c>
      <c r="AH246" t="s">
        <v>7067</v>
      </c>
      <c r="AI246" t="s">
        <v>7066</v>
      </c>
      <c r="AK246" t="s">
        <v>7065</v>
      </c>
      <c r="AL246">
        <v>12</v>
      </c>
      <c r="AM246" s="5">
        <f t="shared" si="34"/>
        <v>0.35294117647058826</v>
      </c>
      <c r="AN246" s="4">
        <f t="shared" si="31"/>
        <v>5.3455687462413976E-4</v>
      </c>
      <c r="AO246" s="3"/>
      <c r="AP246">
        <v>1</v>
      </c>
      <c r="AR246" t="s">
        <v>0</v>
      </c>
      <c r="AT246" s="2" t="s">
        <v>19</v>
      </c>
      <c r="AU246" s="1" t="e">
        <f t="shared" si="35"/>
        <v>#VALUE!</v>
      </c>
      <c r="AV246" s="1" t="e">
        <f t="shared" si="36"/>
        <v>#VALUE!</v>
      </c>
      <c r="AW246" s="1" t="e">
        <f t="shared" si="37"/>
        <v>#VALUE!</v>
      </c>
    </row>
    <row r="247" spans="1:49" x14ac:dyDescent="0.2">
      <c r="A247">
        <v>245</v>
      </c>
      <c r="B247" t="s">
        <v>7064</v>
      </c>
      <c r="F247" t="s">
        <v>7063</v>
      </c>
      <c r="G247" t="s">
        <v>15</v>
      </c>
      <c r="H247" t="s">
        <v>14</v>
      </c>
      <c r="I247" t="s">
        <v>7062</v>
      </c>
      <c r="J247" t="s">
        <v>7061</v>
      </c>
      <c r="K247" t="s">
        <v>7060</v>
      </c>
      <c r="L247" t="s">
        <v>7059</v>
      </c>
      <c r="M247" t="s">
        <v>7058</v>
      </c>
      <c r="N247">
        <v>2</v>
      </c>
      <c r="O247" t="s">
        <v>7057</v>
      </c>
      <c r="P247" t="s">
        <v>7056</v>
      </c>
      <c r="Q247" t="s">
        <v>7055</v>
      </c>
      <c r="R247" s="7">
        <v>32143</v>
      </c>
      <c r="S247" s="8">
        <f t="shared" si="32"/>
        <v>1988</v>
      </c>
      <c r="T247" s="8">
        <v>1988</v>
      </c>
      <c r="U247" s="8">
        <f t="shared" si="33"/>
        <v>34</v>
      </c>
      <c r="V247" s="7">
        <v>1988</v>
      </c>
      <c r="W247" t="s">
        <v>7054</v>
      </c>
      <c r="X247" s="2">
        <v>1.1879999999999999</v>
      </c>
      <c r="Y247" s="6">
        <f t="shared" si="30"/>
        <v>3.1712981500760788E-2</v>
      </c>
      <c r="AA247">
        <v>10706631</v>
      </c>
      <c r="AB247">
        <v>29210</v>
      </c>
      <c r="AC247">
        <v>10897666</v>
      </c>
      <c r="AD247" t="s">
        <v>4</v>
      </c>
      <c r="AE247">
        <v>31</v>
      </c>
      <c r="AF247">
        <v>6</v>
      </c>
      <c r="AH247" t="s">
        <v>7053</v>
      </c>
      <c r="AI247" t="s">
        <v>7052</v>
      </c>
      <c r="AK247" t="s">
        <v>7051</v>
      </c>
      <c r="AL247">
        <v>3</v>
      </c>
      <c r="AM247" s="5">
        <f t="shared" si="34"/>
        <v>8.8235294117647065E-2</v>
      </c>
      <c r="AN247" s="4">
        <f t="shared" si="31"/>
        <v>1.3363921865603494E-4</v>
      </c>
      <c r="AO247" s="3"/>
      <c r="AP247">
        <v>0</v>
      </c>
      <c r="AR247" t="s">
        <v>0</v>
      </c>
      <c r="AT247" s="2">
        <v>3.5209999999999999</v>
      </c>
      <c r="AU247" s="1">
        <f t="shared" si="35"/>
        <v>2.2239178816129361</v>
      </c>
      <c r="AV247" s="1">
        <f t="shared" si="36"/>
        <v>1.5923310359708411</v>
      </c>
      <c r="AW247" s="1">
        <f t="shared" si="37"/>
        <v>0.96074419032874614</v>
      </c>
    </row>
    <row r="248" spans="1:49" x14ac:dyDescent="0.2">
      <c r="A248">
        <v>246</v>
      </c>
      <c r="B248" t="s">
        <v>7050</v>
      </c>
      <c r="C248" t="s">
        <v>7049</v>
      </c>
      <c r="F248" t="s">
        <v>7048</v>
      </c>
      <c r="G248" t="s">
        <v>15</v>
      </c>
      <c r="H248" t="s">
        <v>14</v>
      </c>
      <c r="I248" t="s">
        <v>7047</v>
      </c>
      <c r="N248">
        <v>2</v>
      </c>
      <c r="O248" t="s">
        <v>7046</v>
      </c>
      <c r="P248" t="s">
        <v>7045</v>
      </c>
      <c r="Q248" t="s">
        <v>501</v>
      </c>
      <c r="R248" s="7">
        <v>32143</v>
      </c>
      <c r="S248" s="8">
        <f t="shared" si="32"/>
        <v>1988</v>
      </c>
      <c r="T248" s="8">
        <v>1988</v>
      </c>
      <c r="U248" s="8">
        <f t="shared" si="33"/>
        <v>34</v>
      </c>
      <c r="V248" s="7">
        <v>32143</v>
      </c>
      <c r="W248" t="s">
        <v>7044</v>
      </c>
      <c r="X248" s="2">
        <v>0.61799999999999999</v>
      </c>
      <c r="Y248" s="6">
        <f t="shared" si="30"/>
        <v>1.6497157043325057E-2</v>
      </c>
      <c r="AA248">
        <v>8923647</v>
      </c>
      <c r="AB248">
        <v>19700200806</v>
      </c>
      <c r="AC248">
        <v>15389286</v>
      </c>
      <c r="AD248" t="s">
        <v>4</v>
      </c>
      <c r="AE248">
        <v>2</v>
      </c>
      <c r="AF248">
        <v>1</v>
      </c>
      <c r="AH248" t="s">
        <v>7043</v>
      </c>
      <c r="AI248" t="s">
        <v>7042</v>
      </c>
      <c r="AK248" t="s">
        <v>7041</v>
      </c>
      <c r="AL248">
        <v>6</v>
      </c>
      <c r="AM248" s="5">
        <f t="shared" si="34"/>
        <v>0.17647058823529413</v>
      </c>
      <c r="AN248" s="4">
        <f t="shared" si="31"/>
        <v>2.6727843731206988E-4</v>
      </c>
      <c r="AO248" s="3"/>
      <c r="AP248">
        <v>0</v>
      </c>
      <c r="AR248" t="s">
        <v>0</v>
      </c>
      <c r="AT248" s="2" t="s">
        <v>19</v>
      </c>
      <c r="AU248" s="1">
        <f t="shared" si="35"/>
        <v>1.1628193461521159</v>
      </c>
      <c r="AV248" s="1">
        <f t="shared" si="36"/>
        <v>0.83822177403185638</v>
      </c>
      <c r="AW248" s="1">
        <f t="shared" si="37"/>
        <v>0.51362420191159663</v>
      </c>
    </row>
    <row r="249" spans="1:49" x14ac:dyDescent="0.2">
      <c r="A249">
        <v>247</v>
      </c>
      <c r="B249" t="s">
        <v>7040</v>
      </c>
      <c r="C249" t="s">
        <v>7039</v>
      </c>
      <c r="D249">
        <v>273117788903730</v>
      </c>
      <c r="F249" t="s">
        <v>7038</v>
      </c>
      <c r="G249" t="s">
        <v>15</v>
      </c>
      <c r="H249" t="s">
        <v>14</v>
      </c>
      <c r="I249" t="s">
        <v>7037</v>
      </c>
      <c r="J249">
        <v>60091252</v>
      </c>
      <c r="K249" t="s">
        <v>7036</v>
      </c>
      <c r="L249" t="s">
        <v>6571</v>
      </c>
      <c r="M249" t="s">
        <v>31</v>
      </c>
      <c r="N249">
        <v>1</v>
      </c>
      <c r="O249" t="s">
        <v>7035</v>
      </c>
      <c r="P249">
        <v>7006406824</v>
      </c>
      <c r="Q249">
        <v>60091252</v>
      </c>
      <c r="R249" s="7">
        <v>32143</v>
      </c>
      <c r="S249" s="8">
        <f t="shared" si="32"/>
        <v>1988</v>
      </c>
      <c r="T249" s="8">
        <v>1988</v>
      </c>
      <c r="U249" s="8">
        <f t="shared" si="33"/>
        <v>34</v>
      </c>
      <c r="V249" s="7">
        <v>1988</v>
      </c>
      <c r="W249" t="s">
        <v>7034</v>
      </c>
      <c r="X249" s="2">
        <v>0.68200000000000005</v>
      </c>
      <c r="Y249" s="6">
        <f t="shared" si="30"/>
        <v>1.8205600491177493E-2</v>
      </c>
      <c r="AA249">
        <v>2731177</v>
      </c>
      <c r="AB249">
        <v>12375</v>
      </c>
      <c r="AD249" t="s">
        <v>4</v>
      </c>
      <c r="AE249">
        <v>8</v>
      </c>
      <c r="AF249">
        <v>1</v>
      </c>
      <c r="AH249" t="s">
        <v>7033</v>
      </c>
      <c r="AI249" t="s">
        <v>7032</v>
      </c>
      <c r="AK249" t="s">
        <v>7031</v>
      </c>
      <c r="AL249">
        <v>13</v>
      </c>
      <c r="AM249" s="5">
        <f t="shared" si="34"/>
        <v>0.38235294117647056</v>
      </c>
      <c r="AN249" s="4">
        <f t="shared" si="31"/>
        <v>5.7910328084281794E-4</v>
      </c>
      <c r="AO249" s="3"/>
      <c r="AP249">
        <v>0</v>
      </c>
      <c r="AQ249" t="s">
        <v>855</v>
      </c>
      <c r="AR249" t="s">
        <v>7030</v>
      </c>
      <c r="AS249" t="s">
        <v>854</v>
      </c>
      <c r="AT249" s="2">
        <v>2.1520000000000001</v>
      </c>
      <c r="AU249" s="1">
        <f t="shared" si="35"/>
        <v>1.2917651328077089</v>
      </c>
      <c r="AV249" s="1">
        <f t="shared" si="36"/>
        <v>0.93923518860101562</v>
      </c>
      <c r="AW249" s="1">
        <f t="shared" si="37"/>
        <v>0.58670524439432203</v>
      </c>
    </row>
    <row r="250" spans="1:49" x14ac:dyDescent="0.2">
      <c r="A250">
        <v>248</v>
      </c>
      <c r="B250" t="s">
        <v>7029</v>
      </c>
      <c r="C250" t="s">
        <v>7028</v>
      </c>
      <c r="F250" t="s">
        <v>7027</v>
      </c>
      <c r="G250" t="s">
        <v>15</v>
      </c>
      <c r="H250" t="s">
        <v>14</v>
      </c>
      <c r="I250" t="s">
        <v>7026</v>
      </c>
      <c r="J250" t="s">
        <v>7025</v>
      </c>
      <c r="K250" t="s">
        <v>7024</v>
      </c>
      <c r="L250" t="s">
        <v>7023</v>
      </c>
      <c r="M250" t="s">
        <v>7022</v>
      </c>
      <c r="N250">
        <v>15</v>
      </c>
      <c r="O250" t="s">
        <v>7021</v>
      </c>
      <c r="P250" t="s">
        <v>7020</v>
      </c>
      <c r="Q250" t="s">
        <v>7019</v>
      </c>
      <c r="R250" s="7">
        <v>32143</v>
      </c>
      <c r="S250" s="8">
        <f t="shared" si="32"/>
        <v>1988</v>
      </c>
      <c r="T250" s="8">
        <v>1988</v>
      </c>
      <c r="U250" s="8">
        <f t="shared" si="33"/>
        <v>34</v>
      </c>
      <c r="V250" s="7">
        <v>1988</v>
      </c>
      <c r="W250" t="s">
        <v>5</v>
      </c>
      <c r="X250" s="2">
        <v>15.993</v>
      </c>
      <c r="Y250" s="6">
        <f t="shared" si="30"/>
        <v>0.42692400096099947</v>
      </c>
      <c r="AA250">
        <v>280836</v>
      </c>
      <c r="AB250">
        <v>21206</v>
      </c>
      <c r="AD250" t="s">
        <v>4</v>
      </c>
      <c r="AE250">
        <v>334</v>
      </c>
      <c r="AF250">
        <v>6181</v>
      </c>
      <c r="AH250" t="s">
        <v>7018</v>
      </c>
      <c r="AI250" t="s">
        <v>7017</v>
      </c>
      <c r="AK250" t="s">
        <v>7016</v>
      </c>
      <c r="AL250">
        <v>19</v>
      </c>
      <c r="AM250" s="5">
        <f t="shared" si="34"/>
        <v>0.55882352941176472</v>
      </c>
      <c r="AN250" s="4">
        <f t="shared" si="31"/>
        <v>8.4638171815488788E-4</v>
      </c>
      <c r="AO250" s="3"/>
      <c r="AP250">
        <v>0</v>
      </c>
      <c r="AR250" t="s">
        <v>0</v>
      </c>
      <c r="AT250" s="2">
        <v>49.962000000000003</v>
      </c>
      <c r="AU250" s="1">
        <f t="shared" si="35"/>
        <v>29.910071518814608</v>
      </c>
      <c r="AV250" s="1">
        <f t="shared" si="36"/>
        <v>21.388519133957718</v>
      </c>
      <c r="AW250" s="1">
        <f t="shared" si="37"/>
        <v>12.866966749100825</v>
      </c>
    </row>
    <row r="251" spans="1:49" x14ac:dyDescent="0.2">
      <c r="A251">
        <v>249</v>
      </c>
      <c r="B251" t="s">
        <v>7015</v>
      </c>
      <c r="C251" t="s">
        <v>7014</v>
      </c>
      <c r="F251" t="s">
        <v>7013</v>
      </c>
      <c r="G251" t="s">
        <v>15</v>
      </c>
      <c r="H251" t="s">
        <v>14</v>
      </c>
      <c r="I251" t="s">
        <v>7012</v>
      </c>
      <c r="J251">
        <v>60010742</v>
      </c>
      <c r="K251" t="s">
        <v>1038</v>
      </c>
      <c r="L251" t="s">
        <v>1037</v>
      </c>
      <c r="M251" t="s">
        <v>211</v>
      </c>
      <c r="N251">
        <v>3</v>
      </c>
      <c r="O251" t="s">
        <v>7011</v>
      </c>
      <c r="P251" t="s">
        <v>7010</v>
      </c>
      <c r="Q251" t="s">
        <v>7009</v>
      </c>
      <c r="R251" s="7">
        <v>32143</v>
      </c>
      <c r="S251" s="8">
        <f t="shared" si="32"/>
        <v>1988</v>
      </c>
      <c r="T251" s="8">
        <v>1988</v>
      </c>
      <c r="U251" s="8">
        <f t="shared" si="33"/>
        <v>34</v>
      </c>
      <c r="V251" s="7">
        <v>1988</v>
      </c>
      <c r="W251" t="s">
        <v>7008</v>
      </c>
      <c r="X251" s="2" t="s">
        <v>19</v>
      </c>
      <c r="Y251" s="6" t="e">
        <f t="shared" si="30"/>
        <v>#VALUE!</v>
      </c>
      <c r="AA251">
        <v>372455</v>
      </c>
      <c r="AB251">
        <v>62767</v>
      </c>
      <c r="AD251" t="s">
        <v>4</v>
      </c>
      <c r="AE251">
        <v>57</v>
      </c>
      <c r="AF251">
        <v>3</v>
      </c>
      <c r="AH251" t="s">
        <v>7007</v>
      </c>
      <c r="AI251" t="s">
        <v>7006</v>
      </c>
      <c r="AK251" t="s">
        <v>7005</v>
      </c>
      <c r="AL251">
        <v>5</v>
      </c>
      <c r="AM251" s="5">
        <f t="shared" si="34"/>
        <v>0.14705882352941177</v>
      </c>
      <c r="AN251" s="4">
        <f t="shared" si="31"/>
        <v>2.2273203109339154E-4</v>
      </c>
      <c r="AO251" s="3"/>
      <c r="AP251">
        <v>0</v>
      </c>
      <c r="AR251" t="s">
        <v>0</v>
      </c>
      <c r="AT251" s="2" t="s">
        <v>19</v>
      </c>
      <c r="AU251" s="1" t="e">
        <f t="shared" si="35"/>
        <v>#VALUE!</v>
      </c>
      <c r="AV251" s="1" t="e">
        <f t="shared" si="36"/>
        <v>#VALUE!</v>
      </c>
      <c r="AW251" s="1" t="e">
        <f t="shared" si="37"/>
        <v>#VALUE!</v>
      </c>
    </row>
    <row r="252" spans="1:49" x14ac:dyDescent="0.2">
      <c r="A252">
        <v>250</v>
      </c>
      <c r="B252" t="s">
        <v>7004</v>
      </c>
      <c r="C252" t="s">
        <v>7003</v>
      </c>
      <c r="F252" t="s">
        <v>7002</v>
      </c>
      <c r="G252" t="s">
        <v>15</v>
      </c>
      <c r="H252" t="s">
        <v>14</v>
      </c>
      <c r="I252" t="s">
        <v>7001</v>
      </c>
      <c r="J252" t="s">
        <v>7000</v>
      </c>
      <c r="K252" t="s">
        <v>6999</v>
      </c>
      <c r="L252" t="s">
        <v>6998</v>
      </c>
      <c r="M252" t="s">
        <v>6997</v>
      </c>
      <c r="N252">
        <v>2</v>
      </c>
      <c r="O252" t="s">
        <v>6996</v>
      </c>
      <c r="P252" t="s">
        <v>6995</v>
      </c>
      <c r="Q252" t="s">
        <v>6994</v>
      </c>
      <c r="R252" s="7">
        <v>32143</v>
      </c>
      <c r="S252" s="8">
        <f t="shared" si="32"/>
        <v>1988</v>
      </c>
      <c r="T252" s="8">
        <v>1988</v>
      </c>
      <c r="U252" s="8">
        <f t="shared" si="33"/>
        <v>34</v>
      </c>
      <c r="V252" s="7" t="s">
        <v>5999</v>
      </c>
      <c r="W252" t="s">
        <v>6894</v>
      </c>
      <c r="X252" s="2">
        <v>0.51100000000000001</v>
      </c>
      <c r="Y252" s="6">
        <f t="shared" si="30"/>
        <v>1.3640853153946772E-2</v>
      </c>
      <c r="AA252">
        <v>222933</v>
      </c>
      <c r="AB252">
        <v>29630</v>
      </c>
      <c r="AC252">
        <v>14645262</v>
      </c>
      <c r="AD252" t="s">
        <v>4</v>
      </c>
      <c r="AE252">
        <v>22</v>
      </c>
      <c r="AF252">
        <v>6</v>
      </c>
      <c r="AH252" t="s">
        <v>6993</v>
      </c>
      <c r="AI252" t="s">
        <v>6992</v>
      </c>
      <c r="AJ252" t="s">
        <v>6991</v>
      </c>
      <c r="AK252" t="s">
        <v>6990</v>
      </c>
      <c r="AL252">
        <v>1</v>
      </c>
      <c r="AM252" s="5">
        <f t="shared" si="34"/>
        <v>2.9411764705882353E-2</v>
      </c>
      <c r="AN252" s="4">
        <f t="shared" si="31"/>
        <v>4.4546406218678307E-5</v>
      </c>
      <c r="AO252" s="3"/>
      <c r="AP252">
        <v>0</v>
      </c>
      <c r="AR252" t="s">
        <v>0</v>
      </c>
      <c r="AT252" s="2">
        <v>1.016</v>
      </c>
      <c r="AU252" s="1">
        <f t="shared" si="35"/>
        <v>0.95619611296283435</v>
      </c>
      <c r="AV252" s="1">
        <f t="shared" si="36"/>
        <v>0.68426997800827249</v>
      </c>
      <c r="AW252" s="1">
        <f t="shared" si="37"/>
        <v>0.41234384305371063</v>
      </c>
    </row>
    <row r="253" spans="1:49" x14ac:dyDescent="0.2">
      <c r="A253">
        <v>251</v>
      </c>
      <c r="B253" t="s">
        <v>6989</v>
      </c>
      <c r="C253" t="s">
        <v>6988</v>
      </c>
      <c r="E253">
        <v>3200859</v>
      </c>
      <c r="F253" t="s">
        <v>6987</v>
      </c>
      <c r="G253" t="s">
        <v>15</v>
      </c>
      <c r="H253" t="s">
        <v>14</v>
      </c>
      <c r="I253" t="s">
        <v>6986</v>
      </c>
      <c r="J253">
        <v>60029170</v>
      </c>
      <c r="K253" t="s">
        <v>6985</v>
      </c>
      <c r="L253" t="s">
        <v>6984</v>
      </c>
      <c r="M253" t="s">
        <v>6983</v>
      </c>
      <c r="N253">
        <v>4</v>
      </c>
      <c r="O253" t="s">
        <v>6982</v>
      </c>
      <c r="P253" t="s">
        <v>6981</v>
      </c>
      <c r="Q253" t="s">
        <v>6980</v>
      </c>
      <c r="R253" s="7">
        <v>32143</v>
      </c>
      <c r="S253" s="8">
        <f t="shared" si="32"/>
        <v>1988</v>
      </c>
      <c r="T253" s="8">
        <v>1988</v>
      </c>
      <c r="U253" s="8">
        <f t="shared" si="33"/>
        <v>34</v>
      </c>
      <c r="V253" s="7">
        <v>1988</v>
      </c>
      <c r="W253" t="s">
        <v>6942</v>
      </c>
      <c r="X253" s="2">
        <v>5.0110000000000001</v>
      </c>
      <c r="Y253" s="6">
        <f t="shared" si="30"/>
        <v>0.13376578308107098</v>
      </c>
      <c r="AA253">
        <v>278424</v>
      </c>
      <c r="AB253">
        <v>21121</v>
      </c>
      <c r="AD253" t="s">
        <v>4</v>
      </c>
      <c r="AE253">
        <v>85</v>
      </c>
      <c r="AF253">
        <v>24</v>
      </c>
      <c r="AH253" t="s">
        <v>6979</v>
      </c>
      <c r="AI253" t="s">
        <v>6978</v>
      </c>
      <c r="AK253" t="s">
        <v>6977</v>
      </c>
      <c r="AL253">
        <v>96</v>
      </c>
      <c r="AM253" s="5">
        <f t="shared" si="34"/>
        <v>2.8235294117647061</v>
      </c>
      <c r="AN253" s="4">
        <f t="shared" si="31"/>
        <v>4.2764549969931181E-3</v>
      </c>
      <c r="AO253" s="3"/>
      <c r="AP253">
        <v>1</v>
      </c>
      <c r="AR253" t="s">
        <v>0</v>
      </c>
      <c r="AT253" s="2" t="s">
        <v>19</v>
      </c>
      <c r="AU253" s="1">
        <f t="shared" si="35"/>
        <v>9.4918984655847627</v>
      </c>
      <c r="AV253" s="1">
        <f t="shared" si="36"/>
        <v>6.9021119039032044</v>
      </c>
      <c r="AW253" s="1">
        <f t="shared" si="37"/>
        <v>4.3123253422216479</v>
      </c>
    </row>
    <row r="254" spans="1:49" x14ac:dyDescent="0.2">
      <c r="A254">
        <v>252</v>
      </c>
      <c r="B254" t="s">
        <v>6976</v>
      </c>
      <c r="C254" t="s">
        <v>6975</v>
      </c>
      <c r="F254" t="s">
        <v>6974</v>
      </c>
      <c r="G254" t="s">
        <v>15</v>
      </c>
      <c r="H254" t="s">
        <v>14</v>
      </c>
      <c r="I254" t="s">
        <v>6973</v>
      </c>
      <c r="J254" t="s">
        <v>6972</v>
      </c>
      <c r="K254" t="s">
        <v>6971</v>
      </c>
      <c r="L254" t="s">
        <v>6970</v>
      </c>
      <c r="M254" t="s">
        <v>9</v>
      </c>
      <c r="N254">
        <v>4</v>
      </c>
      <c r="O254" t="s">
        <v>6969</v>
      </c>
      <c r="P254" t="s">
        <v>6968</v>
      </c>
      <c r="Q254" t="s">
        <v>6967</v>
      </c>
      <c r="R254" s="7">
        <v>32143</v>
      </c>
      <c r="S254" s="8">
        <f t="shared" si="32"/>
        <v>1988</v>
      </c>
      <c r="T254" s="8">
        <v>1988</v>
      </c>
      <c r="U254" s="8">
        <f t="shared" si="33"/>
        <v>34</v>
      </c>
      <c r="V254" s="7">
        <v>32143</v>
      </c>
      <c r="W254" t="s">
        <v>6966</v>
      </c>
      <c r="X254" s="2">
        <v>0.28599999999999998</v>
      </c>
      <c r="Y254" s="6">
        <f t="shared" si="30"/>
        <v>7.6346066575905605E-3</v>
      </c>
      <c r="AA254">
        <v>9205071</v>
      </c>
      <c r="AB254">
        <v>28139</v>
      </c>
      <c r="AC254">
        <v>15693937</v>
      </c>
      <c r="AD254" t="s">
        <v>4</v>
      </c>
      <c r="AE254">
        <v>2</v>
      </c>
      <c r="AF254" s="9">
        <v>44289</v>
      </c>
      <c r="AH254" t="s">
        <v>6965</v>
      </c>
      <c r="AI254" t="s">
        <v>6964</v>
      </c>
      <c r="AK254" t="s">
        <v>6963</v>
      </c>
      <c r="AL254">
        <v>9</v>
      </c>
      <c r="AM254" s="5">
        <f t="shared" si="34"/>
        <v>0.26470588235294118</v>
      </c>
      <c r="AN254" s="4">
        <f t="shared" si="31"/>
        <v>4.009176559681048E-4</v>
      </c>
      <c r="AO254" s="3"/>
      <c r="AP254">
        <v>0</v>
      </c>
      <c r="AR254" t="s">
        <v>0</v>
      </c>
      <c r="AT254" s="2" t="s">
        <v>19</v>
      </c>
      <c r="AU254" s="1">
        <f t="shared" si="35"/>
        <v>0.54644999571038233</v>
      </c>
      <c r="AV254" s="1">
        <f t="shared" si="36"/>
        <v>0.40177621567793326</v>
      </c>
      <c r="AW254" s="1">
        <f t="shared" si="37"/>
        <v>0.25710243564548418</v>
      </c>
    </row>
    <row r="255" spans="1:49" x14ac:dyDescent="0.2">
      <c r="A255">
        <v>253</v>
      </c>
      <c r="B255" t="s">
        <v>6962</v>
      </c>
      <c r="C255" t="s">
        <v>6961</v>
      </c>
      <c r="F255" t="s">
        <v>6960</v>
      </c>
      <c r="G255" t="s">
        <v>15</v>
      </c>
      <c r="H255" t="s">
        <v>14</v>
      </c>
      <c r="I255" t="s">
        <v>6959</v>
      </c>
      <c r="J255">
        <v>60011048</v>
      </c>
      <c r="K255" t="s">
        <v>5374</v>
      </c>
      <c r="L255" t="s">
        <v>5373</v>
      </c>
      <c r="M255" t="s">
        <v>31</v>
      </c>
      <c r="N255">
        <v>2</v>
      </c>
      <c r="O255" t="s">
        <v>6958</v>
      </c>
      <c r="P255" t="s">
        <v>6957</v>
      </c>
      <c r="Q255" t="s">
        <v>6956</v>
      </c>
      <c r="R255" s="7">
        <v>32143</v>
      </c>
      <c r="S255" s="8">
        <f t="shared" si="32"/>
        <v>1988</v>
      </c>
      <c r="T255" s="8">
        <v>1988</v>
      </c>
      <c r="U255" s="8">
        <f t="shared" si="33"/>
        <v>34</v>
      </c>
      <c r="V255" s="7">
        <v>32203</v>
      </c>
      <c r="W255" t="s">
        <v>6955</v>
      </c>
      <c r="X255" s="2">
        <v>0.58299999999999996</v>
      </c>
      <c r="Y255" s="6">
        <f t="shared" si="30"/>
        <v>1.5562852032780758E-2</v>
      </c>
      <c r="AA255">
        <v>7342101</v>
      </c>
      <c r="AB255">
        <v>28596</v>
      </c>
      <c r="AC255">
        <v>15208559</v>
      </c>
      <c r="AD255" t="s">
        <v>4</v>
      </c>
      <c r="AE255">
        <v>6</v>
      </c>
      <c r="AF255">
        <v>2</v>
      </c>
      <c r="AH255" t="s">
        <v>6954</v>
      </c>
      <c r="AI255" t="s">
        <v>6953</v>
      </c>
      <c r="AK255" t="s">
        <v>6952</v>
      </c>
      <c r="AL255">
        <v>22</v>
      </c>
      <c r="AM255" s="5">
        <f t="shared" si="34"/>
        <v>0.6470588235294118</v>
      </c>
      <c r="AN255" s="4">
        <f t="shared" si="31"/>
        <v>9.8002093681092274E-4</v>
      </c>
      <c r="AO255" s="3"/>
      <c r="AP255">
        <v>0</v>
      </c>
      <c r="AR255" t="s">
        <v>0</v>
      </c>
      <c r="AT255" s="2" t="s">
        <v>19</v>
      </c>
      <c r="AU255" s="1">
        <f t="shared" si="35"/>
        <v>1.1188002703989806</v>
      </c>
      <c r="AV255" s="1">
        <f t="shared" si="36"/>
        <v>0.8271436484795841</v>
      </c>
      <c r="AW255" s="1">
        <f t="shared" si="37"/>
        <v>0.53548702656018732</v>
      </c>
    </row>
    <row r="256" spans="1:49" x14ac:dyDescent="0.2">
      <c r="A256">
        <v>254</v>
      </c>
      <c r="B256" t="s">
        <v>6951</v>
      </c>
      <c r="C256" t="s">
        <v>6950</v>
      </c>
      <c r="E256">
        <v>3200861</v>
      </c>
      <c r="F256" t="s">
        <v>6949</v>
      </c>
      <c r="G256" t="s">
        <v>15</v>
      </c>
      <c r="H256" t="s">
        <v>14</v>
      </c>
      <c r="I256" t="s">
        <v>6948</v>
      </c>
      <c r="J256">
        <v>60017994</v>
      </c>
      <c r="K256" t="s">
        <v>6947</v>
      </c>
      <c r="L256" t="s">
        <v>6946</v>
      </c>
      <c r="M256" t="s">
        <v>31</v>
      </c>
      <c r="N256">
        <v>3</v>
      </c>
      <c r="O256" t="s">
        <v>6945</v>
      </c>
      <c r="P256" t="s">
        <v>6944</v>
      </c>
      <c r="Q256" t="s">
        <v>6943</v>
      </c>
      <c r="R256" s="7">
        <v>32143</v>
      </c>
      <c r="S256" s="8">
        <f t="shared" si="32"/>
        <v>1988</v>
      </c>
      <c r="T256" s="8">
        <v>1988</v>
      </c>
      <c r="U256" s="8">
        <f t="shared" si="33"/>
        <v>34</v>
      </c>
      <c r="V256" s="7">
        <v>1988</v>
      </c>
      <c r="W256" t="s">
        <v>6942</v>
      </c>
      <c r="X256" s="2">
        <v>5.0110000000000001</v>
      </c>
      <c r="Y256" s="6">
        <f t="shared" si="30"/>
        <v>0.13376578308107098</v>
      </c>
      <c r="AA256">
        <v>278424</v>
      </c>
      <c r="AB256">
        <v>21121</v>
      </c>
      <c r="AD256" t="s">
        <v>4</v>
      </c>
      <c r="AE256">
        <v>85</v>
      </c>
      <c r="AF256">
        <v>24</v>
      </c>
      <c r="AH256" t="s">
        <v>6941</v>
      </c>
      <c r="AI256" t="s">
        <v>6940</v>
      </c>
      <c r="AK256" t="s">
        <v>6939</v>
      </c>
      <c r="AL256">
        <v>123</v>
      </c>
      <c r="AM256" s="5">
        <f t="shared" si="34"/>
        <v>3.6176470588235294</v>
      </c>
      <c r="AN256" s="4">
        <f t="shared" si="31"/>
        <v>5.4792079648974317E-3</v>
      </c>
      <c r="AO256" s="3"/>
      <c r="AP256">
        <v>1</v>
      </c>
      <c r="AR256" t="s">
        <v>0</v>
      </c>
      <c r="AT256" s="2" t="s">
        <v>19</v>
      </c>
      <c r="AU256" s="1">
        <f t="shared" si="35"/>
        <v>9.5279810546218915</v>
      </c>
      <c r="AV256" s="1">
        <f t="shared" si="36"/>
        <v>6.9622495522984202</v>
      </c>
      <c r="AW256" s="1">
        <f t="shared" si="37"/>
        <v>4.3965180499749499</v>
      </c>
    </row>
    <row r="257" spans="1:49" x14ac:dyDescent="0.2">
      <c r="A257">
        <v>255</v>
      </c>
      <c r="B257" t="s">
        <v>6938</v>
      </c>
      <c r="C257" t="s">
        <v>6937</v>
      </c>
      <c r="D257">
        <v>21916988901183</v>
      </c>
      <c r="F257" t="s">
        <v>6936</v>
      </c>
      <c r="G257" t="s">
        <v>15</v>
      </c>
      <c r="H257" t="s">
        <v>14</v>
      </c>
      <c r="I257" t="s">
        <v>6935</v>
      </c>
      <c r="J257">
        <v>60026548</v>
      </c>
      <c r="K257" t="s">
        <v>6934</v>
      </c>
      <c r="L257" t="s">
        <v>6933</v>
      </c>
      <c r="M257" t="s">
        <v>4420</v>
      </c>
      <c r="N257">
        <v>1</v>
      </c>
      <c r="O257" t="s">
        <v>6932</v>
      </c>
      <c r="P257">
        <v>7005598805</v>
      </c>
      <c r="Q257">
        <v>60026548</v>
      </c>
      <c r="R257" s="7">
        <v>32143</v>
      </c>
      <c r="S257" s="8">
        <f t="shared" si="32"/>
        <v>1988</v>
      </c>
      <c r="T257" s="8">
        <v>1988</v>
      </c>
      <c r="U257" s="8">
        <f t="shared" si="33"/>
        <v>34</v>
      </c>
      <c r="V257" s="7">
        <v>32295</v>
      </c>
      <c r="W257" t="s">
        <v>109</v>
      </c>
      <c r="X257" s="2">
        <v>0.51500000000000001</v>
      </c>
      <c r="Y257" s="6">
        <f t="shared" si="30"/>
        <v>1.374763086943755E-2</v>
      </c>
      <c r="AA257">
        <v>219169</v>
      </c>
      <c r="AB257">
        <v>30966</v>
      </c>
      <c r="AD257" t="s">
        <v>4</v>
      </c>
      <c r="AE257">
        <v>50</v>
      </c>
      <c r="AF257">
        <v>6</v>
      </c>
      <c r="AH257" t="s">
        <v>4250</v>
      </c>
      <c r="AI257" t="s">
        <v>6931</v>
      </c>
      <c r="AK257" t="s">
        <v>6930</v>
      </c>
      <c r="AL257">
        <v>9</v>
      </c>
      <c r="AM257" s="5">
        <f t="shared" si="34"/>
        <v>0.26470588235294118</v>
      </c>
      <c r="AN257" s="4">
        <f t="shared" si="31"/>
        <v>4.009176559681048E-4</v>
      </c>
      <c r="AO257" s="3"/>
      <c r="AP257">
        <v>0</v>
      </c>
      <c r="AQ257" t="s">
        <v>292</v>
      </c>
      <c r="AR257" t="s">
        <v>0</v>
      </c>
      <c r="AS257" t="s">
        <v>6929</v>
      </c>
      <c r="AT257" s="2" t="s">
        <v>19</v>
      </c>
      <c r="AU257" s="1">
        <f t="shared" si="35"/>
        <v>0.97436169053967159</v>
      </c>
      <c r="AV257" s="1">
        <f t="shared" si="36"/>
        <v>0.70742742627028277</v>
      </c>
      <c r="AW257" s="1">
        <f t="shared" si="37"/>
        <v>0.44049316200089383</v>
      </c>
    </row>
    <row r="258" spans="1:49" x14ac:dyDescent="0.2">
      <c r="A258">
        <v>256</v>
      </c>
      <c r="B258" t="s">
        <v>6928</v>
      </c>
      <c r="C258" t="s">
        <v>6927</v>
      </c>
      <c r="F258" t="s">
        <v>6926</v>
      </c>
      <c r="G258" t="s">
        <v>15</v>
      </c>
      <c r="H258" t="s">
        <v>14</v>
      </c>
      <c r="I258" t="s">
        <v>303</v>
      </c>
      <c r="J258">
        <v>60006596</v>
      </c>
      <c r="K258" t="s">
        <v>302</v>
      </c>
      <c r="L258" t="s">
        <v>301</v>
      </c>
      <c r="M258" t="s">
        <v>300</v>
      </c>
      <c r="N258">
        <v>2</v>
      </c>
      <c r="O258" t="s">
        <v>6925</v>
      </c>
      <c r="P258" t="s">
        <v>298</v>
      </c>
      <c r="Q258" t="s">
        <v>297</v>
      </c>
      <c r="R258" s="7">
        <v>32143</v>
      </c>
      <c r="S258" s="8">
        <f t="shared" si="32"/>
        <v>1988</v>
      </c>
      <c r="T258" s="8">
        <v>1988</v>
      </c>
      <c r="U258" s="8">
        <f t="shared" si="33"/>
        <v>34</v>
      </c>
      <c r="V258" s="7" t="s">
        <v>163</v>
      </c>
      <c r="W258" t="s">
        <v>162</v>
      </c>
      <c r="X258" s="2">
        <v>0.79500000000000004</v>
      </c>
      <c r="Y258" s="6">
        <f t="shared" ref="Y258:Y321" si="38">(X258-$Z$4)/($Z$3-$Z$4)</f>
        <v>2.1222070953791944E-2</v>
      </c>
      <c r="AA258">
        <v>9312048</v>
      </c>
      <c r="AB258">
        <v>20459</v>
      </c>
      <c r="AC258">
        <v>14390418</v>
      </c>
      <c r="AD258" t="s">
        <v>4</v>
      </c>
      <c r="AE258">
        <v>106</v>
      </c>
      <c r="AF258" s="9">
        <v>44317</v>
      </c>
      <c r="AH258" t="s">
        <v>6924</v>
      </c>
      <c r="AI258" t="s">
        <v>6923</v>
      </c>
      <c r="AK258" t="s">
        <v>6922</v>
      </c>
      <c r="AL258">
        <v>5</v>
      </c>
      <c r="AM258" s="5">
        <f t="shared" si="34"/>
        <v>0.14705882352941177</v>
      </c>
      <c r="AN258" s="4">
        <f t="shared" ref="AN258:AN321" si="39">(AM258-$AO$4)/($AO$3-$AO$4)</f>
        <v>2.2273203109339154E-4</v>
      </c>
      <c r="AO258" s="3"/>
      <c r="AP258">
        <v>0</v>
      </c>
      <c r="AR258" t="s">
        <v>0</v>
      </c>
      <c r="AT258" s="2">
        <v>2.6030000000000002</v>
      </c>
      <c r="AU258" s="1">
        <f t="shared" si="35"/>
        <v>1.4922269276982378</v>
      </c>
      <c r="AV258" s="1">
        <f t="shared" si="36"/>
        <v>1.0722401492442668</v>
      </c>
      <c r="AW258" s="1">
        <f t="shared" si="37"/>
        <v>0.65225337079029566</v>
      </c>
    </row>
    <row r="259" spans="1:49" x14ac:dyDescent="0.2">
      <c r="A259">
        <v>257</v>
      </c>
      <c r="B259" t="s">
        <v>6921</v>
      </c>
      <c r="F259" t="s">
        <v>6920</v>
      </c>
      <c r="G259" t="s">
        <v>15</v>
      </c>
      <c r="H259" t="s">
        <v>14</v>
      </c>
      <c r="I259" t="s">
        <v>6919</v>
      </c>
      <c r="J259" t="s">
        <v>6918</v>
      </c>
      <c r="K259" t="s">
        <v>6917</v>
      </c>
      <c r="L259" t="s">
        <v>6916</v>
      </c>
      <c r="M259" t="s">
        <v>6915</v>
      </c>
      <c r="N259">
        <v>7</v>
      </c>
      <c r="O259" t="s">
        <v>6914</v>
      </c>
      <c r="P259" t="s">
        <v>6913</v>
      </c>
      <c r="Q259" t="s">
        <v>6912</v>
      </c>
      <c r="R259" s="7">
        <v>32143</v>
      </c>
      <c r="S259" s="8">
        <f t="shared" si="32"/>
        <v>1988</v>
      </c>
      <c r="T259" s="8">
        <v>1988</v>
      </c>
      <c r="U259" s="8">
        <f t="shared" si="33"/>
        <v>34</v>
      </c>
      <c r="V259" s="7">
        <v>1988</v>
      </c>
      <c r="W259" t="s">
        <v>6911</v>
      </c>
      <c r="X259" s="2">
        <v>2.137</v>
      </c>
      <c r="Y259" s="6">
        <f t="shared" si="38"/>
        <v>5.7045994500947654E-2</v>
      </c>
      <c r="AA259">
        <v>46361</v>
      </c>
      <c r="AB259">
        <v>26750</v>
      </c>
      <c r="AC259">
        <v>14320746</v>
      </c>
      <c r="AD259" t="s">
        <v>4</v>
      </c>
      <c r="AE259">
        <v>197</v>
      </c>
      <c r="AH259" t="s">
        <v>6910</v>
      </c>
      <c r="AI259" t="s">
        <v>6909</v>
      </c>
      <c r="AJ259" t="s">
        <v>6908</v>
      </c>
      <c r="AK259" t="s">
        <v>6907</v>
      </c>
      <c r="AL259">
        <v>13</v>
      </c>
      <c r="AM259" s="5">
        <f t="shared" si="34"/>
        <v>0.38235294117647056</v>
      </c>
      <c r="AN259" s="4">
        <f t="shared" si="39"/>
        <v>5.7910328084281794E-4</v>
      </c>
      <c r="AO259" s="3"/>
      <c r="AP259">
        <v>0</v>
      </c>
      <c r="AQ259" t="s">
        <v>855</v>
      </c>
      <c r="AR259" t="s">
        <v>6906</v>
      </c>
      <c r="AS259" t="s">
        <v>854</v>
      </c>
      <c r="AT259" s="2" t="s">
        <v>19</v>
      </c>
      <c r="AU259" s="1">
        <f t="shared" si="35"/>
        <v>4.0105927134916195</v>
      </c>
      <c r="AV259" s="1">
        <f t="shared" si="36"/>
        <v>2.8812548890895235</v>
      </c>
      <c r="AW259" s="1">
        <f t="shared" si="37"/>
        <v>1.7519170646874267</v>
      </c>
    </row>
    <row r="260" spans="1:49" x14ac:dyDescent="0.2">
      <c r="A260">
        <v>258</v>
      </c>
      <c r="B260" t="s">
        <v>6905</v>
      </c>
      <c r="C260" t="s">
        <v>6904</v>
      </c>
      <c r="F260" t="s">
        <v>6903</v>
      </c>
      <c r="G260" t="s">
        <v>15</v>
      </c>
      <c r="H260" t="s">
        <v>14</v>
      </c>
      <c r="I260" t="s">
        <v>6902</v>
      </c>
      <c r="J260" t="s">
        <v>6901</v>
      </c>
      <c r="K260" t="s">
        <v>6900</v>
      </c>
      <c r="L260" t="s">
        <v>6899</v>
      </c>
      <c r="M260" t="s">
        <v>6898</v>
      </c>
      <c r="N260">
        <v>2</v>
      </c>
      <c r="O260" t="s">
        <v>6897</v>
      </c>
      <c r="P260" t="s">
        <v>6896</v>
      </c>
      <c r="Q260" t="s">
        <v>6895</v>
      </c>
      <c r="R260" s="7">
        <v>32143</v>
      </c>
      <c r="S260" s="8">
        <f t="shared" si="32"/>
        <v>1988</v>
      </c>
      <c r="T260" s="8">
        <v>1988</v>
      </c>
      <c r="U260" s="8">
        <f t="shared" si="33"/>
        <v>34</v>
      </c>
      <c r="V260" s="7" t="s">
        <v>5999</v>
      </c>
      <c r="W260" t="s">
        <v>6894</v>
      </c>
      <c r="X260" s="2">
        <v>0.51100000000000001</v>
      </c>
      <c r="Y260" s="6">
        <f t="shared" si="38"/>
        <v>1.3640853153946772E-2</v>
      </c>
      <c r="AA260">
        <v>222933</v>
      </c>
      <c r="AB260">
        <v>29630</v>
      </c>
      <c r="AC260">
        <v>14645262</v>
      </c>
      <c r="AD260" t="s">
        <v>4</v>
      </c>
      <c r="AE260">
        <v>22</v>
      </c>
      <c r="AF260">
        <v>6</v>
      </c>
      <c r="AH260" t="s">
        <v>6893</v>
      </c>
      <c r="AI260" t="s">
        <v>6892</v>
      </c>
      <c r="AJ260" t="s">
        <v>6891</v>
      </c>
      <c r="AK260" t="s">
        <v>6890</v>
      </c>
      <c r="AL260">
        <v>2</v>
      </c>
      <c r="AM260" s="5">
        <f t="shared" si="34"/>
        <v>5.8823529411764705E-2</v>
      </c>
      <c r="AN260" s="4">
        <f t="shared" si="39"/>
        <v>8.9092812437356614E-5</v>
      </c>
      <c r="AO260" s="3"/>
      <c r="AP260">
        <v>0</v>
      </c>
      <c r="AR260" t="s">
        <v>0</v>
      </c>
      <c r="AT260" s="2">
        <v>1.016</v>
      </c>
      <c r="AU260" s="1">
        <f t="shared" si="35"/>
        <v>0.9575325051493947</v>
      </c>
      <c r="AV260" s="1">
        <f t="shared" si="36"/>
        <v>0.68649729831920636</v>
      </c>
      <c r="AW260" s="1">
        <f t="shared" si="37"/>
        <v>0.41546209148901814</v>
      </c>
    </row>
    <row r="261" spans="1:49" x14ac:dyDescent="0.2">
      <c r="A261">
        <v>259</v>
      </c>
      <c r="B261" t="s">
        <v>6889</v>
      </c>
      <c r="E261">
        <v>3284885</v>
      </c>
      <c r="F261" t="s">
        <v>6888</v>
      </c>
      <c r="G261" t="s">
        <v>15</v>
      </c>
      <c r="H261" t="s">
        <v>14</v>
      </c>
      <c r="I261" t="s">
        <v>6887</v>
      </c>
      <c r="J261">
        <v>60025038</v>
      </c>
      <c r="K261" t="s">
        <v>101</v>
      </c>
      <c r="L261" t="s">
        <v>100</v>
      </c>
      <c r="M261" t="s">
        <v>31</v>
      </c>
      <c r="N261">
        <v>2</v>
      </c>
      <c r="O261" t="s">
        <v>6886</v>
      </c>
      <c r="P261" t="s">
        <v>6885</v>
      </c>
      <c r="Q261" t="s">
        <v>97</v>
      </c>
      <c r="R261" s="7">
        <v>32143</v>
      </c>
      <c r="S261" s="8">
        <f t="shared" si="32"/>
        <v>1988</v>
      </c>
      <c r="T261" s="8">
        <v>1988</v>
      </c>
      <c r="U261" s="8">
        <f t="shared" si="33"/>
        <v>34</v>
      </c>
      <c r="V261" s="7">
        <v>32288</v>
      </c>
      <c r="W261" t="s">
        <v>6770</v>
      </c>
      <c r="X261" s="2">
        <v>0.22900000000000001</v>
      </c>
      <c r="Y261" s="6">
        <f t="shared" si="38"/>
        <v>6.1130242118469878E-3</v>
      </c>
      <c r="AA261">
        <v>219258</v>
      </c>
      <c r="AB261">
        <v>17592</v>
      </c>
      <c r="AD261" t="s">
        <v>4</v>
      </c>
      <c r="AE261">
        <v>263</v>
      </c>
      <c r="AF261">
        <v>15</v>
      </c>
      <c r="AH261" t="s">
        <v>6884</v>
      </c>
      <c r="AI261" t="s">
        <v>6883</v>
      </c>
      <c r="AK261" t="s">
        <v>6882</v>
      </c>
      <c r="AL261">
        <v>45</v>
      </c>
      <c r="AM261" s="5">
        <f t="shared" si="34"/>
        <v>1.3235294117647058</v>
      </c>
      <c r="AN261" s="4">
        <f t="shared" si="39"/>
        <v>2.0045882798405239E-3</v>
      </c>
      <c r="AO261" s="3"/>
      <c r="AP261">
        <v>0</v>
      </c>
      <c r="AR261" t="s">
        <v>0</v>
      </c>
      <c r="AT261" s="2" t="s">
        <v>19</v>
      </c>
      <c r="AU261" s="1">
        <f t="shared" si="35"/>
        <v>0.48804934322450477</v>
      </c>
      <c r="AV261" s="1">
        <f t="shared" si="36"/>
        <v>0.40588062458437557</v>
      </c>
      <c r="AW261" s="1">
        <f t="shared" si="37"/>
        <v>0.32371190594424626</v>
      </c>
    </row>
    <row r="262" spans="1:49" x14ac:dyDescent="0.2">
      <c r="A262">
        <v>260</v>
      </c>
      <c r="B262" t="s">
        <v>6881</v>
      </c>
      <c r="C262" t="s">
        <v>6880</v>
      </c>
      <c r="F262" t="s">
        <v>6879</v>
      </c>
      <c r="G262" t="s">
        <v>15</v>
      </c>
      <c r="H262" t="s">
        <v>14</v>
      </c>
      <c r="I262" t="s">
        <v>6878</v>
      </c>
      <c r="J262">
        <v>60014313</v>
      </c>
      <c r="K262" t="s">
        <v>1243</v>
      </c>
      <c r="L262" t="s">
        <v>1242</v>
      </c>
      <c r="M262" t="s">
        <v>31</v>
      </c>
      <c r="N262">
        <v>2</v>
      </c>
      <c r="O262" t="s">
        <v>6877</v>
      </c>
      <c r="P262" t="s">
        <v>6876</v>
      </c>
      <c r="Q262" t="s">
        <v>1239</v>
      </c>
      <c r="R262" s="7">
        <v>32143</v>
      </c>
      <c r="S262" s="8">
        <f t="shared" si="32"/>
        <v>1988</v>
      </c>
      <c r="T262" s="8">
        <v>1988</v>
      </c>
      <c r="U262" s="8">
        <f t="shared" si="33"/>
        <v>34</v>
      </c>
      <c r="V262" s="7">
        <v>1988</v>
      </c>
      <c r="W262" t="s">
        <v>56</v>
      </c>
      <c r="X262" s="2">
        <v>0.375</v>
      </c>
      <c r="Y262" s="6">
        <f t="shared" si="38"/>
        <v>1.0010410827260351E-2</v>
      </c>
      <c r="AA262">
        <v>135194</v>
      </c>
      <c r="AB262">
        <v>24918</v>
      </c>
      <c r="AD262" t="s">
        <v>4</v>
      </c>
      <c r="AE262">
        <v>24</v>
      </c>
      <c r="AF262">
        <v>12</v>
      </c>
      <c r="AH262" t="s">
        <v>6875</v>
      </c>
      <c r="AI262" t="s">
        <v>6874</v>
      </c>
      <c r="AJ262" t="s">
        <v>6873</v>
      </c>
      <c r="AK262" t="s">
        <v>6872</v>
      </c>
      <c r="AL262">
        <v>120</v>
      </c>
      <c r="AM262" s="5">
        <f t="shared" si="34"/>
        <v>3.5294117647058822</v>
      </c>
      <c r="AN262" s="4">
        <f t="shared" si="39"/>
        <v>5.345568746241397E-3</v>
      </c>
      <c r="AO262" s="3"/>
      <c r="AP262">
        <v>0</v>
      </c>
      <c r="AR262" t="s">
        <v>0</v>
      </c>
      <c r="AT262" s="2">
        <v>1.3140000000000001</v>
      </c>
      <c r="AU262" s="1">
        <f t="shared" si="35"/>
        <v>0.8610958202954665</v>
      </c>
      <c r="AV262" s="1">
        <f t="shared" si="36"/>
        <v>0.7677989786750874</v>
      </c>
      <c r="AW262" s="1">
        <f t="shared" si="37"/>
        <v>0.6745021370547083</v>
      </c>
    </row>
    <row r="263" spans="1:49" x14ac:dyDescent="0.2">
      <c r="A263">
        <v>261</v>
      </c>
      <c r="B263" t="s">
        <v>6871</v>
      </c>
      <c r="C263" t="s">
        <v>6870</v>
      </c>
      <c r="F263" t="s">
        <v>6869</v>
      </c>
      <c r="G263" t="s">
        <v>15</v>
      </c>
      <c r="H263" t="s">
        <v>14</v>
      </c>
      <c r="I263" t="s">
        <v>6868</v>
      </c>
      <c r="J263" t="s">
        <v>6863</v>
      </c>
      <c r="K263" t="s">
        <v>6867</v>
      </c>
      <c r="L263" t="s">
        <v>6866</v>
      </c>
      <c r="M263" t="s">
        <v>1742</v>
      </c>
      <c r="N263">
        <v>2</v>
      </c>
      <c r="O263" t="s">
        <v>6865</v>
      </c>
      <c r="P263" t="s">
        <v>6864</v>
      </c>
      <c r="Q263" t="s">
        <v>6863</v>
      </c>
      <c r="R263" s="7">
        <v>32143</v>
      </c>
      <c r="S263" s="8">
        <f t="shared" ref="S263:S326" si="40">YEAR(R263)</f>
        <v>1988</v>
      </c>
      <c r="T263" s="8">
        <v>1988</v>
      </c>
      <c r="U263" s="8">
        <f t="shared" ref="U263:U326" si="41">2022-T263</f>
        <v>34</v>
      </c>
      <c r="V263" s="7">
        <v>1988</v>
      </c>
      <c r="W263" t="s">
        <v>56</v>
      </c>
      <c r="X263" s="2">
        <v>0.375</v>
      </c>
      <c r="Y263" s="6">
        <f t="shared" si="38"/>
        <v>1.0010410827260351E-2</v>
      </c>
      <c r="AA263">
        <v>135194</v>
      </c>
      <c r="AB263">
        <v>24918</v>
      </c>
      <c r="AD263" t="s">
        <v>4</v>
      </c>
      <c r="AE263">
        <v>24</v>
      </c>
      <c r="AF263">
        <v>25</v>
      </c>
      <c r="AH263" t="s">
        <v>6862</v>
      </c>
      <c r="AI263" t="s">
        <v>6861</v>
      </c>
      <c r="AJ263" t="s">
        <v>6860</v>
      </c>
      <c r="AK263" t="s">
        <v>6859</v>
      </c>
      <c r="AL263">
        <v>6</v>
      </c>
      <c r="AM263" s="5">
        <f t="shared" ref="AM263:AM326" si="42">AL263/U263</f>
        <v>0.17647058823529413</v>
      </c>
      <c r="AN263" s="4">
        <f t="shared" si="39"/>
        <v>2.6727843731206988E-4</v>
      </c>
      <c r="AO263" s="3"/>
      <c r="AP263">
        <v>0</v>
      </c>
      <c r="AR263" t="s">
        <v>0</v>
      </c>
      <c r="AT263" s="2">
        <v>1.3140000000000001</v>
      </c>
      <c r="AU263" s="1">
        <f t="shared" ref="AU263:AU326" si="43">(Y263*0.7+AN263*0.3)*100</f>
        <v>0.7087471110275867</v>
      </c>
      <c r="AV263" s="1">
        <f t="shared" ref="AV263:AV326" si="44">(Y263*0.5+AN263*0.5)*100</f>
        <v>0.51388446322862102</v>
      </c>
      <c r="AW263" s="1">
        <f t="shared" ref="AW263:AW326" si="45">(Y263*0.3+AN263*0.7)*100</f>
        <v>0.31902181542965541</v>
      </c>
    </row>
    <row r="264" spans="1:49" x14ac:dyDescent="0.2">
      <c r="A264">
        <v>262</v>
      </c>
      <c r="B264" t="s">
        <v>6858</v>
      </c>
      <c r="C264" t="s">
        <v>6857</v>
      </c>
      <c r="F264" t="s">
        <v>6856</v>
      </c>
      <c r="G264" t="s">
        <v>15</v>
      </c>
      <c r="H264" t="s">
        <v>14</v>
      </c>
      <c r="I264" t="s">
        <v>6855</v>
      </c>
      <c r="J264">
        <v>60010365</v>
      </c>
      <c r="K264" t="s">
        <v>6854</v>
      </c>
      <c r="L264" t="s">
        <v>6853</v>
      </c>
      <c r="M264" t="s">
        <v>481</v>
      </c>
      <c r="N264">
        <v>2</v>
      </c>
      <c r="O264" t="s">
        <v>6852</v>
      </c>
      <c r="P264" t="s">
        <v>6851</v>
      </c>
      <c r="Q264" t="s">
        <v>6850</v>
      </c>
      <c r="R264" s="7">
        <v>32143</v>
      </c>
      <c r="S264" s="8">
        <f t="shared" si="40"/>
        <v>1988</v>
      </c>
      <c r="T264" s="8">
        <v>1988</v>
      </c>
      <c r="U264" s="8">
        <f t="shared" si="41"/>
        <v>34</v>
      </c>
      <c r="V264" s="7">
        <v>1988</v>
      </c>
      <c r="W264" t="s">
        <v>56</v>
      </c>
      <c r="X264" s="2">
        <v>0.375</v>
      </c>
      <c r="Y264" s="6">
        <f t="shared" si="38"/>
        <v>1.0010410827260351E-2</v>
      </c>
      <c r="AA264">
        <v>135194</v>
      </c>
      <c r="AB264">
        <v>24918</v>
      </c>
      <c r="AD264" t="s">
        <v>4</v>
      </c>
      <c r="AE264">
        <v>24</v>
      </c>
      <c r="AF264">
        <v>25</v>
      </c>
      <c r="AH264" t="s">
        <v>6849</v>
      </c>
      <c r="AI264" t="s">
        <v>6848</v>
      </c>
      <c r="AJ264" t="s">
        <v>6847</v>
      </c>
      <c r="AK264" t="s">
        <v>6846</v>
      </c>
      <c r="AL264">
        <v>7</v>
      </c>
      <c r="AM264" s="5">
        <f t="shared" si="42"/>
        <v>0.20588235294117646</v>
      </c>
      <c r="AN264" s="4">
        <f t="shared" si="39"/>
        <v>3.1182484353074817E-4</v>
      </c>
      <c r="AO264" s="3"/>
      <c r="AP264">
        <v>0</v>
      </c>
      <c r="AR264" t="s">
        <v>0</v>
      </c>
      <c r="AT264" s="2">
        <v>1.3140000000000001</v>
      </c>
      <c r="AU264" s="1">
        <f t="shared" si="43"/>
        <v>0.71008350321414704</v>
      </c>
      <c r="AV264" s="1">
        <f t="shared" si="44"/>
        <v>0.51611178353955489</v>
      </c>
      <c r="AW264" s="1">
        <f t="shared" si="45"/>
        <v>0.32214006386496291</v>
      </c>
    </row>
    <row r="265" spans="1:49" x14ac:dyDescent="0.2">
      <c r="A265">
        <v>263</v>
      </c>
      <c r="B265" t="s">
        <v>6845</v>
      </c>
      <c r="C265" t="s">
        <v>6844</v>
      </c>
      <c r="F265" t="s">
        <v>6843</v>
      </c>
      <c r="G265" t="s">
        <v>15</v>
      </c>
      <c r="H265" t="s">
        <v>14</v>
      </c>
      <c r="I265" t="s">
        <v>3375</v>
      </c>
      <c r="J265">
        <v>100540717</v>
      </c>
      <c r="K265" t="s">
        <v>4053</v>
      </c>
      <c r="M265" t="s">
        <v>481</v>
      </c>
      <c r="N265">
        <v>1</v>
      </c>
      <c r="O265" t="s">
        <v>3374</v>
      </c>
      <c r="P265">
        <v>57198890967</v>
      </c>
      <c r="Q265">
        <v>100540717</v>
      </c>
      <c r="R265" s="7">
        <v>32143</v>
      </c>
      <c r="S265" s="8">
        <f t="shared" si="40"/>
        <v>1988</v>
      </c>
      <c r="T265" s="8">
        <v>1988</v>
      </c>
      <c r="U265" s="8">
        <f t="shared" si="41"/>
        <v>34</v>
      </c>
      <c r="V265" s="7">
        <v>1988</v>
      </c>
      <c r="W265" t="s">
        <v>56</v>
      </c>
      <c r="X265" s="2">
        <v>0.375</v>
      </c>
      <c r="Y265" s="6">
        <f t="shared" si="38"/>
        <v>1.0010410827260351E-2</v>
      </c>
      <c r="AA265">
        <v>135194</v>
      </c>
      <c r="AB265">
        <v>24918</v>
      </c>
      <c r="AD265" t="s">
        <v>4</v>
      </c>
      <c r="AE265">
        <v>24</v>
      </c>
      <c r="AF265">
        <v>14</v>
      </c>
      <c r="AH265" t="s">
        <v>6842</v>
      </c>
      <c r="AI265" t="s">
        <v>6841</v>
      </c>
      <c r="AJ265" t="s">
        <v>6840</v>
      </c>
      <c r="AK265" t="s">
        <v>6839</v>
      </c>
      <c r="AL265">
        <v>0</v>
      </c>
      <c r="AM265" s="5">
        <f t="shared" si="42"/>
        <v>0</v>
      </c>
      <c r="AN265" s="4">
        <f t="shared" si="39"/>
        <v>0</v>
      </c>
      <c r="AO265" s="3"/>
      <c r="AP265">
        <v>0</v>
      </c>
      <c r="AR265" t="s">
        <v>0</v>
      </c>
      <c r="AT265" s="2">
        <v>1.3140000000000001</v>
      </c>
      <c r="AU265" s="1">
        <f t="shared" si="43"/>
        <v>0.70072875790822453</v>
      </c>
      <c r="AV265" s="1">
        <f t="shared" si="44"/>
        <v>0.5005205413630176</v>
      </c>
      <c r="AW265" s="1">
        <f t="shared" si="45"/>
        <v>0.30031232481781051</v>
      </c>
    </row>
    <row r="266" spans="1:49" x14ac:dyDescent="0.2">
      <c r="A266">
        <v>264</v>
      </c>
      <c r="B266" t="s">
        <v>6838</v>
      </c>
      <c r="C266" t="s">
        <v>6837</v>
      </c>
      <c r="F266" t="s">
        <v>6836</v>
      </c>
      <c r="G266" t="s">
        <v>15</v>
      </c>
      <c r="H266" t="s">
        <v>14</v>
      </c>
      <c r="I266" t="s">
        <v>6795</v>
      </c>
      <c r="J266">
        <v>60014097</v>
      </c>
      <c r="K266" t="s">
        <v>6794</v>
      </c>
      <c r="L266" t="s">
        <v>5042</v>
      </c>
      <c r="M266" t="s">
        <v>300</v>
      </c>
      <c r="N266">
        <v>4</v>
      </c>
      <c r="O266" t="s">
        <v>6793</v>
      </c>
      <c r="P266" t="s">
        <v>6792</v>
      </c>
      <c r="Q266" t="s">
        <v>6791</v>
      </c>
      <c r="R266" s="7">
        <v>32143</v>
      </c>
      <c r="S266" s="8">
        <f t="shared" si="40"/>
        <v>1988</v>
      </c>
      <c r="T266" s="8">
        <v>1988</v>
      </c>
      <c r="U266" s="8">
        <f t="shared" si="41"/>
        <v>34</v>
      </c>
      <c r="V266" s="7">
        <v>1988</v>
      </c>
      <c r="W266" t="s">
        <v>56</v>
      </c>
      <c r="X266" s="2">
        <v>0.375</v>
      </c>
      <c r="Y266" s="6">
        <f t="shared" si="38"/>
        <v>1.0010410827260351E-2</v>
      </c>
      <c r="AA266">
        <v>135194</v>
      </c>
      <c r="AB266">
        <v>24918</v>
      </c>
      <c r="AD266" t="s">
        <v>4</v>
      </c>
      <c r="AE266">
        <v>24</v>
      </c>
      <c r="AF266">
        <v>1</v>
      </c>
      <c r="AH266" t="s">
        <v>6835</v>
      </c>
      <c r="AI266" t="s">
        <v>6834</v>
      </c>
      <c r="AJ266" t="s">
        <v>6833</v>
      </c>
      <c r="AK266" t="s">
        <v>6832</v>
      </c>
      <c r="AL266">
        <v>3</v>
      </c>
      <c r="AM266" s="5">
        <f t="shared" si="42"/>
        <v>8.8235294117647065E-2</v>
      </c>
      <c r="AN266" s="4">
        <f t="shared" si="39"/>
        <v>1.3363921865603494E-4</v>
      </c>
      <c r="AO266" s="3"/>
      <c r="AP266">
        <v>0</v>
      </c>
      <c r="AR266" t="s">
        <v>0</v>
      </c>
      <c r="AT266" s="2">
        <v>1.3140000000000001</v>
      </c>
      <c r="AU266" s="1">
        <f t="shared" si="43"/>
        <v>0.70473793446790567</v>
      </c>
      <c r="AV266" s="1">
        <f t="shared" si="44"/>
        <v>0.50720250229581931</v>
      </c>
      <c r="AW266" s="1">
        <f t="shared" si="45"/>
        <v>0.30966707012373296</v>
      </c>
    </row>
    <row r="267" spans="1:49" x14ac:dyDescent="0.2">
      <c r="A267">
        <v>265</v>
      </c>
      <c r="B267" t="s">
        <v>6831</v>
      </c>
      <c r="C267" t="s">
        <v>6830</v>
      </c>
      <c r="F267" t="s">
        <v>6829</v>
      </c>
      <c r="G267" t="s">
        <v>15</v>
      </c>
      <c r="H267" t="s">
        <v>14</v>
      </c>
      <c r="I267" t="s">
        <v>6828</v>
      </c>
      <c r="J267" t="s">
        <v>6827</v>
      </c>
      <c r="K267" t="s">
        <v>6826</v>
      </c>
      <c r="L267" t="s">
        <v>6825</v>
      </c>
      <c r="M267" t="s">
        <v>1742</v>
      </c>
      <c r="N267">
        <v>3</v>
      </c>
      <c r="O267" t="s">
        <v>6824</v>
      </c>
      <c r="P267" t="s">
        <v>6823</v>
      </c>
      <c r="Q267" t="s">
        <v>6822</v>
      </c>
      <c r="R267" s="7">
        <v>32143</v>
      </c>
      <c r="S267" s="8">
        <f t="shared" si="40"/>
        <v>1988</v>
      </c>
      <c r="T267" s="8">
        <v>1988</v>
      </c>
      <c r="U267" s="8">
        <f t="shared" si="41"/>
        <v>34</v>
      </c>
      <c r="V267" s="7">
        <v>1988</v>
      </c>
      <c r="W267" t="s">
        <v>56</v>
      </c>
      <c r="X267" s="2">
        <v>0.375</v>
      </c>
      <c r="Y267" s="6">
        <f t="shared" si="38"/>
        <v>1.0010410827260351E-2</v>
      </c>
      <c r="AA267">
        <v>135194</v>
      </c>
      <c r="AB267">
        <v>24918</v>
      </c>
      <c r="AD267" t="s">
        <v>4</v>
      </c>
      <c r="AE267">
        <v>24</v>
      </c>
      <c r="AF267">
        <v>1</v>
      </c>
      <c r="AH267" t="s">
        <v>6821</v>
      </c>
      <c r="AI267" t="s">
        <v>6820</v>
      </c>
      <c r="AJ267" t="s">
        <v>6819</v>
      </c>
      <c r="AK267" t="s">
        <v>6818</v>
      </c>
      <c r="AL267">
        <v>35</v>
      </c>
      <c r="AM267" s="5">
        <f t="shared" si="42"/>
        <v>1.0294117647058822</v>
      </c>
      <c r="AN267" s="4">
        <f t="shared" si="39"/>
        <v>1.5591242176537406E-3</v>
      </c>
      <c r="AO267" s="3"/>
      <c r="AP267">
        <v>0</v>
      </c>
      <c r="AR267" t="s">
        <v>0</v>
      </c>
      <c r="AT267" s="2">
        <v>1.3140000000000001</v>
      </c>
      <c r="AU267" s="1">
        <f t="shared" si="43"/>
        <v>0.74750248443783673</v>
      </c>
      <c r="AV267" s="1">
        <f t="shared" si="44"/>
        <v>0.57847675224570461</v>
      </c>
      <c r="AW267" s="1">
        <f t="shared" si="45"/>
        <v>0.40945102005357237</v>
      </c>
    </row>
    <row r="268" spans="1:49" x14ac:dyDescent="0.2">
      <c r="A268">
        <v>266</v>
      </c>
      <c r="B268" t="s">
        <v>6817</v>
      </c>
      <c r="C268" t="s">
        <v>6816</v>
      </c>
      <c r="F268" t="s">
        <v>6815</v>
      </c>
      <c r="G268" t="s">
        <v>15</v>
      </c>
      <c r="H268" t="s">
        <v>14</v>
      </c>
      <c r="I268" t="s">
        <v>6814</v>
      </c>
      <c r="J268">
        <v>60028333</v>
      </c>
      <c r="K268" t="s">
        <v>5023</v>
      </c>
      <c r="L268" t="s">
        <v>3295</v>
      </c>
      <c r="M268" t="s">
        <v>1088</v>
      </c>
      <c r="N268">
        <v>1</v>
      </c>
      <c r="O268" t="s">
        <v>6813</v>
      </c>
      <c r="P268">
        <v>7102344747</v>
      </c>
      <c r="Q268">
        <v>60028333</v>
      </c>
      <c r="R268" s="7">
        <v>32143</v>
      </c>
      <c r="S268" s="8">
        <f t="shared" si="40"/>
        <v>1988</v>
      </c>
      <c r="T268" s="8">
        <v>1988</v>
      </c>
      <c r="U268" s="8">
        <f t="shared" si="41"/>
        <v>34</v>
      </c>
      <c r="V268" s="7">
        <v>1988</v>
      </c>
      <c r="W268" t="s">
        <v>56</v>
      </c>
      <c r="X268" s="2">
        <v>0.375</v>
      </c>
      <c r="Y268" s="6">
        <f t="shared" si="38"/>
        <v>1.0010410827260351E-2</v>
      </c>
      <c r="AA268">
        <v>135194</v>
      </c>
      <c r="AB268">
        <v>24918</v>
      </c>
      <c r="AD268" t="s">
        <v>4</v>
      </c>
      <c r="AE268">
        <v>24</v>
      </c>
      <c r="AF268">
        <v>1</v>
      </c>
      <c r="AH268" t="s">
        <v>6812</v>
      </c>
      <c r="AI268" t="s">
        <v>6811</v>
      </c>
      <c r="AJ268" t="s">
        <v>2613</v>
      </c>
      <c r="AK268" t="s">
        <v>6810</v>
      </c>
      <c r="AL268">
        <v>0</v>
      </c>
      <c r="AM268" s="5">
        <f t="shared" si="42"/>
        <v>0</v>
      </c>
      <c r="AN268" s="4">
        <f t="shared" si="39"/>
        <v>0</v>
      </c>
      <c r="AO268" s="3"/>
      <c r="AP268">
        <v>0</v>
      </c>
      <c r="AR268" t="s">
        <v>0</v>
      </c>
      <c r="AT268" s="2">
        <v>1.3140000000000001</v>
      </c>
      <c r="AU268" s="1">
        <f t="shared" si="43"/>
        <v>0.70072875790822453</v>
      </c>
      <c r="AV268" s="1">
        <f t="shared" si="44"/>
        <v>0.5005205413630176</v>
      </c>
      <c r="AW268" s="1">
        <f t="shared" si="45"/>
        <v>0.30031232481781051</v>
      </c>
    </row>
    <row r="269" spans="1:49" x14ac:dyDescent="0.2">
      <c r="A269">
        <v>267</v>
      </c>
      <c r="B269" t="s">
        <v>6809</v>
      </c>
      <c r="C269" t="s">
        <v>6808</v>
      </c>
      <c r="F269" t="s">
        <v>6807</v>
      </c>
      <c r="G269" t="s">
        <v>15</v>
      </c>
      <c r="H269" t="s">
        <v>14</v>
      </c>
      <c r="I269" t="s">
        <v>6806</v>
      </c>
      <c r="J269">
        <v>60001490</v>
      </c>
      <c r="K269" t="s">
        <v>6805</v>
      </c>
      <c r="L269" t="s">
        <v>6804</v>
      </c>
      <c r="M269" t="s">
        <v>1011</v>
      </c>
      <c r="N269">
        <v>1</v>
      </c>
      <c r="O269" t="s">
        <v>6803</v>
      </c>
      <c r="P269">
        <v>7004857239</v>
      </c>
      <c r="Q269">
        <v>60001490</v>
      </c>
      <c r="R269" s="7">
        <v>32143</v>
      </c>
      <c r="S269" s="8">
        <f t="shared" si="40"/>
        <v>1988</v>
      </c>
      <c r="T269" s="8">
        <v>1988</v>
      </c>
      <c r="U269" s="8">
        <f t="shared" si="41"/>
        <v>34</v>
      </c>
      <c r="V269" s="7">
        <v>1988</v>
      </c>
      <c r="W269" t="s">
        <v>56</v>
      </c>
      <c r="X269" s="2">
        <v>0.375</v>
      </c>
      <c r="Y269" s="6">
        <f t="shared" si="38"/>
        <v>1.0010410827260351E-2</v>
      </c>
      <c r="AA269">
        <v>135194</v>
      </c>
      <c r="AB269">
        <v>24918</v>
      </c>
      <c r="AD269" t="s">
        <v>4</v>
      </c>
      <c r="AE269">
        <v>24</v>
      </c>
      <c r="AF269">
        <v>1</v>
      </c>
      <c r="AH269" t="s">
        <v>6802</v>
      </c>
      <c r="AI269" t="s">
        <v>6801</v>
      </c>
      <c r="AJ269" t="s">
        <v>6800</v>
      </c>
      <c r="AK269" t="s">
        <v>6799</v>
      </c>
      <c r="AL269">
        <v>2</v>
      </c>
      <c r="AM269" s="5">
        <f t="shared" si="42"/>
        <v>5.8823529411764705E-2</v>
      </c>
      <c r="AN269" s="4">
        <f t="shared" si="39"/>
        <v>8.9092812437356614E-5</v>
      </c>
      <c r="AO269" s="3"/>
      <c r="AP269">
        <v>0</v>
      </c>
      <c r="AR269" t="s">
        <v>0</v>
      </c>
      <c r="AT269" s="2">
        <v>1.3140000000000001</v>
      </c>
      <c r="AU269" s="1">
        <f t="shared" si="43"/>
        <v>0.70340154228134533</v>
      </c>
      <c r="AV269" s="1">
        <f t="shared" si="44"/>
        <v>0.50497518198488534</v>
      </c>
      <c r="AW269" s="1">
        <f t="shared" si="45"/>
        <v>0.30654882168842545</v>
      </c>
    </row>
    <row r="270" spans="1:49" x14ac:dyDescent="0.2">
      <c r="A270">
        <v>268</v>
      </c>
      <c r="B270" t="s">
        <v>6798</v>
      </c>
      <c r="C270" t="s">
        <v>6797</v>
      </c>
      <c r="F270" t="s">
        <v>6796</v>
      </c>
      <c r="G270" t="s">
        <v>15</v>
      </c>
      <c r="H270" t="s">
        <v>14</v>
      </c>
      <c r="I270" t="s">
        <v>6795</v>
      </c>
      <c r="J270">
        <v>60014097</v>
      </c>
      <c r="K270" t="s">
        <v>6794</v>
      </c>
      <c r="L270" t="s">
        <v>5042</v>
      </c>
      <c r="M270" t="s">
        <v>300</v>
      </c>
      <c r="N270">
        <v>4</v>
      </c>
      <c r="O270" t="s">
        <v>6793</v>
      </c>
      <c r="P270" t="s">
        <v>6792</v>
      </c>
      <c r="Q270" t="s">
        <v>6791</v>
      </c>
      <c r="R270" s="7">
        <v>32143</v>
      </c>
      <c r="S270" s="8">
        <f t="shared" si="40"/>
        <v>1988</v>
      </c>
      <c r="T270" s="8">
        <v>1988</v>
      </c>
      <c r="U270" s="8">
        <f t="shared" si="41"/>
        <v>34</v>
      </c>
      <c r="V270" s="7">
        <v>1988</v>
      </c>
      <c r="W270" t="s">
        <v>56</v>
      </c>
      <c r="X270" s="2">
        <v>0.375</v>
      </c>
      <c r="Y270" s="6">
        <f t="shared" si="38"/>
        <v>1.0010410827260351E-2</v>
      </c>
      <c r="AA270">
        <v>135194</v>
      </c>
      <c r="AB270">
        <v>24918</v>
      </c>
      <c r="AD270" t="s">
        <v>4</v>
      </c>
      <c r="AE270">
        <v>24</v>
      </c>
      <c r="AF270">
        <v>1</v>
      </c>
      <c r="AH270" t="s">
        <v>6790</v>
      </c>
      <c r="AI270" t="s">
        <v>6789</v>
      </c>
      <c r="AJ270" t="s">
        <v>6788</v>
      </c>
      <c r="AK270" t="s">
        <v>6787</v>
      </c>
      <c r="AL270">
        <v>2</v>
      </c>
      <c r="AM270" s="5">
        <f t="shared" si="42"/>
        <v>5.8823529411764705E-2</v>
      </c>
      <c r="AN270" s="4">
        <f t="shared" si="39"/>
        <v>8.9092812437356614E-5</v>
      </c>
      <c r="AO270" s="3"/>
      <c r="AP270">
        <v>0</v>
      </c>
      <c r="AR270" t="s">
        <v>0</v>
      </c>
      <c r="AT270" s="2">
        <v>1.3140000000000001</v>
      </c>
      <c r="AU270" s="1">
        <f t="shared" si="43"/>
        <v>0.70340154228134533</v>
      </c>
      <c r="AV270" s="1">
        <f t="shared" si="44"/>
        <v>0.50497518198488534</v>
      </c>
      <c r="AW270" s="1">
        <f t="shared" si="45"/>
        <v>0.30654882168842545</v>
      </c>
    </row>
    <row r="271" spans="1:49" x14ac:dyDescent="0.2">
      <c r="A271">
        <v>269</v>
      </c>
      <c r="B271" t="s">
        <v>6786</v>
      </c>
      <c r="C271" t="s">
        <v>6785</v>
      </c>
      <c r="F271" t="s">
        <v>6784</v>
      </c>
      <c r="G271" t="s">
        <v>15</v>
      </c>
      <c r="H271" t="s">
        <v>14</v>
      </c>
      <c r="I271" t="s">
        <v>6783</v>
      </c>
      <c r="N271">
        <v>1</v>
      </c>
      <c r="O271" t="s">
        <v>6782</v>
      </c>
      <c r="P271">
        <v>6701629303</v>
      </c>
      <c r="R271" s="7">
        <v>32143</v>
      </c>
      <c r="S271" s="8">
        <f t="shared" si="40"/>
        <v>1988</v>
      </c>
      <c r="T271" s="8">
        <v>1988</v>
      </c>
      <c r="U271" s="8">
        <f t="shared" si="41"/>
        <v>34</v>
      </c>
      <c r="V271" s="7">
        <v>38991</v>
      </c>
      <c r="W271" t="s">
        <v>6781</v>
      </c>
      <c r="X271" s="2" t="s">
        <v>19</v>
      </c>
      <c r="Y271" s="6" t="e">
        <f t="shared" si="38"/>
        <v>#VALUE!</v>
      </c>
      <c r="AA271">
        <v>135127</v>
      </c>
      <c r="AB271">
        <v>17422</v>
      </c>
      <c r="AD271" t="s">
        <v>4</v>
      </c>
      <c r="AE271">
        <v>34</v>
      </c>
      <c r="AF271">
        <v>9</v>
      </c>
      <c r="AH271" t="s">
        <v>6780</v>
      </c>
      <c r="AI271" t="s">
        <v>6779</v>
      </c>
      <c r="AK271" t="s">
        <v>6778</v>
      </c>
      <c r="AL271">
        <v>9</v>
      </c>
      <c r="AM271" s="5">
        <f t="shared" si="42"/>
        <v>0.26470588235294118</v>
      </c>
      <c r="AN271" s="4">
        <f t="shared" si="39"/>
        <v>4.009176559681048E-4</v>
      </c>
      <c r="AO271" s="3"/>
      <c r="AP271">
        <v>0</v>
      </c>
      <c r="AR271" t="s">
        <v>0</v>
      </c>
      <c r="AT271" s="2" t="s">
        <v>19</v>
      </c>
      <c r="AU271" s="1" t="e">
        <f t="shared" si="43"/>
        <v>#VALUE!</v>
      </c>
      <c r="AV271" s="1" t="e">
        <f t="shared" si="44"/>
        <v>#VALUE!</v>
      </c>
      <c r="AW271" s="1" t="e">
        <f t="shared" si="45"/>
        <v>#VALUE!</v>
      </c>
    </row>
    <row r="272" spans="1:49" x14ac:dyDescent="0.2">
      <c r="A272">
        <v>270</v>
      </c>
      <c r="B272" t="s">
        <v>6777</v>
      </c>
      <c r="E272">
        <v>3131324</v>
      </c>
      <c r="F272" t="s">
        <v>6776</v>
      </c>
      <c r="G272" t="s">
        <v>15</v>
      </c>
      <c r="H272" t="s">
        <v>14</v>
      </c>
      <c r="I272" t="s">
        <v>6775</v>
      </c>
      <c r="J272">
        <v>60009507</v>
      </c>
      <c r="K272" t="s">
        <v>6774</v>
      </c>
      <c r="L272" t="s">
        <v>482</v>
      </c>
      <c r="M272" t="s">
        <v>481</v>
      </c>
      <c r="N272">
        <v>2</v>
      </c>
      <c r="O272" t="s">
        <v>6773</v>
      </c>
      <c r="P272" t="s">
        <v>6772</v>
      </c>
      <c r="Q272" t="s">
        <v>6771</v>
      </c>
      <c r="R272" s="7">
        <v>32143</v>
      </c>
      <c r="S272" s="8">
        <f t="shared" si="40"/>
        <v>1988</v>
      </c>
      <c r="T272" s="8">
        <v>1988</v>
      </c>
      <c r="U272" s="8">
        <f t="shared" si="41"/>
        <v>34</v>
      </c>
      <c r="V272" s="7">
        <v>32299</v>
      </c>
      <c r="W272" t="s">
        <v>6770</v>
      </c>
      <c r="X272" s="2">
        <v>0.22900000000000001</v>
      </c>
      <c r="Y272" s="6">
        <f t="shared" si="38"/>
        <v>6.1130242118469878E-3</v>
      </c>
      <c r="AA272">
        <v>219258</v>
      </c>
      <c r="AB272">
        <v>17592</v>
      </c>
      <c r="AD272" t="s">
        <v>4</v>
      </c>
      <c r="AE272">
        <v>263</v>
      </c>
      <c r="AF272">
        <v>16</v>
      </c>
      <c r="AH272" t="s">
        <v>6769</v>
      </c>
      <c r="AI272" t="s">
        <v>6768</v>
      </c>
      <c r="AK272" t="s">
        <v>6767</v>
      </c>
      <c r="AL272">
        <v>18</v>
      </c>
      <c r="AM272" s="5">
        <f t="shared" si="42"/>
        <v>0.52941176470588236</v>
      </c>
      <c r="AN272" s="4">
        <f t="shared" si="39"/>
        <v>8.0183531193620959E-4</v>
      </c>
      <c r="AO272" s="3"/>
      <c r="AP272">
        <v>0</v>
      </c>
      <c r="AR272" t="s">
        <v>0</v>
      </c>
      <c r="AT272" s="2" t="s">
        <v>19</v>
      </c>
      <c r="AU272" s="1">
        <f t="shared" si="43"/>
        <v>0.45196675418737542</v>
      </c>
      <c r="AV272" s="1">
        <f t="shared" si="44"/>
        <v>0.34574297618915983</v>
      </c>
      <c r="AW272" s="1">
        <f t="shared" si="45"/>
        <v>0.23951919819094428</v>
      </c>
    </row>
    <row r="273" spans="1:49" x14ac:dyDescent="0.2">
      <c r="A273">
        <v>271</v>
      </c>
      <c r="B273" t="s">
        <v>6766</v>
      </c>
      <c r="C273" t="s">
        <v>6765</v>
      </c>
      <c r="F273" t="s">
        <v>6764</v>
      </c>
      <c r="G273" t="s">
        <v>15</v>
      </c>
      <c r="H273" t="s">
        <v>14</v>
      </c>
      <c r="I273" t="s">
        <v>6763</v>
      </c>
      <c r="J273">
        <v>60001565</v>
      </c>
      <c r="K273" t="s">
        <v>6762</v>
      </c>
      <c r="L273" t="s">
        <v>6761</v>
      </c>
      <c r="M273" t="s">
        <v>4420</v>
      </c>
      <c r="N273">
        <v>4</v>
      </c>
      <c r="O273" t="s">
        <v>6760</v>
      </c>
      <c r="P273" t="s">
        <v>6759</v>
      </c>
      <c r="Q273" t="s">
        <v>6758</v>
      </c>
      <c r="R273" s="7">
        <v>32143</v>
      </c>
      <c r="S273" s="8">
        <f t="shared" si="40"/>
        <v>1988</v>
      </c>
      <c r="T273" s="8">
        <v>1988</v>
      </c>
      <c r="U273" s="8">
        <f t="shared" si="41"/>
        <v>34</v>
      </c>
      <c r="V273" s="7">
        <v>1988</v>
      </c>
      <c r="W273" t="s">
        <v>56</v>
      </c>
      <c r="X273" s="2">
        <v>0.375</v>
      </c>
      <c r="Y273" s="6">
        <f t="shared" si="38"/>
        <v>1.0010410827260351E-2</v>
      </c>
      <c r="AA273">
        <v>135194</v>
      </c>
      <c r="AB273">
        <v>24918</v>
      </c>
      <c r="AD273" t="s">
        <v>4</v>
      </c>
      <c r="AE273">
        <v>24</v>
      </c>
      <c r="AF273">
        <v>16</v>
      </c>
      <c r="AH273" t="s">
        <v>6757</v>
      </c>
      <c r="AI273" t="s">
        <v>6756</v>
      </c>
      <c r="AJ273" t="s">
        <v>6755</v>
      </c>
      <c r="AK273" t="s">
        <v>6754</v>
      </c>
      <c r="AL273">
        <v>1</v>
      </c>
      <c r="AM273" s="5">
        <f t="shared" si="42"/>
        <v>2.9411764705882353E-2</v>
      </c>
      <c r="AN273" s="4">
        <f t="shared" si="39"/>
        <v>4.4546406218678307E-5</v>
      </c>
      <c r="AO273" s="3"/>
      <c r="AP273">
        <v>0</v>
      </c>
      <c r="AR273" t="s">
        <v>0</v>
      </c>
      <c r="AT273" s="2">
        <v>1.3140000000000001</v>
      </c>
      <c r="AU273" s="1">
        <f t="shared" si="43"/>
        <v>0.70206515009478498</v>
      </c>
      <c r="AV273" s="1">
        <f t="shared" si="44"/>
        <v>0.50274786167395147</v>
      </c>
      <c r="AW273" s="1">
        <f t="shared" si="45"/>
        <v>0.30343057325311801</v>
      </c>
    </row>
    <row r="274" spans="1:49" x14ac:dyDescent="0.2">
      <c r="A274">
        <v>272</v>
      </c>
      <c r="B274" t="s">
        <v>6753</v>
      </c>
      <c r="C274" t="s">
        <v>6752</v>
      </c>
      <c r="F274" t="s">
        <v>6751</v>
      </c>
      <c r="G274" t="s">
        <v>15</v>
      </c>
      <c r="H274" t="s">
        <v>14</v>
      </c>
      <c r="I274" t="s">
        <v>2849</v>
      </c>
      <c r="J274" t="s">
        <v>5958</v>
      </c>
      <c r="K274" t="s">
        <v>5957</v>
      </c>
      <c r="L274" t="s">
        <v>5956</v>
      </c>
      <c r="M274" t="s">
        <v>9</v>
      </c>
      <c r="N274">
        <v>2</v>
      </c>
      <c r="O274" t="s">
        <v>2847</v>
      </c>
      <c r="P274" t="s">
        <v>2846</v>
      </c>
      <c r="Q274" t="s">
        <v>5954</v>
      </c>
      <c r="R274" s="7">
        <v>32143</v>
      </c>
      <c r="S274" s="8">
        <f t="shared" si="40"/>
        <v>1988</v>
      </c>
      <c r="T274" s="8">
        <v>1988</v>
      </c>
      <c r="U274" s="8">
        <f t="shared" si="41"/>
        <v>34</v>
      </c>
      <c r="V274" s="7">
        <v>1988</v>
      </c>
      <c r="W274" t="s">
        <v>56</v>
      </c>
      <c r="X274" s="2">
        <v>0.375</v>
      </c>
      <c r="Y274" s="6">
        <f t="shared" si="38"/>
        <v>1.0010410827260351E-2</v>
      </c>
      <c r="AA274">
        <v>135194</v>
      </c>
      <c r="AB274">
        <v>24918</v>
      </c>
      <c r="AD274" t="s">
        <v>4</v>
      </c>
      <c r="AE274">
        <v>24</v>
      </c>
      <c r="AF274">
        <v>16</v>
      </c>
      <c r="AH274" t="s">
        <v>6750</v>
      </c>
      <c r="AI274" t="s">
        <v>6749</v>
      </c>
      <c r="AJ274" t="s">
        <v>6748</v>
      </c>
      <c r="AK274" t="s">
        <v>6747</v>
      </c>
      <c r="AL274">
        <v>2</v>
      </c>
      <c r="AM274" s="5">
        <f t="shared" si="42"/>
        <v>5.8823529411764705E-2</v>
      </c>
      <c r="AN274" s="4">
        <f t="shared" si="39"/>
        <v>8.9092812437356614E-5</v>
      </c>
      <c r="AO274" s="3"/>
      <c r="AP274">
        <v>0</v>
      </c>
      <c r="AR274" t="s">
        <v>0</v>
      </c>
      <c r="AT274" s="2">
        <v>1.3140000000000001</v>
      </c>
      <c r="AU274" s="1">
        <f t="shared" si="43"/>
        <v>0.70340154228134533</v>
      </c>
      <c r="AV274" s="1">
        <f t="shared" si="44"/>
        <v>0.50497518198488534</v>
      </c>
      <c r="AW274" s="1">
        <f t="shared" si="45"/>
        <v>0.30654882168842545</v>
      </c>
    </row>
    <row r="275" spans="1:49" x14ac:dyDescent="0.2">
      <c r="A275">
        <v>273</v>
      </c>
      <c r="B275" t="s">
        <v>6746</v>
      </c>
      <c r="C275" t="s">
        <v>6745</v>
      </c>
      <c r="F275" t="s">
        <v>6744</v>
      </c>
      <c r="G275" t="s">
        <v>15</v>
      </c>
      <c r="H275" t="s">
        <v>14</v>
      </c>
      <c r="I275" t="s">
        <v>6743</v>
      </c>
      <c r="J275">
        <v>60020595</v>
      </c>
      <c r="K275" t="s">
        <v>6742</v>
      </c>
      <c r="L275" t="s">
        <v>6741</v>
      </c>
      <c r="M275" t="s">
        <v>1011</v>
      </c>
      <c r="N275">
        <v>2</v>
      </c>
      <c r="O275" t="s">
        <v>6740</v>
      </c>
      <c r="P275" t="s">
        <v>6739</v>
      </c>
      <c r="Q275" t="s">
        <v>6738</v>
      </c>
      <c r="R275" s="7">
        <v>32143</v>
      </c>
      <c r="S275" s="8">
        <f t="shared" si="40"/>
        <v>1988</v>
      </c>
      <c r="T275" s="8">
        <v>1988</v>
      </c>
      <c r="U275" s="8">
        <f t="shared" si="41"/>
        <v>34</v>
      </c>
      <c r="V275" s="7">
        <v>1988</v>
      </c>
      <c r="W275" t="s">
        <v>56</v>
      </c>
      <c r="X275" s="2">
        <v>0.375</v>
      </c>
      <c r="Y275" s="6">
        <f t="shared" si="38"/>
        <v>1.0010410827260351E-2</v>
      </c>
      <c r="AA275">
        <v>135194</v>
      </c>
      <c r="AB275">
        <v>24918</v>
      </c>
      <c r="AD275" t="s">
        <v>4</v>
      </c>
      <c r="AE275">
        <v>24</v>
      </c>
      <c r="AF275">
        <v>16</v>
      </c>
      <c r="AH275" t="s">
        <v>6737</v>
      </c>
      <c r="AI275" t="s">
        <v>6736</v>
      </c>
      <c r="AJ275" t="s">
        <v>6735</v>
      </c>
      <c r="AK275" t="s">
        <v>6734</v>
      </c>
      <c r="AL275">
        <v>4</v>
      </c>
      <c r="AM275" s="5">
        <f t="shared" si="42"/>
        <v>0.11764705882352941</v>
      </c>
      <c r="AN275" s="4">
        <f t="shared" si="39"/>
        <v>1.7818562487471323E-4</v>
      </c>
      <c r="AO275" s="3"/>
      <c r="AP275">
        <v>0</v>
      </c>
      <c r="AR275" t="s">
        <v>0</v>
      </c>
      <c r="AT275" s="2">
        <v>1.3140000000000001</v>
      </c>
      <c r="AU275" s="1">
        <f t="shared" si="43"/>
        <v>0.70607432665446601</v>
      </c>
      <c r="AV275" s="1">
        <f t="shared" si="44"/>
        <v>0.50942982260675329</v>
      </c>
      <c r="AW275" s="1">
        <f t="shared" si="45"/>
        <v>0.31278531855904046</v>
      </c>
    </row>
    <row r="276" spans="1:49" x14ac:dyDescent="0.2">
      <c r="A276">
        <v>274</v>
      </c>
      <c r="B276" t="s">
        <v>6733</v>
      </c>
      <c r="C276" t="s">
        <v>6732</v>
      </c>
      <c r="F276" t="s">
        <v>6731</v>
      </c>
      <c r="G276" t="s">
        <v>15</v>
      </c>
      <c r="H276" t="s">
        <v>14</v>
      </c>
      <c r="I276" t="s">
        <v>6730</v>
      </c>
      <c r="J276" t="s">
        <v>6729</v>
      </c>
      <c r="K276" t="s">
        <v>6728</v>
      </c>
      <c r="L276" t="s">
        <v>6727</v>
      </c>
      <c r="M276" t="s">
        <v>1742</v>
      </c>
      <c r="N276">
        <v>3</v>
      </c>
      <c r="O276" t="s">
        <v>6726</v>
      </c>
      <c r="P276" t="s">
        <v>6725</v>
      </c>
      <c r="Q276" t="s">
        <v>6724</v>
      </c>
      <c r="R276" s="7">
        <v>32143</v>
      </c>
      <c r="S276" s="8">
        <f t="shared" si="40"/>
        <v>1988</v>
      </c>
      <c r="T276" s="8">
        <v>1988</v>
      </c>
      <c r="U276" s="8">
        <f t="shared" si="41"/>
        <v>34</v>
      </c>
      <c r="V276" s="7">
        <v>1988</v>
      </c>
      <c r="W276" t="s">
        <v>56</v>
      </c>
      <c r="X276" s="2">
        <v>0.375</v>
      </c>
      <c r="Y276" s="6">
        <f t="shared" si="38"/>
        <v>1.0010410827260351E-2</v>
      </c>
      <c r="AA276">
        <v>135194</v>
      </c>
      <c r="AB276">
        <v>24918</v>
      </c>
      <c r="AD276" t="s">
        <v>4</v>
      </c>
      <c r="AE276">
        <v>24</v>
      </c>
      <c r="AF276">
        <v>16</v>
      </c>
      <c r="AH276" t="s">
        <v>6723</v>
      </c>
      <c r="AI276" t="s">
        <v>6722</v>
      </c>
      <c r="AJ276" t="s">
        <v>6721</v>
      </c>
      <c r="AK276" t="s">
        <v>6720</v>
      </c>
      <c r="AL276">
        <v>9</v>
      </c>
      <c r="AM276" s="5">
        <f t="shared" si="42"/>
        <v>0.26470588235294118</v>
      </c>
      <c r="AN276" s="4">
        <f t="shared" si="39"/>
        <v>4.009176559681048E-4</v>
      </c>
      <c r="AO276" s="3"/>
      <c r="AP276">
        <v>0</v>
      </c>
      <c r="AR276" t="s">
        <v>0</v>
      </c>
      <c r="AT276" s="2">
        <v>1.3140000000000001</v>
      </c>
      <c r="AU276" s="1">
        <f t="shared" si="43"/>
        <v>0.71275628758726772</v>
      </c>
      <c r="AV276" s="1">
        <f t="shared" si="44"/>
        <v>0.52056642416142285</v>
      </c>
      <c r="AW276" s="1">
        <f t="shared" si="45"/>
        <v>0.32837656073557786</v>
      </c>
    </row>
    <row r="277" spans="1:49" x14ac:dyDescent="0.2">
      <c r="A277">
        <v>275</v>
      </c>
      <c r="B277" t="s">
        <v>6719</v>
      </c>
      <c r="C277" t="s">
        <v>6718</v>
      </c>
      <c r="F277" t="s">
        <v>6717</v>
      </c>
      <c r="G277" t="s">
        <v>15</v>
      </c>
      <c r="H277" t="s">
        <v>14</v>
      </c>
      <c r="I277" t="s">
        <v>6716</v>
      </c>
      <c r="J277">
        <v>100427846</v>
      </c>
      <c r="K277" t="s">
        <v>6715</v>
      </c>
      <c r="L277" t="s">
        <v>6714</v>
      </c>
      <c r="M277" t="s">
        <v>1011</v>
      </c>
      <c r="N277">
        <v>1</v>
      </c>
      <c r="O277" t="s">
        <v>6713</v>
      </c>
      <c r="P277">
        <v>7007048290</v>
      </c>
      <c r="Q277">
        <v>100427846</v>
      </c>
      <c r="R277" s="7">
        <v>32143</v>
      </c>
      <c r="S277" s="8">
        <f t="shared" si="40"/>
        <v>1988</v>
      </c>
      <c r="T277" s="8">
        <v>1988</v>
      </c>
      <c r="U277" s="8">
        <f t="shared" si="41"/>
        <v>34</v>
      </c>
      <c r="V277" s="7">
        <v>1988</v>
      </c>
      <c r="W277" t="s">
        <v>56</v>
      </c>
      <c r="X277" s="2">
        <v>0.375</v>
      </c>
      <c r="Y277" s="6">
        <f t="shared" si="38"/>
        <v>1.0010410827260351E-2</v>
      </c>
      <c r="AA277">
        <v>135194</v>
      </c>
      <c r="AB277">
        <v>24918</v>
      </c>
      <c r="AD277" t="s">
        <v>4</v>
      </c>
      <c r="AE277">
        <v>24</v>
      </c>
      <c r="AF277">
        <v>5</v>
      </c>
      <c r="AH277" t="s">
        <v>6712</v>
      </c>
      <c r="AI277" t="s">
        <v>6711</v>
      </c>
      <c r="AJ277" t="s">
        <v>6710</v>
      </c>
      <c r="AK277" t="s">
        <v>6709</v>
      </c>
      <c r="AL277">
        <v>3</v>
      </c>
      <c r="AM277" s="5">
        <f t="shared" si="42"/>
        <v>8.8235294117647065E-2</v>
      </c>
      <c r="AN277" s="4">
        <f t="shared" si="39"/>
        <v>1.3363921865603494E-4</v>
      </c>
      <c r="AO277" s="3"/>
      <c r="AP277">
        <v>0</v>
      </c>
      <c r="AR277" t="s">
        <v>0</v>
      </c>
      <c r="AT277" s="2">
        <v>1.3140000000000001</v>
      </c>
      <c r="AU277" s="1">
        <f t="shared" si="43"/>
        <v>0.70473793446790567</v>
      </c>
      <c r="AV277" s="1">
        <f t="shared" si="44"/>
        <v>0.50720250229581931</v>
      </c>
      <c r="AW277" s="1">
        <f t="shared" si="45"/>
        <v>0.30966707012373296</v>
      </c>
    </row>
    <row r="278" spans="1:49" x14ac:dyDescent="0.2">
      <c r="A278">
        <v>276</v>
      </c>
      <c r="B278" t="s">
        <v>6708</v>
      </c>
      <c r="C278" t="s">
        <v>6707</v>
      </c>
      <c r="F278" t="s">
        <v>6706</v>
      </c>
      <c r="G278" t="s">
        <v>15</v>
      </c>
      <c r="H278" t="s">
        <v>14</v>
      </c>
      <c r="I278" t="s">
        <v>6705</v>
      </c>
      <c r="J278">
        <v>60027012</v>
      </c>
      <c r="K278" t="s">
        <v>6704</v>
      </c>
      <c r="L278" t="s">
        <v>6703</v>
      </c>
      <c r="M278" t="s">
        <v>3934</v>
      </c>
      <c r="N278">
        <v>1</v>
      </c>
      <c r="O278" t="s">
        <v>6702</v>
      </c>
      <c r="P278">
        <v>6602692109</v>
      </c>
      <c r="Q278">
        <v>60027012</v>
      </c>
      <c r="R278" s="7">
        <v>32143</v>
      </c>
      <c r="S278" s="8">
        <f t="shared" si="40"/>
        <v>1988</v>
      </c>
      <c r="T278" s="8">
        <v>1988</v>
      </c>
      <c r="U278" s="8">
        <f t="shared" si="41"/>
        <v>34</v>
      </c>
      <c r="V278" s="7">
        <v>1988</v>
      </c>
      <c r="W278" t="s">
        <v>56</v>
      </c>
      <c r="X278" s="2">
        <v>0.375</v>
      </c>
      <c r="Y278" s="6">
        <f t="shared" si="38"/>
        <v>1.0010410827260351E-2</v>
      </c>
      <c r="AA278">
        <v>135194</v>
      </c>
      <c r="AB278">
        <v>24918</v>
      </c>
      <c r="AD278" t="s">
        <v>4</v>
      </c>
      <c r="AE278">
        <v>24</v>
      </c>
      <c r="AF278">
        <v>5</v>
      </c>
      <c r="AH278" t="s">
        <v>6701</v>
      </c>
      <c r="AI278" t="s">
        <v>6700</v>
      </c>
      <c r="AJ278" t="s">
        <v>6699</v>
      </c>
      <c r="AK278" t="s">
        <v>6698</v>
      </c>
      <c r="AL278">
        <v>0</v>
      </c>
      <c r="AM278" s="5">
        <f t="shared" si="42"/>
        <v>0</v>
      </c>
      <c r="AN278" s="4">
        <f t="shared" si="39"/>
        <v>0</v>
      </c>
      <c r="AO278" s="3"/>
      <c r="AP278">
        <v>0</v>
      </c>
      <c r="AR278" t="s">
        <v>0</v>
      </c>
      <c r="AT278" s="2">
        <v>1.3140000000000001</v>
      </c>
      <c r="AU278" s="1">
        <f t="shared" si="43"/>
        <v>0.70072875790822453</v>
      </c>
      <c r="AV278" s="1">
        <f t="shared" si="44"/>
        <v>0.5005205413630176</v>
      </c>
      <c r="AW278" s="1">
        <f t="shared" si="45"/>
        <v>0.30031232481781051</v>
      </c>
    </row>
    <row r="279" spans="1:49" x14ac:dyDescent="0.2">
      <c r="A279">
        <v>277</v>
      </c>
      <c r="B279" t="s">
        <v>6697</v>
      </c>
      <c r="C279" t="s">
        <v>6696</v>
      </c>
      <c r="F279" t="s">
        <v>6695</v>
      </c>
      <c r="G279" t="s">
        <v>15</v>
      </c>
      <c r="H279" t="s">
        <v>14</v>
      </c>
      <c r="I279" t="s">
        <v>6694</v>
      </c>
      <c r="J279">
        <v>60007776</v>
      </c>
      <c r="K279" t="s">
        <v>5565</v>
      </c>
      <c r="L279" t="s">
        <v>5564</v>
      </c>
      <c r="M279" t="s">
        <v>31</v>
      </c>
      <c r="N279">
        <v>2</v>
      </c>
      <c r="O279" t="s">
        <v>6693</v>
      </c>
      <c r="P279" t="s">
        <v>6692</v>
      </c>
      <c r="Q279" t="s">
        <v>6691</v>
      </c>
      <c r="R279" s="7">
        <v>32143</v>
      </c>
      <c r="S279" s="8">
        <f t="shared" si="40"/>
        <v>1988</v>
      </c>
      <c r="T279" s="8">
        <v>1988</v>
      </c>
      <c r="U279" s="8">
        <f t="shared" si="41"/>
        <v>34</v>
      </c>
      <c r="V279" s="7">
        <v>1988</v>
      </c>
      <c r="W279" t="s">
        <v>6690</v>
      </c>
      <c r="X279" s="2">
        <v>1.6719999999999999</v>
      </c>
      <c r="Y279" s="6">
        <f t="shared" si="38"/>
        <v>4.4633085075144817E-2</v>
      </c>
      <c r="AA279">
        <v>301299</v>
      </c>
      <c r="AB279">
        <v>24674</v>
      </c>
      <c r="AD279" t="s">
        <v>4</v>
      </c>
      <c r="AE279">
        <v>53</v>
      </c>
      <c r="AF279">
        <v>2</v>
      </c>
      <c r="AH279" t="s">
        <v>6689</v>
      </c>
      <c r="AI279" t="s">
        <v>6688</v>
      </c>
      <c r="AK279" t="s">
        <v>6687</v>
      </c>
      <c r="AL279">
        <v>29</v>
      </c>
      <c r="AM279" s="5">
        <f t="shared" si="42"/>
        <v>0.8529411764705882</v>
      </c>
      <c r="AN279" s="4">
        <f t="shared" si="39"/>
        <v>1.2918457803416709E-3</v>
      </c>
      <c r="AO279" s="3"/>
      <c r="AP279">
        <v>0</v>
      </c>
      <c r="AR279" t="s">
        <v>0</v>
      </c>
      <c r="AT279" s="2">
        <v>3.903</v>
      </c>
      <c r="AU279" s="1">
        <f t="shared" si="43"/>
        <v>3.1630713286703873</v>
      </c>
      <c r="AV279" s="1">
        <f t="shared" si="44"/>
        <v>2.2962465427743246</v>
      </c>
      <c r="AW279" s="1">
        <f t="shared" si="45"/>
        <v>1.4294217568782615</v>
      </c>
    </row>
    <row r="280" spans="1:49" x14ac:dyDescent="0.2">
      <c r="A280">
        <v>278</v>
      </c>
      <c r="B280" t="s">
        <v>6686</v>
      </c>
      <c r="C280" t="s">
        <v>6685</v>
      </c>
      <c r="F280" t="s">
        <v>6684</v>
      </c>
      <c r="G280" t="s">
        <v>15</v>
      </c>
      <c r="H280" t="s">
        <v>14</v>
      </c>
      <c r="I280" t="s">
        <v>6683</v>
      </c>
      <c r="J280">
        <v>60029570</v>
      </c>
      <c r="K280" t="s">
        <v>3277</v>
      </c>
      <c r="L280" t="s">
        <v>3276</v>
      </c>
      <c r="M280" t="s">
        <v>661</v>
      </c>
      <c r="N280">
        <v>1</v>
      </c>
      <c r="O280" t="s">
        <v>6682</v>
      </c>
      <c r="P280">
        <v>7102098015</v>
      </c>
      <c r="Q280">
        <v>60029570</v>
      </c>
      <c r="R280" s="7">
        <v>32143</v>
      </c>
      <c r="S280" s="8">
        <f t="shared" si="40"/>
        <v>1988</v>
      </c>
      <c r="T280" s="8">
        <v>1988</v>
      </c>
      <c r="U280" s="8">
        <f t="shared" si="41"/>
        <v>34</v>
      </c>
      <c r="V280" s="7">
        <v>32143</v>
      </c>
      <c r="W280" t="s">
        <v>6681</v>
      </c>
      <c r="X280" s="2">
        <v>0.90600000000000003</v>
      </c>
      <c r="Y280" s="6">
        <f t="shared" si="38"/>
        <v>2.4185152558661008E-2</v>
      </c>
      <c r="AA280">
        <v>244066</v>
      </c>
      <c r="AB280">
        <v>29771</v>
      </c>
      <c r="AC280">
        <v>10958312</v>
      </c>
      <c r="AD280" t="s">
        <v>4</v>
      </c>
      <c r="AE280">
        <v>33</v>
      </c>
      <c r="AF280">
        <v>1</v>
      </c>
      <c r="AH280" s="10">
        <v>42005</v>
      </c>
      <c r="AI280" t="s">
        <v>6680</v>
      </c>
      <c r="AJ280" t="s">
        <v>6679</v>
      </c>
      <c r="AK280" t="s">
        <v>6678</v>
      </c>
      <c r="AL280">
        <v>47</v>
      </c>
      <c r="AM280" s="5">
        <f t="shared" si="42"/>
        <v>1.3823529411764706</v>
      </c>
      <c r="AN280" s="4">
        <f t="shared" si="39"/>
        <v>2.0936810922778802E-3</v>
      </c>
      <c r="AO280" s="3"/>
      <c r="AP280">
        <v>0</v>
      </c>
      <c r="AR280" t="s">
        <v>0</v>
      </c>
      <c r="AT280" s="2" t="s">
        <v>19</v>
      </c>
      <c r="AU280" s="1">
        <f t="shared" si="43"/>
        <v>1.7557711118746069</v>
      </c>
      <c r="AV280" s="1">
        <f t="shared" si="44"/>
        <v>1.3139416825469443</v>
      </c>
      <c r="AW280" s="1">
        <f t="shared" si="45"/>
        <v>0.87211225321928187</v>
      </c>
    </row>
    <row r="281" spans="1:49" x14ac:dyDescent="0.2">
      <c r="A281">
        <v>279</v>
      </c>
      <c r="B281" t="s">
        <v>6677</v>
      </c>
      <c r="F281" t="s">
        <v>6676</v>
      </c>
      <c r="G281" t="s">
        <v>15</v>
      </c>
      <c r="H281" t="s">
        <v>14</v>
      </c>
      <c r="I281" t="s">
        <v>6675</v>
      </c>
      <c r="J281">
        <v>60031159</v>
      </c>
      <c r="K281" t="s">
        <v>6674</v>
      </c>
      <c r="L281" t="s">
        <v>6673</v>
      </c>
      <c r="M281" t="s">
        <v>1179</v>
      </c>
      <c r="N281">
        <v>3</v>
      </c>
      <c r="O281" t="s">
        <v>6672</v>
      </c>
      <c r="P281" t="s">
        <v>6671</v>
      </c>
      <c r="Q281" t="s">
        <v>6670</v>
      </c>
      <c r="R281" s="7">
        <v>32143</v>
      </c>
      <c r="S281" s="8">
        <f t="shared" si="40"/>
        <v>1988</v>
      </c>
      <c r="T281" s="8">
        <v>1988</v>
      </c>
      <c r="U281" s="8">
        <f t="shared" si="41"/>
        <v>34</v>
      </c>
      <c r="V281" s="7">
        <v>1988</v>
      </c>
      <c r="W281" t="s">
        <v>6669</v>
      </c>
      <c r="X281" s="2" t="s">
        <v>19</v>
      </c>
      <c r="Y281" s="6" t="e">
        <f t="shared" si="38"/>
        <v>#VALUE!</v>
      </c>
      <c r="AB281">
        <v>14448</v>
      </c>
      <c r="AD281" t="s">
        <v>4</v>
      </c>
      <c r="AE281">
        <v>55</v>
      </c>
      <c r="AH281" t="s">
        <v>2440</v>
      </c>
      <c r="AI281" t="s">
        <v>6668</v>
      </c>
      <c r="AK281" t="s">
        <v>6667</v>
      </c>
      <c r="AL281">
        <v>1</v>
      </c>
      <c r="AM281" s="5">
        <f t="shared" si="42"/>
        <v>2.9411764705882353E-2</v>
      </c>
      <c r="AN281" s="4">
        <f t="shared" si="39"/>
        <v>4.4546406218678307E-5</v>
      </c>
      <c r="AO281" s="3"/>
      <c r="AP281">
        <v>0</v>
      </c>
      <c r="AR281" t="s">
        <v>0</v>
      </c>
      <c r="AT281" s="2" t="s">
        <v>19</v>
      </c>
      <c r="AU281" s="1" t="e">
        <f t="shared" si="43"/>
        <v>#VALUE!</v>
      </c>
      <c r="AV281" s="1" t="e">
        <f t="shared" si="44"/>
        <v>#VALUE!</v>
      </c>
      <c r="AW281" s="1" t="e">
        <f t="shared" si="45"/>
        <v>#VALUE!</v>
      </c>
    </row>
    <row r="282" spans="1:49" x14ac:dyDescent="0.2">
      <c r="A282">
        <v>280</v>
      </c>
      <c r="B282" t="s">
        <v>6666</v>
      </c>
      <c r="E282">
        <v>3147217</v>
      </c>
      <c r="F282" t="s">
        <v>6665</v>
      </c>
      <c r="G282" t="s">
        <v>15</v>
      </c>
      <c r="H282" t="s">
        <v>14</v>
      </c>
      <c r="I282" t="s">
        <v>6664</v>
      </c>
      <c r="J282">
        <v>60009906</v>
      </c>
      <c r="K282" t="s">
        <v>6663</v>
      </c>
      <c r="L282" t="s">
        <v>1471</v>
      </c>
      <c r="M282" t="s">
        <v>31</v>
      </c>
      <c r="N282">
        <v>1</v>
      </c>
      <c r="O282" t="s">
        <v>6662</v>
      </c>
      <c r="P282">
        <v>7103004768</v>
      </c>
      <c r="Q282">
        <v>60009906</v>
      </c>
      <c r="R282" s="7">
        <v>32143</v>
      </c>
      <c r="S282" s="8">
        <f t="shared" si="40"/>
        <v>1988</v>
      </c>
      <c r="T282" s="8">
        <v>1988</v>
      </c>
      <c r="U282" s="8">
        <f t="shared" si="41"/>
        <v>34</v>
      </c>
      <c r="V282" s="7">
        <v>32478</v>
      </c>
      <c r="W282" t="s">
        <v>6661</v>
      </c>
      <c r="X282" s="2">
        <v>2.7919999999999998</v>
      </c>
      <c r="Y282" s="6">
        <f t="shared" si="38"/>
        <v>7.4530845412562399E-2</v>
      </c>
      <c r="AA282">
        <v>166731</v>
      </c>
      <c r="AB282">
        <v>22173</v>
      </c>
      <c r="AD282" t="s">
        <v>4</v>
      </c>
      <c r="AE282">
        <v>120</v>
      </c>
      <c r="AF282">
        <v>4</v>
      </c>
      <c r="AH282" t="s">
        <v>6660</v>
      </c>
      <c r="AI282" t="s">
        <v>6659</v>
      </c>
      <c r="AK282" t="s">
        <v>6658</v>
      </c>
      <c r="AL282">
        <v>143</v>
      </c>
      <c r="AM282" s="5">
        <f t="shared" si="42"/>
        <v>4.2058823529411766</v>
      </c>
      <c r="AN282" s="4">
        <f t="shared" si="39"/>
        <v>6.3701360892709979E-3</v>
      </c>
      <c r="AO282" s="3"/>
      <c r="AP282">
        <v>0</v>
      </c>
      <c r="AR282" t="s">
        <v>0</v>
      </c>
      <c r="AT282" s="2">
        <v>4.5620000000000003</v>
      </c>
      <c r="AU282" s="1">
        <f t="shared" si="43"/>
        <v>5.4082632615574981</v>
      </c>
      <c r="AV282" s="1">
        <f t="shared" si="44"/>
        <v>4.0450490750916694</v>
      </c>
      <c r="AW282" s="1">
        <f t="shared" si="45"/>
        <v>2.6818348886258421</v>
      </c>
    </row>
    <row r="283" spans="1:49" x14ac:dyDescent="0.2">
      <c r="A283">
        <v>281</v>
      </c>
      <c r="B283" t="s">
        <v>6657</v>
      </c>
      <c r="C283" t="s">
        <v>6656</v>
      </c>
      <c r="E283">
        <v>3144451</v>
      </c>
      <c r="F283" t="s">
        <v>6655</v>
      </c>
      <c r="G283" t="s">
        <v>15</v>
      </c>
      <c r="H283" t="s">
        <v>14</v>
      </c>
      <c r="I283" t="s">
        <v>6654</v>
      </c>
      <c r="J283" t="s">
        <v>6653</v>
      </c>
      <c r="K283" t="s">
        <v>6652</v>
      </c>
      <c r="L283" t="s">
        <v>6651</v>
      </c>
      <c r="M283" t="s">
        <v>6650</v>
      </c>
      <c r="N283">
        <v>4</v>
      </c>
      <c r="O283" t="s">
        <v>6649</v>
      </c>
      <c r="P283" t="s">
        <v>6648</v>
      </c>
      <c r="Q283" t="s">
        <v>6647</v>
      </c>
      <c r="R283" s="7">
        <v>32143</v>
      </c>
      <c r="S283" s="8">
        <f t="shared" si="40"/>
        <v>1988</v>
      </c>
      <c r="T283" s="8">
        <v>1988</v>
      </c>
      <c r="U283" s="8">
        <f t="shared" si="41"/>
        <v>34</v>
      </c>
      <c r="V283" s="7">
        <v>32478</v>
      </c>
      <c r="W283" t="s">
        <v>1816</v>
      </c>
      <c r="X283" s="2">
        <v>1.9810000000000001</v>
      </c>
      <c r="Y283" s="6">
        <f t="shared" si="38"/>
        <v>5.2881663596807349E-2</v>
      </c>
      <c r="AA283">
        <v>142956</v>
      </c>
      <c r="AB283">
        <v>39034</v>
      </c>
      <c r="AC283">
        <v>14321033</v>
      </c>
      <c r="AD283" t="s">
        <v>4</v>
      </c>
      <c r="AE283">
        <v>178</v>
      </c>
      <c r="AF283">
        <v>1</v>
      </c>
      <c r="AH283" t="s">
        <v>6646</v>
      </c>
      <c r="AI283" t="s">
        <v>6645</v>
      </c>
      <c r="AK283" t="s">
        <v>6644</v>
      </c>
      <c r="AL283">
        <v>48</v>
      </c>
      <c r="AM283" s="5">
        <f t="shared" si="42"/>
        <v>1.411764705882353</v>
      </c>
      <c r="AN283" s="4">
        <f t="shared" si="39"/>
        <v>2.1382274984965591E-3</v>
      </c>
      <c r="AO283" s="3"/>
      <c r="AP283">
        <v>1</v>
      </c>
      <c r="AR283" t="s">
        <v>0</v>
      </c>
      <c r="AT283" s="2" t="s">
        <v>19</v>
      </c>
      <c r="AU283" s="1">
        <f t="shared" si="43"/>
        <v>3.7658632767314111</v>
      </c>
      <c r="AV283" s="1">
        <f t="shared" si="44"/>
        <v>2.7509945547651951</v>
      </c>
      <c r="AW283" s="1">
        <f t="shared" si="45"/>
        <v>1.7361258327989797</v>
      </c>
    </row>
    <row r="284" spans="1:49" x14ac:dyDescent="0.2">
      <c r="A284">
        <v>282</v>
      </c>
      <c r="B284" t="s">
        <v>6643</v>
      </c>
      <c r="C284" t="s">
        <v>6642</v>
      </c>
      <c r="E284">
        <v>3216049</v>
      </c>
      <c r="F284" t="s">
        <v>6641</v>
      </c>
      <c r="G284" t="s">
        <v>15</v>
      </c>
      <c r="H284" t="s">
        <v>14</v>
      </c>
      <c r="I284" t="s">
        <v>6640</v>
      </c>
      <c r="J284" t="s">
        <v>6639</v>
      </c>
      <c r="K284" t="s">
        <v>6638</v>
      </c>
      <c r="L284" t="s">
        <v>6637</v>
      </c>
      <c r="M284" t="s">
        <v>9</v>
      </c>
      <c r="N284">
        <v>2</v>
      </c>
      <c r="O284" t="s">
        <v>6636</v>
      </c>
      <c r="P284" t="s">
        <v>6635</v>
      </c>
      <c r="Q284" t="s">
        <v>6634</v>
      </c>
      <c r="R284" s="7">
        <v>32143</v>
      </c>
      <c r="S284" s="8">
        <f t="shared" si="40"/>
        <v>1988</v>
      </c>
      <c r="T284" s="8">
        <v>1988</v>
      </c>
      <c r="U284" s="8">
        <f t="shared" si="41"/>
        <v>34</v>
      </c>
      <c r="V284" s="7">
        <v>32492</v>
      </c>
      <c r="W284" t="s">
        <v>6633</v>
      </c>
      <c r="X284" s="2">
        <v>1.855</v>
      </c>
      <c r="Y284" s="6">
        <f t="shared" si="38"/>
        <v>4.9518165558847867E-2</v>
      </c>
      <c r="AA284">
        <v>219967</v>
      </c>
      <c r="AB284">
        <v>16689</v>
      </c>
      <c r="AC284">
        <v>10969861</v>
      </c>
      <c r="AD284" t="s">
        <v>4</v>
      </c>
      <c r="AE284">
        <v>278</v>
      </c>
      <c r="AF284">
        <v>3</v>
      </c>
      <c r="AH284" t="s">
        <v>6632</v>
      </c>
      <c r="AI284" t="s">
        <v>6631</v>
      </c>
      <c r="AJ284" t="s">
        <v>6630</v>
      </c>
      <c r="AK284" t="s">
        <v>6629</v>
      </c>
      <c r="AL284">
        <v>74</v>
      </c>
      <c r="AM284" s="5">
        <f t="shared" si="42"/>
        <v>2.1764705882352939</v>
      </c>
      <c r="AN284" s="4">
        <f t="shared" si="39"/>
        <v>3.2964340601821947E-3</v>
      </c>
      <c r="AO284" s="3"/>
      <c r="AP284">
        <v>0</v>
      </c>
      <c r="AQ284" t="s">
        <v>6628</v>
      </c>
      <c r="AR284" t="s">
        <v>6627</v>
      </c>
      <c r="AS284" t="s">
        <v>6626</v>
      </c>
      <c r="AT284" s="2">
        <v>3.2149999999999999</v>
      </c>
      <c r="AU284" s="1">
        <f t="shared" si="43"/>
        <v>3.5651646109248163</v>
      </c>
      <c r="AV284" s="1">
        <f t="shared" si="44"/>
        <v>2.640729980951503</v>
      </c>
      <c r="AW284" s="1">
        <f t="shared" si="45"/>
        <v>1.7162953509781895</v>
      </c>
    </row>
    <row r="285" spans="1:49" x14ac:dyDescent="0.2">
      <c r="A285">
        <v>283</v>
      </c>
      <c r="B285" t="s">
        <v>6625</v>
      </c>
      <c r="F285" t="s">
        <v>6624</v>
      </c>
      <c r="G285" t="s">
        <v>15</v>
      </c>
      <c r="H285" t="s">
        <v>14</v>
      </c>
      <c r="I285" t="s">
        <v>6623</v>
      </c>
      <c r="J285">
        <v>60000060</v>
      </c>
      <c r="K285" t="s">
        <v>6622</v>
      </c>
      <c r="L285" t="s">
        <v>6621</v>
      </c>
      <c r="M285" t="s">
        <v>31</v>
      </c>
      <c r="N285">
        <v>2</v>
      </c>
      <c r="O285" t="s">
        <v>6620</v>
      </c>
      <c r="P285" t="s">
        <v>6619</v>
      </c>
      <c r="Q285" t="s">
        <v>6618</v>
      </c>
      <c r="R285" s="7">
        <v>32143</v>
      </c>
      <c r="S285" s="8">
        <f t="shared" si="40"/>
        <v>1988</v>
      </c>
      <c r="T285" s="8">
        <v>1988</v>
      </c>
      <c r="U285" s="8">
        <f t="shared" si="41"/>
        <v>34</v>
      </c>
      <c r="V285" s="7">
        <v>1988</v>
      </c>
      <c r="W285" t="s">
        <v>6537</v>
      </c>
      <c r="X285" s="2">
        <v>0.63100000000000001</v>
      </c>
      <c r="Y285" s="6">
        <f t="shared" si="38"/>
        <v>1.6844184618670086E-2</v>
      </c>
      <c r="AA285">
        <v>74977</v>
      </c>
      <c r="AB285">
        <v>26788</v>
      </c>
      <c r="AD285" t="s">
        <v>4</v>
      </c>
      <c r="AE285">
        <v>43</v>
      </c>
      <c r="AF285">
        <v>3</v>
      </c>
      <c r="AH285" t="s">
        <v>4841</v>
      </c>
      <c r="AI285" t="s">
        <v>6617</v>
      </c>
      <c r="AK285" t="s">
        <v>6616</v>
      </c>
      <c r="AL285">
        <v>33</v>
      </c>
      <c r="AM285" s="5">
        <f t="shared" si="42"/>
        <v>0.97058823529411764</v>
      </c>
      <c r="AN285" s="4">
        <f t="shared" si="39"/>
        <v>1.4700314052163842E-3</v>
      </c>
      <c r="AO285" s="3"/>
      <c r="AP285">
        <v>0</v>
      </c>
      <c r="AR285" t="s">
        <v>0</v>
      </c>
      <c r="AT285" s="2">
        <v>1.6319999999999999</v>
      </c>
      <c r="AU285" s="1">
        <f t="shared" si="43"/>
        <v>1.2231938654633976</v>
      </c>
      <c r="AV285" s="1">
        <f t="shared" si="44"/>
        <v>0.91571080119432358</v>
      </c>
      <c r="AW285" s="1">
        <f t="shared" si="45"/>
        <v>0.60822773692524945</v>
      </c>
    </row>
    <row r="286" spans="1:49" x14ac:dyDescent="0.2">
      <c r="A286">
        <v>284</v>
      </c>
      <c r="B286" t="s">
        <v>6615</v>
      </c>
      <c r="C286" t="s">
        <v>6614</v>
      </c>
      <c r="F286" t="s">
        <v>6613</v>
      </c>
      <c r="G286" t="s">
        <v>15</v>
      </c>
      <c r="H286" t="s">
        <v>14</v>
      </c>
      <c r="I286" t="s">
        <v>6612</v>
      </c>
      <c r="J286">
        <v>60026851</v>
      </c>
      <c r="K286" t="s">
        <v>6611</v>
      </c>
      <c r="L286" t="s">
        <v>6610</v>
      </c>
      <c r="M286" t="s">
        <v>1011</v>
      </c>
      <c r="N286">
        <v>1</v>
      </c>
      <c r="O286" t="s">
        <v>6609</v>
      </c>
      <c r="P286">
        <v>7201490567</v>
      </c>
      <c r="Q286">
        <v>60026851</v>
      </c>
      <c r="R286" s="7">
        <v>32143</v>
      </c>
      <c r="S286" s="8">
        <f t="shared" si="40"/>
        <v>1988</v>
      </c>
      <c r="T286" s="8">
        <v>1988</v>
      </c>
      <c r="U286" s="8">
        <f t="shared" si="41"/>
        <v>34</v>
      </c>
      <c r="V286" s="7">
        <v>32295</v>
      </c>
      <c r="W286" t="s">
        <v>6608</v>
      </c>
      <c r="X286" s="2">
        <v>1.2969999999999999</v>
      </c>
      <c r="Y286" s="6">
        <f t="shared" si="38"/>
        <v>3.4622674247884469E-2</v>
      </c>
      <c r="AA286">
        <v>465070</v>
      </c>
      <c r="AB286">
        <v>15112</v>
      </c>
      <c r="AC286">
        <v>13652427</v>
      </c>
      <c r="AD286" t="s">
        <v>4</v>
      </c>
      <c r="AE286">
        <v>19</v>
      </c>
      <c r="AF286">
        <v>3</v>
      </c>
      <c r="AH286" t="s">
        <v>6607</v>
      </c>
      <c r="AI286" t="s">
        <v>6606</v>
      </c>
      <c r="AK286" t="s">
        <v>6605</v>
      </c>
      <c r="AL286">
        <v>74</v>
      </c>
      <c r="AM286" s="5">
        <f t="shared" si="42"/>
        <v>2.1764705882352939</v>
      </c>
      <c r="AN286" s="4">
        <f t="shared" si="39"/>
        <v>3.2964340601821947E-3</v>
      </c>
      <c r="AO286" s="3"/>
      <c r="AP286">
        <v>0</v>
      </c>
      <c r="AR286" t="s">
        <v>0</v>
      </c>
      <c r="AT286" s="2">
        <v>3.8090000000000002</v>
      </c>
      <c r="AU286" s="1">
        <f t="shared" si="43"/>
        <v>2.5224802191573783</v>
      </c>
      <c r="AV286" s="1">
        <f t="shared" si="44"/>
        <v>1.8959554154033331</v>
      </c>
      <c r="AW286" s="1">
        <f t="shared" si="45"/>
        <v>1.2694306116492877</v>
      </c>
    </row>
    <row r="287" spans="1:49" x14ac:dyDescent="0.2">
      <c r="A287">
        <v>285</v>
      </c>
      <c r="B287" t="s">
        <v>6604</v>
      </c>
      <c r="F287" t="s">
        <v>6603</v>
      </c>
      <c r="G287" t="s">
        <v>15</v>
      </c>
      <c r="H287" t="s">
        <v>14</v>
      </c>
      <c r="I287" t="s">
        <v>6602</v>
      </c>
      <c r="J287">
        <v>60016930</v>
      </c>
      <c r="K287" t="s">
        <v>6601</v>
      </c>
      <c r="L287" t="s">
        <v>2286</v>
      </c>
      <c r="M287" t="s">
        <v>456</v>
      </c>
      <c r="N287">
        <v>2</v>
      </c>
      <c r="O287" t="s">
        <v>6600</v>
      </c>
      <c r="P287" t="s">
        <v>6599</v>
      </c>
      <c r="Q287" t="s">
        <v>6598</v>
      </c>
      <c r="R287" s="7">
        <v>32143</v>
      </c>
      <c r="S287" s="8">
        <f t="shared" si="40"/>
        <v>1988</v>
      </c>
      <c r="T287" s="8">
        <v>1988</v>
      </c>
      <c r="U287" s="8">
        <f t="shared" si="41"/>
        <v>34</v>
      </c>
      <c r="V287" s="7">
        <v>1988</v>
      </c>
      <c r="W287" t="s">
        <v>6597</v>
      </c>
      <c r="X287" s="2" t="s">
        <v>19</v>
      </c>
      <c r="Y287" s="6" t="e">
        <f t="shared" si="38"/>
        <v>#VALUE!</v>
      </c>
      <c r="AA287">
        <v>3792285</v>
      </c>
      <c r="AB287">
        <v>34899</v>
      </c>
      <c r="AD287" t="s">
        <v>4</v>
      </c>
      <c r="AE287">
        <v>12</v>
      </c>
      <c r="AF287">
        <v>2</v>
      </c>
      <c r="AH287" t="s">
        <v>6596</v>
      </c>
      <c r="AI287" t="s">
        <v>6595</v>
      </c>
      <c r="AK287" t="s">
        <v>6594</v>
      </c>
      <c r="AL287">
        <v>2</v>
      </c>
      <c r="AM287" s="5">
        <f t="shared" si="42"/>
        <v>5.8823529411764705E-2</v>
      </c>
      <c r="AN287" s="4">
        <f t="shared" si="39"/>
        <v>8.9092812437356614E-5</v>
      </c>
      <c r="AO287" s="3"/>
      <c r="AP287">
        <v>0</v>
      </c>
      <c r="AR287" t="s">
        <v>0</v>
      </c>
      <c r="AT287" s="2" t="s">
        <v>19</v>
      </c>
      <c r="AU287" s="1" t="e">
        <f t="shared" si="43"/>
        <v>#VALUE!</v>
      </c>
      <c r="AV287" s="1" t="e">
        <f t="shared" si="44"/>
        <v>#VALUE!</v>
      </c>
      <c r="AW287" s="1" t="e">
        <f t="shared" si="45"/>
        <v>#VALUE!</v>
      </c>
    </row>
    <row r="288" spans="1:49" x14ac:dyDescent="0.2">
      <c r="A288">
        <v>286</v>
      </c>
      <c r="B288" t="s">
        <v>6593</v>
      </c>
      <c r="C288" t="s">
        <v>6592</v>
      </c>
      <c r="D288" t="s">
        <v>6591</v>
      </c>
      <c r="E288">
        <v>3225233</v>
      </c>
      <c r="F288" t="s">
        <v>6590</v>
      </c>
      <c r="G288" t="s">
        <v>15</v>
      </c>
      <c r="H288" t="s">
        <v>14</v>
      </c>
      <c r="I288" t="s">
        <v>6589</v>
      </c>
      <c r="J288" t="s">
        <v>6588</v>
      </c>
      <c r="K288" t="s">
        <v>6587</v>
      </c>
      <c r="L288" t="s">
        <v>6586</v>
      </c>
      <c r="M288" t="s">
        <v>9</v>
      </c>
      <c r="N288">
        <v>3</v>
      </c>
      <c r="O288" t="s">
        <v>6585</v>
      </c>
      <c r="P288" t="s">
        <v>6584</v>
      </c>
      <c r="Q288" t="s">
        <v>6583</v>
      </c>
      <c r="R288" s="7">
        <v>32143</v>
      </c>
      <c r="S288" s="8">
        <f t="shared" si="40"/>
        <v>1988</v>
      </c>
      <c r="T288" s="8">
        <v>1988</v>
      </c>
      <c r="U288" s="8">
        <f t="shared" si="41"/>
        <v>34</v>
      </c>
      <c r="V288" s="7">
        <v>32478</v>
      </c>
      <c r="W288" t="s">
        <v>6582</v>
      </c>
      <c r="X288" s="2">
        <v>1.389</v>
      </c>
      <c r="Y288" s="6">
        <f t="shared" si="38"/>
        <v>3.7078561704172341E-2</v>
      </c>
      <c r="AA288">
        <v>3785955</v>
      </c>
      <c r="AB288">
        <v>13707</v>
      </c>
      <c r="AD288" t="s">
        <v>4</v>
      </c>
      <c r="AE288">
        <v>37</v>
      </c>
      <c r="AF288">
        <v>1</v>
      </c>
      <c r="AH288" t="s">
        <v>6581</v>
      </c>
      <c r="AI288" t="s">
        <v>6580</v>
      </c>
      <c r="AJ288" t="s">
        <v>6579</v>
      </c>
      <c r="AK288" t="s">
        <v>6578</v>
      </c>
      <c r="AL288">
        <v>12</v>
      </c>
      <c r="AM288" s="5">
        <f t="shared" si="42"/>
        <v>0.35294117647058826</v>
      </c>
      <c r="AN288" s="4">
        <f t="shared" si="39"/>
        <v>5.3455687462413976E-4</v>
      </c>
      <c r="AO288" s="3"/>
      <c r="AP288">
        <v>0</v>
      </c>
      <c r="AQ288" t="s">
        <v>702</v>
      </c>
      <c r="AR288" t="s">
        <v>6577</v>
      </c>
      <c r="AS288" t="s">
        <v>700</v>
      </c>
      <c r="AT288" s="2">
        <v>3.2080000000000002</v>
      </c>
      <c r="AU288" s="1">
        <f t="shared" si="43"/>
        <v>2.6115360255307878</v>
      </c>
      <c r="AV288" s="1">
        <f t="shared" si="44"/>
        <v>1.8806559289398241</v>
      </c>
      <c r="AW288" s="1">
        <f t="shared" si="45"/>
        <v>1.14977583234886</v>
      </c>
    </row>
    <row r="289" spans="1:49" x14ac:dyDescent="0.2">
      <c r="A289">
        <v>287</v>
      </c>
      <c r="B289" t="s">
        <v>6576</v>
      </c>
      <c r="C289" t="s">
        <v>6575</v>
      </c>
      <c r="E289">
        <v>3056917</v>
      </c>
      <c r="F289" t="s">
        <v>6574</v>
      </c>
      <c r="G289" t="s">
        <v>15</v>
      </c>
      <c r="H289" t="s">
        <v>14</v>
      </c>
      <c r="I289" t="s">
        <v>6573</v>
      </c>
      <c r="J289">
        <v>60032838</v>
      </c>
      <c r="K289" t="s">
        <v>6572</v>
      </c>
      <c r="L289" t="s">
        <v>6571</v>
      </c>
      <c r="M289" t="s">
        <v>31</v>
      </c>
      <c r="N289">
        <v>2</v>
      </c>
      <c r="O289" t="s">
        <v>6570</v>
      </c>
      <c r="P289" t="s">
        <v>6569</v>
      </c>
      <c r="Q289" t="s">
        <v>6568</v>
      </c>
      <c r="R289" s="7">
        <v>32143</v>
      </c>
      <c r="S289" s="8">
        <f t="shared" si="40"/>
        <v>1988</v>
      </c>
      <c r="T289" s="8">
        <v>1988</v>
      </c>
      <c r="U289" s="8">
        <f t="shared" si="41"/>
        <v>34</v>
      </c>
      <c r="V289" s="7">
        <v>32478</v>
      </c>
      <c r="W289" t="s">
        <v>3758</v>
      </c>
      <c r="X289" s="2" t="s">
        <v>19</v>
      </c>
      <c r="Y289" s="6" t="e">
        <f t="shared" si="38"/>
        <v>#VALUE!</v>
      </c>
      <c r="AA289">
        <v>219193</v>
      </c>
      <c r="AB289">
        <v>20220</v>
      </c>
      <c r="AD289" t="s">
        <v>4</v>
      </c>
      <c r="AE289">
        <v>170</v>
      </c>
      <c r="AF289">
        <v>12</v>
      </c>
      <c r="AH289" t="s">
        <v>6567</v>
      </c>
      <c r="AI289" t="s">
        <v>6566</v>
      </c>
      <c r="AK289" t="s">
        <v>6565</v>
      </c>
      <c r="AL289">
        <v>40</v>
      </c>
      <c r="AM289" s="5">
        <f t="shared" si="42"/>
        <v>1.1764705882352942</v>
      </c>
      <c r="AN289" s="4">
        <f t="shared" si="39"/>
        <v>1.7818562487471323E-3</v>
      </c>
      <c r="AO289" s="3"/>
      <c r="AP289">
        <v>1</v>
      </c>
      <c r="AQ289" t="s">
        <v>1812</v>
      </c>
      <c r="AR289" t="s">
        <v>6564</v>
      </c>
      <c r="AS289" t="s">
        <v>1810</v>
      </c>
      <c r="AT289" s="2">
        <v>3.49</v>
      </c>
      <c r="AU289" s="1" t="e">
        <f t="shared" si="43"/>
        <v>#VALUE!</v>
      </c>
      <c r="AV289" s="1" t="e">
        <f t="shared" si="44"/>
        <v>#VALUE!</v>
      </c>
      <c r="AW289" s="1" t="e">
        <f t="shared" si="45"/>
        <v>#VALUE!</v>
      </c>
    </row>
    <row r="290" spans="1:49" x14ac:dyDescent="0.2">
      <c r="A290">
        <v>288</v>
      </c>
      <c r="B290" t="s">
        <v>6563</v>
      </c>
      <c r="C290" t="s">
        <v>6562</v>
      </c>
      <c r="F290" t="s">
        <v>6561</v>
      </c>
      <c r="G290" t="s">
        <v>15</v>
      </c>
      <c r="H290" t="s">
        <v>14</v>
      </c>
      <c r="I290" t="s">
        <v>6560</v>
      </c>
      <c r="N290">
        <v>3</v>
      </c>
      <c r="O290" t="s">
        <v>6559</v>
      </c>
      <c r="P290" t="s">
        <v>6558</v>
      </c>
      <c r="Q290" t="s">
        <v>532</v>
      </c>
      <c r="R290" s="7">
        <v>32143</v>
      </c>
      <c r="S290" s="8">
        <f t="shared" si="40"/>
        <v>1988</v>
      </c>
      <c r="T290" s="8">
        <v>1988</v>
      </c>
      <c r="U290" s="8">
        <f t="shared" si="41"/>
        <v>34</v>
      </c>
      <c r="V290" s="7">
        <v>1988</v>
      </c>
      <c r="W290" t="s">
        <v>6557</v>
      </c>
      <c r="X290" s="2">
        <v>0.158</v>
      </c>
      <c r="Y290" s="6">
        <f t="shared" si="38"/>
        <v>4.2177197618856943E-3</v>
      </c>
      <c r="AA290">
        <v>380830</v>
      </c>
      <c r="AB290">
        <v>13094</v>
      </c>
      <c r="AD290" t="s">
        <v>4</v>
      </c>
      <c r="AE290">
        <v>34</v>
      </c>
      <c r="AF290">
        <v>2</v>
      </c>
      <c r="AH290" t="s">
        <v>6556</v>
      </c>
      <c r="AI290" t="s">
        <v>6555</v>
      </c>
      <c r="AK290" t="s">
        <v>6554</v>
      </c>
      <c r="AL290">
        <v>1</v>
      </c>
      <c r="AM290" s="5">
        <f t="shared" si="42"/>
        <v>2.9411764705882353E-2</v>
      </c>
      <c r="AN290" s="4">
        <f t="shared" si="39"/>
        <v>4.4546406218678307E-5</v>
      </c>
      <c r="AO290" s="3"/>
      <c r="AP290">
        <v>0</v>
      </c>
      <c r="AR290" t="s">
        <v>0</v>
      </c>
      <c r="AT290" s="2" t="s">
        <v>19</v>
      </c>
      <c r="AU290" s="1">
        <f t="shared" si="43"/>
        <v>0.29657677551855893</v>
      </c>
      <c r="AV290" s="1">
        <f t="shared" si="44"/>
        <v>0.21311330840521861</v>
      </c>
      <c r="AW290" s="1">
        <f t="shared" si="45"/>
        <v>0.12964984129187831</v>
      </c>
    </row>
    <row r="291" spans="1:49" x14ac:dyDescent="0.2">
      <c r="A291">
        <v>289</v>
      </c>
      <c r="B291" t="s">
        <v>6553</v>
      </c>
      <c r="F291" t="s">
        <v>6552</v>
      </c>
      <c r="G291" t="s">
        <v>15</v>
      </c>
      <c r="H291" t="s">
        <v>14</v>
      </c>
      <c r="I291" t="s">
        <v>6551</v>
      </c>
      <c r="J291">
        <v>60013791</v>
      </c>
      <c r="K291" t="s">
        <v>6550</v>
      </c>
      <c r="L291" t="s">
        <v>6539</v>
      </c>
      <c r="M291" t="s">
        <v>31</v>
      </c>
      <c r="N291">
        <v>2</v>
      </c>
      <c r="O291" t="s">
        <v>6549</v>
      </c>
      <c r="P291" t="s">
        <v>6548</v>
      </c>
      <c r="Q291" t="s">
        <v>6547</v>
      </c>
      <c r="R291" s="7">
        <v>32143</v>
      </c>
      <c r="S291" s="8">
        <f t="shared" si="40"/>
        <v>1988</v>
      </c>
      <c r="T291" s="8">
        <v>1988</v>
      </c>
      <c r="U291" s="8">
        <f t="shared" si="41"/>
        <v>34</v>
      </c>
      <c r="V291" s="7">
        <v>1988</v>
      </c>
      <c r="W291" t="s">
        <v>6537</v>
      </c>
      <c r="X291" s="2">
        <v>0.63100000000000001</v>
      </c>
      <c r="Y291" s="6">
        <f t="shared" si="38"/>
        <v>1.6844184618670086E-2</v>
      </c>
      <c r="AA291">
        <v>74977</v>
      </c>
      <c r="AB291">
        <v>26788</v>
      </c>
      <c r="AD291" t="s">
        <v>4</v>
      </c>
      <c r="AE291">
        <v>43</v>
      </c>
      <c r="AF291">
        <v>3</v>
      </c>
      <c r="AH291" t="s">
        <v>6546</v>
      </c>
      <c r="AI291" t="s">
        <v>6545</v>
      </c>
      <c r="AK291" t="s">
        <v>6544</v>
      </c>
      <c r="AL291">
        <v>73</v>
      </c>
      <c r="AM291" s="5">
        <f t="shared" si="42"/>
        <v>2.1470588235294117</v>
      </c>
      <c r="AN291" s="4">
        <f t="shared" si="39"/>
        <v>3.2518876539635163E-3</v>
      </c>
      <c r="AO291" s="3"/>
      <c r="AP291">
        <v>0</v>
      </c>
      <c r="AR291" t="s">
        <v>0</v>
      </c>
      <c r="AT291" s="2">
        <v>1.6319999999999999</v>
      </c>
      <c r="AU291" s="1">
        <f t="shared" si="43"/>
        <v>1.2766495529258115</v>
      </c>
      <c r="AV291" s="1">
        <f t="shared" si="44"/>
        <v>1.00480361363168</v>
      </c>
      <c r="AW291" s="1">
        <f t="shared" si="45"/>
        <v>0.73295767433754866</v>
      </c>
    </row>
    <row r="292" spans="1:49" x14ac:dyDescent="0.2">
      <c r="A292">
        <v>290</v>
      </c>
      <c r="B292" t="s">
        <v>6543</v>
      </c>
      <c r="F292" t="s">
        <v>6542</v>
      </c>
      <c r="G292" t="s">
        <v>15</v>
      </c>
      <c r="H292" t="s">
        <v>14</v>
      </c>
      <c r="I292" t="s">
        <v>6541</v>
      </c>
      <c r="J292">
        <v>60003579</v>
      </c>
      <c r="K292" t="s">
        <v>6540</v>
      </c>
      <c r="L292" t="s">
        <v>6539</v>
      </c>
      <c r="M292" t="s">
        <v>31</v>
      </c>
      <c r="N292">
        <v>1</v>
      </c>
      <c r="O292" t="s">
        <v>6538</v>
      </c>
      <c r="P292">
        <v>7202000025</v>
      </c>
      <c r="Q292">
        <v>60003579</v>
      </c>
      <c r="R292" s="7">
        <v>32143</v>
      </c>
      <c r="S292" s="8">
        <f t="shared" si="40"/>
        <v>1988</v>
      </c>
      <c r="T292" s="8">
        <v>1988</v>
      </c>
      <c r="U292" s="8">
        <f t="shared" si="41"/>
        <v>34</v>
      </c>
      <c r="V292" s="7">
        <v>1988</v>
      </c>
      <c r="W292" t="s">
        <v>6537</v>
      </c>
      <c r="X292" s="2">
        <v>0.63100000000000001</v>
      </c>
      <c r="Y292" s="6">
        <f t="shared" si="38"/>
        <v>1.6844184618670086E-2</v>
      </c>
      <c r="AA292">
        <v>74977</v>
      </c>
      <c r="AB292">
        <v>26788</v>
      </c>
      <c r="AD292" t="s">
        <v>4</v>
      </c>
      <c r="AE292">
        <v>43</v>
      </c>
      <c r="AF292">
        <v>3</v>
      </c>
      <c r="AH292" t="s">
        <v>6536</v>
      </c>
      <c r="AI292" t="s">
        <v>6535</v>
      </c>
      <c r="AK292" t="s">
        <v>6534</v>
      </c>
      <c r="AL292">
        <v>61</v>
      </c>
      <c r="AM292" s="5">
        <f t="shared" si="42"/>
        <v>1.7941176470588236</v>
      </c>
      <c r="AN292" s="4">
        <f t="shared" si="39"/>
        <v>2.7173307793393769E-3</v>
      </c>
      <c r="AO292" s="3"/>
      <c r="AP292">
        <v>0</v>
      </c>
      <c r="AR292" t="s">
        <v>0</v>
      </c>
      <c r="AT292" s="2">
        <v>1.6319999999999999</v>
      </c>
      <c r="AU292" s="1">
        <f t="shared" si="43"/>
        <v>1.2606128466870874</v>
      </c>
      <c r="AV292" s="1">
        <f t="shared" si="44"/>
        <v>0.97807576990047318</v>
      </c>
      <c r="AW292" s="1">
        <f t="shared" si="45"/>
        <v>0.69553869311385885</v>
      </c>
    </row>
    <row r="293" spans="1:49" x14ac:dyDescent="0.2">
      <c r="A293">
        <v>291</v>
      </c>
      <c r="B293" t="s">
        <v>6533</v>
      </c>
      <c r="F293" t="s">
        <v>6532</v>
      </c>
      <c r="G293" t="s">
        <v>15</v>
      </c>
      <c r="H293" t="s">
        <v>14</v>
      </c>
      <c r="I293" t="s">
        <v>6531</v>
      </c>
      <c r="N293">
        <v>1</v>
      </c>
      <c r="O293" t="s">
        <v>6530</v>
      </c>
      <c r="P293">
        <v>55304130700</v>
      </c>
      <c r="R293" s="7">
        <v>32143</v>
      </c>
      <c r="S293" s="8">
        <f t="shared" si="40"/>
        <v>1988</v>
      </c>
      <c r="T293" s="8">
        <v>1988</v>
      </c>
      <c r="U293" s="8">
        <f t="shared" si="41"/>
        <v>34</v>
      </c>
      <c r="V293" s="7">
        <v>1988</v>
      </c>
      <c r="W293" t="s">
        <v>6529</v>
      </c>
      <c r="X293" s="2" t="s">
        <v>19</v>
      </c>
      <c r="Y293" s="6" t="e">
        <f t="shared" si="38"/>
        <v>#VALUE!</v>
      </c>
      <c r="AA293">
        <v>3097846</v>
      </c>
      <c r="AB293">
        <v>22656</v>
      </c>
      <c r="AD293" t="s">
        <v>4</v>
      </c>
      <c r="AE293">
        <v>50</v>
      </c>
      <c r="AH293" t="s">
        <v>6528</v>
      </c>
      <c r="AI293" t="s">
        <v>6527</v>
      </c>
      <c r="AK293" t="s">
        <v>6526</v>
      </c>
      <c r="AL293">
        <v>0</v>
      </c>
      <c r="AM293" s="5">
        <f t="shared" si="42"/>
        <v>0</v>
      </c>
      <c r="AN293" s="4">
        <f t="shared" si="39"/>
        <v>0</v>
      </c>
      <c r="AO293" s="3"/>
      <c r="AP293">
        <v>0</v>
      </c>
      <c r="AR293" t="s">
        <v>0</v>
      </c>
      <c r="AT293" s="2" t="s">
        <v>19</v>
      </c>
      <c r="AU293" s="1" t="e">
        <f t="shared" si="43"/>
        <v>#VALUE!</v>
      </c>
      <c r="AV293" s="1" t="e">
        <f t="shared" si="44"/>
        <v>#VALUE!</v>
      </c>
      <c r="AW293" s="1" t="e">
        <f t="shared" si="45"/>
        <v>#VALUE!</v>
      </c>
    </row>
    <row r="294" spans="1:49" x14ac:dyDescent="0.2">
      <c r="A294">
        <v>292</v>
      </c>
      <c r="B294" t="s">
        <v>6525</v>
      </c>
      <c r="F294" t="s">
        <v>6524</v>
      </c>
      <c r="G294" t="s">
        <v>15</v>
      </c>
      <c r="H294" t="s">
        <v>14</v>
      </c>
      <c r="I294" t="s">
        <v>6523</v>
      </c>
      <c r="J294">
        <v>60024303</v>
      </c>
      <c r="K294" t="s">
        <v>6522</v>
      </c>
      <c r="L294" t="s">
        <v>6521</v>
      </c>
      <c r="M294" t="s">
        <v>31</v>
      </c>
      <c r="N294">
        <v>2</v>
      </c>
      <c r="O294" t="s">
        <v>6520</v>
      </c>
      <c r="P294" t="s">
        <v>6519</v>
      </c>
      <c r="Q294" t="s">
        <v>6518</v>
      </c>
      <c r="R294" s="7">
        <v>32143</v>
      </c>
      <c r="S294" s="8">
        <f t="shared" si="40"/>
        <v>1988</v>
      </c>
      <c r="T294" s="8">
        <v>1988</v>
      </c>
      <c r="U294" s="8">
        <f t="shared" si="41"/>
        <v>34</v>
      </c>
      <c r="V294" s="7">
        <v>1988</v>
      </c>
      <c r="W294" t="s">
        <v>6517</v>
      </c>
      <c r="X294" s="2">
        <v>0.57799999999999996</v>
      </c>
      <c r="Y294" s="6">
        <f t="shared" si="38"/>
        <v>1.5429379888417288E-2</v>
      </c>
      <c r="AA294">
        <v>917648</v>
      </c>
      <c r="AB294">
        <v>24505</v>
      </c>
      <c r="AD294" t="s">
        <v>4</v>
      </c>
      <c r="AE294">
        <v>16</v>
      </c>
      <c r="AF294">
        <v>1</v>
      </c>
      <c r="AH294" t="s">
        <v>6516</v>
      </c>
      <c r="AI294" t="s">
        <v>6515</v>
      </c>
      <c r="AK294" t="s">
        <v>6514</v>
      </c>
      <c r="AL294">
        <v>10</v>
      </c>
      <c r="AM294" s="5">
        <f t="shared" si="42"/>
        <v>0.29411764705882354</v>
      </c>
      <c r="AN294" s="4">
        <f t="shared" si="39"/>
        <v>4.4546406218678308E-4</v>
      </c>
      <c r="AO294" s="3"/>
      <c r="AP294">
        <v>0</v>
      </c>
      <c r="AR294" t="s">
        <v>0</v>
      </c>
      <c r="AT294" s="2">
        <v>1.583</v>
      </c>
      <c r="AU294" s="1">
        <f t="shared" si="43"/>
        <v>1.0934205140548137</v>
      </c>
      <c r="AV294" s="1">
        <f t="shared" si="44"/>
        <v>0.79374219753020359</v>
      </c>
      <c r="AW294" s="1">
        <f t="shared" si="45"/>
        <v>0.49406388100559345</v>
      </c>
    </row>
    <row r="295" spans="1:49" x14ac:dyDescent="0.2">
      <c r="A295">
        <v>293</v>
      </c>
      <c r="B295" t="s">
        <v>6513</v>
      </c>
      <c r="F295" t="s">
        <v>6512</v>
      </c>
      <c r="G295" t="s">
        <v>15</v>
      </c>
      <c r="H295" t="s">
        <v>14</v>
      </c>
      <c r="I295" t="s">
        <v>6511</v>
      </c>
      <c r="J295">
        <v>60020585</v>
      </c>
      <c r="K295" t="s">
        <v>6510</v>
      </c>
      <c r="L295" t="s">
        <v>6509</v>
      </c>
      <c r="M295" t="s">
        <v>6018</v>
      </c>
      <c r="N295">
        <v>1</v>
      </c>
      <c r="O295" t="s">
        <v>6508</v>
      </c>
      <c r="P295">
        <v>57197599250</v>
      </c>
      <c r="Q295">
        <v>60020585</v>
      </c>
      <c r="R295" s="7">
        <v>32143</v>
      </c>
      <c r="S295" s="8">
        <f t="shared" si="40"/>
        <v>1988</v>
      </c>
      <c r="T295" s="8">
        <v>1988</v>
      </c>
      <c r="U295" s="8">
        <f t="shared" si="41"/>
        <v>34</v>
      </c>
      <c r="V295" s="7">
        <v>1988</v>
      </c>
      <c r="W295" t="s">
        <v>6507</v>
      </c>
      <c r="X295" s="2" t="s">
        <v>19</v>
      </c>
      <c r="Y295" s="6" t="e">
        <f t="shared" si="38"/>
        <v>#VALUE!</v>
      </c>
      <c r="AA295">
        <v>1137492</v>
      </c>
      <c r="AB295">
        <v>12885</v>
      </c>
      <c r="AD295" t="s">
        <v>4</v>
      </c>
      <c r="AE295">
        <v>15</v>
      </c>
      <c r="AH295" t="s">
        <v>6506</v>
      </c>
      <c r="AI295" t="s">
        <v>6505</v>
      </c>
      <c r="AK295" t="s">
        <v>6504</v>
      </c>
      <c r="AL295">
        <v>0</v>
      </c>
      <c r="AM295" s="5">
        <f t="shared" si="42"/>
        <v>0</v>
      </c>
      <c r="AN295" s="4">
        <f t="shared" si="39"/>
        <v>0</v>
      </c>
      <c r="AO295" s="3"/>
      <c r="AP295">
        <v>0</v>
      </c>
      <c r="AR295" t="s">
        <v>0</v>
      </c>
      <c r="AT295" s="2" t="s">
        <v>19</v>
      </c>
      <c r="AU295" s="1" t="e">
        <f t="shared" si="43"/>
        <v>#VALUE!</v>
      </c>
      <c r="AV295" s="1" t="e">
        <f t="shared" si="44"/>
        <v>#VALUE!</v>
      </c>
      <c r="AW295" s="1" t="e">
        <f t="shared" si="45"/>
        <v>#VALUE!</v>
      </c>
    </row>
    <row r="296" spans="1:49" x14ac:dyDescent="0.2">
      <c r="A296">
        <v>294</v>
      </c>
      <c r="B296" t="s">
        <v>6503</v>
      </c>
      <c r="C296" t="s">
        <v>6502</v>
      </c>
      <c r="F296" t="s">
        <v>6501</v>
      </c>
      <c r="G296" t="s">
        <v>15</v>
      </c>
      <c r="H296" t="s">
        <v>14</v>
      </c>
      <c r="I296" t="s">
        <v>6500</v>
      </c>
      <c r="J296" t="s">
        <v>6499</v>
      </c>
      <c r="K296" t="s">
        <v>6498</v>
      </c>
      <c r="L296" t="s">
        <v>6497</v>
      </c>
      <c r="M296" t="s">
        <v>9</v>
      </c>
      <c r="N296">
        <v>3</v>
      </c>
      <c r="O296" t="s">
        <v>6496</v>
      </c>
      <c r="P296" t="s">
        <v>6495</v>
      </c>
      <c r="Q296" t="s">
        <v>6494</v>
      </c>
      <c r="R296" s="7">
        <v>32143</v>
      </c>
      <c r="S296" s="8">
        <f t="shared" si="40"/>
        <v>1988</v>
      </c>
      <c r="T296" s="8">
        <v>1988</v>
      </c>
      <c r="U296" s="8">
        <f t="shared" si="41"/>
        <v>34</v>
      </c>
      <c r="V296" s="7">
        <v>32478</v>
      </c>
      <c r="W296" t="s">
        <v>1073</v>
      </c>
      <c r="X296" s="2">
        <v>1.3720000000000001</v>
      </c>
      <c r="Y296" s="6">
        <f t="shared" si="38"/>
        <v>3.662475641333654E-2</v>
      </c>
      <c r="AA296">
        <v>189480</v>
      </c>
      <c r="AB296">
        <v>17366</v>
      </c>
      <c r="AC296">
        <v>15579670</v>
      </c>
      <c r="AD296" t="s">
        <v>4</v>
      </c>
      <c r="AE296">
        <v>36</v>
      </c>
      <c r="AF296">
        <v>12</v>
      </c>
      <c r="AH296" t="s">
        <v>6493</v>
      </c>
      <c r="AI296" t="s">
        <v>6492</v>
      </c>
      <c r="AK296" t="s">
        <v>6491</v>
      </c>
      <c r="AL296">
        <v>25</v>
      </c>
      <c r="AM296" s="5">
        <f t="shared" si="42"/>
        <v>0.73529411764705888</v>
      </c>
      <c r="AN296" s="4">
        <f t="shared" si="39"/>
        <v>1.1136601554669577E-3</v>
      </c>
      <c r="AO296" s="3"/>
      <c r="AP296">
        <v>0</v>
      </c>
      <c r="AQ296" t="s">
        <v>6490</v>
      </c>
      <c r="AR296" t="s">
        <v>6489</v>
      </c>
      <c r="AS296" t="s">
        <v>6488</v>
      </c>
      <c r="AT296" s="2" t="s">
        <v>19</v>
      </c>
      <c r="AU296" s="1">
        <f t="shared" si="43"/>
        <v>2.5971427535975664</v>
      </c>
      <c r="AV296" s="1">
        <f t="shared" si="44"/>
        <v>1.8869208284401751</v>
      </c>
      <c r="AW296" s="1">
        <f t="shared" si="45"/>
        <v>1.1766989032827833</v>
      </c>
    </row>
    <row r="297" spans="1:49" x14ac:dyDescent="0.2">
      <c r="A297">
        <v>295</v>
      </c>
      <c r="B297" t="s">
        <v>6487</v>
      </c>
      <c r="C297" t="s">
        <v>6486</v>
      </c>
      <c r="F297" t="s">
        <v>6485</v>
      </c>
      <c r="G297" t="s">
        <v>15</v>
      </c>
      <c r="H297" t="s">
        <v>14</v>
      </c>
      <c r="I297" t="s">
        <v>1284</v>
      </c>
      <c r="J297">
        <v>60013372</v>
      </c>
      <c r="K297" t="s">
        <v>5578</v>
      </c>
      <c r="L297" t="s">
        <v>5577</v>
      </c>
      <c r="M297" t="s">
        <v>31</v>
      </c>
      <c r="N297">
        <v>2</v>
      </c>
      <c r="O297" t="s">
        <v>1279</v>
      </c>
      <c r="P297" t="s">
        <v>6484</v>
      </c>
      <c r="Q297" t="s">
        <v>6483</v>
      </c>
      <c r="R297" s="7">
        <v>32143</v>
      </c>
      <c r="S297" s="8">
        <f t="shared" si="40"/>
        <v>1988</v>
      </c>
      <c r="T297" s="8">
        <v>1988</v>
      </c>
      <c r="U297" s="8">
        <f t="shared" si="41"/>
        <v>34</v>
      </c>
      <c r="V297" s="7">
        <v>32478</v>
      </c>
      <c r="W297" t="s">
        <v>1073</v>
      </c>
      <c r="X297" s="2">
        <v>1.3720000000000001</v>
      </c>
      <c r="Y297" s="6">
        <f t="shared" si="38"/>
        <v>3.662475641333654E-2</v>
      </c>
      <c r="AA297">
        <v>189480</v>
      </c>
      <c r="AB297">
        <v>17366</v>
      </c>
      <c r="AC297">
        <v>15579670</v>
      </c>
      <c r="AD297" t="s">
        <v>4</v>
      </c>
      <c r="AE297">
        <v>36</v>
      </c>
      <c r="AF297">
        <v>12</v>
      </c>
      <c r="AH297" t="s">
        <v>6482</v>
      </c>
      <c r="AI297" t="s">
        <v>6481</v>
      </c>
      <c r="AK297" t="s">
        <v>6480</v>
      </c>
      <c r="AL297">
        <v>30</v>
      </c>
      <c r="AM297" s="5">
        <f t="shared" si="42"/>
        <v>0.88235294117647056</v>
      </c>
      <c r="AN297" s="4">
        <f t="shared" si="39"/>
        <v>1.3363921865603492E-3</v>
      </c>
      <c r="AO297" s="3"/>
      <c r="AP297">
        <v>0</v>
      </c>
      <c r="AQ297" t="s">
        <v>1273</v>
      </c>
      <c r="AR297" t="s">
        <v>1272</v>
      </c>
      <c r="AS297" t="s">
        <v>1271</v>
      </c>
      <c r="AT297" s="2" t="s">
        <v>19</v>
      </c>
      <c r="AU297" s="1">
        <f t="shared" si="43"/>
        <v>2.6038247145303681</v>
      </c>
      <c r="AV297" s="1">
        <f t="shared" si="44"/>
        <v>1.8980574299948445</v>
      </c>
      <c r="AW297" s="1">
        <f t="shared" si="45"/>
        <v>1.1922901454593207</v>
      </c>
    </row>
    <row r="298" spans="1:49" x14ac:dyDescent="0.2">
      <c r="A298">
        <v>296</v>
      </c>
      <c r="B298" t="s">
        <v>6479</v>
      </c>
      <c r="C298" t="s">
        <v>6478</v>
      </c>
      <c r="F298" t="s">
        <v>6477</v>
      </c>
      <c r="G298" t="s">
        <v>15</v>
      </c>
      <c r="H298" t="s">
        <v>14</v>
      </c>
      <c r="I298" t="s">
        <v>6327</v>
      </c>
      <c r="N298">
        <v>2</v>
      </c>
      <c r="O298" t="s">
        <v>6476</v>
      </c>
      <c r="P298" t="s">
        <v>6475</v>
      </c>
      <c r="Q298" t="s">
        <v>501</v>
      </c>
      <c r="R298" s="7">
        <v>32143</v>
      </c>
      <c r="S298" s="8">
        <f t="shared" si="40"/>
        <v>1988</v>
      </c>
      <c r="T298" s="8">
        <v>1988</v>
      </c>
      <c r="U298" s="8">
        <f t="shared" si="41"/>
        <v>34</v>
      </c>
      <c r="V298" s="7">
        <v>32478</v>
      </c>
      <c r="W298" t="s">
        <v>2441</v>
      </c>
      <c r="X298" s="2">
        <v>0.78200000000000003</v>
      </c>
      <c r="Y298" s="6">
        <f t="shared" si="38"/>
        <v>2.0875043378446919E-2</v>
      </c>
      <c r="AA298">
        <v>189316</v>
      </c>
      <c r="AB298">
        <v>19901</v>
      </c>
      <c r="AC298">
        <v>15579611</v>
      </c>
      <c r="AD298" t="s">
        <v>4</v>
      </c>
      <c r="AE298">
        <v>34</v>
      </c>
      <c r="AF298">
        <v>4</v>
      </c>
      <c r="AH298" t="s">
        <v>4208</v>
      </c>
      <c r="AI298" t="s">
        <v>6474</v>
      </c>
      <c r="AK298" t="s">
        <v>6473</v>
      </c>
      <c r="AL298">
        <v>3</v>
      </c>
      <c r="AM298" s="5">
        <f t="shared" si="42"/>
        <v>8.8235294117647065E-2</v>
      </c>
      <c r="AN298" s="4">
        <f t="shared" si="39"/>
        <v>1.3363921865603494E-4</v>
      </c>
      <c r="AO298" s="3"/>
      <c r="AP298">
        <v>0</v>
      </c>
      <c r="AR298" t="s">
        <v>0</v>
      </c>
      <c r="AT298" s="2">
        <v>3.863</v>
      </c>
      <c r="AU298" s="1">
        <f t="shared" si="43"/>
        <v>1.4652622130509652</v>
      </c>
      <c r="AV298" s="1">
        <f t="shared" si="44"/>
        <v>1.0504341298551478</v>
      </c>
      <c r="AW298" s="1">
        <f t="shared" si="45"/>
        <v>0.63560604665932996</v>
      </c>
    </row>
    <row r="299" spans="1:49" x14ac:dyDescent="0.2">
      <c r="A299">
        <v>297</v>
      </c>
      <c r="B299" t="s">
        <v>6472</v>
      </c>
      <c r="C299" t="s">
        <v>6471</v>
      </c>
      <c r="F299" t="s">
        <v>6470</v>
      </c>
      <c r="G299" t="s">
        <v>15</v>
      </c>
      <c r="H299" t="s">
        <v>14</v>
      </c>
      <c r="I299" t="s">
        <v>6469</v>
      </c>
      <c r="J299" t="s">
        <v>6468</v>
      </c>
      <c r="K299" t="s">
        <v>6467</v>
      </c>
      <c r="L299" t="s">
        <v>6466</v>
      </c>
      <c r="M299" t="s">
        <v>352</v>
      </c>
      <c r="N299">
        <v>3</v>
      </c>
      <c r="O299" t="s">
        <v>6465</v>
      </c>
      <c r="P299" t="s">
        <v>6464</v>
      </c>
      <c r="Q299" t="s">
        <v>6463</v>
      </c>
      <c r="R299" s="7">
        <v>32143</v>
      </c>
      <c r="S299" s="8">
        <f t="shared" si="40"/>
        <v>1988</v>
      </c>
      <c r="T299" s="8">
        <v>1988</v>
      </c>
      <c r="U299" s="8">
        <f t="shared" si="41"/>
        <v>34</v>
      </c>
      <c r="V299" s="7">
        <v>32478</v>
      </c>
      <c r="W299" t="s">
        <v>2441</v>
      </c>
      <c r="X299" s="2">
        <v>0.78200000000000003</v>
      </c>
      <c r="Y299" s="6">
        <f t="shared" si="38"/>
        <v>2.0875043378446919E-2</v>
      </c>
      <c r="AA299">
        <v>189316</v>
      </c>
      <c r="AB299">
        <v>19901</v>
      </c>
      <c r="AC299">
        <v>15579611</v>
      </c>
      <c r="AD299" t="s">
        <v>4</v>
      </c>
      <c r="AE299">
        <v>34</v>
      </c>
      <c r="AF299">
        <v>4</v>
      </c>
      <c r="AH299" t="s">
        <v>6462</v>
      </c>
      <c r="AI299" t="s">
        <v>6461</v>
      </c>
      <c r="AK299" t="s">
        <v>6460</v>
      </c>
      <c r="AL299">
        <v>20</v>
      </c>
      <c r="AM299" s="5">
        <f t="shared" si="42"/>
        <v>0.58823529411764708</v>
      </c>
      <c r="AN299" s="4">
        <f t="shared" si="39"/>
        <v>8.9092812437356617E-4</v>
      </c>
      <c r="AO299" s="3"/>
      <c r="AP299">
        <v>0</v>
      </c>
      <c r="AR299" t="s">
        <v>0</v>
      </c>
      <c r="AT299" s="2">
        <v>3.863</v>
      </c>
      <c r="AU299" s="1">
        <f t="shared" si="43"/>
        <v>1.4879808802224912</v>
      </c>
      <c r="AV299" s="1">
        <f t="shared" si="44"/>
        <v>1.0882985751410243</v>
      </c>
      <c r="AW299" s="1">
        <f t="shared" si="45"/>
        <v>0.68861627005955728</v>
      </c>
    </row>
    <row r="300" spans="1:49" x14ac:dyDescent="0.2">
      <c r="A300">
        <v>298</v>
      </c>
      <c r="B300" t="s">
        <v>6459</v>
      </c>
      <c r="C300" t="s">
        <v>6458</v>
      </c>
      <c r="F300" t="s">
        <v>6457</v>
      </c>
      <c r="G300" t="s">
        <v>15</v>
      </c>
      <c r="H300" t="s">
        <v>14</v>
      </c>
      <c r="I300" t="s">
        <v>6456</v>
      </c>
      <c r="J300" t="s">
        <v>6455</v>
      </c>
      <c r="K300" t="s">
        <v>6454</v>
      </c>
      <c r="L300" t="s">
        <v>6453</v>
      </c>
      <c r="M300" t="s">
        <v>6452</v>
      </c>
      <c r="N300">
        <v>2</v>
      </c>
      <c r="O300" t="s">
        <v>6451</v>
      </c>
      <c r="P300" t="s">
        <v>6450</v>
      </c>
      <c r="Q300" t="s">
        <v>6449</v>
      </c>
      <c r="R300" s="7">
        <v>32143</v>
      </c>
      <c r="S300" s="8">
        <f t="shared" si="40"/>
        <v>1988</v>
      </c>
      <c r="T300" s="8">
        <v>1988</v>
      </c>
      <c r="U300" s="8">
        <f t="shared" si="41"/>
        <v>34</v>
      </c>
      <c r="V300" s="7">
        <v>32478</v>
      </c>
      <c r="W300" t="s">
        <v>69</v>
      </c>
      <c r="X300" s="2">
        <v>1.6519999999999999</v>
      </c>
      <c r="Y300" s="6">
        <f t="shared" si="38"/>
        <v>4.409919649769093E-2</v>
      </c>
      <c r="AA300" t="s">
        <v>68</v>
      </c>
      <c r="AB300">
        <v>17337</v>
      </c>
      <c r="AC300">
        <v>15582221</v>
      </c>
      <c r="AD300" t="s">
        <v>4</v>
      </c>
      <c r="AE300">
        <v>36</v>
      </c>
      <c r="AF300">
        <v>12</v>
      </c>
      <c r="AH300" t="s">
        <v>6448</v>
      </c>
      <c r="AI300" t="s">
        <v>6447</v>
      </c>
      <c r="AK300" t="s">
        <v>6446</v>
      </c>
      <c r="AL300">
        <v>555</v>
      </c>
      <c r="AM300" s="5">
        <f t="shared" si="42"/>
        <v>16.323529411764707</v>
      </c>
      <c r="AN300" s="4">
        <f t="shared" si="39"/>
        <v>2.4723255451366461E-2</v>
      </c>
      <c r="AO300" s="3"/>
      <c r="AP300">
        <v>0</v>
      </c>
      <c r="AR300" t="s">
        <v>0</v>
      </c>
      <c r="AT300" s="2" t="s">
        <v>19</v>
      </c>
      <c r="AU300" s="1">
        <f t="shared" si="43"/>
        <v>3.8286414183793589</v>
      </c>
      <c r="AV300" s="1">
        <f t="shared" si="44"/>
        <v>3.4411225974528699</v>
      </c>
      <c r="AW300" s="1">
        <f t="shared" si="45"/>
        <v>3.0536037765263799</v>
      </c>
    </row>
    <row r="301" spans="1:49" x14ac:dyDescent="0.2">
      <c r="A301">
        <v>299</v>
      </c>
      <c r="B301" t="s">
        <v>6445</v>
      </c>
      <c r="C301" t="s">
        <v>6444</v>
      </c>
      <c r="F301" t="s">
        <v>6443</v>
      </c>
      <c r="G301" t="s">
        <v>15</v>
      </c>
      <c r="H301" t="s">
        <v>14</v>
      </c>
      <c r="I301" t="s">
        <v>6442</v>
      </c>
      <c r="J301" t="s">
        <v>6441</v>
      </c>
      <c r="K301" t="s">
        <v>6440</v>
      </c>
      <c r="L301" t="s">
        <v>6439</v>
      </c>
      <c r="M301" t="s">
        <v>9</v>
      </c>
      <c r="N301">
        <v>5</v>
      </c>
      <c r="O301" t="s">
        <v>6438</v>
      </c>
      <c r="P301" t="s">
        <v>6437</v>
      </c>
      <c r="Q301" t="s">
        <v>6436</v>
      </c>
      <c r="R301" s="7">
        <v>32143</v>
      </c>
      <c r="S301" s="8">
        <f t="shared" si="40"/>
        <v>1988</v>
      </c>
      <c r="T301" s="8">
        <v>1988</v>
      </c>
      <c r="U301" s="8">
        <f t="shared" si="41"/>
        <v>34</v>
      </c>
      <c r="V301" s="7">
        <v>32478</v>
      </c>
      <c r="W301" t="s">
        <v>1073</v>
      </c>
      <c r="X301" s="2">
        <v>1.3720000000000001</v>
      </c>
      <c r="Y301" s="6">
        <f t="shared" si="38"/>
        <v>3.662475641333654E-2</v>
      </c>
      <c r="AA301">
        <v>189480</v>
      </c>
      <c r="AB301">
        <v>17366</v>
      </c>
      <c r="AC301">
        <v>15579670</v>
      </c>
      <c r="AD301" t="s">
        <v>4</v>
      </c>
      <c r="AE301">
        <v>36</v>
      </c>
      <c r="AF301">
        <v>12</v>
      </c>
      <c r="AH301" t="s">
        <v>6435</v>
      </c>
      <c r="AI301" t="s">
        <v>6434</v>
      </c>
      <c r="AK301" t="s">
        <v>6433</v>
      </c>
      <c r="AL301">
        <v>69</v>
      </c>
      <c r="AM301" s="5">
        <f t="shared" si="42"/>
        <v>2.0294117647058822</v>
      </c>
      <c r="AN301" s="4">
        <f t="shared" si="39"/>
        <v>3.0737020290888032E-3</v>
      </c>
      <c r="AO301" s="3"/>
      <c r="AP301">
        <v>0</v>
      </c>
      <c r="AQ301" t="s">
        <v>855</v>
      </c>
      <c r="AR301" t="s">
        <v>6432</v>
      </c>
      <c r="AS301" t="s">
        <v>854</v>
      </c>
      <c r="AT301" s="2" t="s">
        <v>19</v>
      </c>
      <c r="AU301" s="1">
        <f t="shared" si="43"/>
        <v>2.6559440098062219</v>
      </c>
      <c r="AV301" s="1">
        <f t="shared" si="44"/>
        <v>1.9849229221212672</v>
      </c>
      <c r="AW301" s="1">
        <f t="shared" si="45"/>
        <v>1.3139018344363125</v>
      </c>
    </row>
    <row r="302" spans="1:49" x14ac:dyDescent="0.2">
      <c r="A302">
        <v>300</v>
      </c>
      <c r="B302" t="s">
        <v>6431</v>
      </c>
      <c r="C302" t="s">
        <v>6430</v>
      </c>
      <c r="F302" t="s">
        <v>6429</v>
      </c>
      <c r="G302" t="s">
        <v>15</v>
      </c>
      <c r="H302" t="s">
        <v>14</v>
      </c>
      <c r="I302" t="s">
        <v>6428</v>
      </c>
      <c r="J302">
        <v>60009697</v>
      </c>
      <c r="K302" t="s">
        <v>1417</v>
      </c>
      <c r="L302" t="s">
        <v>1416</v>
      </c>
      <c r="M302" t="s">
        <v>481</v>
      </c>
      <c r="N302">
        <v>2</v>
      </c>
      <c r="O302" t="s">
        <v>6427</v>
      </c>
      <c r="P302" t="s">
        <v>6426</v>
      </c>
      <c r="Q302" t="s">
        <v>1413</v>
      </c>
      <c r="R302" s="7">
        <v>32143</v>
      </c>
      <c r="S302" s="8">
        <f t="shared" si="40"/>
        <v>1988</v>
      </c>
      <c r="T302" s="8">
        <v>1988</v>
      </c>
      <c r="U302" s="8">
        <f t="shared" si="41"/>
        <v>34</v>
      </c>
      <c r="V302" s="7">
        <v>1988</v>
      </c>
      <c r="W302" t="s">
        <v>6425</v>
      </c>
      <c r="X302" s="2">
        <v>0.46400000000000002</v>
      </c>
      <c r="Y302" s="6">
        <f t="shared" si="38"/>
        <v>1.2386214996930142E-2</v>
      </c>
      <c r="AA302">
        <v>8408688</v>
      </c>
      <c r="AB302">
        <v>26200</v>
      </c>
      <c r="AD302" t="s">
        <v>4</v>
      </c>
      <c r="AE302">
        <v>13</v>
      </c>
      <c r="AF302" s="9">
        <v>44289</v>
      </c>
      <c r="AH302" t="s">
        <v>6424</v>
      </c>
      <c r="AI302" t="s">
        <v>6423</v>
      </c>
      <c r="AK302" t="s">
        <v>6422</v>
      </c>
      <c r="AL302">
        <v>8</v>
      </c>
      <c r="AM302" s="5">
        <f t="shared" si="42"/>
        <v>0.23529411764705882</v>
      </c>
      <c r="AN302" s="4">
        <f t="shared" si="39"/>
        <v>3.5637124974942646E-4</v>
      </c>
      <c r="AO302" s="3"/>
      <c r="AP302">
        <v>0</v>
      </c>
      <c r="AR302" t="s">
        <v>0</v>
      </c>
      <c r="AT302" s="2" t="s">
        <v>19</v>
      </c>
      <c r="AU302" s="1">
        <f t="shared" si="43"/>
        <v>0.87772618727759277</v>
      </c>
      <c r="AV302" s="1">
        <f t="shared" si="44"/>
        <v>0.63712931233397851</v>
      </c>
      <c r="AW302" s="1">
        <f t="shared" si="45"/>
        <v>0.39653243739036409</v>
      </c>
    </row>
    <row r="303" spans="1:49" x14ac:dyDescent="0.2">
      <c r="A303">
        <v>301</v>
      </c>
      <c r="B303" t="s">
        <v>6421</v>
      </c>
      <c r="C303" t="s">
        <v>6420</v>
      </c>
      <c r="F303" t="s">
        <v>6419</v>
      </c>
      <c r="G303" t="s">
        <v>15</v>
      </c>
      <c r="H303" t="s">
        <v>14</v>
      </c>
      <c r="I303" t="s">
        <v>2620</v>
      </c>
      <c r="J303">
        <v>60027550</v>
      </c>
      <c r="K303" t="s">
        <v>1124</v>
      </c>
      <c r="L303" t="s">
        <v>751</v>
      </c>
      <c r="M303" t="s">
        <v>31</v>
      </c>
      <c r="N303">
        <v>3</v>
      </c>
      <c r="O303" t="s">
        <v>6418</v>
      </c>
      <c r="P303" t="s">
        <v>6417</v>
      </c>
      <c r="Q303" t="s">
        <v>6416</v>
      </c>
      <c r="R303" s="7">
        <v>32143</v>
      </c>
      <c r="S303" s="8">
        <f t="shared" si="40"/>
        <v>1988</v>
      </c>
      <c r="T303" s="8">
        <v>1988</v>
      </c>
      <c r="U303" s="8">
        <f t="shared" si="41"/>
        <v>34</v>
      </c>
      <c r="V303" s="7">
        <v>32478</v>
      </c>
      <c r="W303" t="s">
        <v>69</v>
      </c>
      <c r="X303" s="2">
        <v>1.6519999999999999</v>
      </c>
      <c r="Y303" s="6">
        <f t="shared" si="38"/>
        <v>4.409919649769093E-2</v>
      </c>
      <c r="AA303" t="s">
        <v>68</v>
      </c>
      <c r="AB303">
        <v>17337</v>
      </c>
      <c r="AC303">
        <v>15582221</v>
      </c>
      <c r="AD303" t="s">
        <v>4</v>
      </c>
      <c r="AE303">
        <v>36</v>
      </c>
      <c r="AF303">
        <v>12</v>
      </c>
      <c r="AH303" t="s">
        <v>6415</v>
      </c>
      <c r="AI303" t="s">
        <v>6414</v>
      </c>
      <c r="AK303" t="s">
        <v>6413</v>
      </c>
      <c r="AL303">
        <v>68</v>
      </c>
      <c r="AM303" s="5">
        <f t="shared" si="42"/>
        <v>2</v>
      </c>
      <c r="AN303" s="4">
        <f t="shared" si="39"/>
        <v>3.0291556228701248E-3</v>
      </c>
      <c r="AO303" s="3"/>
      <c r="AP303">
        <v>0</v>
      </c>
      <c r="AR303" t="s">
        <v>0</v>
      </c>
      <c r="AT303" s="2" t="s">
        <v>19</v>
      </c>
      <c r="AU303" s="1">
        <f t="shared" si="43"/>
        <v>3.1778184235244686</v>
      </c>
      <c r="AV303" s="1">
        <f t="shared" si="44"/>
        <v>2.3564176060280526</v>
      </c>
      <c r="AW303" s="1">
        <f t="shared" si="45"/>
        <v>1.5350167885316366</v>
      </c>
    </row>
    <row r="304" spans="1:49" x14ac:dyDescent="0.2">
      <c r="A304">
        <v>302</v>
      </c>
      <c r="B304" t="s">
        <v>6412</v>
      </c>
      <c r="C304" t="s">
        <v>6411</v>
      </c>
      <c r="F304" t="s">
        <v>6410</v>
      </c>
      <c r="G304" t="s">
        <v>15</v>
      </c>
      <c r="H304" t="s">
        <v>14</v>
      </c>
      <c r="I304" t="s">
        <v>6409</v>
      </c>
      <c r="J304">
        <v>60015272</v>
      </c>
      <c r="K304" t="s">
        <v>6408</v>
      </c>
      <c r="L304" t="s">
        <v>6407</v>
      </c>
      <c r="M304" t="s">
        <v>31</v>
      </c>
      <c r="N304">
        <v>2</v>
      </c>
      <c r="O304" t="s">
        <v>6406</v>
      </c>
      <c r="P304" t="s">
        <v>6405</v>
      </c>
      <c r="Q304" t="s">
        <v>6404</v>
      </c>
      <c r="R304" s="7">
        <v>32143</v>
      </c>
      <c r="S304" s="8">
        <f t="shared" si="40"/>
        <v>1988</v>
      </c>
      <c r="T304" s="8">
        <v>1988</v>
      </c>
      <c r="U304" s="8">
        <f t="shared" si="41"/>
        <v>34</v>
      </c>
      <c r="V304" s="7">
        <v>32478</v>
      </c>
      <c r="W304" t="s">
        <v>1073</v>
      </c>
      <c r="X304" s="2">
        <v>1.3720000000000001</v>
      </c>
      <c r="Y304" s="6">
        <f t="shared" si="38"/>
        <v>3.662475641333654E-2</v>
      </c>
      <c r="AA304">
        <v>189480</v>
      </c>
      <c r="AB304">
        <v>17366</v>
      </c>
      <c r="AC304">
        <v>15579670</v>
      </c>
      <c r="AD304" t="s">
        <v>4</v>
      </c>
      <c r="AE304">
        <v>36</v>
      </c>
      <c r="AF304">
        <v>12</v>
      </c>
      <c r="AH304" t="s">
        <v>6403</v>
      </c>
      <c r="AI304" t="s">
        <v>6402</v>
      </c>
      <c r="AK304" t="s">
        <v>6401</v>
      </c>
      <c r="AL304">
        <v>31</v>
      </c>
      <c r="AM304" s="5">
        <f t="shared" si="42"/>
        <v>0.91176470588235292</v>
      </c>
      <c r="AN304" s="4">
        <f t="shared" si="39"/>
        <v>1.3809385927790274E-3</v>
      </c>
      <c r="AO304" s="3"/>
      <c r="AP304">
        <v>0</v>
      </c>
      <c r="AR304" t="s">
        <v>6400</v>
      </c>
      <c r="AT304" s="2" t="s">
        <v>19</v>
      </c>
      <c r="AU304" s="1">
        <f t="shared" si="43"/>
        <v>2.6051611067169285</v>
      </c>
      <c r="AV304" s="1">
        <f t="shared" si="44"/>
        <v>1.9002847503057783</v>
      </c>
      <c r="AW304" s="1">
        <f t="shared" si="45"/>
        <v>1.1954083938946281</v>
      </c>
    </row>
    <row r="305" spans="1:49" x14ac:dyDescent="0.2">
      <c r="A305">
        <v>303</v>
      </c>
      <c r="B305" t="s">
        <v>6399</v>
      </c>
      <c r="C305" t="s">
        <v>6398</v>
      </c>
      <c r="F305" t="s">
        <v>6397</v>
      </c>
      <c r="G305" t="s">
        <v>15</v>
      </c>
      <c r="H305" t="s">
        <v>14</v>
      </c>
      <c r="I305" t="s">
        <v>6396</v>
      </c>
      <c r="N305">
        <v>1</v>
      </c>
      <c r="O305" t="s">
        <v>6395</v>
      </c>
      <c r="P305">
        <v>6506244613</v>
      </c>
      <c r="R305" s="7">
        <v>32143</v>
      </c>
      <c r="S305" s="8">
        <f t="shared" si="40"/>
        <v>1988</v>
      </c>
      <c r="T305" s="8">
        <v>1988</v>
      </c>
      <c r="U305" s="8">
        <f t="shared" si="41"/>
        <v>34</v>
      </c>
      <c r="V305" s="7">
        <v>32478</v>
      </c>
      <c r="W305" t="s">
        <v>2441</v>
      </c>
      <c r="X305" s="2">
        <v>0.78200000000000003</v>
      </c>
      <c r="Y305" s="6">
        <f t="shared" si="38"/>
        <v>2.0875043378446919E-2</v>
      </c>
      <c r="AA305">
        <v>189316</v>
      </c>
      <c r="AB305">
        <v>19901</v>
      </c>
      <c r="AC305">
        <v>15579611</v>
      </c>
      <c r="AD305" t="s">
        <v>4</v>
      </c>
      <c r="AE305">
        <v>34</v>
      </c>
      <c r="AF305">
        <v>4</v>
      </c>
      <c r="AH305" t="s">
        <v>6394</v>
      </c>
      <c r="AL305">
        <v>0</v>
      </c>
      <c r="AM305" s="5">
        <f t="shared" si="42"/>
        <v>0</v>
      </c>
      <c r="AN305" s="4">
        <f t="shared" si="39"/>
        <v>0</v>
      </c>
      <c r="AO305" s="3"/>
      <c r="AP305">
        <v>0</v>
      </c>
      <c r="AR305" t="s">
        <v>0</v>
      </c>
      <c r="AT305" s="2">
        <v>3.863</v>
      </c>
      <c r="AU305" s="1">
        <f t="shared" si="43"/>
        <v>1.4612530364912841</v>
      </c>
      <c r="AV305" s="1">
        <f t="shared" si="44"/>
        <v>1.0437521689223459</v>
      </c>
      <c r="AW305" s="1">
        <f t="shared" si="45"/>
        <v>0.62625130135340756</v>
      </c>
    </row>
    <row r="306" spans="1:49" x14ac:dyDescent="0.2">
      <c r="A306">
        <v>304</v>
      </c>
      <c r="B306" t="s">
        <v>6393</v>
      </c>
      <c r="C306" t="s">
        <v>6392</v>
      </c>
      <c r="F306" t="s">
        <v>6391</v>
      </c>
      <c r="G306" t="s">
        <v>15</v>
      </c>
      <c r="H306" t="s">
        <v>14</v>
      </c>
      <c r="I306" t="s">
        <v>6390</v>
      </c>
      <c r="J306">
        <v>60009037</v>
      </c>
      <c r="K306" t="s">
        <v>400</v>
      </c>
      <c r="L306" t="s">
        <v>399</v>
      </c>
      <c r="M306" t="s">
        <v>31</v>
      </c>
      <c r="N306">
        <v>5</v>
      </c>
      <c r="O306" t="s">
        <v>6389</v>
      </c>
      <c r="P306" t="s">
        <v>6388</v>
      </c>
      <c r="Q306" t="s">
        <v>2417</v>
      </c>
      <c r="R306" s="7">
        <v>32143</v>
      </c>
      <c r="S306" s="8">
        <f t="shared" si="40"/>
        <v>1988</v>
      </c>
      <c r="T306" s="8">
        <v>1988</v>
      </c>
      <c r="U306" s="8">
        <f t="shared" si="41"/>
        <v>34</v>
      </c>
      <c r="V306" s="7">
        <v>32478</v>
      </c>
      <c r="W306" t="s">
        <v>69</v>
      </c>
      <c r="X306" s="2">
        <v>1.6519999999999999</v>
      </c>
      <c r="Y306" s="6">
        <f t="shared" si="38"/>
        <v>4.409919649769093E-2</v>
      </c>
      <c r="AA306" t="s">
        <v>68</v>
      </c>
      <c r="AB306">
        <v>17337</v>
      </c>
      <c r="AC306">
        <v>15582221</v>
      </c>
      <c r="AD306" t="s">
        <v>4</v>
      </c>
      <c r="AE306">
        <v>36</v>
      </c>
      <c r="AF306">
        <v>12</v>
      </c>
      <c r="AH306" t="s">
        <v>6387</v>
      </c>
      <c r="AI306" t="s">
        <v>6386</v>
      </c>
      <c r="AK306" t="s">
        <v>6385</v>
      </c>
      <c r="AL306">
        <v>11</v>
      </c>
      <c r="AM306" s="5">
        <f t="shared" si="42"/>
        <v>0.3235294117647059</v>
      </c>
      <c r="AN306" s="4">
        <f t="shared" si="39"/>
        <v>4.9001046840546137E-4</v>
      </c>
      <c r="AO306" s="3"/>
      <c r="AP306">
        <v>0</v>
      </c>
      <c r="AQ306" t="s">
        <v>577</v>
      </c>
      <c r="AR306" t="s">
        <v>0</v>
      </c>
      <c r="AS306" t="s">
        <v>575</v>
      </c>
      <c r="AT306" s="2" t="s">
        <v>19</v>
      </c>
      <c r="AU306" s="1">
        <f t="shared" si="43"/>
        <v>3.1016440688905291</v>
      </c>
      <c r="AV306" s="1">
        <f t="shared" si="44"/>
        <v>2.2294603483048197</v>
      </c>
      <c r="AW306" s="1">
        <f t="shared" si="45"/>
        <v>1.3572766277191102</v>
      </c>
    </row>
    <row r="307" spans="1:49" x14ac:dyDescent="0.2">
      <c r="A307">
        <v>305</v>
      </c>
      <c r="B307" t="s">
        <v>6384</v>
      </c>
      <c r="C307" t="s">
        <v>6383</v>
      </c>
      <c r="F307" t="s">
        <v>6382</v>
      </c>
      <c r="G307" t="s">
        <v>15</v>
      </c>
      <c r="H307" t="s">
        <v>14</v>
      </c>
      <c r="I307" t="s">
        <v>6381</v>
      </c>
      <c r="J307" t="s">
        <v>6380</v>
      </c>
      <c r="K307" t="s">
        <v>6379</v>
      </c>
      <c r="L307" t="s">
        <v>6378</v>
      </c>
      <c r="M307" t="s">
        <v>9</v>
      </c>
      <c r="N307">
        <v>3</v>
      </c>
      <c r="O307" t="s">
        <v>6377</v>
      </c>
      <c r="P307" t="s">
        <v>6376</v>
      </c>
      <c r="Q307" t="s">
        <v>6375</v>
      </c>
      <c r="R307" s="7">
        <v>32143</v>
      </c>
      <c r="S307" s="8">
        <f t="shared" si="40"/>
        <v>1988</v>
      </c>
      <c r="T307" s="8">
        <v>1988</v>
      </c>
      <c r="U307" s="8">
        <f t="shared" si="41"/>
        <v>34</v>
      </c>
      <c r="V307" s="7">
        <v>32478</v>
      </c>
      <c r="W307" t="s">
        <v>69</v>
      </c>
      <c r="X307" s="2">
        <v>1.6519999999999999</v>
      </c>
      <c r="Y307" s="6">
        <f t="shared" si="38"/>
        <v>4.409919649769093E-2</v>
      </c>
      <c r="AA307" t="s">
        <v>68</v>
      </c>
      <c r="AB307">
        <v>17337</v>
      </c>
      <c r="AC307">
        <v>15582221</v>
      </c>
      <c r="AD307" t="s">
        <v>4</v>
      </c>
      <c r="AE307">
        <v>36</v>
      </c>
      <c r="AF307">
        <v>12</v>
      </c>
      <c r="AH307" t="s">
        <v>6374</v>
      </c>
      <c r="AI307" t="s">
        <v>6373</v>
      </c>
      <c r="AK307" t="s">
        <v>6372</v>
      </c>
      <c r="AL307">
        <v>0</v>
      </c>
      <c r="AM307" s="5">
        <f t="shared" si="42"/>
        <v>0</v>
      </c>
      <c r="AN307" s="4">
        <f t="shared" si="39"/>
        <v>0</v>
      </c>
      <c r="AO307" s="3"/>
      <c r="AP307">
        <v>0</v>
      </c>
      <c r="AR307" t="s">
        <v>0</v>
      </c>
      <c r="AT307" s="2" t="s">
        <v>19</v>
      </c>
      <c r="AU307" s="1">
        <f t="shared" si="43"/>
        <v>3.0869437548383649</v>
      </c>
      <c r="AV307" s="1">
        <f t="shared" si="44"/>
        <v>2.2049598248845466</v>
      </c>
      <c r="AW307" s="1">
        <f t="shared" si="45"/>
        <v>1.3229758949307278</v>
      </c>
    </row>
    <row r="308" spans="1:49" x14ac:dyDescent="0.2">
      <c r="A308">
        <v>306</v>
      </c>
      <c r="B308" t="s">
        <v>6371</v>
      </c>
      <c r="C308" t="s">
        <v>6370</v>
      </c>
      <c r="F308" t="s">
        <v>6369</v>
      </c>
      <c r="G308" t="s">
        <v>15</v>
      </c>
      <c r="H308" t="s">
        <v>14</v>
      </c>
      <c r="I308" t="s">
        <v>5012</v>
      </c>
      <c r="J308">
        <v>60031126</v>
      </c>
      <c r="K308" t="s">
        <v>2070</v>
      </c>
      <c r="L308" t="s">
        <v>212</v>
      </c>
      <c r="M308" t="s">
        <v>211</v>
      </c>
      <c r="N308">
        <v>4</v>
      </c>
      <c r="O308" t="s">
        <v>6368</v>
      </c>
      <c r="P308" t="s">
        <v>6367</v>
      </c>
      <c r="Q308" t="s">
        <v>5009</v>
      </c>
      <c r="R308" s="7">
        <v>32143</v>
      </c>
      <c r="S308" s="8">
        <f t="shared" si="40"/>
        <v>1988</v>
      </c>
      <c r="T308" s="8">
        <v>1988</v>
      </c>
      <c r="U308" s="8">
        <f t="shared" si="41"/>
        <v>34</v>
      </c>
      <c r="V308" s="7">
        <v>32478</v>
      </c>
      <c r="W308" t="s">
        <v>69</v>
      </c>
      <c r="X308" s="2">
        <v>1.6519999999999999</v>
      </c>
      <c r="Y308" s="6">
        <f t="shared" si="38"/>
        <v>4.409919649769093E-2</v>
      </c>
      <c r="AA308" t="s">
        <v>68</v>
      </c>
      <c r="AB308">
        <v>17337</v>
      </c>
      <c r="AC308">
        <v>15582221</v>
      </c>
      <c r="AD308" t="s">
        <v>4</v>
      </c>
      <c r="AE308">
        <v>36</v>
      </c>
      <c r="AF308">
        <v>12</v>
      </c>
      <c r="AH308" t="s">
        <v>6366</v>
      </c>
      <c r="AI308" t="s">
        <v>6365</v>
      </c>
      <c r="AK308" t="s">
        <v>6364</v>
      </c>
      <c r="AL308">
        <v>65</v>
      </c>
      <c r="AM308" s="5">
        <f t="shared" si="42"/>
        <v>1.911764705882353</v>
      </c>
      <c r="AN308" s="4">
        <f t="shared" si="39"/>
        <v>2.89551640421409E-3</v>
      </c>
      <c r="AO308" s="3"/>
      <c r="AP308">
        <v>0</v>
      </c>
      <c r="AR308" t="s">
        <v>0</v>
      </c>
      <c r="AT308" s="2" t="s">
        <v>19</v>
      </c>
      <c r="AU308" s="1">
        <f t="shared" si="43"/>
        <v>3.1738092469647881</v>
      </c>
      <c r="AV308" s="1">
        <f t="shared" si="44"/>
        <v>2.3497356450952509</v>
      </c>
      <c r="AW308" s="1">
        <f t="shared" si="45"/>
        <v>1.5256620432257142</v>
      </c>
    </row>
    <row r="309" spans="1:49" x14ac:dyDescent="0.2">
      <c r="A309">
        <v>307</v>
      </c>
      <c r="B309" t="s">
        <v>6363</v>
      </c>
      <c r="C309" t="s">
        <v>6362</v>
      </c>
      <c r="F309" t="s">
        <v>6361</v>
      </c>
      <c r="G309" t="s">
        <v>15</v>
      </c>
      <c r="H309" t="s">
        <v>14</v>
      </c>
      <c r="I309" t="s">
        <v>6360</v>
      </c>
      <c r="J309">
        <v>60005304</v>
      </c>
      <c r="K309" t="s">
        <v>72</v>
      </c>
      <c r="L309" t="s">
        <v>71</v>
      </c>
      <c r="M309" t="s">
        <v>31</v>
      </c>
      <c r="N309">
        <v>2</v>
      </c>
      <c r="O309" t="s">
        <v>6359</v>
      </c>
      <c r="P309" t="s">
        <v>6358</v>
      </c>
      <c r="Q309" t="s">
        <v>1934</v>
      </c>
      <c r="R309" s="7">
        <v>32143</v>
      </c>
      <c r="S309" s="8">
        <f t="shared" si="40"/>
        <v>1988</v>
      </c>
      <c r="T309" s="8">
        <v>1988</v>
      </c>
      <c r="U309" s="8">
        <f t="shared" si="41"/>
        <v>34</v>
      </c>
      <c r="V309" s="7">
        <v>32478</v>
      </c>
      <c r="W309" t="s">
        <v>69</v>
      </c>
      <c r="X309" s="2">
        <v>1.6519999999999999</v>
      </c>
      <c r="Y309" s="6">
        <f t="shared" si="38"/>
        <v>4.409919649769093E-2</v>
      </c>
      <c r="AA309" t="s">
        <v>68</v>
      </c>
      <c r="AB309">
        <v>17337</v>
      </c>
      <c r="AC309">
        <v>15582221</v>
      </c>
      <c r="AD309" t="s">
        <v>4</v>
      </c>
      <c r="AE309">
        <v>36</v>
      </c>
      <c r="AF309">
        <v>12</v>
      </c>
      <c r="AH309" t="s">
        <v>6357</v>
      </c>
      <c r="AI309" t="s">
        <v>6356</v>
      </c>
      <c r="AK309" t="s">
        <v>6355</v>
      </c>
      <c r="AL309">
        <v>36</v>
      </c>
      <c r="AM309" s="5">
        <f t="shared" si="42"/>
        <v>1.0588235294117647</v>
      </c>
      <c r="AN309" s="4">
        <f t="shared" si="39"/>
        <v>1.6036706238724192E-3</v>
      </c>
      <c r="AO309" s="3"/>
      <c r="AP309">
        <v>0</v>
      </c>
      <c r="AR309" t="s">
        <v>0</v>
      </c>
      <c r="AT309" s="2" t="s">
        <v>19</v>
      </c>
      <c r="AU309" s="1">
        <f t="shared" si="43"/>
        <v>3.1350538735545377</v>
      </c>
      <c r="AV309" s="1">
        <f t="shared" si="44"/>
        <v>2.2851433560781675</v>
      </c>
      <c r="AW309" s="1">
        <f t="shared" si="45"/>
        <v>1.4352328386017972</v>
      </c>
    </row>
    <row r="310" spans="1:49" x14ac:dyDescent="0.2">
      <c r="A310">
        <v>308</v>
      </c>
      <c r="B310" t="s">
        <v>6354</v>
      </c>
      <c r="C310" t="s">
        <v>6353</v>
      </c>
      <c r="F310" t="s">
        <v>6352</v>
      </c>
      <c r="G310" t="s">
        <v>15</v>
      </c>
      <c r="H310" t="s">
        <v>14</v>
      </c>
      <c r="I310" t="s">
        <v>6351</v>
      </c>
      <c r="N310">
        <v>3</v>
      </c>
      <c r="O310" t="s">
        <v>6350</v>
      </c>
      <c r="P310" t="s">
        <v>6349</v>
      </c>
      <c r="Q310" t="s">
        <v>532</v>
      </c>
      <c r="R310" s="7">
        <v>32143</v>
      </c>
      <c r="S310" s="8">
        <f t="shared" si="40"/>
        <v>1988</v>
      </c>
      <c r="T310" s="8">
        <v>1988</v>
      </c>
      <c r="U310" s="8">
        <f t="shared" si="41"/>
        <v>34</v>
      </c>
      <c r="V310" s="7">
        <v>32478</v>
      </c>
      <c r="W310" t="s">
        <v>476</v>
      </c>
      <c r="X310" s="2">
        <v>0.22600000000000001</v>
      </c>
      <c r="Y310" s="6">
        <f t="shared" si="38"/>
        <v>6.0329409252289053E-3</v>
      </c>
      <c r="AA310">
        <v>2786648</v>
      </c>
      <c r="AB310">
        <v>17299</v>
      </c>
      <c r="AD310" t="s">
        <v>4</v>
      </c>
      <c r="AE310">
        <v>7</v>
      </c>
      <c r="AF310">
        <v>4</v>
      </c>
      <c r="AH310" t="s">
        <v>6348</v>
      </c>
      <c r="AL310">
        <v>5</v>
      </c>
      <c r="AM310" s="5">
        <f t="shared" si="42"/>
        <v>0.14705882352941177</v>
      </c>
      <c r="AN310" s="4">
        <f t="shared" si="39"/>
        <v>2.2273203109339154E-4</v>
      </c>
      <c r="AO310" s="3"/>
      <c r="AP310">
        <v>0</v>
      </c>
      <c r="AR310" t="s">
        <v>0</v>
      </c>
      <c r="AT310" s="2" t="s">
        <v>19</v>
      </c>
      <c r="AU310" s="1">
        <f t="shared" si="43"/>
        <v>0.42898782569882515</v>
      </c>
      <c r="AV310" s="1">
        <f t="shared" si="44"/>
        <v>0.31278364781611484</v>
      </c>
      <c r="AW310" s="1">
        <f t="shared" si="45"/>
        <v>0.19657946993340453</v>
      </c>
    </row>
    <row r="311" spans="1:49" x14ac:dyDescent="0.2">
      <c r="A311">
        <v>309</v>
      </c>
      <c r="B311" t="s">
        <v>6347</v>
      </c>
      <c r="C311" t="s">
        <v>6346</v>
      </c>
      <c r="F311" t="s">
        <v>6345</v>
      </c>
      <c r="G311" t="s">
        <v>15</v>
      </c>
      <c r="H311" t="s">
        <v>14</v>
      </c>
      <c r="I311" t="s">
        <v>6344</v>
      </c>
      <c r="N311">
        <v>2</v>
      </c>
      <c r="O311" t="s">
        <v>6343</v>
      </c>
      <c r="P311" t="s">
        <v>6342</v>
      </c>
      <c r="Q311" t="s">
        <v>501</v>
      </c>
      <c r="R311" s="7">
        <v>32143</v>
      </c>
      <c r="S311" s="8">
        <f t="shared" si="40"/>
        <v>1988</v>
      </c>
      <c r="T311" s="8">
        <v>1988</v>
      </c>
      <c r="U311" s="8">
        <f t="shared" si="41"/>
        <v>34</v>
      </c>
      <c r="V311" s="7">
        <v>32478</v>
      </c>
      <c r="W311" t="s">
        <v>2441</v>
      </c>
      <c r="X311" s="2">
        <v>0.78200000000000003</v>
      </c>
      <c r="Y311" s="6">
        <f t="shared" si="38"/>
        <v>2.0875043378446919E-2</v>
      </c>
      <c r="AA311">
        <v>189316</v>
      </c>
      <c r="AB311">
        <v>19901</v>
      </c>
      <c r="AC311">
        <v>15579611</v>
      </c>
      <c r="AD311" t="s">
        <v>4</v>
      </c>
      <c r="AE311">
        <v>34</v>
      </c>
      <c r="AF311">
        <v>4</v>
      </c>
      <c r="AH311" t="s">
        <v>6341</v>
      </c>
      <c r="AL311">
        <v>1</v>
      </c>
      <c r="AM311" s="5">
        <f t="shared" si="42"/>
        <v>2.9411764705882353E-2</v>
      </c>
      <c r="AN311" s="4">
        <f t="shared" si="39"/>
        <v>4.4546406218678307E-5</v>
      </c>
      <c r="AO311" s="3"/>
      <c r="AP311">
        <v>0</v>
      </c>
      <c r="AR311" t="s">
        <v>0</v>
      </c>
      <c r="AT311" s="2">
        <v>3.863</v>
      </c>
      <c r="AU311" s="1">
        <f t="shared" si="43"/>
        <v>1.4625894286778445</v>
      </c>
      <c r="AV311" s="1">
        <f t="shared" si="44"/>
        <v>1.0459794892332799</v>
      </c>
      <c r="AW311" s="1">
        <f t="shared" si="45"/>
        <v>0.62936954978871507</v>
      </c>
    </row>
    <row r="312" spans="1:49" x14ac:dyDescent="0.2">
      <c r="A312">
        <v>310</v>
      </c>
      <c r="B312" t="s">
        <v>6340</v>
      </c>
      <c r="C312" t="s">
        <v>6339</v>
      </c>
      <c r="F312" t="s">
        <v>6338</v>
      </c>
      <c r="G312" t="s">
        <v>15</v>
      </c>
      <c r="H312" t="s">
        <v>14</v>
      </c>
      <c r="I312" t="s">
        <v>2718</v>
      </c>
      <c r="J312">
        <v>60012162</v>
      </c>
      <c r="K312" t="s">
        <v>6337</v>
      </c>
      <c r="L312" t="s">
        <v>6336</v>
      </c>
      <c r="M312" t="s">
        <v>1725</v>
      </c>
      <c r="N312">
        <v>3</v>
      </c>
      <c r="O312" t="s">
        <v>6335</v>
      </c>
      <c r="P312" t="s">
        <v>2715</v>
      </c>
      <c r="Q312" t="s">
        <v>6334</v>
      </c>
      <c r="R312" s="7">
        <v>32143</v>
      </c>
      <c r="S312" s="8">
        <f t="shared" si="40"/>
        <v>1988</v>
      </c>
      <c r="T312" s="8">
        <v>1988</v>
      </c>
      <c r="U312" s="8">
        <f t="shared" si="41"/>
        <v>34</v>
      </c>
      <c r="V312" s="7">
        <v>32478</v>
      </c>
      <c r="W312" t="s">
        <v>69</v>
      </c>
      <c r="X312" s="2">
        <v>1.6519999999999999</v>
      </c>
      <c r="Y312" s="6">
        <f t="shared" si="38"/>
        <v>4.409919649769093E-2</v>
      </c>
      <c r="AA312" t="s">
        <v>68</v>
      </c>
      <c r="AB312">
        <v>17337</v>
      </c>
      <c r="AC312">
        <v>15582221</v>
      </c>
      <c r="AD312" t="s">
        <v>4</v>
      </c>
      <c r="AE312">
        <v>36</v>
      </c>
      <c r="AF312">
        <v>12</v>
      </c>
      <c r="AH312" t="s">
        <v>6333</v>
      </c>
      <c r="AI312" t="s">
        <v>6332</v>
      </c>
      <c r="AK312" t="s">
        <v>6331</v>
      </c>
      <c r="AL312">
        <v>32</v>
      </c>
      <c r="AM312" s="5">
        <f t="shared" si="42"/>
        <v>0.94117647058823528</v>
      </c>
      <c r="AN312" s="4">
        <f t="shared" si="39"/>
        <v>1.4254849989977058E-3</v>
      </c>
      <c r="AO312" s="3"/>
      <c r="AP312">
        <v>0</v>
      </c>
      <c r="AR312" t="s">
        <v>0</v>
      </c>
      <c r="AT312" s="2" t="s">
        <v>19</v>
      </c>
      <c r="AU312" s="1">
        <f t="shared" si="43"/>
        <v>3.1297083048082963</v>
      </c>
      <c r="AV312" s="1">
        <f t="shared" si="44"/>
        <v>2.2762340748344321</v>
      </c>
      <c r="AW312" s="1">
        <f t="shared" si="45"/>
        <v>1.4227598448605672</v>
      </c>
    </row>
    <row r="313" spans="1:49" x14ac:dyDescent="0.2">
      <c r="A313">
        <v>311</v>
      </c>
      <c r="B313" t="s">
        <v>6330</v>
      </c>
      <c r="C313" t="s">
        <v>6329</v>
      </c>
      <c r="F313" t="s">
        <v>6328</v>
      </c>
      <c r="G313" t="s">
        <v>15</v>
      </c>
      <c r="H313" t="s">
        <v>14</v>
      </c>
      <c r="I313" t="s">
        <v>6327</v>
      </c>
      <c r="J313">
        <v>115666005</v>
      </c>
      <c r="K313" t="s">
        <v>6326</v>
      </c>
      <c r="M313" t="s">
        <v>211</v>
      </c>
      <c r="N313">
        <v>1</v>
      </c>
      <c r="O313" t="s">
        <v>6325</v>
      </c>
      <c r="P313">
        <v>26651144600</v>
      </c>
      <c r="Q313">
        <v>115666005</v>
      </c>
      <c r="R313" s="7">
        <v>32143</v>
      </c>
      <c r="S313" s="8">
        <f t="shared" si="40"/>
        <v>1988</v>
      </c>
      <c r="T313" s="8">
        <v>1988</v>
      </c>
      <c r="U313" s="8">
        <f t="shared" si="41"/>
        <v>34</v>
      </c>
      <c r="V313" s="7">
        <v>32478</v>
      </c>
      <c r="W313" t="s">
        <v>2441</v>
      </c>
      <c r="X313" s="2">
        <v>0.78200000000000003</v>
      </c>
      <c r="Y313" s="6">
        <f t="shared" si="38"/>
        <v>2.0875043378446919E-2</v>
      </c>
      <c r="AA313">
        <v>189316</v>
      </c>
      <c r="AB313">
        <v>19901</v>
      </c>
      <c r="AC313">
        <v>15579611</v>
      </c>
      <c r="AD313" t="s">
        <v>4</v>
      </c>
      <c r="AE313">
        <v>34</v>
      </c>
      <c r="AF313">
        <v>4</v>
      </c>
      <c r="AH313" t="s">
        <v>6324</v>
      </c>
      <c r="AL313">
        <v>0</v>
      </c>
      <c r="AM313" s="5">
        <f t="shared" si="42"/>
        <v>0</v>
      </c>
      <c r="AN313" s="4">
        <f t="shared" si="39"/>
        <v>0</v>
      </c>
      <c r="AO313" s="3"/>
      <c r="AP313">
        <v>0</v>
      </c>
      <c r="AR313" t="s">
        <v>0</v>
      </c>
      <c r="AT313" s="2">
        <v>3.863</v>
      </c>
      <c r="AU313" s="1">
        <f t="shared" si="43"/>
        <v>1.4612530364912841</v>
      </c>
      <c r="AV313" s="1">
        <f t="shared" si="44"/>
        <v>1.0437521689223459</v>
      </c>
      <c r="AW313" s="1">
        <f t="shared" si="45"/>
        <v>0.62625130135340756</v>
      </c>
    </row>
    <row r="314" spans="1:49" x14ac:dyDescent="0.2">
      <c r="A314">
        <v>312</v>
      </c>
      <c r="B314" t="s">
        <v>6323</v>
      </c>
      <c r="C314" t="s">
        <v>6322</v>
      </c>
      <c r="F314" t="s">
        <v>6321</v>
      </c>
      <c r="G314" t="s">
        <v>15</v>
      </c>
      <c r="H314" t="s">
        <v>14</v>
      </c>
      <c r="I314" t="s">
        <v>6320</v>
      </c>
      <c r="J314" t="s">
        <v>6319</v>
      </c>
      <c r="K314" t="s">
        <v>6318</v>
      </c>
      <c r="L314" t="s">
        <v>6317</v>
      </c>
      <c r="M314" t="s">
        <v>9</v>
      </c>
      <c r="N314">
        <v>3</v>
      </c>
      <c r="O314" t="s">
        <v>6316</v>
      </c>
      <c r="P314" t="s">
        <v>6315</v>
      </c>
      <c r="Q314" t="s">
        <v>6314</v>
      </c>
      <c r="R314" s="7">
        <v>32143</v>
      </c>
      <c r="S314" s="8">
        <f t="shared" si="40"/>
        <v>1988</v>
      </c>
      <c r="T314" s="8">
        <v>1988</v>
      </c>
      <c r="U314" s="8">
        <f t="shared" si="41"/>
        <v>34</v>
      </c>
      <c r="V314" s="7">
        <v>32478</v>
      </c>
      <c r="W314" t="s">
        <v>1983</v>
      </c>
      <c r="X314" s="2">
        <v>2.383</v>
      </c>
      <c r="Y314" s="6">
        <f t="shared" si="38"/>
        <v>6.3612824003630442E-2</v>
      </c>
      <c r="AA314">
        <v>189219</v>
      </c>
      <c r="AB314">
        <v>17915</v>
      </c>
      <c r="AC314">
        <v>15582256</v>
      </c>
      <c r="AD314" t="s">
        <v>4</v>
      </c>
      <c r="AE314">
        <v>76</v>
      </c>
      <c r="AF314">
        <v>12</v>
      </c>
      <c r="AH314" t="s">
        <v>6313</v>
      </c>
      <c r="AL314">
        <v>902</v>
      </c>
      <c r="AM314" s="5">
        <f t="shared" si="42"/>
        <v>26.529411764705884</v>
      </c>
      <c r="AN314" s="4">
        <f t="shared" si="39"/>
        <v>4.0180858409247837E-2</v>
      </c>
      <c r="AO314" s="3"/>
      <c r="AP314">
        <v>0</v>
      </c>
      <c r="AR314" t="s">
        <v>0</v>
      </c>
      <c r="AT314" s="2">
        <v>10.961</v>
      </c>
      <c r="AU314" s="1">
        <f t="shared" si="43"/>
        <v>5.6583234325315663</v>
      </c>
      <c r="AV314" s="1">
        <f t="shared" si="44"/>
        <v>5.1896841206439142</v>
      </c>
      <c r="AW314" s="1">
        <f t="shared" si="45"/>
        <v>4.7210448087562611</v>
      </c>
    </row>
    <row r="315" spans="1:49" x14ac:dyDescent="0.2">
      <c r="A315">
        <v>313</v>
      </c>
      <c r="B315" t="s">
        <v>6312</v>
      </c>
      <c r="C315" t="s">
        <v>6311</v>
      </c>
      <c r="F315" t="s">
        <v>6310</v>
      </c>
      <c r="G315" t="s">
        <v>15</v>
      </c>
      <c r="H315" t="s">
        <v>14</v>
      </c>
      <c r="I315" t="s">
        <v>6309</v>
      </c>
      <c r="J315" t="s">
        <v>6308</v>
      </c>
      <c r="K315" t="s">
        <v>6307</v>
      </c>
      <c r="L315" t="s">
        <v>6306</v>
      </c>
      <c r="M315" t="s">
        <v>9</v>
      </c>
      <c r="N315">
        <v>3</v>
      </c>
      <c r="O315" t="s">
        <v>6305</v>
      </c>
      <c r="P315" t="s">
        <v>6304</v>
      </c>
      <c r="Q315" t="s">
        <v>6303</v>
      </c>
      <c r="R315" s="7">
        <v>32143</v>
      </c>
      <c r="S315" s="8">
        <f t="shared" si="40"/>
        <v>1988</v>
      </c>
      <c r="T315" s="8">
        <v>1988</v>
      </c>
      <c r="U315" s="8">
        <f t="shared" si="41"/>
        <v>34</v>
      </c>
      <c r="V315" s="7">
        <v>32478</v>
      </c>
      <c r="W315" t="s">
        <v>1073</v>
      </c>
      <c r="X315" s="2">
        <v>1.3720000000000001</v>
      </c>
      <c r="Y315" s="6">
        <f t="shared" si="38"/>
        <v>3.662475641333654E-2</v>
      </c>
      <c r="AA315">
        <v>189480</v>
      </c>
      <c r="AB315">
        <v>17366</v>
      </c>
      <c r="AC315">
        <v>15579670</v>
      </c>
      <c r="AD315" t="s">
        <v>4</v>
      </c>
      <c r="AE315">
        <v>36</v>
      </c>
      <c r="AF315">
        <v>12</v>
      </c>
      <c r="AH315" t="s">
        <v>6302</v>
      </c>
      <c r="AI315" t="s">
        <v>6301</v>
      </c>
      <c r="AK315" t="s">
        <v>6300</v>
      </c>
      <c r="AL315">
        <v>26</v>
      </c>
      <c r="AM315" s="5">
        <f t="shared" si="42"/>
        <v>0.76470588235294112</v>
      </c>
      <c r="AN315" s="4">
        <f t="shared" si="39"/>
        <v>1.1582065616856359E-3</v>
      </c>
      <c r="AO315" s="3"/>
      <c r="AP315">
        <v>0</v>
      </c>
      <c r="AQ315" t="s">
        <v>855</v>
      </c>
      <c r="AR315" t="s">
        <v>6299</v>
      </c>
      <c r="AS315" t="s">
        <v>854</v>
      </c>
      <c r="AT315" s="2" t="s">
        <v>19</v>
      </c>
      <c r="AU315" s="1">
        <f t="shared" si="43"/>
        <v>2.5984791457841263</v>
      </c>
      <c r="AV315" s="1">
        <f t="shared" si="44"/>
        <v>1.8891481487511088</v>
      </c>
      <c r="AW315" s="1">
        <f t="shared" si="45"/>
        <v>1.1798171517180907</v>
      </c>
    </row>
    <row r="316" spans="1:49" x14ac:dyDescent="0.2">
      <c r="A316">
        <v>314</v>
      </c>
      <c r="B316" t="s">
        <v>6298</v>
      </c>
      <c r="C316" t="s">
        <v>6297</v>
      </c>
      <c r="F316" t="s">
        <v>6296</v>
      </c>
      <c r="G316" t="s">
        <v>15</v>
      </c>
      <c r="H316" t="s">
        <v>14</v>
      </c>
      <c r="I316" t="s">
        <v>6295</v>
      </c>
      <c r="J316">
        <v>60014652</v>
      </c>
      <c r="K316" t="s">
        <v>2261</v>
      </c>
      <c r="L316" t="s">
        <v>2260</v>
      </c>
      <c r="M316" t="s">
        <v>211</v>
      </c>
      <c r="N316">
        <v>3</v>
      </c>
      <c r="O316" t="s">
        <v>6294</v>
      </c>
      <c r="P316" t="s">
        <v>6293</v>
      </c>
      <c r="Q316" t="s">
        <v>4406</v>
      </c>
      <c r="R316" s="7">
        <v>32143</v>
      </c>
      <c r="S316" s="8">
        <f t="shared" si="40"/>
        <v>1988</v>
      </c>
      <c r="T316" s="8">
        <v>1988</v>
      </c>
      <c r="U316" s="8">
        <f t="shared" si="41"/>
        <v>34</v>
      </c>
      <c r="V316" s="7">
        <v>32478</v>
      </c>
      <c r="W316" t="s">
        <v>69</v>
      </c>
      <c r="X316" s="2">
        <v>1.6519999999999999</v>
      </c>
      <c r="Y316" s="6">
        <f t="shared" si="38"/>
        <v>4.409919649769093E-2</v>
      </c>
      <c r="AA316" t="s">
        <v>68</v>
      </c>
      <c r="AB316">
        <v>17337</v>
      </c>
      <c r="AC316">
        <v>15582221</v>
      </c>
      <c r="AD316" t="s">
        <v>4</v>
      </c>
      <c r="AE316">
        <v>36</v>
      </c>
      <c r="AF316">
        <v>12</v>
      </c>
      <c r="AH316" t="s">
        <v>6292</v>
      </c>
      <c r="AI316" t="s">
        <v>6291</v>
      </c>
      <c r="AK316" t="s">
        <v>6290</v>
      </c>
      <c r="AL316">
        <v>0</v>
      </c>
      <c r="AM316" s="5">
        <f t="shared" si="42"/>
        <v>0</v>
      </c>
      <c r="AN316" s="4">
        <f t="shared" si="39"/>
        <v>0</v>
      </c>
      <c r="AO316" s="3"/>
      <c r="AP316">
        <v>0</v>
      </c>
      <c r="AR316" t="s">
        <v>0</v>
      </c>
      <c r="AT316" s="2" t="s">
        <v>19</v>
      </c>
      <c r="AU316" s="1">
        <f t="shared" si="43"/>
        <v>3.0869437548383649</v>
      </c>
      <c r="AV316" s="1">
        <f t="shared" si="44"/>
        <v>2.2049598248845466</v>
      </c>
      <c r="AW316" s="1">
        <f t="shared" si="45"/>
        <v>1.3229758949307278</v>
      </c>
    </row>
    <row r="317" spans="1:49" x14ac:dyDescent="0.2">
      <c r="A317">
        <v>315</v>
      </c>
      <c r="B317" t="s">
        <v>6289</v>
      </c>
      <c r="C317" t="s">
        <v>6288</v>
      </c>
      <c r="D317" t="s">
        <v>6287</v>
      </c>
      <c r="E317">
        <v>3343161</v>
      </c>
      <c r="F317" t="s">
        <v>6286</v>
      </c>
      <c r="G317" t="s">
        <v>15</v>
      </c>
      <c r="H317" t="s">
        <v>14</v>
      </c>
      <c r="I317" t="s">
        <v>1198</v>
      </c>
      <c r="J317">
        <v>60017412</v>
      </c>
      <c r="K317" t="s">
        <v>1197</v>
      </c>
      <c r="L317" t="s">
        <v>1196</v>
      </c>
      <c r="M317" t="s">
        <v>31</v>
      </c>
      <c r="N317">
        <v>8</v>
      </c>
      <c r="O317" t="s">
        <v>6285</v>
      </c>
      <c r="P317" t="s">
        <v>6284</v>
      </c>
      <c r="Q317" t="s">
        <v>6283</v>
      </c>
      <c r="R317" s="7">
        <v>32143</v>
      </c>
      <c r="S317" s="8">
        <f t="shared" si="40"/>
        <v>1988</v>
      </c>
      <c r="T317" s="8">
        <v>1988</v>
      </c>
      <c r="U317" s="8">
        <f t="shared" si="41"/>
        <v>34</v>
      </c>
      <c r="V317" s="7">
        <v>32203</v>
      </c>
      <c r="W317" t="s">
        <v>762</v>
      </c>
      <c r="X317" s="2" t="s">
        <v>19</v>
      </c>
      <c r="Y317" s="6" t="e">
        <f t="shared" si="38"/>
        <v>#VALUE!</v>
      </c>
      <c r="AA317">
        <v>3603016</v>
      </c>
      <c r="AB317">
        <v>17191</v>
      </c>
      <c r="AD317" t="s">
        <v>4</v>
      </c>
      <c r="AE317">
        <v>14</v>
      </c>
      <c r="AF317">
        <v>3</v>
      </c>
      <c r="AH317" t="s">
        <v>6282</v>
      </c>
      <c r="AI317" t="s">
        <v>6281</v>
      </c>
      <c r="AJ317" t="s">
        <v>6280</v>
      </c>
      <c r="AK317" t="s">
        <v>6279</v>
      </c>
      <c r="AL317">
        <v>18</v>
      </c>
      <c r="AM317" s="5">
        <f t="shared" si="42"/>
        <v>0.52941176470588236</v>
      </c>
      <c r="AN317" s="4">
        <f t="shared" si="39"/>
        <v>8.0183531193620959E-4</v>
      </c>
      <c r="AO317" s="3"/>
      <c r="AP317">
        <v>0</v>
      </c>
      <c r="AQ317" t="s">
        <v>1188</v>
      </c>
      <c r="AR317" t="s">
        <v>1187</v>
      </c>
      <c r="AS317" t="s">
        <v>1186</v>
      </c>
      <c r="AT317" s="2" t="s">
        <v>19</v>
      </c>
      <c r="AU317" s="1" t="e">
        <f t="shared" si="43"/>
        <v>#VALUE!</v>
      </c>
      <c r="AV317" s="1" t="e">
        <f t="shared" si="44"/>
        <v>#VALUE!</v>
      </c>
      <c r="AW317" s="1" t="e">
        <f t="shared" si="45"/>
        <v>#VALUE!</v>
      </c>
    </row>
    <row r="318" spans="1:49" x14ac:dyDescent="0.2">
      <c r="A318">
        <v>316</v>
      </c>
      <c r="B318" t="s">
        <v>6278</v>
      </c>
      <c r="C318" t="s">
        <v>6277</v>
      </c>
      <c r="D318">
        <v>31938488902107</v>
      </c>
      <c r="E318">
        <v>3200911</v>
      </c>
      <c r="F318" t="s">
        <v>6276</v>
      </c>
      <c r="G318" t="s">
        <v>15</v>
      </c>
      <c r="H318" t="s">
        <v>14</v>
      </c>
      <c r="I318" t="s">
        <v>6275</v>
      </c>
      <c r="J318">
        <v>60023208</v>
      </c>
      <c r="K318" t="s">
        <v>6274</v>
      </c>
      <c r="L318" t="s">
        <v>6273</v>
      </c>
      <c r="M318" t="s">
        <v>45</v>
      </c>
      <c r="N318">
        <v>1</v>
      </c>
      <c r="O318" t="s">
        <v>6272</v>
      </c>
      <c r="P318">
        <v>24761263200</v>
      </c>
      <c r="Q318">
        <v>60023208</v>
      </c>
      <c r="R318" s="7">
        <v>32143</v>
      </c>
      <c r="S318" s="8">
        <f t="shared" si="40"/>
        <v>1988</v>
      </c>
      <c r="T318" s="8">
        <v>1988</v>
      </c>
      <c r="U318" s="8">
        <f t="shared" si="41"/>
        <v>34</v>
      </c>
      <c r="V318" s="7">
        <v>1988</v>
      </c>
      <c r="W318" t="s">
        <v>6271</v>
      </c>
      <c r="X318" s="2">
        <v>0.96</v>
      </c>
      <c r="Y318" s="6">
        <f t="shared" si="38"/>
        <v>2.5626651717786497E-2</v>
      </c>
      <c r="AA318">
        <v>319384</v>
      </c>
      <c r="AB318">
        <v>24007</v>
      </c>
      <c r="AD318" t="s">
        <v>4</v>
      </c>
      <c r="AE318">
        <v>43</v>
      </c>
      <c r="AF318">
        <v>5</v>
      </c>
      <c r="AH318" t="s">
        <v>6270</v>
      </c>
      <c r="AI318" t="s">
        <v>6269</v>
      </c>
      <c r="AJ318" t="s">
        <v>6268</v>
      </c>
      <c r="AK318" t="s">
        <v>6267</v>
      </c>
      <c r="AL318">
        <v>34</v>
      </c>
      <c r="AM318" s="5">
        <f t="shared" si="42"/>
        <v>1</v>
      </c>
      <c r="AN318" s="4">
        <f t="shared" si="39"/>
        <v>1.5145778114350624E-3</v>
      </c>
      <c r="AO318" s="3"/>
      <c r="AP318">
        <v>0</v>
      </c>
      <c r="AR318" t="s">
        <v>0</v>
      </c>
      <c r="AT318" s="2" t="s">
        <v>19</v>
      </c>
      <c r="AU318" s="1">
        <f t="shared" si="43"/>
        <v>1.8393029545881063</v>
      </c>
      <c r="AV318" s="1">
        <f t="shared" si="44"/>
        <v>1.357061476461078</v>
      </c>
      <c r="AW318" s="1">
        <f t="shared" si="45"/>
        <v>0.87481999833404922</v>
      </c>
    </row>
    <row r="319" spans="1:49" x14ac:dyDescent="0.2">
      <c r="A319">
        <v>317</v>
      </c>
      <c r="B319" t="s">
        <v>6266</v>
      </c>
      <c r="C319" t="s">
        <v>6265</v>
      </c>
      <c r="F319" t="s">
        <v>6264</v>
      </c>
      <c r="G319" t="s">
        <v>15</v>
      </c>
      <c r="H319" t="s">
        <v>14</v>
      </c>
      <c r="I319" t="s">
        <v>6263</v>
      </c>
      <c r="J319">
        <v>60017293</v>
      </c>
      <c r="K319" t="s">
        <v>6262</v>
      </c>
      <c r="L319" t="s">
        <v>6261</v>
      </c>
      <c r="M319" t="s">
        <v>1725</v>
      </c>
      <c r="N319">
        <v>3</v>
      </c>
      <c r="O319" t="s">
        <v>6260</v>
      </c>
      <c r="P319" t="s">
        <v>6259</v>
      </c>
      <c r="Q319" t="s">
        <v>6258</v>
      </c>
      <c r="R319" s="7">
        <v>32143</v>
      </c>
      <c r="S319" s="8">
        <f t="shared" si="40"/>
        <v>1988</v>
      </c>
      <c r="T319" s="8">
        <v>1988</v>
      </c>
      <c r="U319" s="8">
        <f t="shared" si="41"/>
        <v>34</v>
      </c>
      <c r="V319" s="7" t="s">
        <v>6116</v>
      </c>
      <c r="W319" s="11" t="s">
        <v>1890</v>
      </c>
      <c r="X319" s="2">
        <v>2.383</v>
      </c>
      <c r="Y319" s="6">
        <f t="shared" si="38"/>
        <v>6.3612824003630442E-2</v>
      </c>
      <c r="AA319" t="s">
        <v>1889</v>
      </c>
      <c r="AB319">
        <v>101151</v>
      </c>
      <c r="AD319" t="s">
        <v>4</v>
      </c>
      <c r="AE319">
        <v>135</v>
      </c>
      <c r="AF319">
        <v>6</v>
      </c>
      <c r="AH319" t="s">
        <v>6257</v>
      </c>
      <c r="AI319" t="s">
        <v>6256</v>
      </c>
      <c r="AK319" t="s">
        <v>6255</v>
      </c>
      <c r="AL319">
        <v>25</v>
      </c>
      <c r="AM319" s="5">
        <f t="shared" si="42"/>
        <v>0.73529411764705888</v>
      </c>
      <c r="AN319" s="4">
        <f t="shared" si="39"/>
        <v>1.1136601554669577E-3</v>
      </c>
      <c r="AO319" s="3"/>
      <c r="AP319">
        <v>0</v>
      </c>
      <c r="AR319" t="s">
        <v>0</v>
      </c>
      <c r="AT319" s="2" t="s">
        <v>19</v>
      </c>
      <c r="AU319" s="1">
        <f t="shared" si="43"/>
        <v>4.4863074849181395</v>
      </c>
      <c r="AV319" s="1">
        <f t="shared" si="44"/>
        <v>3.23632420795487</v>
      </c>
      <c r="AW319" s="1">
        <f t="shared" si="45"/>
        <v>1.9863409309916</v>
      </c>
    </row>
    <row r="320" spans="1:49" x14ac:dyDescent="0.2">
      <c r="A320">
        <v>318</v>
      </c>
      <c r="B320" t="s">
        <v>6254</v>
      </c>
      <c r="C320" t="s">
        <v>6253</v>
      </c>
      <c r="F320" t="s">
        <v>6252</v>
      </c>
      <c r="G320" t="s">
        <v>15</v>
      </c>
      <c r="H320" t="s">
        <v>14</v>
      </c>
      <c r="I320" t="s">
        <v>6251</v>
      </c>
      <c r="J320">
        <v>60072442</v>
      </c>
      <c r="K320" t="s">
        <v>6250</v>
      </c>
      <c r="L320" t="s">
        <v>6249</v>
      </c>
      <c r="M320" t="s">
        <v>839</v>
      </c>
      <c r="N320">
        <v>1</v>
      </c>
      <c r="O320" t="s">
        <v>6248</v>
      </c>
      <c r="P320">
        <v>7006225019</v>
      </c>
      <c r="Q320">
        <v>60072442</v>
      </c>
      <c r="R320" s="7">
        <v>32143</v>
      </c>
      <c r="S320" s="8">
        <f t="shared" si="40"/>
        <v>1988</v>
      </c>
      <c r="T320" s="8">
        <v>1988</v>
      </c>
      <c r="U320" s="8">
        <f t="shared" si="41"/>
        <v>34</v>
      </c>
      <c r="V320" s="7" t="s">
        <v>6116</v>
      </c>
      <c r="W320" s="11" t="s">
        <v>1890</v>
      </c>
      <c r="X320" s="2">
        <v>2.383</v>
      </c>
      <c r="Y320" s="6">
        <f t="shared" si="38"/>
        <v>6.3612824003630442E-2</v>
      </c>
      <c r="AA320" t="s">
        <v>1889</v>
      </c>
      <c r="AB320">
        <v>101151</v>
      </c>
      <c r="AD320" t="s">
        <v>4</v>
      </c>
      <c r="AE320">
        <v>135</v>
      </c>
      <c r="AF320">
        <v>6</v>
      </c>
      <c r="AH320" t="s">
        <v>6247</v>
      </c>
      <c r="AI320" t="s">
        <v>6246</v>
      </c>
      <c r="AK320" t="s">
        <v>6245</v>
      </c>
      <c r="AL320">
        <v>8</v>
      </c>
      <c r="AM320" s="5">
        <f t="shared" si="42"/>
        <v>0.23529411764705882</v>
      </c>
      <c r="AN320" s="4">
        <f t="shared" si="39"/>
        <v>3.5637124974942646E-4</v>
      </c>
      <c r="AO320" s="3"/>
      <c r="AP320">
        <v>0</v>
      </c>
      <c r="AR320" t="s">
        <v>0</v>
      </c>
      <c r="AT320" s="2" t="s">
        <v>19</v>
      </c>
      <c r="AU320" s="1">
        <f t="shared" si="43"/>
        <v>4.4635888177466141</v>
      </c>
      <c r="AV320" s="1">
        <f t="shared" si="44"/>
        <v>3.1984597626689935</v>
      </c>
      <c r="AW320" s="1">
        <f t="shared" si="45"/>
        <v>1.933330707591373</v>
      </c>
    </row>
    <row r="321" spans="1:49" x14ac:dyDescent="0.2">
      <c r="A321">
        <v>319</v>
      </c>
      <c r="B321" t="s">
        <v>6244</v>
      </c>
      <c r="C321" t="s">
        <v>6243</v>
      </c>
      <c r="F321" t="s">
        <v>6242</v>
      </c>
      <c r="G321" t="s">
        <v>15</v>
      </c>
      <c r="H321" t="s">
        <v>14</v>
      </c>
      <c r="I321" t="s">
        <v>6241</v>
      </c>
      <c r="J321" t="s">
        <v>6240</v>
      </c>
      <c r="K321" t="s">
        <v>6239</v>
      </c>
      <c r="L321" t="s">
        <v>6238</v>
      </c>
      <c r="M321" t="s">
        <v>352</v>
      </c>
      <c r="N321">
        <v>6</v>
      </c>
      <c r="O321" t="s">
        <v>6237</v>
      </c>
      <c r="P321" t="s">
        <v>6236</v>
      </c>
      <c r="Q321" t="s">
        <v>6235</v>
      </c>
      <c r="R321" s="7">
        <v>32143</v>
      </c>
      <c r="S321" s="8">
        <f t="shared" si="40"/>
        <v>1988</v>
      </c>
      <c r="T321" s="8">
        <v>1988</v>
      </c>
      <c r="U321" s="8">
        <f t="shared" si="41"/>
        <v>34</v>
      </c>
      <c r="V321" s="7">
        <v>32478</v>
      </c>
      <c r="W321" t="s">
        <v>3207</v>
      </c>
      <c r="X321" s="2">
        <v>0.371</v>
      </c>
      <c r="Y321" s="6">
        <f t="shared" si="38"/>
        <v>9.9036331117695747E-3</v>
      </c>
      <c r="AA321">
        <v>214922</v>
      </c>
      <c r="AB321">
        <v>130262</v>
      </c>
      <c r="AC321">
        <v>13474065</v>
      </c>
      <c r="AD321" t="s">
        <v>4</v>
      </c>
      <c r="AE321">
        <v>27</v>
      </c>
      <c r="AF321" t="s">
        <v>6234</v>
      </c>
      <c r="AH321" t="s">
        <v>6233</v>
      </c>
      <c r="AI321" t="s">
        <v>6232</v>
      </c>
      <c r="AJ321" t="s">
        <v>6231</v>
      </c>
      <c r="AK321" t="s">
        <v>6230</v>
      </c>
      <c r="AL321">
        <v>5</v>
      </c>
      <c r="AM321" s="5">
        <f t="shared" si="42"/>
        <v>0.14705882352941177</v>
      </c>
      <c r="AN321" s="4">
        <f t="shared" si="39"/>
        <v>2.2273203109339154E-4</v>
      </c>
      <c r="AO321" s="3"/>
      <c r="AP321">
        <v>0</v>
      </c>
      <c r="AR321" t="s">
        <v>0</v>
      </c>
      <c r="AT321" s="2">
        <v>1.48</v>
      </c>
      <c r="AU321" s="1">
        <f t="shared" si="43"/>
        <v>0.69993627875667197</v>
      </c>
      <c r="AV321" s="1">
        <f t="shared" si="44"/>
        <v>0.50631825714314826</v>
      </c>
      <c r="AW321" s="1">
        <f t="shared" si="45"/>
        <v>0.31270023552962467</v>
      </c>
    </row>
    <row r="322" spans="1:49" x14ac:dyDescent="0.2">
      <c r="A322">
        <v>320</v>
      </c>
      <c r="B322" t="s">
        <v>6229</v>
      </c>
      <c r="C322" t="s">
        <v>6228</v>
      </c>
      <c r="F322" t="s">
        <v>6227</v>
      </c>
      <c r="G322" t="s">
        <v>15</v>
      </c>
      <c r="H322" t="s">
        <v>14</v>
      </c>
      <c r="I322" t="s">
        <v>5303</v>
      </c>
      <c r="J322">
        <v>60021902</v>
      </c>
      <c r="K322" t="s">
        <v>4422</v>
      </c>
      <c r="L322" t="s">
        <v>4421</v>
      </c>
      <c r="M322" t="s">
        <v>4420</v>
      </c>
      <c r="N322">
        <v>1</v>
      </c>
      <c r="O322" t="s">
        <v>6226</v>
      </c>
      <c r="P322">
        <v>57203176700</v>
      </c>
      <c r="Q322">
        <v>60021902</v>
      </c>
      <c r="R322" s="7">
        <v>32143</v>
      </c>
      <c r="S322" s="8">
        <f t="shared" si="40"/>
        <v>1988</v>
      </c>
      <c r="T322" s="8">
        <v>1988</v>
      </c>
      <c r="U322" s="8">
        <f t="shared" si="41"/>
        <v>34</v>
      </c>
      <c r="V322" s="7" t="s">
        <v>6116</v>
      </c>
      <c r="W322" s="11" t="s">
        <v>1890</v>
      </c>
      <c r="X322" s="2">
        <v>2.383</v>
      </c>
      <c r="Y322" s="6">
        <f t="shared" ref="Y322:Y385" si="46">(X322-$Z$4)/($Z$3-$Z$4)</f>
        <v>6.3612824003630442E-2</v>
      </c>
      <c r="AA322" t="s">
        <v>1889</v>
      </c>
      <c r="AB322">
        <v>101151</v>
      </c>
      <c r="AD322" t="s">
        <v>4</v>
      </c>
      <c r="AE322">
        <v>135</v>
      </c>
      <c r="AF322">
        <v>6</v>
      </c>
      <c r="AH322" t="s">
        <v>6225</v>
      </c>
      <c r="AI322" t="s">
        <v>6224</v>
      </c>
      <c r="AK322" t="s">
        <v>6223</v>
      </c>
      <c r="AL322">
        <v>30</v>
      </c>
      <c r="AM322" s="5">
        <f t="shared" si="42"/>
        <v>0.88235294117647056</v>
      </c>
      <c r="AN322" s="4">
        <f t="shared" ref="AN322:AN385" si="47">(AM322-$AO$4)/($AO$3-$AO$4)</f>
        <v>1.3363921865603492E-3</v>
      </c>
      <c r="AO322" s="3"/>
      <c r="AP322">
        <v>0</v>
      </c>
      <c r="AR322" t="s">
        <v>0</v>
      </c>
      <c r="AT322" s="2" t="s">
        <v>19</v>
      </c>
      <c r="AU322" s="1">
        <f t="shared" si="43"/>
        <v>4.4929894458509416</v>
      </c>
      <c r="AV322" s="1">
        <f t="shared" si="44"/>
        <v>3.2474608095095392</v>
      </c>
      <c r="AW322" s="1">
        <f t="shared" si="45"/>
        <v>2.0019321731681377</v>
      </c>
    </row>
    <row r="323" spans="1:49" x14ac:dyDescent="0.2">
      <c r="A323">
        <v>321</v>
      </c>
      <c r="B323" t="s">
        <v>6222</v>
      </c>
      <c r="C323" t="s">
        <v>6221</v>
      </c>
      <c r="F323" t="s">
        <v>6220</v>
      </c>
      <c r="G323" t="s">
        <v>15</v>
      </c>
      <c r="H323" t="s">
        <v>14</v>
      </c>
      <c r="I323" t="s">
        <v>5024</v>
      </c>
      <c r="J323">
        <v>60028333</v>
      </c>
      <c r="K323" t="s">
        <v>5023</v>
      </c>
      <c r="L323" t="s">
        <v>3295</v>
      </c>
      <c r="M323" t="s">
        <v>1088</v>
      </c>
      <c r="N323">
        <v>2</v>
      </c>
      <c r="O323" t="s">
        <v>5022</v>
      </c>
      <c r="P323" t="s">
        <v>5021</v>
      </c>
      <c r="Q323" t="s">
        <v>5020</v>
      </c>
      <c r="R323" s="7">
        <v>32143</v>
      </c>
      <c r="S323" s="8">
        <f t="shared" si="40"/>
        <v>1988</v>
      </c>
      <c r="T323" s="8">
        <v>1988</v>
      </c>
      <c r="U323" s="8">
        <f t="shared" si="41"/>
        <v>34</v>
      </c>
      <c r="V323" s="7" t="s">
        <v>6116</v>
      </c>
      <c r="W323" s="11" t="s">
        <v>1890</v>
      </c>
      <c r="X323" s="2">
        <v>2.383</v>
      </c>
      <c r="Y323" s="6">
        <f t="shared" si="46"/>
        <v>6.3612824003630442E-2</v>
      </c>
      <c r="AA323" t="s">
        <v>1889</v>
      </c>
      <c r="AB323">
        <v>101151</v>
      </c>
      <c r="AD323" t="s">
        <v>4</v>
      </c>
      <c r="AE323">
        <v>135</v>
      </c>
      <c r="AF323">
        <v>6</v>
      </c>
      <c r="AH323" t="s">
        <v>6219</v>
      </c>
      <c r="AI323" t="s">
        <v>6218</v>
      </c>
      <c r="AK323" t="s">
        <v>6217</v>
      </c>
      <c r="AL323">
        <v>4</v>
      </c>
      <c r="AM323" s="5">
        <f t="shared" si="42"/>
        <v>0.11764705882352941</v>
      </c>
      <c r="AN323" s="4">
        <f t="shared" si="47"/>
        <v>1.7818562487471323E-4</v>
      </c>
      <c r="AO323" s="3"/>
      <c r="AP323">
        <v>0</v>
      </c>
      <c r="AR323" t="s">
        <v>0</v>
      </c>
      <c r="AT323" s="2" t="s">
        <v>19</v>
      </c>
      <c r="AU323" s="1">
        <f t="shared" si="43"/>
        <v>4.4582432490003727</v>
      </c>
      <c r="AV323" s="1">
        <f t="shared" si="44"/>
        <v>3.189550481425258</v>
      </c>
      <c r="AW323" s="1">
        <f t="shared" si="45"/>
        <v>1.920857713850143</v>
      </c>
    </row>
    <row r="324" spans="1:49" x14ac:dyDescent="0.2">
      <c r="A324">
        <v>322</v>
      </c>
      <c r="B324" t="s">
        <v>6216</v>
      </c>
      <c r="C324" t="s">
        <v>6215</v>
      </c>
      <c r="F324" t="s">
        <v>6214</v>
      </c>
      <c r="G324" t="s">
        <v>15</v>
      </c>
      <c r="H324" t="s">
        <v>14</v>
      </c>
      <c r="I324" t="s">
        <v>6213</v>
      </c>
      <c r="J324">
        <v>60006297</v>
      </c>
      <c r="K324" t="s">
        <v>4802</v>
      </c>
      <c r="L324" t="s">
        <v>387</v>
      </c>
      <c r="M324" t="s">
        <v>31</v>
      </c>
      <c r="N324">
        <v>2</v>
      </c>
      <c r="O324" t="s">
        <v>6212</v>
      </c>
      <c r="P324" t="s">
        <v>6211</v>
      </c>
      <c r="Q324" t="s">
        <v>4799</v>
      </c>
      <c r="R324" s="7">
        <v>32143</v>
      </c>
      <c r="S324" s="8">
        <f t="shared" si="40"/>
        <v>1988</v>
      </c>
      <c r="T324" s="8">
        <v>1988</v>
      </c>
      <c r="U324" s="8">
        <f t="shared" si="41"/>
        <v>34</v>
      </c>
      <c r="V324" s="7">
        <v>32478</v>
      </c>
      <c r="W324" t="s">
        <v>3814</v>
      </c>
      <c r="X324" s="2">
        <v>1.6379999999999999</v>
      </c>
      <c r="Y324" s="6">
        <f t="shared" si="46"/>
        <v>4.3725474493473214E-2</v>
      </c>
      <c r="AA324">
        <v>963518</v>
      </c>
      <c r="AB324">
        <v>31560</v>
      </c>
      <c r="AD324" t="s">
        <v>4</v>
      </c>
      <c r="AE324">
        <v>36</v>
      </c>
      <c r="AF324">
        <v>12</v>
      </c>
      <c r="AH324" t="s">
        <v>6210</v>
      </c>
      <c r="AI324" t="s">
        <v>6209</v>
      </c>
      <c r="AK324" t="s">
        <v>6208</v>
      </c>
      <c r="AL324">
        <v>5</v>
      </c>
      <c r="AM324" s="5">
        <f t="shared" si="42"/>
        <v>0.14705882352941177</v>
      </c>
      <c r="AN324" s="4">
        <f t="shared" si="47"/>
        <v>2.2273203109339154E-4</v>
      </c>
      <c r="AO324" s="3"/>
      <c r="AP324">
        <v>0</v>
      </c>
      <c r="AQ324" t="s">
        <v>1991</v>
      </c>
      <c r="AR324" t="s">
        <v>6207</v>
      </c>
      <c r="AS324" t="s">
        <v>1989</v>
      </c>
      <c r="AT324" s="2" t="s">
        <v>19</v>
      </c>
      <c r="AU324" s="1">
        <f t="shared" si="43"/>
        <v>3.0674651754759266</v>
      </c>
      <c r="AV324" s="1">
        <f t="shared" si="44"/>
        <v>2.1974103262283302</v>
      </c>
      <c r="AW324" s="1">
        <f t="shared" si="45"/>
        <v>1.3273554769807339</v>
      </c>
    </row>
    <row r="325" spans="1:49" x14ac:dyDescent="0.2">
      <c r="A325">
        <v>323</v>
      </c>
      <c r="B325" t="s">
        <v>6206</v>
      </c>
      <c r="C325" t="s">
        <v>6205</v>
      </c>
      <c r="F325" t="s">
        <v>6204</v>
      </c>
      <c r="G325" t="s">
        <v>15</v>
      </c>
      <c r="H325" t="s">
        <v>14</v>
      </c>
      <c r="I325" t="s">
        <v>6203</v>
      </c>
      <c r="J325">
        <v>60022313</v>
      </c>
      <c r="K325" t="s">
        <v>1337</v>
      </c>
      <c r="L325" t="s">
        <v>1336</v>
      </c>
      <c r="M325" t="s">
        <v>211</v>
      </c>
      <c r="N325">
        <v>4</v>
      </c>
      <c r="O325" t="s">
        <v>6202</v>
      </c>
      <c r="P325" t="s">
        <v>6201</v>
      </c>
      <c r="Q325" t="s">
        <v>6200</v>
      </c>
      <c r="R325" s="7">
        <v>32143</v>
      </c>
      <c r="S325" s="8">
        <f t="shared" si="40"/>
        <v>1988</v>
      </c>
      <c r="T325" s="8">
        <v>1988</v>
      </c>
      <c r="U325" s="8">
        <f t="shared" si="41"/>
        <v>34</v>
      </c>
      <c r="V325" s="7">
        <v>32478</v>
      </c>
      <c r="W325" t="s">
        <v>1225</v>
      </c>
      <c r="X325" s="2">
        <v>0.111</v>
      </c>
      <c r="Y325" s="6">
        <f t="shared" si="46"/>
        <v>2.9630816048690639E-3</v>
      </c>
      <c r="AA325">
        <v>87566621</v>
      </c>
      <c r="AB325">
        <v>24890</v>
      </c>
      <c r="AC325">
        <v>15206424</v>
      </c>
      <c r="AD325" t="s">
        <v>4</v>
      </c>
      <c r="AE325">
        <v>71</v>
      </c>
      <c r="AF325">
        <v>12</v>
      </c>
      <c r="AH325" t="s">
        <v>6199</v>
      </c>
      <c r="AI325" t="s">
        <v>6198</v>
      </c>
      <c r="AK325" t="s">
        <v>6197</v>
      </c>
      <c r="AL325">
        <v>1</v>
      </c>
      <c r="AM325" s="5">
        <f t="shared" si="42"/>
        <v>2.9411764705882353E-2</v>
      </c>
      <c r="AN325" s="4">
        <f t="shared" si="47"/>
        <v>4.4546406218678307E-5</v>
      </c>
      <c r="AO325" s="3"/>
      <c r="AP325">
        <v>0</v>
      </c>
      <c r="AR325" t="s">
        <v>0</v>
      </c>
      <c r="AT325" s="2" t="s">
        <v>19</v>
      </c>
      <c r="AU325" s="1">
        <f t="shared" si="43"/>
        <v>0.20875210452739479</v>
      </c>
      <c r="AV325" s="1">
        <f t="shared" si="44"/>
        <v>0.15038140055438712</v>
      </c>
      <c r="AW325" s="1">
        <f t="shared" si="45"/>
        <v>9.2010696581379392E-2</v>
      </c>
    </row>
    <row r="326" spans="1:49" x14ac:dyDescent="0.2">
      <c r="A326">
        <v>324</v>
      </c>
      <c r="B326" t="s">
        <v>6196</v>
      </c>
      <c r="C326" t="s">
        <v>6195</v>
      </c>
      <c r="F326" t="s">
        <v>6194</v>
      </c>
      <c r="G326" t="s">
        <v>15</v>
      </c>
      <c r="H326" t="s">
        <v>14</v>
      </c>
      <c r="I326" t="s">
        <v>2930</v>
      </c>
      <c r="J326">
        <v>60005510</v>
      </c>
      <c r="K326" t="s">
        <v>6139</v>
      </c>
      <c r="L326" t="s">
        <v>2928</v>
      </c>
      <c r="M326" t="s">
        <v>2927</v>
      </c>
      <c r="N326">
        <v>1</v>
      </c>
      <c r="O326" t="s">
        <v>6138</v>
      </c>
      <c r="P326">
        <v>7102842938</v>
      </c>
      <c r="Q326">
        <v>60005510</v>
      </c>
      <c r="R326" s="7">
        <v>32143</v>
      </c>
      <c r="S326" s="8">
        <f t="shared" si="40"/>
        <v>1988</v>
      </c>
      <c r="T326" s="8">
        <v>1988</v>
      </c>
      <c r="U326" s="8">
        <f t="shared" si="41"/>
        <v>34</v>
      </c>
      <c r="V326" s="7" t="s">
        <v>6116</v>
      </c>
      <c r="W326" s="11" t="s">
        <v>1890</v>
      </c>
      <c r="X326" s="2">
        <v>2.383</v>
      </c>
      <c r="Y326" s="6">
        <f t="shared" si="46"/>
        <v>6.3612824003630442E-2</v>
      </c>
      <c r="AA326" t="s">
        <v>1889</v>
      </c>
      <c r="AB326">
        <v>101151</v>
      </c>
      <c r="AD326" t="s">
        <v>4</v>
      </c>
      <c r="AE326">
        <v>135</v>
      </c>
      <c r="AF326">
        <v>6</v>
      </c>
      <c r="AH326" t="s">
        <v>6193</v>
      </c>
      <c r="AI326" t="s">
        <v>6192</v>
      </c>
      <c r="AK326" t="s">
        <v>6191</v>
      </c>
      <c r="AL326">
        <v>27</v>
      </c>
      <c r="AM326" s="5">
        <f t="shared" si="42"/>
        <v>0.79411764705882348</v>
      </c>
      <c r="AN326" s="4">
        <f t="shared" si="47"/>
        <v>1.2027529679043143E-3</v>
      </c>
      <c r="AO326" s="3"/>
      <c r="AP326">
        <v>0</v>
      </c>
      <c r="AR326" t="s">
        <v>0</v>
      </c>
      <c r="AT326" s="2" t="s">
        <v>19</v>
      </c>
      <c r="AU326" s="1">
        <f t="shared" si="43"/>
        <v>4.4889802692912602</v>
      </c>
      <c r="AV326" s="1">
        <f t="shared" si="44"/>
        <v>3.2407788485767379</v>
      </c>
      <c r="AW326" s="1">
        <f t="shared" si="45"/>
        <v>1.9925774278622153</v>
      </c>
    </row>
    <row r="327" spans="1:49" x14ac:dyDescent="0.2">
      <c r="A327">
        <v>325</v>
      </c>
      <c r="B327" t="s">
        <v>6190</v>
      </c>
      <c r="C327" t="s">
        <v>6189</v>
      </c>
      <c r="F327" t="s">
        <v>6188</v>
      </c>
      <c r="G327" t="s">
        <v>15</v>
      </c>
      <c r="H327" t="s">
        <v>14</v>
      </c>
      <c r="I327" t="s">
        <v>6187</v>
      </c>
      <c r="J327">
        <v>60000461</v>
      </c>
      <c r="K327" t="s">
        <v>3914</v>
      </c>
      <c r="L327" t="s">
        <v>3913</v>
      </c>
      <c r="M327" t="s">
        <v>31</v>
      </c>
      <c r="N327">
        <v>1</v>
      </c>
      <c r="O327" t="s">
        <v>6186</v>
      </c>
      <c r="P327">
        <v>7006275138</v>
      </c>
      <c r="Q327">
        <v>60000461</v>
      </c>
      <c r="R327" s="7">
        <v>32143</v>
      </c>
      <c r="S327" s="8">
        <f t="shared" ref="S327:S390" si="48">YEAR(R327)</f>
        <v>1988</v>
      </c>
      <c r="T327" s="8">
        <v>1988</v>
      </c>
      <c r="U327" s="8">
        <f t="shared" ref="U327:U390" si="49">2022-T327</f>
        <v>34</v>
      </c>
      <c r="V327" s="7">
        <v>1988</v>
      </c>
      <c r="W327" t="s">
        <v>1109</v>
      </c>
      <c r="X327" s="2">
        <v>0.22500000000000001</v>
      </c>
      <c r="Y327" s="6">
        <f t="shared" si="46"/>
        <v>6.0062464963562111E-3</v>
      </c>
      <c r="AA327">
        <v>2726343</v>
      </c>
      <c r="AB327">
        <v>16128</v>
      </c>
      <c r="AC327" t="s">
        <v>1108</v>
      </c>
      <c r="AD327" t="s">
        <v>4</v>
      </c>
      <c r="AE327">
        <v>8</v>
      </c>
      <c r="AF327" s="9">
        <v>44288</v>
      </c>
      <c r="AH327" t="s">
        <v>6185</v>
      </c>
      <c r="AI327" t="s">
        <v>6184</v>
      </c>
      <c r="AK327" t="s">
        <v>6183</v>
      </c>
      <c r="AL327">
        <v>0</v>
      </c>
      <c r="AM327" s="5">
        <f t="shared" ref="AM327:AM390" si="50">AL327/U327</f>
        <v>0</v>
      </c>
      <c r="AN327" s="4">
        <f t="shared" si="47"/>
        <v>0</v>
      </c>
      <c r="AO327" s="3"/>
      <c r="AP327">
        <v>0</v>
      </c>
      <c r="AR327" t="s">
        <v>0</v>
      </c>
      <c r="AT327" s="2">
        <v>1.099</v>
      </c>
      <c r="AU327" s="1">
        <f t="shared" ref="AU327:AU390" si="51">(Y327*0.7+AN327*0.3)*100</f>
        <v>0.42043725474493476</v>
      </c>
      <c r="AV327" s="1">
        <f t="shared" ref="AV327:AV390" si="52">(Y327*0.5+AN327*0.5)*100</f>
        <v>0.30031232481781056</v>
      </c>
      <c r="AW327" s="1">
        <f t="shared" ref="AW327:AW390" si="53">(Y327*0.3+AN327*0.7)*100</f>
        <v>0.18018739489068633</v>
      </c>
    </row>
    <row r="328" spans="1:49" x14ac:dyDescent="0.2">
      <c r="A328">
        <v>326</v>
      </c>
      <c r="B328" t="s">
        <v>6182</v>
      </c>
      <c r="C328" t="s">
        <v>6181</v>
      </c>
      <c r="F328" t="s">
        <v>6180</v>
      </c>
      <c r="G328" t="s">
        <v>15</v>
      </c>
      <c r="H328" t="s">
        <v>14</v>
      </c>
      <c r="I328" t="s">
        <v>6179</v>
      </c>
      <c r="J328">
        <v>60025555</v>
      </c>
      <c r="K328" t="s">
        <v>943</v>
      </c>
      <c r="L328" t="s">
        <v>212</v>
      </c>
      <c r="M328" t="s">
        <v>211</v>
      </c>
      <c r="N328">
        <v>3</v>
      </c>
      <c r="O328" t="s">
        <v>6178</v>
      </c>
      <c r="P328" t="s">
        <v>6177</v>
      </c>
      <c r="Q328" t="s">
        <v>940</v>
      </c>
      <c r="R328" s="7">
        <v>32143</v>
      </c>
      <c r="S328" s="8">
        <f t="shared" si="48"/>
        <v>1988</v>
      </c>
      <c r="T328" s="8">
        <v>1988</v>
      </c>
      <c r="U328" s="8">
        <f t="shared" si="49"/>
        <v>34</v>
      </c>
      <c r="V328" s="7">
        <v>32478</v>
      </c>
      <c r="W328" t="s">
        <v>1225</v>
      </c>
      <c r="X328" s="2">
        <v>0.111</v>
      </c>
      <c r="Y328" s="6">
        <f t="shared" si="46"/>
        <v>2.9630816048690639E-3</v>
      </c>
      <c r="AA328">
        <v>87566621</v>
      </c>
      <c r="AB328">
        <v>24890</v>
      </c>
      <c r="AC328">
        <v>15206424</v>
      </c>
      <c r="AD328" t="s">
        <v>4</v>
      </c>
      <c r="AE328">
        <v>71</v>
      </c>
      <c r="AF328">
        <v>12</v>
      </c>
      <c r="AH328" t="s">
        <v>6176</v>
      </c>
      <c r="AI328" t="s">
        <v>6175</v>
      </c>
      <c r="AK328" t="s">
        <v>6174</v>
      </c>
      <c r="AL328">
        <v>0</v>
      </c>
      <c r="AM328" s="5">
        <f t="shared" si="50"/>
        <v>0</v>
      </c>
      <c r="AN328" s="4">
        <f t="shared" si="47"/>
        <v>0</v>
      </c>
      <c r="AO328" s="3"/>
      <c r="AP328">
        <v>0</v>
      </c>
      <c r="AR328" t="s">
        <v>0</v>
      </c>
      <c r="AT328" s="2" t="s">
        <v>19</v>
      </c>
      <c r="AU328" s="1">
        <f t="shared" si="51"/>
        <v>0.20741571234083445</v>
      </c>
      <c r="AV328" s="1">
        <f t="shared" si="52"/>
        <v>0.1481540802434532</v>
      </c>
      <c r="AW328" s="1">
        <f t="shared" si="53"/>
        <v>8.8892448146071903E-2</v>
      </c>
    </row>
    <row r="329" spans="1:49" x14ac:dyDescent="0.2">
      <c r="A329">
        <v>327</v>
      </c>
      <c r="B329" t="s">
        <v>6173</v>
      </c>
      <c r="C329" t="s">
        <v>6172</v>
      </c>
      <c r="F329" t="s">
        <v>6171</v>
      </c>
      <c r="G329" t="s">
        <v>15</v>
      </c>
      <c r="H329" t="s">
        <v>14</v>
      </c>
      <c r="I329" t="s">
        <v>6170</v>
      </c>
      <c r="J329">
        <v>106127911</v>
      </c>
      <c r="K329" t="s">
        <v>6169</v>
      </c>
      <c r="L329" t="s">
        <v>6168</v>
      </c>
      <c r="M329" t="s">
        <v>31</v>
      </c>
      <c r="N329">
        <v>2</v>
      </c>
      <c r="O329" t="s">
        <v>6167</v>
      </c>
      <c r="P329" t="s">
        <v>6166</v>
      </c>
      <c r="Q329" t="s">
        <v>6165</v>
      </c>
      <c r="R329" s="7">
        <v>32143</v>
      </c>
      <c r="S329" s="8">
        <f t="shared" si="48"/>
        <v>1988</v>
      </c>
      <c r="T329" s="8">
        <v>1988</v>
      </c>
      <c r="U329" s="8">
        <f t="shared" si="49"/>
        <v>34</v>
      </c>
      <c r="V329" s="7" t="s">
        <v>6116</v>
      </c>
      <c r="W329" s="11" t="s">
        <v>1890</v>
      </c>
      <c r="X329" s="2">
        <v>2.383</v>
      </c>
      <c r="Y329" s="6">
        <f t="shared" si="46"/>
        <v>6.3612824003630442E-2</v>
      </c>
      <c r="AA329" t="s">
        <v>1889</v>
      </c>
      <c r="AB329">
        <v>101151</v>
      </c>
      <c r="AD329" t="s">
        <v>4</v>
      </c>
      <c r="AE329">
        <v>135</v>
      </c>
      <c r="AF329">
        <v>6</v>
      </c>
      <c r="AH329" t="s">
        <v>6164</v>
      </c>
      <c r="AI329" t="s">
        <v>6163</v>
      </c>
      <c r="AK329" t="s">
        <v>6162</v>
      </c>
      <c r="AL329">
        <v>64</v>
      </c>
      <c r="AM329" s="5">
        <f t="shared" si="50"/>
        <v>1.8823529411764706</v>
      </c>
      <c r="AN329" s="4">
        <f t="shared" si="47"/>
        <v>2.8509699979954116E-3</v>
      </c>
      <c r="AO329" s="3"/>
      <c r="AP329">
        <v>0</v>
      </c>
      <c r="AR329" t="s">
        <v>0</v>
      </c>
      <c r="AT329" s="2" t="s">
        <v>19</v>
      </c>
      <c r="AU329" s="1">
        <f t="shared" si="51"/>
        <v>4.5384267801939933</v>
      </c>
      <c r="AV329" s="1">
        <f t="shared" si="52"/>
        <v>3.3231897000812931</v>
      </c>
      <c r="AW329" s="1">
        <f t="shared" si="53"/>
        <v>2.1079526199685921</v>
      </c>
    </row>
    <row r="330" spans="1:49" x14ac:dyDescent="0.2">
      <c r="A330">
        <v>328</v>
      </c>
      <c r="B330" t="s">
        <v>6161</v>
      </c>
      <c r="C330" t="s">
        <v>6160</v>
      </c>
      <c r="F330" t="s">
        <v>6159</v>
      </c>
      <c r="G330" t="s">
        <v>15</v>
      </c>
      <c r="H330" t="s">
        <v>14</v>
      </c>
      <c r="I330" t="s">
        <v>6158</v>
      </c>
      <c r="J330">
        <v>60092258</v>
      </c>
      <c r="K330" t="s">
        <v>3698</v>
      </c>
      <c r="L330" t="s">
        <v>3697</v>
      </c>
      <c r="M330" t="s">
        <v>211</v>
      </c>
      <c r="N330">
        <v>4</v>
      </c>
      <c r="O330" t="s">
        <v>6157</v>
      </c>
      <c r="P330" t="s">
        <v>6156</v>
      </c>
      <c r="Q330" t="s">
        <v>3694</v>
      </c>
      <c r="R330" s="7">
        <v>32143</v>
      </c>
      <c r="S330" s="8">
        <f t="shared" si="48"/>
        <v>1988</v>
      </c>
      <c r="T330" s="8">
        <v>1988</v>
      </c>
      <c r="U330" s="8">
        <f t="shared" si="49"/>
        <v>34</v>
      </c>
      <c r="V330" s="7">
        <v>32478</v>
      </c>
      <c r="W330" t="s">
        <v>1225</v>
      </c>
      <c r="X330" s="2">
        <v>0.111</v>
      </c>
      <c r="Y330" s="6">
        <f t="shared" si="46"/>
        <v>2.9630816048690639E-3</v>
      </c>
      <c r="AA330">
        <v>87566621</v>
      </c>
      <c r="AB330">
        <v>24890</v>
      </c>
      <c r="AC330">
        <v>15206424</v>
      </c>
      <c r="AD330" t="s">
        <v>4</v>
      </c>
      <c r="AE330">
        <v>71</v>
      </c>
      <c r="AF330">
        <v>12</v>
      </c>
      <c r="AH330" t="s">
        <v>6155</v>
      </c>
      <c r="AI330" t="s">
        <v>6154</v>
      </c>
      <c r="AK330" t="s">
        <v>6153</v>
      </c>
      <c r="AL330">
        <v>2</v>
      </c>
      <c r="AM330" s="5">
        <f t="shared" si="50"/>
        <v>5.8823529411764705E-2</v>
      </c>
      <c r="AN330" s="4">
        <f t="shared" si="47"/>
        <v>8.9092812437356614E-5</v>
      </c>
      <c r="AO330" s="3"/>
      <c r="AP330">
        <v>0</v>
      </c>
      <c r="AR330" t="s">
        <v>0</v>
      </c>
      <c r="AT330" s="2" t="s">
        <v>19</v>
      </c>
      <c r="AU330" s="1">
        <f t="shared" si="51"/>
        <v>0.21008849671395516</v>
      </c>
      <c r="AV330" s="1">
        <f t="shared" si="52"/>
        <v>0.15260872086532104</v>
      </c>
      <c r="AW330" s="1">
        <f t="shared" si="53"/>
        <v>9.5128945016686881E-2</v>
      </c>
    </row>
    <row r="331" spans="1:49" x14ac:dyDescent="0.2">
      <c r="A331">
        <v>329</v>
      </c>
      <c r="B331" t="s">
        <v>6152</v>
      </c>
      <c r="C331" t="s">
        <v>6151</v>
      </c>
      <c r="F331" t="s">
        <v>6150</v>
      </c>
      <c r="G331" t="s">
        <v>15</v>
      </c>
      <c r="H331" t="s">
        <v>14</v>
      </c>
      <c r="I331" t="s">
        <v>6149</v>
      </c>
      <c r="J331">
        <v>60022109</v>
      </c>
      <c r="K331" t="s">
        <v>2096</v>
      </c>
      <c r="L331" t="s">
        <v>2095</v>
      </c>
      <c r="M331" t="s">
        <v>1011</v>
      </c>
      <c r="N331">
        <v>5</v>
      </c>
      <c r="O331" t="s">
        <v>6148</v>
      </c>
      <c r="P331" t="s">
        <v>6147</v>
      </c>
      <c r="Q331" t="s">
        <v>6146</v>
      </c>
      <c r="R331" s="7">
        <v>32143</v>
      </c>
      <c r="S331" s="8">
        <f t="shared" si="48"/>
        <v>1988</v>
      </c>
      <c r="T331" s="8">
        <v>1988</v>
      </c>
      <c r="U331" s="8">
        <f t="shared" si="49"/>
        <v>34</v>
      </c>
      <c r="V331" s="7" t="s">
        <v>6116</v>
      </c>
      <c r="W331" s="11" t="s">
        <v>1890</v>
      </c>
      <c r="X331" s="2">
        <v>2.383</v>
      </c>
      <c r="Y331" s="6">
        <f t="shared" si="46"/>
        <v>6.3612824003630442E-2</v>
      </c>
      <c r="AA331" t="s">
        <v>1889</v>
      </c>
      <c r="AB331">
        <v>101151</v>
      </c>
      <c r="AD331" t="s">
        <v>4</v>
      </c>
      <c r="AE331">
        <v>135</v>
      </c>
      <c r="AF331">
        <v>6</v>
      </c>
      <c r="AH331" t="s">
        <v>6145</v>
      </c>
      <c r="AI331" t="s">
        <v>6144</v>
      </c>
      <c r="AK331" t="s">
        <v>6143</v>
      </c>
      <c r="AL331">
        <v>3</v>
      </c>
      <c r="AM331" s="5">
        <f t="shared" si="50"/>
        <v>8.8235294117647065E-2</v>
      </c>
      <c r="AN331" s="4">
        <f t="shared" si="47"/>
        <v>1.3363921865603494E-4</v>
      </c>
      <c r="AO331" s="3"/>
      <c r="AP331">
        <v>0</v>
      </c>
      <c r="AR331" t="s">
        <v>0</v>
      </c>
      <c r="AT331" s="2" t="s">
        <v>19</v>
      </c>
      <c r="AU331" s="1">
        <f t="shared" si="51"/>
        <v>4.4569068568138119</v>
      </c>
      <c r="AV331" s="1">
        <f t="shared" si="52"/>
        <v>3.1873231611143233</v>
      </c>
      <c r="AW331" s="1">
        <f t="shared" si="53"/>
        <v>1.9177394654148356</v>
      </c>
    </row>
    <row r="332" spans="1:49" x14ac:dyDescent="0.2">
      <c r="A332">
        <v>330</v>
      </c>
      <c r="B332" t="s">
        <v>6142</v>
      </c>
      <c r="C332" t="s">
        <v>6141</v>
      </c>
      <c r="F332" t="s">
        <v>6140</v>
      </c>
      <c r="G332" t="s">
        <v>15</v>
      </c>
      <c r="H332" t="s">
        <v>14</v>
      </c>
      <c r="I332" t="s">
        <v>2930</v>
      </c>
      <c r="J332">
        <v>60005510</v>
      </c>
      <c r="K332" t="s">
        <v>6139</v>
      </c>
      <c r="L332" t="s">
        <v>2928</v>
      </c>
      <c r="M332" t="s">
        <v>2927</v>
      </c>
      <c r="N332">
        <v>1</v>
      </c>
      <c r="O332" t="s">
        <v>6138</v>
      </c>
      <c r="P332">
        <v>7102842938</v>
      </c>
      <c r="Q332">
        <v>60005510</v>
      </c>
      <c r="R332" s="7">
        <v>32143</v>
      </c>
      <c r="S332" s="8">
        <f t="shared" si="48"/>
        <v>1988</v>
      </c>
      <c r="T332" s="8">
        <v>1988</v>
      </c>
      <c r="U332" s="8">
        <f t="shared" si="49"/>
        <v>34</v>
      </c>
      <c r="V332" s="7" t="s">
        <v>6116</v>
      </c>
      <c r="W332" s="11" t="s">
        <v>1890</v>
      </c>
      <c r="X332" s="2">
        <v>2.383</v>
      </c>
      <c r="Y332" s="6">
        <f t="shared" si="46"/>
        <v>6.3612824003630442E-2</v>
      </c>
      <c r="AA332" t="s">
        <v>1889</v>
      </c>
      <c r="AB332">
        <v>101151</v>
      </c>
      <c r="AD332" t="s">
        <v>4</v>
      </c>
      <c r="AE332">
        <v>135</v>
      </c>
      <c r="AF332">
        <v>6</v>
      </c>
      <c r="AH332" t="s">
        <v>6137</v>
      </c>
      <c r="AI332" t="s">
        <v>6136</v>
      </c>
      <c r="AK332" t="s">
        <v>6135</v>
      </c>
      <c r="AL332">
        <v>9</v>
      </c>
      <c r="AM332" s="5">
        <f t="shared" si="50"/>
        <v>0.26470588235294118</v>
      </c>
      <c r="AN332" s="4">
        <f t="shared" si="47"/>
        <v>4.009176559681048E-4</v>
      </c>
      <c r="AO332" s="3"/>
      <c r="AP332">
        <v>0</v>
      </c>
      <c r="AR332" t="s">
        <v>0</v>
      </c>
      <c r="AT332" s="2" t="s">
        <v>19</v>
      </c>
      <c r="AU332" s="1">
        <f t="shared" si="51"/>
        <v>4.464925209933174</v>
      </c>
      <c r="AV332" s="1">
        <f t="shared" si="52"/>
        <v>3.2006870829799272</v>
      </c>
      <c r="AW332" s="1">
        <f t="shared" si="53"/>
        <v>1.9364489560266807</v>
      </c>
    </row>
    <row r="333" spans="1:49" x14ac:dyDescent="0.2">
      <c r="A333">
        <v>331</v>
      </c>
      <c r="B333" t="s">
        <v>6134</v>
      </c>
      <c r="C333" t="s">
        <v>6133</v>
      </c>
      <c r="F333" t="s">
        <v>6132</v>
      </c>
      <c r="G333" t="s">
        <v>15</v>
      </c>
      <c r="H333" t="s">
        <v>14</v>
      </c>
      <c r="I333" t="s">
        <v>3886</v>
      </c>
      <c r="J333" t="s">
        <v>3880</v>
      </c>
      <c r="K333" t="s">
        <v>3885</v>
      </c>
      <c r="L333" t="s">
        <v>3884</v>
      </c>
      <c r="M333" t="s">
        <v>3883</v>
      </c>
      <c r="N333">
        <v>3</v>
      </c>
      <c r="O333" t="s">
        <v>6131</v>
      </c>
      <c r="P333" t="s">
        <v>6130</v>
      </c>
      <c r="Q333" t="s">
        <v>6129</v>
      </c>
      <c r="R333" s="7">
        <v>32143</v>
      </c>
      <c r="S333" s="8">
        <f t="shared" si="48"/>
        <v>1988</v>
      </c>
      <c r="T333" s="8">
        <v>1988</v>
      </c>
      <c r="U333" s="8">
        <f t="shared" si="49"/>
        <v>34</v>
      </c>
      <c r="V333" s="7">
        <v>32143</v>
      </c>
      <c r="W333" s="11" t="s">
        <v>6128</v>
      </c>
      <c r="X333" s="2">
        <v>2.383</v>
      </c>
      <c r="Y333" s="6">
        <f t="shared" si="46"/>
        <v>6.3612824003630442E-2</v>
      </c>
      <c r="AA333">
        <v>1437070</v>
      </c>
      <c r="AB333">
        <v>39742</v>
      </c>
      <c r="AD333" t="s">
        <v>4</v>
      </c>
      <c r="AE333">
        <v>135</v>
      </c>
      <c r="AF333">
        <v>6</v>
      </c>
      <c r="AH333" t="s">
        <v>6127</v>
      </c>
      <c r="AI333" t="s">
        <v>6126</v>
      </c>
      <c r="AJ333" t="s">
        <v>6125</v>
      </c>
      <c r="AK333" t="s">
        <v>6124</v>
      </c>
      <c r="AL333">
        <v>14</v>
      </c>
      <c r="AM333" s="5">
        <f t="shared" si="50"/>
        <v>0.41176470588235292</v>
      </c>
      <c r="AN333" s="4">
        <f t="shared" si="47"/>
        <v>6.2364968706149634E-4</v>
      </c>
      <c r="AO333" s="3"/>
      <c r="AP333">
        <v>0</v>
      </c>
      <c r="AR333" t="s">
        <v>0</v>
      </c>
      <c r="AT333" s="2" t="s">
        <v>19</v>
      </c>
      <c r="AU333" s="1">
        <f t="shared" si="51"/>
        <v>4.4716071708659761</v>
      </c>
      <c r="AV333" s="1">
        <f t="shared" si="52"/>
        <v>3.2118236845345969</v>
      </c>
      <c r="AW333" s="1">
        <f t="shared" si="53"/>
        <v>1.9520401982032181</v>
      </c>
    </row>
    <row r="334" spans="1:49" x14ac:dyDescent="0.2">
      <c r="A334">
        <v>332</v>
      </c>
      <c r="B334" t="s">
        <v>6123</v>
      </c>
      <c r="C334" t="s">
        <v>6122</v>
      </c>
      <c r="F334" t="s">
        <v>6121</v>
      </c>
      <c r="G334" t="s">
        <v>15</v>
      </c>
      <c r="H334" t="s">
        <v>14</v>
      </c>
      <c r="I334" t="s">
        <v>6120</v>
      </c>
      <c r="J334">
        <v>101517208</v>
      </c>
      <c r="K334" t="s">
        <v>6119</v>
      </c>
      <c r="L334" t="s">
        <v>6118</v>
      </c>
      <c r="M334" t="s">
        <v>31</v>
      </c>
      <c r="N334">
        <v>1</v>
      </c>
      <c r="O334" t="s">
        <v>6117</v>
      </c>
      <c r="P334">
        <v>57198995306</v>
      </c>
      <c r="Q334">
        <v>101517208</v>
      </c>
      <c r="R334" s="7">
        <v>32143</v>
      </c>
      <c r="S334" s="8">
        <f t="shared" si="48"/>
        <v>1988</v>
      </c>
      <c r="T334" s="8">
        <v>1988</v>
      </c>
      <c r="U334" s="8">
        <f t="shared" si="49"/>
        <v>34</v>
      </c>
      <c r="V334" s="7" t="s">
        <v>6116</v>
      </c>
      <c r="W334" s="11" t="s">
        <v>1890</v>
      </c>
      <c r="X334" s="2">
        <v>2.383</v>
      </c>
      <c r="Y334" s="6">
        <f t="shared" si="46"/>
        <v>6.3612824003630442E-2</v>
      </c>
      <c r="AA334" t="s">
        <v>1889</v>
      </c>
      <c r="AB334">
        <v>101151</v>
      </c>
      <c r="AD334" t="s">
        <v>4</v>
      </c>
      <c r="AE334">
        <v>135</v>
      </c>
      <c r="AF334">
        <v>6</v>
      </c>
      <c r="AH334" t="s">
        <v>6115</v>
      </c>
      <c r="AI334" t="s">
        <v>6114</v>
      </c>
      <c r="AK334" t="s">
        <v>6113</v>
      </c>
      <c r="AL334">
        <v>10</v>
      </c>
      <c r="AM334" s="5">
        <f t="shared" si="50"/>
        <v>0.29411764705882354</v>
      </c>
      <c r="AN334" s="4">
        <f t="shared" si="47"/>
        <v>4.4546406218678308E-4</v>
      </c>
      <c r="AO334" s="3"/>
      <c r="AP334">
        <v>0</v>
      </c>
      <c r="AR334" t="s">
        <v>0</v>
      </c>
      <c r="AT334" s="2" t="s">
        <v>19</v>
      </c>
      <c r="AU334" s="1">
        <f t="shared" si="51"/>
        <v>4.4662616021197348</v>
      </c>
      <c r="AV334" s="1">
        <f t="shared" si="52"/>
        <v>3.2029144032908614</v>
      </c>
      <c r="AW334" s="1">
        <f t="shared" si="53"/>
        <v>1.939567204461988</v>
      </c>
    </row>
    <row r="335" spans="1:49" x14ac:dyDescent="0.2">
      <c r="A335">
        <v>333</v>
      </c>
      <c r="B335" t="s">
        <v>6112</v>
      </c>
      <c r="C335" t="s">
        <v>6111</v>
      </c>
      <c r="F335" t="s">
        <v>6110</v>
      </c>
      <c r="G335" t="s">
        <v>15</v>
      </c>
      <c r="H335" t="s">
        <v>14</v>
      </c>
      <c r="I335" t="s">
        <v>6109</v>
      </c>
      <c r="J335">
        <v>60029470</v>
      </c>
      <c r="K335" t="s">
        <v>4781</v>
      </c>
      <c r="L335" t="s">
        <v>4780</v>
      </c>
      <c r="M335" t="s">
        <v>1088</v>
      </c>
      <c r="N335">
        <v>2</v>
      </c>
      <c r="O335" t="s">
        <v>6108</v>
      </c>
      <c r="P335" t="s">
        <v>6107</v>
      </c>
      <c r="Q335" t="s">
        <v>6106</v>
      </c>
      <c r="R335" s="7">
        <v>32143</v>
      </c>
      <c r="S335" s="8">
        <f t="shared" si="48"/>
        <v>1988</v>
      </c>
      <c r="T335" s="8">
        <v>1988</v>
      </c>
      <c r="U335" s="8">
        <f t="shared" si="49"/>
        <v>34</v>
      </c>
      <c r="V335" s="7">
        <v>32478</v>
      </c>
      <c r="W335" t="s">
        <v>2579</v>
      </c>
      <c r="X335" s="2">
        <v>0.82</v>
      </c>
      <c r="Y335" s="6">
        <f t="shared" si="46"/>
        <v>2.1889431675609299E-2</v>
      </c>
      <c r="AA335">
        <v>189456</v>
      </c>
      <c r="AB335">
        <v>15361</v>
      </c>
      <c r="AC335">
        <v>15579662</v>
      </c>
      <c r="AD335" t="s">
        <v>4</v>
      </c>
      <c r="AE335">
        <v>37</v>
      </c>
      <c r="AF335">
        <v>4</v>
      </c>
      <c r="AH335" t="s">
        <v>6105</v>
      </c>
      <c r="AI335" t="s">
        <v>6104</v>
      </c>
      <c r="AK335" t="s">
        <v>6103</v>
      </c>
      <c r="AL335">
        <v>0</v>
      </c>
      <c r="AM335" s="5">
        <f t="shared" si="50"/>
        <v>0</v>
      </c>
      <c r="AN335" s="4">
        <f t="shared" si="47"/>
        <v>0</v>
      </c>
      <c r="AO335" s="3"/>
      <c r="AP335">
        <v>0</v>
      </c>
      <c r="AR335" t="s">
        <v>0</v>
      </c>
      <c r="AT335" s="2" t="s">
        <v>19</v>
      </c>
      <c r="AU335" s="1">
        <f t="shared" si="51"/>
        <v>1.5322602172926507</v>
      </c>
      <c r="AV335" s="1">
        <f t="shared" si="52"/>
        <v>1.0944715837804648</v>
      </c>
      <c r="AW335" s="1">
        <f t="shared" si="53"/>
        <v>0.65668295026827894</v>
      </c>
    </row>
    <row r="336" spans="1:49" x14ac:dyDescent="0.2">
      <c r="A336">
        <v>334</v>
      </c>
      <c r="B336" t="s">
        <v>6102</v>
      </c>
      <c r="C336" t="s">
        <v>6101</v>
      </c>
      <c r="E336">
        <v>11538465</v>
      </c>
      <c r="F336" t="s">
        <v>6100</v>
      </c>
      <c r="G336" t="s">
        <v>15</v>
      </c>
      <c r="H336" t="s">
        <v>14</v>
      </c>
      <c r="I336" t="s">
        <v>6099</v>
      </c>
      <c r="J336">
        <v>60013894</v>
      </c>
      <c r="K336" t="s">
        <v>6098</v>
      </c>
      <c r="L336" t="s">
        <v>3605</v>
      </c>
      <c r="M336" t="s">
        <v>31</v>
      </c>
      <c r="N336">
        <v>3</v>
      </c>
      <c r="O336" t="s">
        <v>6097</v>
      </c>
      <c r="P336" t="s">
        <v>6096</v>
      </c>
      <c r="Q336" t="s">
        <v>6095</v>
      </c>
      <c r="R336" s="7">
        <v>32143</v>
      </c>
      <c r="S336" s="8">
        <f t="shared" si="48"/>
        <v>1988</v>
      </c>
      <c r="T336" s="8">
        <v>1988</v>
      </c>
      <c r="U336" s="8">
        <f t="shared" si="49"/>
        <v>34</v>
      </c>
      <c r="V336" s="7">
        <v>32448</v>
      </c>
      <c r="W336" t="s">
        <v>6094</v>
      </c>
      <c r="X336" s="2" t="s">
        <v>19</v>
      </c>
      <c r="Y336" s="6" t="e">
        <f t="shared" si="46"/>
        <v>#VALUE!</v>
      </c>
      <c r="AA336" t="s">
        <v>6093</v>
      </c>
      <c r="AB336">
        <v>26765</v>
      </c>
      <c r="AD336" t="s">
        <v>4</v>
      </c>
      <c r="AE336">
        <v>334</v>
      </c>
      <c r="AF336">
        <v>1</v>
      </c>
      <c r="AH336" t="s">
        <v>6092</v>
      </c>
      <c r="AI336" t="s">
        <v>6091</v>
      </c>
      <c r="AK336" t="s">
        <v>6090</v>
      </c>
      <c r="AL336">
        <v>43</v>
      </c>
      <c r="AM336" s="5">
        <f t="shared" si="50"/>
        <v>1.2647058823529411</v>
      </c>
      <c r="AN336" s="4">
        <f t="shared" si="47"/>
        <v>1.9154954674031671E-3</v>
      </c>
      <c r="AO336" s="3"/>
      <c r="AP336">
        <v>0</v>
      </c>
      <c r="AR336" t="s">
        <v>0</v>
      </c>
      <c r="AT336" s="2" t="s">
        <v>19</v>
      </c>
      <c r="AU336" s="1" t="e">
        <f t="shared" si="51"/>
        <v>#VALUE!</v>
      </c>
      <c r="AV336" s="1" t="e">
        <f t="shared" si="52"/>
        <v>#VALUE!</v>
      </c>
      <c r="AW336" s="1" t="e">
        <f t="shared" si="53"/>
        <v>#VALUE!</v>
      </c>
    </row>
    <row r="337" spans="1:49" x14ac:dyDescent="0.2">
      <c r="A337">
        <v>335</v>
      </c>
      <c r="B337" t="s">
        <v>6089</v>
      </c>
      <c r="C337" t="s">
        <v>6088</v>
      </c>
      <c r="D337">
        <v>300908488902878</v>
      </c>
      <c r="E337">
        <v>3149519</v>
      </c>
      <c r="F337" t="s">
        <v>6087</v>
      </c>
      <c r="G337" t="s">
        <v>15</v>
      </c>
      <c r="H337" t="s">
        <v>14</v>
      </c>
      <c r="I337" t="s">
        <v>6086</v>
      </c>
      <c r="J337">
        <v>60104665</v>
      </c>
      <c r="K337" t="s">
        <v>5815</v>
      </c>
      <c r="L337" t="s">
        <v>5814</v>
      </c>
      <c r="M337" t="s">
        <v>127</v>
      </c>
      <c r="N337">
        <v>3</v>
      </c>
      <c r="O337" t="s">
        <v>6085</v>
      </c>
      <c r="P337" t="s">
        <v>6084</v>
      </c>
      <c r="Q337" t="s">
        <v>6083</v>
      </c>
      <c r="R337" s="7">
        <v>32143</v>
      </c>
      <c r="S337" s="8">
        <f t="shared" si="48"/>
        <v>1988</v>
      </c>
      <c r="T337" s="8">
        <v>1988</v>
      </c>
      <c r="U337" s="8">
        <f t="shared" si="49"/>
        <v>34</v>
      </c>
      <c r="V337" s="7">
        <v>32448</v>
      </c>
      <c r="W337" t="s">
        <v>6082</v>
      </c>
      <c r="X337" s="2">
        <v>1.254</v>
      </c>
      <c r="Y337" s="6">
        <f t="shared" si="46"/>
        <v>3.3474813806358611E-2</v>
      </c>
      <c r="AA337">
        <v>3009084</v>
      </c>
      <c r="AB337">
        <v>16874</v>
      </c>
      <c r="AC337">
        <v>61831638</v>
      </c>
      <c r="AD337" t="s">
        <v>4</v>
      </c>
      <c r="AE337">
        <v>70</v>
      </c>
      <c r="AF337">
        <v>11</v>
      </c>
      <c r="AH337" t="s">
        <v>6081</v>
      </c>
      <c r="AI337" t="s">
        <v>6080</v>
      </c>
      <c r="AJ337" t="s">
        <v>6079</v>
      </c>
      <c r="AK337" t="s">
        <v>6078</v>
      </c>
      <c r="AL337">
        <v>23</v>
      </c>
      <c r="AM337" s="5">
        <f t="shared" si="50"/>
        <v>0.67647058823529416</v>
      </c>
      <c r="AN337" s="4">
        <f t="shared" si="47"/>
        <v>1.0245673430296011E-3</v>
      </c>
      <c r="AO337" s="3"/>
      <c r="AP337">
        <v>0</v>
      </c>
      <c r="AR337" t="s">
        <v>6077</v>
      </c>
      <c r="AS337" t="s">
        <v>6076</v>
      </c>
      <c r="AT337" s="2">
        <v>4.0789999999999997</v>
      </c>
      <c r="AU337" s="1">
        <f t="shared" si="51"/>
        <v>2.373973986735991</v>
      </c>
      <c r="AV337" s="1">
        <f t="shared" si="52"/>
        <v>1.7249690574694105</v>
      </c>
      <c r="AW337" s="1">
        <f t="shared" si="53"/>
        <v>1.0759641282028305</v>
      </c>
    </row>
    <row r="338" spans="1:49" x14ac:dyDescent="0.2">
      <c r="A338">
        <v>336</v>
      </c>
      <c r="B338" t="s">
        <v>6075</v>
      </c>
      <c r="C338" t="s">
        <v>6074</v>
      </c>
      <c r="F338" t="s">
        <v>6073</v>
      </c>
      <c r="G338" t="s">
        <v>15</v>
      </c>
      <c r="H338" t="s">
        <v>14</v>
      </c>
      <c r="I338" t="s">
        <v>6072</v>
      </c>
      <c r="J338">
        <v>60009697</v>
      </c>
      <c r="K338" t="s">
        <v>1417</v>
      </c>
      <c r="L338" t="s">
        <v>1416</v>
      </c>
      <c r="M338" t="s">
        <v>481</v>
      </c>
      <c r="N338">
        <v>2</v>
      </c>
      <c r="O338" t="s">
        <v>6071</v>
      </c>
      <c r="P338" t="s">
        <v>6070</v>
      </c>
      <c r="Q338" t="s">
        <v>1413</v>
      </c>
      <c r="R338" s="7">
        <v>32143</v>
      </c>
      <c r="S338" s="8">
        <f t="shared" si="48"/>
        <v>1988</v>
      </c>
      <c r="T338" s="8">
        <v>1988</v>
      </c>
      <c r="U338" s="8">
        <f t="shared" si="49"/>
        <v>34</v>
      </c>
      <c r="V338" s="7">
        <v>32448</v>
      </c>
      <c r="W338" t="s">
        <v>348</v>
      </c>
      <c r="X338" s="2">
        <v>0.251</v>
      </c>
      <c r="Y338" s="6">
        <f t="shared" si="46"/>
        <v>6.7003016470462617E-3</v>
      </c>
      <c r="AA338">
        <v>207217</v>
      </c>
      <c r="AB338">
        <v>26145</v>
      </c>
      <c r="AC338">
        <v>13623060</v>
      </c>
      <c r="AD338" t="s">
        <v>4</v>
      </c>
      <c r="AE338">
        <v>65</v>
      </c>
      <c r="AF338">
        <v>5</v>
      </c>
      <c r="AH338" t="s">
        <v>6069</v>
      </c>
      <c r="AI338" t="s">
        <v>6068</v>
      </c>
      <c r="AK338" t="s">
        <v>6067</v>
      </c>
      <c r="AL338">
        <v>1</v>
      </c>
      <c r="AM338" s="5">
        <f t="shared" si="50"/>
        <v>2.9411764705882353E-2</v>
      </c>
      <c r="AN338" s="4">
        <f t="shared" si="47"/>
        <v>4.4546406218678307E-5</v>
      </c>
      <c r="AO338" s="3"/>
      <c r="AP338">
        <v>0</v>
      </c>
      <c r="AQ338" t="s">
        <v>2054</v>
      </c>
      <c r="AR338" t="s">
        <v>0</v>
      </c>
      <c r="AS338" t="s">
        <v>2053</v>
      </c>
      <c r="AT338" s="2">
        <v>1.3360000000000001</v>
      </c>
      <c r="AU338" s="1">
        <f t="shared" si="51"/>
        <v>0.4703575074797986</v>
      </c>
      <c r="AV338" s="1">
        <f t="shared" si="52"/>
        <v>0.33724240266324701</v>
      </c>
      <c r="AW338" s="1">
        <f t="shared" si="53"/>
        <v>0.20412729784669531</v>
      </c>
    </row>
    <row r="339" spans="1:49" x14ac:dyDescent="0.2">
      <c r="A339">
        <v>337</v>
      </c>
      <c r="B339" t="s">
        <v>6066</v>
      </c>
      <c r="C339" t="s">
        <v>6065</v>
      </c>
      <c r="F339" t="s">
        <v>6064</v>
      </c>
      <c r="G339" t="s">
        <v>15</v>
      </c>
      <c r="H339" t="s">
        <v>14</v>
      </c>
      <c r="I339" t="s">
        <v>6063</v>
      </c>
      <c r="J339">
        <v>60023345</v>
      </c>
      <c r="K339" t="s">
        <v>5043</v>
      </c>
      <c r="L339" t="s">
        <v>5042</v>
      </c>
      <c r="M339" t="s">
        <v>300</v>
      </c>
      <c r="N339">
        <v>2</v>
      </c>
      <c r="O339" t="s">
        <v>6062</v>
      </c>
      <c r="P339" t="s">
        <v>6061</v>
      </c>
      <c r="Q339" t="s">
        <v>6060</v>
      </c>
      <c r="R339" s="7">
        <v>32143</v>
      </c>
      <c r="S339" s="8">
        <f t="shared" si="48"/>
        <v>1988</v>
      </c>
      <c r="T339" s="8">
        <v>1988</v>
      </c>
      <c r="U339" s="8">
        <f t="shared" si="49"/>
        <v>34</v>
      </c>
      <c r="V339" s="7" t="s">
        <v>6059</v>
      </c>
      <c r="W339" t="s">
        <v>2315</v>
      </c>
      <c r="X339" s="2">
        <v>0.218</v>
      </c>
      <c r="Y339" s="6">
        <f t="shared" si="46"/>
        <v>5.8193854942473512E-3</v>
      </c>
      <c r="AA339">
        <v>3772063</v>
      </c>
      <c r="AB339">
        <v>130012</v>
      </c>
      <c r="AD339" t="s">
        <v>4</v>
      </c>
      <c r="AE339">
        <v>34</v>
      </c>
      <c r="AF339">
        <v>6</v>
      </c>
      <c r="AH339" t="s">
        <v>6058</v>
      </c>
      <c r="AI339" t="s">
        <v>6057</v>
      </c>
      <c r="AK339" t="s">
        <v>6056</v>
      </c>
      <c r="AL339">
        <v>0</v>
      </c>
      <c r="AM339" s="5">
        <f t="shared" si="50"/>
        <v>0</v>
      </c>
      <c r="AN339" s="4">
        <f t="shared" si="47"/>
        <v>0</v>
      </c>
      <c r="AO339" s="3"/>
      <c r="AP339">
        <v>0</v>
      </c>
      <c r="AR339" t="s">
        <v>0</v>
      </c>
      <c r="AT339" s="2">
        <v>2.3330000000000002</v>
      </c>
      <c r="AU339" s="1">
        <f t="shared" si="51"/>
        <v>0.40735698459731456</v>
      </c>
      <c r="AV339" s="1">
        <f t="shared" si="52"/>
        <v>0.29096927471236755</v>
      </c>
      <c r="AW339" s="1">
        <f t="shared" si="53"/>
        <v>0.17458156482742054</v>
      </c>
    </row>
    <row r="340" spans="1:49" x14ac:dyDescent="0.2">
      <c r="A340">
        <v>338</v>
      </c>
      <c r="B340" t="s">
        <v>6055</v>
      </c>
      <c r="C340" t="s">
        <v>6054</v>
      </c>
      <c r="F340" t="s">
        <v>6053</v>
      </c>
      <c r="G340" t="s">
        <v>15</v>
      </c>
      <c r="H340" t="s">
        <v>14</v>
      </c>
      <c r="I340" t="s">
        <v>6052</v>
      </c>
      <c r="N340">
        <v>1</v>
      </c>
      <c r="O340" t="s">
        <v>6051</v>
      </c>
      <c r="P340">
        <v>7202493986</v>
      </c>
      <c r="R340" s="7">
        <v>32143</v>
      </c>
      <c r="S340" s="8">
        <f t="shared" si="48"/>
        <v>1988</v>
      </c>
      <c r="T340" s="8">
        <v>1988</v>
      </c>
      <c r="U340" s="8">
        <f t="shared" si="49"/>
        <v>34</v>
      </c>
      <c r="V340" s="7" t="s">
        <v>5999</v>
      </c>
      <c r="W340" t="s">
        <v>1307</v>
      </c>
      <c r="X340" s="2">
        <v>0.371</v>
      </c>
      <c r="Y340" s="6">
        <f t="shared" si="46"/>
        <v>9.9036331117695747E-3</v>
      </c>
      <c r="AA340">
        <v>486604</v>
      </c>
      <c r="AB340">
        <v>28580</v>
      </c>
      <c r="AC340" t="s">
        <v>1306</v>
      </c>
      <c r="AD340" t="s">
        <v>4</v>
      </c>
      <c r="AE340">
        <v>23</v>
      </c>
      <c r="AF340">
        <v>6</v>
      </c>
      <c r="AH340" t="s">
        <v>6050</v>
      </c>
      <c r="AI340" t="s">
        <v>6049</v>
      </c>
      <c r="AK340" t="s">
        <v>6048</v>
      </c>
      <c r="AL340">
        <v>5</v>
      </c>
      <c r="AM340" s="5">
        <f t="shared" si="50"/>
        <v>0.14705882352941177</v>
      </c>
      <c r="AN340" s="4">
        <f t="shared" si="47"/>
        <v>2.2273203109339154E-4</v>
      </c>
      <c r="AO340" s="3"/>
      <c r="AP340">
        <v>0</v>
      </c>
      <c r="AR340" t="s">
        <v>0</v>
      </c>
      <c r="AT340" s="2">
        <v>1.431</v>
      </c>
      <c r="AU340" s="1">
        <f t="shared" si="51"/>
        <v>0.69993627875667197</v>
      </c>
      <c r="AV340" s="1">
        <f t="shared" si="52"/>
        <v>0.50631825714314826</v>
      </c>
      <c r="AW340" s="1">
        <f t="shared" si="53"/>
        <v>0.31270023552962467</v>
      </c>
    </row>
    <row r="341" spans="1:49" x14ac:dyDescent="0.2">
      <c r="A341">
        <v>339</v>
      </c>
      <c r="B341" t="s">
        <v>6047</v>
      </c>
      <c r="C341" t="s">
        <v>6046</v>
      </c>
      <c r="F341" t="s">
        <v>6045</v>
      </c>
      <c r="G341" t="s">
        <v>15</v>
      </c>
      <c r="H341" t="s">
        <v>14</v>
      </c>
      <c r="I341" t="s">
        <v>6044</v>
      </c>
      <c r="J341">
        <v>60027392</v>
      </c>
      <c r="K341" t="s">
        <v>6043</v>
      </c>
      <c r="L341" t="s">
        <v>6042</v>
      </c>
      <c r="M341" t="s">
        <v>31</v>
      </c>
      <c r="N341">
        <v>1</v>
      </c>
      <c r="O341" t="s">
        <v>6041</v>
      </c>
      <c r="P341">
        <v>57201827302</v>
      </c>
      <c r="Q341">
        <v>60027392</v>
      </c>
      <c r="R341" s="7">
        <v>32143</v>
      </c>
      <c r="S341" s="8">
        <f t="shared" si="48"/>
        <v>1988</v>
      </c>
      <c r="T341" s="8">
        <v>1988</v>
      </c>
      <c r="U341" s="8">
        <f t="shared" si="49"/>
        <v>34</v>
      </c>
      <c r="V341" s="7">
        <v>32448</v>
      </c>
      <c r="W341" t="s">
        <v>1175</v>
      </c>
      <c r="X341" s="2">
        <v>1.218</v>
      </c>
      <c r="Y341" s="6">
        <f t="shared" si="46"/>
        <v>3.2513814366941618E-2</v>
      </c>
      <c r="AA341">
        <v>189448</v>
      </c>
      <c r="AB341">
        <v>15107</v>
      </c>
      <c r="AC341">
        <v>15579654</v>
      </c>
      <c r="AD341" t="s">
        <v>4</v>
      </c>
      <c r="AE341">
        <v>34</v>
      </c>
      <c r="AF341">
        <v>6</v>
      </c>
      <c r="AH341" t="s">
        <v>6040</v>
      </c>
      <c r="AI341" t="s">
        <v>6039</v>
      </c>
      <c r="AK341" t="s">
        <v>6038</v>
      </c>
      <c r="AL341">
        <v>1</v>
      </c>
      <c r="AM341" s="5">
        <f t="shared" si="50"/>
        <v>2.9411764705882353E-2</v>
      </c>
      <c r="AN341" s="4">
        <f t="shared" si="47"/>
        <v>4.4546406218678307E-5</v>
      </c>
      <c r="AO341" s="3"/>
      <c r="AP341">
        <v>0</v>
      </c>
      <c r="AQ341" t="s">
        <v>1636</v>
      </c>
      <c r="AR341" t="s">
        <v>6037</v>
      </c>
      <c r="AS341" t="s">
        <v>1634</v>
      </c>
      <c r="AT341" s="2" t="s">
        <v>19</v>
      </c>
      <c r="AU341" s="1">
        <f t="shared" si="51"/>
        <v>2.2773033978724735</v>
      </c>
      <c r="AV341" s="1">
        <f t="shared" si="52"/>
        <v>1.6279180386580148</v>
      </c>
      <c r="AW341" s="1">
        <f t="shared" si="53"/>
        <v>0.97853267944355593</v>
      </c>
    </row>
    <row r="342" spans="1:49" x14ac:dyDescent="0.2">
      <c r="A342">
        <v>340</v>
      </c>
      <c r="B342" t="s">
        <v>6036</v>
      </c>
      <c r="C342" t="s">
        <v>6035</v>
      </c>
      <c r="F342" t="s">
        <v>6034</v>
      </c>
      <c r="G342" t="s">
        <v>15</v>
      </c>
      <c r="H342" t="s">
        <v>14</v>
      </c>
      <c r="I342" t="s">
        <v>6033</v>
      </c>
      <c r="J342" t="s">
        <v>6032</v>
      </c>
      <c r="K342" t="s">
        <v>6031</v>
      </c>
      <c r="L342" t="s">
        <v>6030</v>
      </c>
      <c r="M342" t="s">
        <v>352</v>
      </c>
      <c r="N342">
        <v>4</v>
      </c>
      <c r="O342" t="s">
        <v>6029</v>
      </c>
      <c r="P342" t="s">
        <v>6028</v>
      </c>
      <c r="Q342" t="s">
        <v>6027</v>
      </c>
      <c r="R342" s="7">
        <v>32143</v>
      </c>
      <c r="S342" s="8">
        <f t="shared" si="48"/>
        <v>1988</v>
      </c>
      <c r="T342" s="8">
        <v>1988</v>
      </c>
      <c r="U342" s="8">
        <f t="shared" si="49"/>
        <v>34</v>
      </c>
      <c r="V342" s="7">
        <v>32448</v>
      </c>
      <c r="W342" t="s">
        <v>6006</v>
      </c>
      <c r="X342" s="2">
        <v>0.62</v>
      </c>
      <c r="Y342" s="6">
        <f t="shared" si="46"/>
        <v>1.6550545901070447E-2</v>
      </c>
      <c r="AA342">
        <v>189464</v>
      </c>
      <c r="AB342">
        <v>17364</v>
      </c>
      <c r="AC342">
        <v>19410069</v>
      </c>
      <c r="AD342" t="s">
        <v>4</v>
      </c>
      <c r="AE342">
        <v>24</v>
      </c>
      <c r="AF342">
        <v>6</v>
      </c>
      <c r="AH342" t="s">
        <v>6026</v>
      </c>
      <c r="AI342" t="s">
        <v>6025</v>
      </c>
      <c r="AK342" t="s">
        <v>6024</v>
      </c>
      <c r="AL342">
        <v>5</v>
      </c>
      <c r="AM342" s="5">
        <f t="shared" si="50"/>
        <v>0.14705882352941177</v>
      </c>
      <c r="AN342" s="4">
        <f t="shared" si="47"/>
        <v>2.2273203109339154E-4</v>
      </c>
      <c r="AO342" s="3"/>
      <c r="AP342">
        <v>0</v>
      </c>
      <c r="AR342" t="s">
        <v>0</v>
      </c>
      <c r="AT342" s="2">
        <v>1.7</v>
      </c>
      <c r="AU342" s="1">
        <f t="shared" si="51"/>
        <v>1.165220174007733</v>
      </c>
      <c r="AV342" s="1">
        <f t="shared" si="52"/>
        <v>0.83866389660819196</v>
      </c>
      <c r="AW342" s="1">
        <f t="shared" si="53"/>
        <v>0.51210761920865078</v>
      </c>
    </row>
    <row r="343" spans="1:49" x14ac:dyDescent="0.2">
      <c r="A343">
        <v>341</v>
      </c>
      <c r="B343" t="s">
        <v>6023</v>
      </c>
      <c r="C343" t="s">
        <v>6022</v>
      </c>
      <c r="F343" t="s">
        <v>6021</v>
      </c>
      <c r="G343" t="s">
        <v>15</v>
      </c>
      <c r="H343" t="s">
        <v>14</v>
      </c>
      <c r="I343" t="s">
        <v>6020</v>
      </c>
      <c r="J343">
        <v>60016302</v>
      </c>
      <c r="K343" t="s">
        <v>6019</v>
      </c>
      <c r="M343" t="s">
        <v>6018</v>
      </c>
      <c r="N343">
        <v>1</v>
      </c>
      <c r="O343" t="s">
        <v>6017</v>
      </c>
      <c r="P343">
        <v>7201481830</v>
      </c>
      <c r="Q343">
        <v>60016302</v>
      </c>
      <c r="R343" s="7">
        <v>32143</v>
      </c>
      <c r="S343" s="8">
        <f t="shared" si="48"/>
        <v>1988</v>
      </c>
      <c r="T343" s="8">
        <v>1988</v>
      </c>
      <c r="U343" s="8">
        <f t="shared" si="49"/>
        <v>34</v>
      </c>
      <c r="V343" s="7">
        <v>32448</v>
      </c>
      <c r="W343" t="s">
        <v>2085</v>
      </c>
      <c r="X343" s="2">
        <v>1.365</v>
      </c>
      <c r="Y343" s="6">
        <f t="shared" si="46"/>
        <v>3.6437895411227675E-2</v>
      </c>
      <c r="AA343">
        <v>189545</v>
      </c>
      <c r="AB343">
        <v>17393</v>
      </c>
      <c r="AC343">
        <v>19399359</v>
      </c>
      <c r="AD343" t="s">
        <v>4</v>
      </c>
      <c r="AE343">
        <v>37</v>
      </c>
      <c r="AF343">
        <v>4</v>
      </c>
      <c r="AH343" t="s">
        <v>6016</v>
      </c>
      <c r="AI343" t="s">
        <v>6015</v>
      </c>
      <c r="AK343" t="s">
        <v>6014</v>
      </c>
      <c r="AL343">
        <v>38</v>
      </c>
      <c r="AM343" s="5">
        <f t="shared" si="50"/>
        <v>1.1176470588235294</v>
      </c>
      <c r="AN343" s="4">
        <f t="shared" si="47"/>
        <v>1.6927634363097758E-3</v>
      </c>
      <c r="AO343" s="3"/>
      <c r="AP343">
        <v>0</v>
      </c>
      <c r="AR343" t="s">
        <v>0</v>
      </c>
      <c r="AT343" s="2" t="s">
        <v>19</v>
      </c>
      <c r="AU343" s="1">
        <f t="shared" si="51"/>
        <v>2.6014355818752302</v>
      </c>
      <c r="AV343" s="1">
        <f t="shared" si="52"/>
        <v>1.9065329423768724</v>
      </c>
      <c r="AW343" s="1">
        <f t="shared" si="53"/>
        <v>1.2116303028785145</v>
      </c>
    </row>
    <row r="344" spans="1:49" x14ac:dyDescent="0.2">
      <c r="A344">
        <v>342</v>
      </c>
      <c r="B344" t="s">
        <v>6013</v>
      </c>
      <c r="C344" t="s">
        <v>6012</v>
      </c>
      <c r="F344" t="s">
        <v>6011</v>
      </c>
      <c r="G344" t="s">
        <v>15</v>
      </c>
      <c r="H344" t="s">
        <v>14</v>
      </c>
      <c r="I344" t="s">
        <v>6010</v>
      </c>
      <c r="J344">
        <v>60021211</v>
      </c>
      <c r="K344" t="s">
        <v>6009</v>
      </c>
      <c r="L344" t="s">
        <v>6008</v>
      </c>
      <c r="M344" t="s">
        <v>31</v>
      </c>
      <c r="N344">
        <v>1</v>
      </c>
      <c r="O344" t="s">
        <v>6007</v>
      </c>
      <c r="P344">
        <v>6603947636</v>
      </c>
      <c r="Q344">
        <v>60021211</v>
      </c>
      <c r="R344" s="7">
        <v>32143</v>
      </c>
      <c r="S344" s="8">
        <f t="shared" si="48"/>
        <v>1988</v>
      </c>
      <c r="T344" s="8">
        <v>1988</v>
      </c>
      <c r="U344" s="8">
        <f t="shared" si="49"/>
        <v>34</v>
      </c>
      <c r="V344" s="7">
        <v>32448</v>
      </c>
      <c r="W344" t="s">
        <v>6006</v>
      </c>
      <c r="X344" s="2">
        <v>0.62</v>
      </c>
      <c r="Y344" s="6">
        <f t="shared" si="46"/>
        <v>1.6550545901070447E-2</v>
      </c>
      <c r="AA344">
        <v>189464</v>
      </c>
      <c r="AB344">
        <v>17364</v>
      </c>
      <c r="AC344">
        <v>19410069</v>
      </c>
      <c r="AD344" t="s">
        <v>4</v>
      </c>
      <c r="AE344">
        <v>24</v>
      </c>
      <c r="AF344">
        <v>6</v>
      </c>
      <c r="AH344" t="s">
        <v>6005</v>
      </c>
      <c r="AI344" t="s">
        <v>6004</v>
      </c>
      <c r="AK344" t="s">
        <v>6003</v>
      </c>
      <c r="AL344">
        <v>1</v>
      </c>
      <c r="AM344" s="5">
        <f t="shared" si="50"/>
        <v>2.9411764705882353E-2</v>
      </c>
      <c r="AN344" s="4">
        <f t="shared" si="47"/>
        <v>4.4546406218678307E-5</v>
      </c>
      <c r="AO344" s="3"/>
      <c r="AP344">
        <v>0</v>
      </c>
      <c r="AR344" t="s">
        <v>0</v>
      </c>
      <c r="AT344" s="2">
        <v>1.7</v>
      </c>
      <c r="AU344" s="1">
        <f t="shared" si="51"/>
        <v>1.1598746052614917</v>
      </c>
      <c r="AV344" s="1">
        <f t="shared" si="52"/>
        <v>0.82975461536445638</v>
      </c>
      <c r="AW344" s="1">
        <f t="shared" si="53"/>
        <v>0.49963462546742082</v>
      </c>
    </row>
    <row r="345" spans="1:49" x14ac:dyDescent="0.2">
      <c r="A345">
        <v>343</v>
      </c>
      <c r="B345" t="s">
        <v>6002</v>
      </c>
      <c r="C345" t="s">
        <v>6001</v>
      </c>
      <c r="F345" t="s">
        <v>6000</v>
      </c>
      <c r="G345" t="s">
        <v>15</v>
      </c>
      <c r="H345" t="s">
        <v>14</v>
      </c>
      <c r="I345" t="s">
        <v>2849</v>
      </c>
      <c r="N345">
        <v>2</v>
      </c>
      <c r="O345" t="s">
        <v>5955</v>
      </c>
      <c r="P345" t="s">
        <v>2846</v>
      </c>
      <c r="Q345" t="s">
        <v>501</v>
      </c>
      <c r="R345" s="7">
        <v>32143</v>
      </c>
      <c r="S345" s="8">
        <f t="shared" si="48"/>
        <v>1988</v>
      </c>
      <c r="T345" s="8">
        <v>1988</v>
      </c>
      <c r="U345" s="8">
        <f t="shared" si="49"/>
        <v>34</v>
      </c>
      <c r="V345" s="7" t="s">
        <v>5999</v>
      </c>
      <c r="W345" t="s">
        <v>1307</v>
      </c>
      <c r="X345" s="2">
        <v>0.371</v>
      </c>
      <c r="Y345" s="6">
        <f t="shared" si="46"/>
        <v>9.9036331117695747E-3</v>
      </c>
      <c r="AA345">
        <v>486604</v>
      </c>
      <c r="AB345">
        <v>28580</v>
      </c>
      <c r="AC345" t="s">
        <v>1306</v>
      </c>
      <c r="AD345" t="s">
        <v>4</v>
      </c>
      <c r="AE345">
        <v>23</v>
      </c>
      <c r="AF345">
        <v>6</v>
      </c>
      <c r="AH345" t="s">
        <v>5998</v>
      </c>
      <c r="AI345" t="s">
        <v>5997</v>
      </c>
      <c r="AK345" t="s">
        <v>5996</v>
      </c>
      <c r="AL345">
        <v>9</v>
      </c>
      <c r="AM345" s="5">
        <f t="shared" si="50"/>
        <v>0.26470588235294118</v>
      </c>
      <c r="AN345" s="4">
        <f t="shared" si="47"/>
        <v>4.009176559681048E-4</v>
      </c>
      <c r="AO345" s="3"/>
      <c r="AP345">
        <v>0</v>
      </c>
      <c r="AR345" t="s">
        <v>0</v>
      </c>
      <c r="AT345" s="2">
        <v>1.431</v>
      </c>
      <c r="AU345" s="1">
        <f t="shared" si="51"/>
        <v>0.70528184750291334</v>
      </c>
      <c r="AV345" s="1">
        <f t="shared" si="52"/>
        <v>0.51522753838688395</v>
      </c>
      <c r="AW345" s="1">
        <f t="shared" si="53"/>
        <v>0.32517322927085462</v>
      </c>
    </row>
    <row r="346" spans="1:49" x14ac:dyDescent="0.2">
      <c r="A346">
        <v>344</v>
      </c>
      <c r="B346" t="s">
        <v>5995</v>
      </c>
      <c r="C346" t="s">
        <v>5994</v>
      </c>
      <c r="F346" t="s">
        <v>5993</v>
      </c>
      <c r="G346" t="s">
        <v>15</v>
      </c>
      <c r="H346" t="s">
        <v>14</v>
      </c>
      <c r="I346" t="s">
        <v>5992</v>
      </c>
      <c r="J346">
        <v>60102558</v>
      </c>
      <c r="K346" t="s">
        <v>5991</v>
      </c>
      <c r="L346" t="s">
        <v>5990</v>
      </c>
      <c r="M346" t="s">
        <v>31</v>
      </c>
      <c r="N346">
        <v>2</v>
      </c>
      <c r="O346" t="s">
        <v>5989</v>
      </c>
      <c r="P346" t="s">
        <v>5988</v>
      </c>
      <c r="Q346" t="s">
        <v>5987</v>
      </c>
      <c r="R346" s="7">
        <v>32143</v>
      </c>
      <c r="S346" s="8">
        <f t="shared" si="48"/>
        <v>1988</v>
      </c>
      <c r="T346" s="8">
        <v>1988</v>
      </c>
      <c r="U346" s="8">
        <f t="shared" si="49"/>
        <v>34</v>
      </c>
      <c r="V346" s="7">
        <v>32448</v>
      </c>
      <c r="W346" t="s">
        <v>1958</v>
      </c>
      <c r="X346" s="2">
        <v>0.65500000000000003</v>
      </c>
      <c r="Y346" s="6">
        <f t="shared" si="46"/>
        <v>1.7484850911614749E-2</v>
      </c>
      <c r="AA346">
        <v>189375</v>
      </c>
      <c r="AB346">
        <v>26051</v>
      </c>
      <c r="AC346" t="s">
        <v>1957</v>
      </c>
      <c r="AD346" t="s">
        <v>4</v>
      </c>
      <c r="AE346">
        <v>30</v>
      </c>
      <c r="AF346">
        <v>4</v>
      </c>
      <c r="AH346" t="s">
        <v>5986</v>
      </c>
      <c r="AI346" t="s">
        <v>5985</v>
      </c>
      <c r="AK346" t="s">
        <v>5984</v>
      </c>
      <c r="AL346">
        <v>1</v>
      </c>
      <c r="AM346" s="5">
        <f t="shared" si="50"/>
        <v>2.9411764705882353E-2</v>
      </c>
      <c r="AN346" s="4">
        <f t="shared" si="47"/>
        <v>4.4546406218678307E-5</v>
      </c>
      <c r="AO346" s="3"/>
      <c r="AP346">
        <v>0</v>
      </c>
      <c r="AR346" t="s">
        <v>0</v>
      </c>
      <c r="AT346" s="2" t="s">
        <v>19</v>
      </c>
      <c r="AU346" s="1">
        <f t="shared" si="51"/>
        <v>1.2252759559995927</v>
      </c>
      <c r="AV346" s="1">
        <f t="shared" si="52"/>
        <v>0.87646986589167142</v>
      </c>
      <c r="AW346" s="1">
        <f t="shared" si="53"/>
        <v>0.5276637757837499</v>
      </c>
    </row>
    <row r="347" spans="1:49" x14ac:dyDescent="0.2">
      <c r="A347">
        <v>345</v>
      </c>
      <c r="B347" t="s">
        <v>5983</v>
      </c>
      <c r="C347" t="s">
        <v>5982</v>
      </c>
      <c r="F347" t="s">
        <v>5981</v>
      </c>
      <c r="G347" t="s">
        <v>15</v>
      </c>
      <c r="H347" t="s">
        <v>14</v>
      </c>
      <c r="I347" t="s">
        <v>5980</v>
      </c>
      <c r="J347">
        <v>60072501</v>
      </c>
      <c r="K347" t="s">
        <v>5979</v>
      </c>
      <c r="L347" t="s">
        <v>5978</v>
      </c>
      <c r="M347" t="s">
        <v>45</v>
      </c>
      <c r="N347">
        <v>2</v>
      </c>
      <c r="O347" t="s">
        <v>5977</v>
      </c>
      <c r="P347" t="s">
        <v>5976</v>
      </c>
      <c r="Q347" t="s">
        <v>5975</v>
      </c>
      <c r="R347" s="7">
        <v>32143</v>
      </c>
      <c r="S347" s="8">
        <f t="shared" si="48"/>
        <v>1988</v>
      </c>
      <c r="T347" s="8">
        <v>1988</v>
      </c>
      <c r="U347" s="8">
        <f t="shared" si="49"/>
        <v>34</v>
      </c>
      <c r="V347" s="7">
        <v>1988</v>
      </c>
      <c r="W347" t="s">
        <v>56</v>
      </c>
      <c r="X347" s="2">
        <v>0.375</v>
      </c>
      <c r="Y347" s="6">
        <f t="shared" si="46"/>
        <v>1.0010410827260351E-2</v>
      </c>
      <c r="AA347">
        <v>135194</v>
      </c>
      <c r="AB347">
        <v>24918</v>
      </c>
      <c r="AD347" t="s">
        <v>4</v>
      </c>
      <c r="AE347">
        <v>24</v>
      </c>
      <c r="AF347">
        <v>24</v>
      </c>
      <c r="AH347" t="s">
        <v>5974</v>
      </c>
      <c r="AI347" t="s">
        <v>5973</v>
      </c>
      <c r="AJ347" t="s">
        <v>5972</v>
      </c>
      <c r="AK347" t="s">
        <v>5971</v>
      </c>
      <c r="AL347">
        <v>2</v>
      </c>
      <c r="AM347" s="5">
        <f t="shared" si="50"/>
        <v>5.8823529411764705E-2</v>
      </c>
      <c r="AN347" s="4">
        <f t="shared" si="47"/>
        <v>8.9092812437356614E-5</v>
      </c>
      <c r="AO347" s="3"/>
      <c r="AP347">
        <v>0</v>
      </c>
      <c r="AR347" t="s">
        <v>0</v>
      </c>
      <c r="AT347" s="2">
        <v>1.3140000000000001</v>
      </c>
      <c r="AU347" s="1">
        <f t="shared" si="51"/>
        <v>0.70340154228134533</v>
      </c>
      <c r="AV347" s="1">
        <f t="shared" si="52"/>
        <v>0.50497518198488534</v>
      </c>
      <c r="AW347" s="1">
        <f t="shared" si="53"/>
        <v>0.30654882168842545</v>
      </c>
    </row>
    <row r="348" spans="1:49" x14ac:dyDescent="0.2">
      <c r="A348">
        <v>346</v>
      </c>
      <c r="B348" t="s">
        <v>5970</v>
      </c>
      <c r="C348" t="s">
        <v>5969</v>
      </c>
      <c r="F348" t="s">
        <v>5968</v>
      </c>
      <c r="G348" t="s">
        <v>15</v>
      </c>
      <c r="H348" t="s">
        <v>14</v>
      </c>
      <c r="I348" t="s">
        <v>5967</v>
      </c>
      <c r="J348">
        <v>60028186</v>
      </c>
      <c r="K348" t="s">
        <v>3966</v>
      </c>
      <c r="L348" t="s">
        <v>3965</v>
      </c>
      <c r="M348" t="s">
        <v>3131</v>
      </c>
      <c r="N348">
        <v>1</v>
      </c>
      <c r="O348" t="s">
        <v>5966</v>
      </c>
      <c r="P348">
        <v>7004724089</v>
      </c>
      <c r="Q348">
        <v>60028186</v>
      </c>
      <c r="R348" s="7">
        <v>32143</v>
      </c>
      <c r="S348" s="8">
        <f t="shared" si="48"/>
        <v>1988</v>
      </c>
      <c r="T348" s="8">
        <v>1988</v>
      </c>
      <c r="U348" s="8">
        <f t="shared" si="49"/>
        <v>34</v>
      </c>
      <c r="V348" s="7">
        <v>1988</v>
      </c>
      <c r="W348" t="s">
        <v>56</v>
      </c>
      <c r="X348" s="2">
        <v>0.375</v>
      </c>
      <c r="Y348" s="6">
        <f t="shared" si="46"/>
        <v>1.0010410827260351E-2</v>
      </c>
      <c r="AA348">
        <v>135194</v>
      </c>
      <c r="AB348">
        <v>24918</v>
      </c>
      <c r="AD348" t="s">
        <v>4</v>
      </c>
      <c r="AE348">
        <v>24</v>
      </c>
      <c r="AF348">
        <v>23</v>
      </c>
      <c r="AH348" t="s">
        <v>5965</v>
      </c>
      <c r="AI348" t="s">
        <v>5964</v>
      </c>
      <c r="AK348" t="s">
        <v>5963</v>
      </c>
      <c r="AL348">
        <v>118</v>
      </c>
      <c r="AM348" s="5">
        <f t="shared" si="50"/>
        <v>3.4705882352941178</v>
      </c>
      <c r="AN348" s="4">
        <f t="shared" si="47"/>
        <v>5.2564759338040402E-3</v>
      </c>
      <c r="AO348" s="3"/>
      <c r="AP348">
        <v>0</v>
      </c>
      <c r="AR348" t="s">
        <v>0</v>
      </c>
      <c r="AT348" s="2">
        <v>1.3140000000000001</v>
      </c>
      <c r="AU348" s="1">
        <f t="shared" si="51"/>
        <v>0.85842303592234581</v>
      </c>
      <c r="AV348" s="1">
        <f t="shared" si="52"/>
        <v>0.76334433805321966</v>
      </c>
      <c r="AW348" s="1">
        <f t="shared" si="53"/>
        <v>0.66826564018409329</v>
      </c>
    </row>
    <row r="349" spans="1:49" x14ac:dyDescent="0.2">
      <c r="A349">
        <v>347</v>
      </c>
      <c r="B349" t="s">
        <v>5962</v>
      </c>
      <c r="C349" t="s">
        <v>5961</v>
      </c>
      <c r="F349" t="s">
        <v>5960</v>
      </c>
      <c r="G349" t="s">
        <v>15</v>
      </c>
      <c r="H349" t="s">
        <v>14</v>
      </c>
      <c r="I349" t="s">
        <v>5959</v>
      </c>
      <c r="J349" t="s">
        <v>5958</v>
      </c>
      <c r="K349" t="s">
        <v>5957</v>
      </c>
      <c r="L349" t="s">
        <v>5956</v>
      </c>
      <c r="M349" t="s">
        <v>9</v>
      </c>
      <c r="N349">
        <v>2</v>
      </c>
      <c r="O349" t="s">
        <v>5955</v>
      </c>
      <c r="P349" t="s">
        <v>2846</v>
      </c>
      <c r="Q349" t="s">
        <v>5954</v>
      </c>
      <c r="R349" s="7">
        <v>32143</v>
      </c>
      <c r="S349" s="8">
        <f t="shared" si="48"/>
        <v>1988</v>
      </c>
      <c r="T349" s="8">
        <v>1988</v>
      </c>
      <c r="U349" s="8">
        <f t="shared" si="49"/>
        <v>34</v>
      </c>
      <c r="V349" s="7">
        <v>32448</v>
      </c>
      <c r="W349" t="s">
        <v>1958</v>
      </c>
      <c r="X349" s="2">
        <v>0.65500000000000003</v>
      </c>
      <c r="Y349" s="6">
        <f t="shared" si="46"/>
        <v>1.7484850911614749E-2</v>
      </c>
      <c r="AA349">
        <v>189375</v>
      </c>
      <c r="AB349">
        <v>26051</v>
      </c>
      <c r="AC349" t="s">
        <v>1957</v>
      </c>
      <c r="AD349" t="s">
        <v>4</v>
      </c>
      <c r="AE349">
        <v>30</v>
      </c>
      <c r="AF349">
        <v>4</v>
      </c>
      <c r="AH349" t="s">
        <v>5953</v>
      </c>
      <c r="AI349" t="s">
        <v>5952</v>
      </c>
      <c r="AK349" t="s">
        <v>5951</v>
      </c>
      <c r="AL349">
        <v>16</v>
      </c>
      <c r="AM349" s="5">
        <f t="shared" si="50"/>
        <v>0.47058823529411764</v>
      </c>
      <c r="AN349" s="4">
        <f t="shared" si="47"/>
        <v>7.1274249949885291E-4</v>
      </c>
      <c r="AO349" s="3"/>
      <c r="AP349">
        <v>0</v>
      </c>
      <c r="AQ349" t="s">
        <v>855</v>
      </c>
      <c r="AR349" t="s">
        <v>5950</v>
      </c>
      <c r="AS349" t="s">
        <v>854</v>
      </c>
      <c r="AT349" s="2" t="s">
        <v>19</v>
      </c>
      <c r="AU349" s="1">
        <f t="shared" si="51"/>
        <v>1.2453218387979978</v>
      </c>
      <c r="AV349" s="1">
        <f t="shared" si="52"/>
        <v>0.9098796705556802</v>
      </c>
      <c r="AW349" s="1">
        <f t="shared" si="53"/>
        <v>0.57443750231336221</v>
      </c>
    </row>
    <row r="350" spans="1:49" x14ac:dyDescent="0.2">
      <c r="A350">
        <v>348</v>
      </c>
      <c r="B350" t="s">
        <v>5949</v>
      </c>
      <c r="C350" t="s">
        <v>5948</v>
      </c>
      <c r="F350" t="s">
        <v>5947</v>
      </c>
      <c r="G350" t="s">
        <v>15</v>
      </c>
      <c r="H350" t="s">
        <v>14</v>
      </c>
      <c r="I350" t="s">
        <v>5946</v>
      </c>
      <c r="J350">
        <v>60022109</v>
      </c>
      <c r="K350" t="s">
        <v>2096</v>
      </c>
      <c r="L350" t="s">
        <v>2095</v>
      </c>
      <c r="M350" t="s">
        <v>1011</v>
      </c>
      <c r="N350">
        <v>3</v>
      </c>
      <c r="O350" t="s">
        <v>5945</v>
      </c>
      <c r="P350" t="s">
        <v>5944</v>
      </c>
      <c r="Q350" t="s">
        <v>3847</v>
      </c>
      <c r="R350" s="7">
        <v>32143</v>
      </c>
      <c r="S350" s="8">
        <f t="shared" si="48"/>
        <v>1988</v>
      </c>
      <c r="T350" s="8">
        <v>1988</v>
      </c>
      <c r="U350" s="8">
        <f t="shared" si="49"/>
        <v>34</v>
      </c>
      <c r="V350" s="7">
        <v>1988</v>
      </c>
      <c r="W350" t="s">
        <v>56</v>
      </c>
      <c r="X350" s="2">
        <v>0.375</v>
      </c>
      <c r="Y350" s="6">
        <f t="shared" si="46"/>
        <v>1.0010410827260351E-2</v>
      </c>
      <c r="AA350">
        <v>135194</v>
      </c>
      <c r="AB350">
        <v>24918</v>
      </c>
      <c r="AD350" t="s">
        <v>4</v>
      </c>
      <c r="AE350">
        <v>24</v>
      </c>
      <c r="AF350">
        <v>23</v>
      </c>
      <c r="AH350" t="s">
        <v>5943</v>
      </c>
      <c r="AI350" t="s">
        <v>5942</v>
      </c>
      <c r="AJ350" t="s">
        <v>5941</v>
      </c>
      <c r="AK350" t="s">
        <v>5940</v>
      </c>
      <c r="AL350">
        <v>2</v>
      </c>
      <c r="AM350" s="5">
        <f t="shared" si="50"/>
        <v>5.8823529411764705E-2</v>
      </c>
      <c r="AN350" s="4">
        <f t="shared" si="47"/>
        <v>8.9092812437356614E-5</v>
      </c>
      <c r="AO350" s="3"/>
      <c r="AP350">
        <v>0</v>
      </c>
      <c r="AR350" t="s">
        <v>0</v>
      </c>
      <c r="AT350" s="2">
        <v>1.3140000000000001</v>
      </c>
      <c r="AU350" s="1">
        <f t="shared" si="51"/>
        <v>0.70340154228134533</v>
      </c>
      <c r="AV350" s="1">
        <f t="shared" si="52"/>
        <v>0.50497518198488534</v>
      </c>
      <c r="AW350" s="1">
        <f t="shared" si="53"/>
        <v>0.30654882168842545</v>
      </c>
    </row>
    <row r="351" spans="1:49" x14ac:dyDescent="0.2">
      <c r="A351">
        <v>349</v>
      </c>
      <c r="B351" t="s">
        <v>5939</v>
      </c>
      <c r="C351" t="s">
        <v>5938</v>
      </c>
      <c r="F351" t="s">
        <v>5937</v>
      </c>
      <c r="G351" t="s">
        <v>15</v>
      </c>
      <c r="H351" t="s">
        <v>14</v>
      </c>
      <c r="I351" t="s">
        <v>5868</v>
      </c>
      <c r="J351">
        <v>60023053</v>
      </c>
      <c r="K351" t="s">
        <v>1961</v>
      </c>
      <c r="L351" t="s">
        <v>1960</v>
      </c>
      <c r="M351" t="s">
        <v>31</v>
      </c>
      <c r="N351">
        <v>1</v>
      </c>
      <c r="O351" t="s">
        <v>1959</v>
      </c>
      <c r="P351">
        <v>56050028200</v>
      </c>
      <c r="Q351">
        <v>60023053</v>
      </c>
      <c r="R351" s="7">
        <v>32143</v>
      </c>
      <c r="S351" s="8">
        <f t="shared" si="48"/>
        <v>1988</v>
      </c>
      <c r="T351" s="8">
        <v>1988</v>
      </c>
      <c r="U351" s="8">
        <f t="shared" si="49"/>
        <v>34</v>
      </c>
      <c r="V351" s="7">
        <v>32448</v>
      </c>
      <c r="W351" t="s">
        <v>2450</v>
      </c>
      <c r="X351" s="2">
        <v>2.141</v>
      </c>
      <c r="Y351" s="6">
        <f t="shared" si="46"/>
        <v>5.7152772216438434E-2</v>
      </c>
      <c r="AA351">
        <v>1962892</v>
      </c>
      <c r="AB351">
        <v>17360</v>
      </c>
      <c r="AC351">
        <v>15580644</v>
      </c>
      <c r="AD351" t="s">
        <v>4</v>
      </c>
      <c r="AE351">
        <v>26</v>
      </c>
      <c r="AF351">
        <v>6</v>
      </c>
      <c r="AH351" t="s">
        <v>5936</v>
      </c>
      <c r="AI351" t="s">
        <v>5935</v>
      </c>
      <c r="AK351" t="s">
        <v>5934</v>
      </c>
      <c r="AL351">
        <v>19</v>
      </c>
      <c r="AM351" s="5">
        <f t="shared" si="50"/>
        <v>0.55882352941176472</v>
      </c>
      <c r="AN351" s="4">
        <f t="shared" si="47"/>
        <v>8.4638171815488788E-4</v>
      </c>
      <c r="AO351" s="3"/>
      <c r="AP351">
        <v>0</v>
      </c>
      <c r="AR351" t="s">
        <v>0</v>
      </c>
      <c r="AT351" s="2" t="s">
        <v>19</v>
      </c>
      <c r="AU351" s="1">
        <f t="shared" si="51"/>
        <v>4.0260855066953365</v>
      </c>
      <c r="AV351" s="1">
        <f t="shared" si="52"/>
        <v>2.8999576967296661</v>
      </c>
      <c r="AW351" s="1">
        <f t="shared" si="53"/>
        <v>1.7738298867639952</v>
      </c>
    </row>
    <row r="352" spans="1:49" x14ac:dyDescent="0.2">
      <c r="A352">
        <v>350</v>
      </c>
      <c r="B352" t="s">
        <v>5933</v>
      </c>
      <c r="C352" t="s">
        <v>5932</v>
      </c>
      <c r="F352" t="s">
        <v>5931</v>
      </c>
      <c r="G352" t="s">
        <v>15</v>
      </c>
      <c r="H352" t="s">
        <v>14</v>
      </c>
      <c r="I352" t="s">
        <v>5930</v>
      </c>
      <c r="J352">
        <v>60023053</v>
      </c>
      <c r="K352" t="s">
        <v>1961</v>
      </c>
      <c r="L352" t="s">
        <v>1960</v>
      </c>
      <c r="M352" t="s">
        <v>31</v>
      </c>
      <c r="N352">
        <v>2</v>
      </c>
      <c r="O352" t="s">
        <v>5929</v>
      </c>
      <c r="P352" t="s">
        <v>5928</v>
      </c>
      <c r="Q352" t="s">
        <v>3512</v>
      </c>
      <c r="R352" s="7">
        <v>32143</v>
      </c>
      <c r="S352" s="8">
        <f t="shared" si="48"/>
        <v>1988</v>
      </c>
      <c r="T352" s="8">
        <v>1988</v>
      </c>
      <c r="U352" s="8">
        <f t="shared" si="49"/>
        <v>34</v>
      </c>
      <c r="V352" s="7">
        <v>32448</v>
      </c>
      <c r="W352" t="s">
        <v>1958</v>
      </c>
      <c r="X352" s="2">
        <v>0.65500000000000003</v>
      </c>
      <c r="Y352" s="6">
        <f t="shared" si="46"/>
        <v>1.7484850911614749E-2</v>
      </c>
      <c r="AA352">
        <v>189375</v>
      </c>
      <c r="AB352">
        <v>26051</v>
      </c>
      <c r="AC352" t="s">
        <v>1957</v>
      </c>
      <c r="AD352" t="s">
        <v>4</v>
      </c>
      <c r="AE352">
        <v>30</v>
      </c>
      <c r="AF352">
        <v>4</v>
      </c>
      <c r="AH352" t="s">
        <v>5927</v>
      </c>
      <c r="AI352" t="s">
        <v>5926</v>
      </c>
      <c r="AJ352" t="s">
        <v>5925</v>
      </c>
      <c r="AK352" t="s">
        <v>5924</v>
      </c>
      <c r="AL352">
        <v>24</v>
      </c>
      <c r="AM352" s="5">
        <f t="shared" si="50"/>
        <v>0.70588235294117652</v>
      </c>
      <c r="AN352" s="4">
        <f t="shared" si="47"/>
        <v>1.0691137492482795E-3</v>
      </c>
      <c r="AO352" s="3"/>
      <c r="AP352">
        <v>0</v>
      </c>
      <c r="AR352" t="s">
        <v>0</v>
      </c>
      <c r="AT352" s="2" t="s">
        <v>19</v>
      </c>
      <c r="AU352" s="1">
        <f t="shared" si="51"/>
        <v>1.2560129762904806</v>
      </c>
      <c r="AV352" s="1">
        <f t="shared" si="52"/>
        <v>0.92769823304315135</v>
      </c>
      <c r="AW352" s="1">
        <f t="shared" si="53"/>
        <v>0.59938348979582212</v>
      </c>
    </row>
    <row r="353" spans="1:49" x14ac:dyDescent="0.2">
      <c r="A353">
        <v>351</v>
      </c>
      <c r="B353" t="s">
        <v>5923</v>
      </c>
      <c r="C353" t="s">
        <v>5922</v>
      </c>
      <c r="F353" t="s">
        <v>5921</v>
      </c>
      <c r="G353" t="s">
        <v>15</v>
      </c>
      <c r="H353" t="s">
        <v>14</v>
      </c>
      <c r="I353" t="s">
        <v>5920</v>
      </c>
      <c r="J353">
        <v>60020484</v>
      </c>
      <c r="K353" t="s">
        <v>5919</v>
      </c>
      <c r="L353" t="s">
        <v>5918</v>
      </c>
      <c r="M353" t="s">
        <v>3046</v>
      </c>
      <c r="N353">
        <v>2</v>
      </c>
      <c r="O353" t="s">
        <v>5917</v>
      </c>
      <c r="P353" t="s">
        <v>5916</v>
      </c>
      <c r="Q353" t="s">
        <v>5915</v>
      </c>
      <c r="R353" s="7">
        <v>32143</v>
      </c>
      <c r="S353" s="8">
        <f t="shared" si="48"/>
        <v>1988</v>
      </c>
      <c r="T353" s="8">
        <v>1988</v>
      </c>
      <c r="U353" s="8">
        <f t="shared" si="49"/>
        <v>34</v>
      </c>
      <c r="V353" s="7">
        <v>32448</v>
      </c>
      <c r="W353" t="s">
        <v>1958</v>
      </c>
      <c r="X353" s="2">
        <v>0.65500000000000003</v>
      </c>
      <c r="Y353" s="6">
        <f t="shared" si="46"/>
        <v>1.7484850911614749E-2</v>
      </c>
      <c r="AA353">
        <v>189375</v>
      </c>
      <c r="AB353">
        <v>26051</v>
      </c>
      <c r="AC353" t="s">
        <v>1957</v>
      </c>
      <c r="AD353" t="s">
        <v>4</v>
      </c>
      <c r="AE353">
        <v>30</v>
      </c>
      <c r="AF353">
        <v>4</v>
      </c>
      <c r="AH353" t="s">
        <v>5914</v>
      </c>
      <c r="AI353" t="s">
        <v>5913</v>
      </c>
      <c r="AK353" t="s">
        <v>5912</v>
      </c>
      <c r="AL353">
        <v>2</v>
      </c>
      <c r="AM353" s="5">
        <f t="shared" si="50"/>
        <v>5.8823529411764705E-2</v>
      </c>
      <c r="AN353" s="4">
        <f t="shared" si="47"/>
        <v>8.9092812437356614E-5</v>
      </c>
      <c r="AO353" s="3"/>
      <c r="AP353">
        <v>0</v>
      </c>
      <c r="AR353" t="s">
        <v>0</v>
      </c>
      <c r="AT353" s="2" t="s">
        <v>19</v>
      </c>
      <c r="AU353" s="1">
        <f t="shared" si="51"/>
        <v>1.2266123481861531</v>
      </c>
      <c r="AV353" s="1">
        <f t="shared" si="52"/>
        <v>0.87869718620260517</v>
      </c>
      <c r="AW353" s="1">
        <f t="shared" si="53"/>
        <v>0.5307820242190574</v>
      </c>
    </row>
    <row r="354" spans="1:49" x14ac:dyDescent="0.2">
      <c r="A354">
        <v>352</v>
      </c>
      <c r="B354" t="s">
        <v>5911</v>
      </c>
      <c r="C354" t="s">
        <v>5910</v>
      </c>
      <c r="F354" t="s">
        <v>5909</v>
      </c>
      <c r="G354" t="s">
        <v>15</v>
      </c>
      <c r="H354" t="s">
        <v>14</v>
      </c>
      <c r="I354" t="s">
        <v>3245</v>
      </c>
      <c r="J354">
        <v>60038812</v>
      </c>
      <c r="K354" t="s">
        <v>3244</v>
      </c>
      <c r="L354" t="s">
        <v>3243</v>
      </c>
      <c r="M354" t="s">
        <v>3242</v>
      </c>
      <c r="N354">
        <v>1</v>
      </c>
      <c r="O354" t="s">
        <v>3241</v>
      </c>
      <c r="P354">
        <v>56222659200</v>
      </c>
      <c r="Q354">
        <v>60038812</v>
      </c>
      <c r="R354" s="7">
        <v>32143</v>
      </c>
      <c r="S354" s="8">
        <f t="shared" si="48"/>
        <v>1988</v>
      </c>
      <c r="T354" s="8">
        <v>1988</v>
      </c>
      <c r="U354" s="8">
        <f t="shared" si="49"/>
        <v>34</v>
      </c>
      <c r="V354" s="7">
        <v>32448</v>
      </c>
      <c r="W354" t="s">
        <v>1958</v>
      </c>
      <c r="X354" s="2">
        <v>0.65500000000000003</v>
      </c>
      <c r="Y354" s="6">
        <f t="shared" si="46"/>
        <v>1.7484850911614749E-2</v>
      </c>
      <c r="AA354">
        <v>189375</v>
      </c>
      <c r="AB354">
        <v>26051</v>
      </c>
      <c r="AC354" t="s">
        <v>1957</v>
      </c>
      <c r="AD354" t="s">
        <v>4</v>
      </c>
      <c r="AE354">
        <v>30</v>
      </c>
      <c r="AF354">
        <v>4</v>
      </c>
      <c r="AH354" t="s">
        <v>5908</v>
      </c>
      <c r="AI354" t="s">
        <v>5907</v>
      </c>
      <c r="AJ354" t="s">
        <v>5906</v>
      </c>
      <c r="AK354" t="s">
        <v>5905</v>
      </c>
      <c r="AL354">
        <v>30</v>
      </c>
      <c r="AM354" s="5">
        <f t="shared" si="50"/>
        <v>0.88235294117647056</v>
      </c>
      <c r="AN354" s="4">
        <f t="shared" si="47"/>
        <v>1.3363921865603492E-3</v>
      </c>
      <c r="AO354" s="3"/>
      <c r="AP354">
        <v>0</v>
      </c>
      <c r="AQ354" t="s">
        <v>3302</v>
      </c>
      <c r="AR354" t="s">
        <v>5757</v>
      </c>
      <c r="AS354" t="s">
        <v>3244</v>
      </c>
      <c r="AT354" s="2" t="s">
        <v>19</v>
      </c>
      <c r="AU354" s="1">
        <f t="shared" si="51"/>
        <v>1.2640313294098429</v>
      </c>
      <c r="AV354" s="1">
        <f t="shared" si="52"/>
        <v>0.94106215490875489</v>
      </c>
      <c r="AW354" s="1">
        <f t="shared" si="53"/>
        <v>0.61809298040766691</v>
      </c>
    </row>
    <row r="355" spans="1:49" x14ac:dyDescent="0.2">
      <c r="A355">
        <v>353</v>
      </c>
      <c r="B355" t="s">
        <v>5904</v>
      </c>
      <c r="C355" t="s">
        <v>5903</v>
      </c>
      <c r="F355" t="s">
        <v>5902</v>
      </c>
      <c r="G355" t="s">
        <v>15</v>
      </c>
      <c r="H355" t="s">
        <v>14</v>
      </c>
      <c r="I355" t="s">
        <v>5901</v>
      </c>
      <c r="J355">
        <v>60007742</v>
      </c>
      <c r="K355" t="s">
        <v>5900</v>
      </c>
      <c r="L355" t="s">
        <v>5899</v>
      </c>
      <c r="M355" t="s">
        <v>31</v>
      </c>
      <c r="N355">
        <v>4</v>
      </c>
      <c r="O355" t="s">
        <v>5898</v>
      </c>
      <c r="P355" t="s">
        <v>5897</v>
      </c>
      <c r="Q355" t="s">
        <v>5896</v>
      </c>
      <c r="R355" s="7">
        <v>32143</v>
      </c>
      <c r="S355" s="8">
        <f t="shared" si="48"/>
        <v>1988</v>
      </c>
      <c r="T355" s="8">
        <v>1988</v>
      </c>
      <c r="U355" s="8">
        <f t="shared" si="49"/>
        <v>34</v>
      </c>
      <c r="V355" s="7">
        <v>32448</v>
      </c>
      <c r="W355" t="s">
        <v>1157</v>
      </c>
      <c r="X355" s="2">
        <v>0.39600000000000002</v>
      </c>
      <c r="Y355" s="6">
        <f t="shared" si="46"/>
        <v>1.0570993833586931E-2</v>
      </c>
      <c r="AA355">
        <v>8858985</v>
      </c>
      <c r="AB355">
        <v>25993</v>
      </c>
      <c r="AD355" t="s">
        <v>4</v>
      </c>
      <c r="AE355">
        <v>3</v>
      </c>
      <c r="AF355">
        <v>11</v>
      </c>
      <c r="AH355" s="9">
        <v>44472</v>
      </c>
      <c r="AI355" t="s">
        <v>5895</v>
      </c>
      <c r="AK355" t="s">
        <v>5894</v>
      </c>
      <c r="AL355">
        <v>1</v>
      </c>
      <c r="AM355" s="5">
        <f t="shared" si="50"/>
        <v>2.9411764705882353E-2</v>
      </c>
      <c r="AN355" s="4">
        <f t="shared" si="47"/>
        <v>4.4546406218678307E-5</v>
      </c>
      <c r="AO355" s="3"/>
      <c r="AP355">
        <v>0</v>
      </c>
      <c r="AR355" t="s">
        <v>0</v>
      </c>
      <c r="AT355" s="2" t="s">
        <v>19</v>
      </c>
      <c r="AU355" s="1">
        <f t="shared" si="51"/>
        <v>0.74130596053764553</v>
      </c>
      <c r="AV355" s="1">
        <f t="shared" si="52"/>
        <v>0.53077701199028049</v>
      </c>
      <c r="AW355" s="1">
        <f t="shared" si="53"/>
        <v>0.3202480634429154</v>
      </c>
    </row>
    <row r="356" spans="1:49" x14ac:dyDescent="0.2">
      <c r="A356">
        <v>354</v>
      </c>
      <c r="B356" t="s">
        <v>5893</v>
      </c>
      <c r="C356" t="s">
        <v>5892</v>
      </c>
      <c r="F356" t="s">
        <v>5891</v>
      </c>
      <c r="G356" t="s">
        <v>15</v>
      </c>
      <c r="H356" t="s">
        <v>14</v>
      </c>
      <c r="I356" t="s">
        <v>5890</v>
      </c>
      <c r="N356">
        <v>1</v>
      </c>
      <c r="O356" t="s">
        <v>5889</v>
      </c>
      <c r="P356">
        <v>36839634900</v>
      </c>
      <c r="R356" s="7">
        <v>32143</v>
      </c>
      <c r="S356" s="8">
        <f t="shared" si="48"/>
        <v>1988</v>
      </c>
      <c r="T356" s="8">
        <v>1988</v>
      </c>
      <c r="U356" s="8">
        <f t="shared" si="49"/>
        <v>34</v>
      </c>
      <c r="V356" s="7">
        <v>32448</v>
      </c>
      <c r="W356" t="s">
        <v>1958</v>
      </c>
      <c r="X356" s="2">
        <v>0.65500000000000003</v>
      </c>
      <c r="Y356" s="6">
        <f t="shared" si="46"/>
        <v>1.7484850911614749E-2</v>
      </c>
      <c r="AA356">
        <v>189375</v>
      </c>
      <c r="AB356">
        <v>26051</v>
      </c>
      <c r="AC356" t="s">
        <v>1957</v>
      </c>
      <c r="AD356" t="s">
        <v>4</v>
      </c>
      <c r="AE356">
        <v>30</v>
      </c>
      <c r="AF356">
        <v>4</v>
      </c>
      <c r="AH356" t="s">
        <v>5888</v>
      </c>
      <c r="AI356" t="s">
        <v>5887</v>
      </c>
      <c r="AK356" t="s">
        <v>5886</v>
      </c>
      <c r="AL356">
        <v>3</v>
      </c>
      <c r="AM356" s="5">
        <f t="shared" si="50"/>
        <v>8.8235294117647065E-2</v>
      </c>
      <c r="AN356" s="4">
        <f t="shared" si="47"/>
        <v>1.3363921865603494E-4</v>
      </c>
      <c r="AO356" s="3"/>
      <c r="AP356">
        <v>0</v>
      </c>
      <c r="AQ356" t="s">
        <v>5885</v>
      </c>
      <c r="AR356" t="s">
        <v>0</v>
      </c>
      <c r="AS356" t="s">
        <v>5884</v>
      </c>
      <c r="AT356" s="2" t="s">
        <v>19</v>
      </c>
      <c r="AU356" s="1">
        <f t="shared" si="51"/>
        <v>1.2279487403727134</v>
      </c>
      <c r="AV356" s="1">
        <f t="shared" si="52"/>
        <v>0.88092450651353926</v>
      </c>
      <c r="AW356" s="1">
        <f t="shared" si="53"/>
        <v>0.5339002726543649</v>
      </c>
    </row>
    <row r="357" spans="1:49" x14ac:dyDescent="0.2">
      <c r="A357">
        <v>355</v>
      </c>
      <c r="B357" t="s">
        <v>5883</v>
      </c>
      <c r="C357" t="s">
        <v>5882</v>
      </c>
      <c r="F357" t="s">
        <v>5881</v>
      </c>
      <c r="G357" t="s">
        <v>15</v>
      </c>
      <c r="H357" t="s">
        <v>14</v>
      </c>
      <c r="I357" t="s">
        <v>5880</v>
      </c>
      <c r="J357">
        <v>60004750</v>
      </c>
      <c r="K357" t="s">
        <v>5879</v>
      </c>
      <c r="L357" t="s">
        <v>5878</v>
      </c>
      <c r="M357" t="s">
        <v>300</v>
      </c>
      <c r="N357">
        <v>2</v>
      </c>
      <c r="O357" t="s">
        <v>5877</v>
      </c>
      <c r="P357" t="s">
        <v>5876</v>
      </c>
      <c r="Q357" t="s">
        <v>5875</v>
      </c>
      <c r="R357" s="7">
        <v>32143</v>
      </c>
      <c r="S357" s="8">
        <f t="shared" si="48"/>
        <v>1988</v>
      </c>
      <c r="T357" s="8">
        <v>1988</v>
      </c>
      <c r="U357" s="8">
        <f t="shared" si="49"/>
        <v>34</v>
      </c>
      <c r="V357" s="7">
        <v>32448</v>
      </c>
      <c r="W357" t="s">
        <v>2450</v>
      </c>
      <c r="X357" s="2">
        <v>2.141</v>
      </c>
      <c r="Y357" s="6">
        <f t="shared" si="46"/>
        <v>5.7152772216438434E-2</v>
      </c>
      <c r="AA357">
        <v>1962892</v>
      </c>
      <c r="AB357">
        <v>17360</v>
      </c>
      <c r="AC357">
        <v>15580644</v>
      </c>
      <c r="AD357" t="s">
        <v>4</v>
      </c>
      <c r="AE357">
        <v>26</v>
      </c>
      <c r="AF357">
        <v>6</v>
      </c>
      <c r="AH357" t="s">
        <v>5874</v>
      </c>
      <c r="AI357" t="s">
        <v>5873</v>
      </c>
      <c r="AK357" t="s">
        <v>5872</v>
      </c>
      <c r="AL357">
        <v>8</v>
      </c>
      <c r="AM357" s="5">
        <f t="shared" si="50"/>
        <v>0.23529411764705882</v>
      </c>
      <c r="AN357" s="4">
        <f t="shared" si="47"/>
        <v>3.5637124974942646E-4</v>
      </c>
      <c r="AO357" s="3"/>
      <c r="AP357">
        <v>0</v>
      </c>
      <c r="AR357" t="s">
        <v>0</v>
      </c>
      <c r="AT357" s="2" t="s">
        <v>19</v>
      </c>
      <c r="AU357" s="1">
        <f t="shared" si="51"/>
        <v>4.0113851926431732</v>
      </c>
      <c r="AV357" s="1">
        <f t="shared" si="52"/>
        <v>2.875457173309393</v>
      </c>
      <c r="AW357" s="1">
        <f t="shared" si="53"/>
        <v>1.7395291539756128</v>
      </c>
    </row>
    <row r="358" spans="1:49" x14ac:dyDescent="0.2">
      <c r="A358">
        <v>356</v>
      </c>
      <c r="B358" t="s">
        <v>5871</v>
      </c>
      <c r="C358" t="s">
        <v>5870</v>
      </c>
      <c r="F358" t="s">
        <v>5869</v>
      </c>
      <c r="G358" t="s">
        <v>15</v>
      </c>
      <c r="H358" t="s">
        <v>14</v>
      </c>
      <c r="I358" t="s">
        <v>5868</v>
      </c>
      <c r="J358">
        <v>60023053</v>
      </c>
      <c r="K358" t="s">
        <v>1961</v>
      </c>
      <c r="L358" t="s">
        <v>1960</v>
      </c>
      <c r="M358" t="s">
        <v>31</v>
      </c>
      <c r="N358">
        <v>1</v>
      </c>
      <c r="O358" t="s">
        <v>1959</v>
      </c>
      <c r="P358">
        <v>56050028200</v>
      </c>
      <c r="Q358">
        <v>60023053</v>
      </c>
      <c r="R358" s="7">
        <v>32143</v>
      </c>
      <c r="S358" s="8">
        <f t="shared" si="48"/>
        <v>1988</v>
      </c>
      <c r="T358" s="8">
        <v>1988</v>
      </c>
      <c r="U358" s="8">
        <f t="shared" si="49"/>
        <v>34</v>
      </c>
      <c r="V358" s="7">
        <v>32448</v>
      </c>
      <c r="W358" t="s">
        <v>2450</v>
      </c>
      <c r="X358" s="2">
        <v>2.141</v>
      </c>
      <c r="Y358" s="6">
        <f t="shared" si="46"/>
        <v>5.7152772216438434E-2</v>
      </c>
      <c r="AA358">
        <v>1962892</v>
      </c>
      <c r="AB358">
        <v>17360</v>
      </c>
      <c r="AC358">
        <v>15580644</v>
      </c>
      <c r="AD358" t="s">
        <v>4</v>
      </c>
      <c r="AE358">
        <v>26</v>
      </c>
      <c r="AF358">
        <v>6</v>
      </c>
      <c r="AH358" t="s">
        <v>5867</v>
      </c>
      <c r="AI358" t="s">
        <v>5866</v>
      </c>
      <c r="AK358" t="s">
        <v>5865</v>
      </c>
      <c r="AL358">
        <v>7</v>
      </c>
      <c r="AM358" s="5">
        <f t="shared" si="50"/>
        <v>0.20588235294117646</v>
      </c>
      <c r="AN358" s="4">
        <f t="shared" si="47"/>
        <v>3.1182484353074817E-4</v>
      </c>
      <c r="AO358" s="3"/>
      <c r="AP358">
        <v>0</v>
      </c>
      <c r="AR358" t="s">
        <v>0</v>
      </c>
      <c r="AT358" s="2" t="s">
        <v>19</v>
      </c>
      <c r="AU358" s="1">
        <f t="shared" si="51"/>
        <v>4.0100488004566124</v>
      </c>
      <c r="AV358" s="1">
        <f t="shared" si="52"/>
        <v>2.8732298529984592</v>
      </c>
      <c r="AW358" s="1">
        <f t="shared" si="53"/>
        <v>1.7364109055403052</v>
      </c>
    </row>
    <row r="359" spans="1:49" x14ac:dyDescent="0.2">
      <c r="A359">
        <v>357</v>
      </c>
      <c r="B359" t="s">
        <v>5864</v>
      </c>
      <c r="C359" t="s">
        <v>5863</v>
      </c>
      <c r="F359" t="s">
        <v>5862</v>
      </c>
      <c r="G359" t="s">
        <v>15</v>
      </c>
      <c r="H359" t="s">
        <v>14</v>
      </c>
      <c r="I359" t="s">
        <v>5861</v>
      </c>
      <c r="J359">
        <v>60022403</v>
      </c>
      <c r="K359" t="s">
        <v>1385</v>
      </c>
      <c r="L359" t="s">
        <v>1384</v>
      </c>
      <c r="M359" t="s">
        <v>839</v>
      </c>
      <c r="N359">
        <v>2</v>
      </c>
      <c r="O359" t="s">
        <v>5860</v>
      </c>
      <c r="P359" t="s">
        <v>5859</v>
      </c>
      <c r="Q359" t="s">
        <v>5858</v>
      </c>
      <c r="R359" s="7">
        <v>32143</v>
      </c>
      <c r="S359" s="8">
        <f t="shared" si="48"/>
        <v>1988</v>
      </c>
      <c r="T359" s="8">
        <v>1988</v>
      </c>
      <c r="U359" s="8">
        <f t="shared" si="49"/>
        <v>34</v>
      </c>
      <c r="V359" s="7">
        <v>1988</v>
      </c>
      <c r="W359" t="s">
        <v>56</v>
      </c>
      <c r="X359" s="2">
        <v>0.375</v>
      </c>
      <c r="Y359" s="6">
        <f t="shared" si="46"/>
        <v>1.0010410827260351E-2</v>
      </c>
      <c r="AA359">
        <v>135194</v>
      </c>
      <c r="AB359">
        <v>24918</v>
      </c>
      <c r="AD359" t="s">
        <v>4</v>
      </c>
      <c r="AE359">
        <v>24</v>
      </c>
      <c r="AF359">
        <v>24</v>
      </c>
      <c r="AH359" t="s">
        <v>5857</v>
      </c>
      <c r="AI359" t="s">
        <v>5856</v>
      </c>
      <c r="AJ359" t="s">
        <v>5855</v>
      </c>
      <c r="AK359" t="s">
        <v>5854</v>
      </c>
      <c r="AL359">
        <v>0</v>
      </c>
      <c r="AM359" s="5">
        <f t="shared" si="50"/>
        <v>0</v>
      </c>
      <c r="AN359" s="4">
        <f t="shared" si="47"/>
        <v>0</v>
      </c>
      <c r="AO359" s="3"/>
      <c r="AP359">
        <v>0</v>
      </c>
      <c r="AR359" t="s">
        <v>0</v>
      </c>
      <c r="AT359" s="2">
        <v>1.3140000000000001</v>
      </c>
      <c r="AU359" s="1">
        <f t="shared" si="51"/>
        <v>0.70072875790822453</v>
      </c>
      <c r="AV359" s="1">
        <f t="shared" si="52"/>
        <v>0.5005205413630176</v>
      </c>
      <c r="AW359" s="1">
        <f t="shared" si="53"/>
        <v>0.30031232481781051</v>
      </c>
    </row>
    <row r="360" spans="1:49" x14ac:dyDescent="0.2">
      <c r="A360">
        <v>358</v>
      </c>
      <c r="B360" t="s">
        <v>5853</v>
      </c>
      <c r="C360" t="s">
        <v>5852</v>
      </c>
      <c r="F360" t="s">
        <v>5851</v>
      </c>
      <c r="G360" t="s">
        <v>15</v>
      </c>
      <c r="H360" t="s">
        <v>14</v>
      </c>
      <c r="I360" t="s">
        <v>5850</v>
      </c>
      <c r="J360">
        <v>60030553</v>
      </c>
      <c r="K360" t="s">
        <v>5849</v>
      </c>
      <c r="L360" t="s">
        <v>5848</v>
      </c>
      <c r="M360" t="s">
        <v>127</v>
      </c>
      <c r="N360">
        <v>1</v>
      </c>
      <c r="O360" t="s">
        <v>5847</v>
      </c>
      <c r="P360">
        <v>7006052449</v>
      </c>
      <c r="Q360">
        <v>60030553</v>
      </c>
      <c r="R360" s="7">
        <v>32143</v>
      </c>
      <c r="S360" s="8">
        <f t="shared" si="48"/>
        <v>1988</v>
      </c>
      <c r="T360" s="8">
        <v>1988</v>
      </c>
      <c r="U360" s="8">
        <f t="shared" si="49"/>
        <v>34</v>
      </c>
      <c r="V360" s="7">
        <v>1988</v>
      </c>
      <c r="W360" t="s">
        <v>56</v>
      </c>
      <c r="X360" s="2">
        <v>0.375</v>
      </c>
      <c r="Y360" s="6">
        <f t="shared" si="46"/>
        <v>1.0010410827260351E-2</v>
      </c>
      <c r="AA360">
        <v>135194</v>
      </c>
      <c r="AB360">
        <v>24918</v>
      </c>
      <c r="AD360" t="s">
        <v>4</v>
      </c>
      <c r="AE360">
        <v>24</v>
      </c>
      <c r="AF360">
        <v>23</v>
      </c>
      <c r="AH360" t="s">
        <v>5846</v>
      </c>
      <c r="AI360" t="s">
        <v>5845</v>
      </c>
      <c r="AJ360" t="s">
        <v>5844</v>
      </c>
      <c r="AK360" t="s">
        <v>5843</v>
      </c>
      <c r="AL360">
        <v>7</v>
      </c>
      <c r="AM360" s="5">
        <f t="shared" si="50"/>
        <v>0.20588235294117646</v>
      </c>
      <c r="AN360" s="4">
        <f t="shared" si="47"/>
        <v>3.1182484353074817E-4</v>
      </c>
      <c r="AO360" s="3"/>
      <c r="AP360">
        <v>0</v>
      </c>
      <c r="AR360" t="s">
        <v>0</v>
      </c>
      <c r="AT360" s="2">
        <v>1.3140000000000001</v>
      </c>
      <c r="AU360" s="1">
        <f t="shared" si="51"/>
        <v>0.71008350321414704</v>
      </c>
      <c r="AV360" s="1">
        <f t="shared" si="52"/>
        <v>0.51611178353955489</v>
      </c>
      <c r="AW360" s="1">
        <f t="shared" si="53"/>
        <v>0.32214006386496291</v>
      </c>
    </row>
    <row r="361" spans="1:49" x14ac:dyDescent="0.2">
      <c r="A361">
        <v>359</v>
      </c>
      <c r="B361" t="s">
        <v>5842</v>
      </c>
      <c r="C361" t="s">
        <v>5841</v>
      </c>
      <c r="F361" t="s">
        <v>5840</v>
      </c>
      <c r="G361" t="s">
        <v>15</v>
      </c>
      <c r="H361" t="s">
        <v>14</v>
      </c>
      <c r="I361" t="s">
        <v>5839</v>
      </c>
      <c r="J361">
        <v>60025555</v>
      </c>
      <c r="K361" t="s">
        <v>943</v>
      </c>
      <c r="L361" t="s">
        <v>212</v>
      </c>
      <c r="M361" t="s">
        <v>211</v>
      </c>
      <c r="N361">
        <v>2</v>
      </c>
      <c r="O361" t="s">
        <v>5838</v>
      </c>
      <c r="P361" t="s">
        <v>5837</v>
      </c>
      <c r="Q361" t="s">
        <v>5836</v>
      </c>
      <c r="R361" s="7">
        <v>32143</v>
      </c>
      <c r="S361" s="8">
        <f t="shared" si="48"/>
        <v>1988</v>
      </c>
      <c r="T361" s="8">
        <v>1988</v>
      </c>
      <c r="U361" s="8">
        <f t="shared" si="49"/>
        <v>34</v>
      </c>
      <c r="V361" s="7">
        <v>32448</v>
      </c>
      <c r="W361" t="s">
        <v>1225</v>
      </c>
      <c r="X361" s="2">
        <v>0.111</v>
      </c>
      <c r="Y361" s="6">
        <f t="shared" si="46"/>
        <v>2.9630816048690639E-3</v>
      </c>
      <c r="AA361">
        <v>87566621</v>
      </c>
      <c r="AB361">
        <v>24890</v>
      </c>
      <c r="AC361">
        <v>15206424</v>
      </c>
      <c r="AD361" t="s">
        <v>4</v>
      </c>
      <c r="AE361">
        <v>71</v>
      </c>
      <c r="AF361">
        <v>11</v>
      </c>
      <c r="AH361" t="s">
        <v>5835</v>
      </c>
      <c r="AI361" t="s">
        <v>5834</v>
      </c>
      <c r="AK361" t="s">
        <v>5833</v>
      </c>
      <c r="AL361">
        <v>0</v>
      </c>
      <c r="AM361" s="5">
        <f t="shared" si="50"/>
        <v>0</v>
      </c>
      <c r="AN361" s="4">
        <f t="shared" si="47"/>
        <v>0</v>
      </c>
      <c r="AO361" s="3"/>
      <c r="AP361">
        <v>0</v>
      </c>
      <c r="AR361" t="s">
        <v>0</v>
      </c>
      <c r="AT361" s="2" t="s">
        <v>19</v>
      </c>
      <c r="AU361" s="1">
        <f t="shared" si="51"/>
        <v>0.20741571234083445</v>
      </c>
      <c r="AV361" s="1">
        <f t="shared" si="52"/>
        <v>0.1481540802434532</v>
      </c>
      <c r="AW361" s="1">
        <f t="shared" si="53"/>
        <v>8.8892448146071903E-2</v>
      </c>
    </row>
    <row r="362" spans="1:49" x14ac:dyDescent="0.2">
      <c r="A362">
        <v>360</v>
      </c>
      <c r="B362" t="s">
        <v>5832</v>
      </c>
      <c r="C362" t="s">
        <v>5831</v>
      </c>
      <c r="F362" t="s">
        <v>5830</v>
      </c>
      <c r="G362" t="s">
        <v>15</v>
      </c>
      <c r="H362" t="s">
        <v>14</v>
      </c>
      <c r="I362" t="s">
        <v>5829</v>
      </c>
      <c r="J362" t="s">
        <v>5828</v>
      </c>
      <c r="K362" t="s">
        <v>5827</v>
      </c>
      <c r="L362" t="s">
        <v>5826</v>
      </c>
      <c r="M362" t="s">
        <v>352</v>
      </c>
      <c r="N362">
        <v>5</v>
      </c>
      <c r="O362" t="s">
        <v>5825</v>
      </c>
      <c r="P362" t="s">
        <v>5824</v>
      </c>
      <c r="Q362" t="s">
        <v>5823</v>
      </c>
      <c r="R362" s="7">
        <v>32143</v>
      </c>
      <c r="S362" s="8">
        <f t="shared" si="48"/>
        <v>1988</v>
      </c>
      <c r="T362" s="8">
        <v>1988</v>
      </c>
      <c r="U362" s="8">
        <f t="shared" si="49"/>
        <v>34</v>
      </c>
      <c r="V362" s="7">
        <v>32448</v>
      </c>
      <c r="W362" t="s">
        <v>2450</v>
      </c>
      <c r="X362" s="2">
        <v>2.141</v>
      </c>
      <c r="Y362" s="6">
        <f t="shared" si="46"/>
        <v>5.7152772216438434E-2</v>
      </c>
      <c r="AA362">
        <v>1962892</v>
      </c>
      <c r="AB362">
        <v>17360</v>
      </c>
      <c r="AC362">
        <v>15580644</v>
      </c>
      <c r="AD362" t="s">
        <v>4</v>
      </c>
      <c r="AE362">
        <v>26</v>
      </c>
      <c r="AF362">
        <v>6</v>
      </c>
      <c r="AH362" t="s">
        <v>5822</v>
      </c>
      <c r="AI362" t="s">
        <v>5821</v>
      </c>
      <c r="AK362" t="s">
        <v>5820</v>
      </c>
      <c r="AL362">
        <v>15</v>
      </c>
      <c r="AM362" s="5">
        <f t="shared" si="50"/>
        <v>0.44117647058823528</v>
      </c>
      <c r="AN362" s="4">
        <f t="shared" si="47"/>
        <v>6.6819609328017462E-4</v>
      </c>
      <c r="AO362" s="3"/>
      <c r="AP362">
        <v>0</v>
      </c>
      <c r="AR362" t="s">
        <v>0</v>
      </c>
      <c r="AT362" s="2" t="s">
        <v>19</v>
      </c>
      <c r="AU362" s="1">
        <f t="shared" si="51"/>
        <v>4.0207399379490951</v>
      </c>
      <c r="AV362" s="1">
        <f t="shared" si="52"/>
        <v>2.8910484154859306</v>
      </c>
      <c r="AW362" s="1">
        <f t="shared" si="53"/>
        <v>1.7613568930227652</v>
      </c>
    </row>
    <row r="363" spans="1:49" x14ac:dyDescent="0.2">
      <c r="A363">
        <v>361</v>
      </c>
      <c r="B363" t="s">
        <v>5819</v>
      </c>
      <c r="C363" t="s">
        <v>5818</v>
      </c>
      <c r="F363" t="s">
        <v>5817</v>
      </c>
      <c r="G363" t="s">
        <v>15</v>
      </c>
      <c r="H363" t="s">
        <v>14</v>
      </c>
      <c r="I363" t="s">
        <v>5816</v>
      </c>
      <c r="J363">
        <v>60104665</v>
      </c>
      <c r="K363" t="s">
        <v>5815</v>
      </c>
      <c r="L363" t="s">
        <v>5814</v>
      </c>
      <c r="M363" t="s">
        <v>127</v>
      </c>
      <c r="N363">
        <v>5</v>
      </c>
      <c r="O363" t="s">
        <v>5813</v>
      </c>
      <c r="P363" t="s">
        <v>5812</v>
      </c>
      <c r="Q363" t="s">
        <v>5811</v>
      </c>
      <c r="R363" s="7">
        <v>32143</v>
      </c>
      <c r="S363" s="8">
        <f t="shared" si="48"/>
        <v>1988</v>
      </c>
      <c r="T363" s="8">
        <v>1988</v>
      </c>
      <c r="U363" s="8">
        <f t="shared" si="49"/>
        <v>34</v>
      </c>
      <c r="V363" s="7">
        <v>1988</v>
      </c>
      <c r="W363" t="s">
        <v>56</v>
      </c>
      <c r="X363" s="2">
        <v>0.375</v>
      </c>
      <c r="Y363" s="6">
        <f t="shared" si="46"/>
        <v>1.0010410827260351E-2</v>
      </c>
      <c r="AA363">
        <v>135194</v>
      </c>
      <c r="AB363">
        <v>24918</v>
      </c>
      <c r="AD363" t="s">
        <v>4</v>
      </c>
      <c r="AE363">
        <v>24</v>
      </c>
      <c r="AF363">
        <v>23</v>
      </c>
      <c r="AH363" t="s">
        <v>5810</v>
      </c>
      <c r="AI363" t="s">
        <v>5809</v>
      </c>
      <c r="AJ363" t="s">
        <v>5808</v>
      </c>
      <c r="AK363" t="s">
        <v>5807</v>
      </c>
      <c r="AL363">
        <v>12</v>
      </c>
      <c r="AM363" s="5">
        <f t="shared" si="50"/>
        <v>0.35294117647058826</v>
      </c>
      <c r="AN363" s="4">
        <f t="shared" si="47"/>
        <v>5.3455687462413976E-4</v>
      </c>
      <c r="AO363" s="3"/>
      <c r="AP363">
        <v>0</v>
      </c>
      <c r="AR363" t="s">
        <v>0</v>
      </c>
      <c r="AT363" s="2">
        <v>1.3140000000000001</v>
      </c>
      <c r="AU363" s="1">
        <f t="shared" si="51"/>
        <v>0.71676546414694875</v>
      </c>
      <c r="AV363" s="1">
        <f t="shared" si="52"/>
        <v>0.52724838509422456</v>
      </c>
      <c r="AW363" s="1">
        <f t="shared" si="53"/>
        <v>0.33773130604150031</v>
      </c>
    </row>
    <row r="364" spans="1:49" x14ac:dyDescent="0.2">
      <c r="A364">
        <v>362</v>
      </c>
      <c r="B364" t="s">
        <v>5806</v>
      </c>
      <c r="C364" t="s">
        <v>5805</v>
      </c>
      <c r="F364" t="s">
        <v>5804</v>
      </c>
      <c r="G364" t="s">
        <v>15</v>
      </c>
      <c r="H364" t="s">
        <v>14</v>
      </c>
      <c r="I364" t="s">
        <v>5803</v>
      </c>
      <c r="J364">
        <v>60033012</v>
      </c>
      <c r="K364" t="s">
        <v>4087</v>
      </c>
      <c r="L364" t="s">
        <v>5802</v>
      </c>
      <c r="M364" t="s">
        <v>31</v>
      </c>
      <c r="N364">
        <v>2</v>
      </c>
      <c r="O364" t="s">
        <v>5801</v>
      </c>
      <c r="P364" t="s">
        <v>5800</v>
      </c>
      <c r="Q364" t="s">
        <v>5799</v>
      </c>
      <c r="R364" s="7">
        <v>32143</v>
      </c>
      <c r="S364" s="8">
        <f t="shared" si="48"/>
        <v>1988</v>
      </c>
      <c r="T364" s="8">
        <v>1988</v>
      </c>
      <c r="U364" s="8">
        <f t="shared" si="49"/>
        <v>34</v>
      </c>
      <c r="V364" s="7">
        <v>32448</v>
      </c>
      <c r="W364" t="s">
        <v>565</v>
      </c>
      <c r="X364" s="2">
        <v>0.75800000000000001</v>
      </c>
      <c r="Y364" s="6">
        <f t="shared" si="46"/>
        <v>2.0234377085502256E-2</v>
      </c>
      <c r="AA364">
        <v>224650</v>
      </c>
      <c r="AB364">
        <v>29589</v>
      </c>
      <c r="AD364" t="s">
        <v>4</v>
      </c>
      <c r="AE364">
        <v>25</v>
      </c>
      <c r="AF364">
        <v>6</v>
      </c>
      <c r="AH364" t="s">
        <v>5798</v>
      </c>
      <c r="AI364" t="s">
        <v>5797</v>
      </c>
      <c r="AK364" t="s">
        <v>5796</v>
      </c>
      <c r="AL364">
        <v>0</v>
      </c>
      <c r="AM364" s="5">
        <f t="shared" si="50"/>
        <v>0</v>
      </c>
      <c r="AN364" s="4">
        <f t="shared" si="47"/>
        <v>0</v>
      </c>
      <c r="AO364" s="3"/>
      <c r="AP364">
        <v>0</v>
      </c>
      <c r="AR364" t="s">
        <v>0</v>
      </c>
      <c r="AT364" s="2">
        <v>1.282</v>
      </c>
      <c r="AU364" s="1">
        <f t="shared" si="51"/>
        <v>1.4164063959851578</v>
      </c>
      <c r="AV364" s="1">
        <f t="shared" si="52"/>
        <v>1.0117188542751128</v>
      </c>
      <c r="AW364" s="1">
        <f t="shared" si="53"/>
        <v>0.60703131256506759</v>
      </c>
    </row>
    <row r="365" spans="1:49" x14ac:dyDescent="0.2">
      <c r="A365">
        <v>363</v>
      </c>
      <c r="B365" t="s">
        <v>5795</v>
      </c>
      <c r="C365" t="s">
        <v>5794</v>
      </c>
      <c r="F365" t="s">
        <v>5793</v>
      </c>
      <c r="G365" t="s">
        <v>15</v>
      </c>
      <c r="H365" t="s">
        <v>14</v>
      </c>
      <c r="I365" t="s">
        <v>5792</v>
      </c>
      <c r="J365">
        <v>60009514</v>
      </c>
      <c r="K365" t="s">
        <v>5791</v>
      </c>
      <c r="L365" t="s">
        <v>873</v>
      </c>
      <c r="M365" t="s">
        <v>211</v>
      </c>
      <c r="N365">
        <v>1</v>
      </c>
      <c r="O365" t="s">
        <v>5790</v>
      </c>
      <c r="P365">
        <v>7202919511</v>
      </c>
      <c r="Q365">
        <v>60009514</v>
      </c>
      <c r="R365" s="7">
        <v>32143</v>
      </c>
      <c r="S365" s="8">
        <f t="shared" si="48"/>
        <v>1988</v>
      </c>
      <c r="T365" s="8">
        <v>1988</v>
      </c>
      <c r="U365" s="8">
        <f t="shared" si="49"/>
        <v>34</v>
      </c>
      <c r="V365" s="7">
        <v>32448</v>
      </c>
      <c r="W365" t="s">
        <v>1225</v>
      </c>
      <c r="X365" s="2">
        <v>0.111</v>
      </c>
      <c r="Y365" s="6">
        <f t="shared" si="46"/>
        <v>2.9630816048690639E-3</v>
      </c>
      <c r="AA365">
        <v>87566621</v>
      </c>
      <c r="AB365">
        <v>24890</v>
      </c>
      <c r="AC365">
        <v>15206424</v>
      </c>
      <c r="AD365" t="s">
        <v>4</v>
      </c>
      <c r="AE365">
        <v>71</v>
      </c>
      <c r="AF365">
        <v>11</v>
      </c>
      <c r="AH365" t="s">
        <v>1224</v>
      </c>
      <c r="AI365" t="s">
        <v>5789</v>
      </c>
      <c r="AK365" t="s">
        <v>5788</v>
      </c>
      <c r="AL365">
        <v>6</v>
      </c>
      <c r="AM365" s="5">
        <f t="shared" si="50"/>
        <v>0.17647058823529413</v>
      </c>
      <c r="AN365" s="4">
        <f t="shared" si="47"/>
        <v>2.6727843731206988E-4</v>
      </c>
      <c r="AO365" s="3"/>
      <c r="AP365">
        <v>0</v>
      </c>
      <c r="AR365" t="s">
        <v>0</v>
      </c>
      <c r="AT365" s="2" t="s">
        <v>19</v>
      </c>
      <c r="AU365" s="1">
        <f t="shared" si="51"/>
        <v>0.21543406546019653</v>
      </c>
      <c r="AV365" s="1">
        <f t="shared" si="52"/>
        <v>0.1615180021090567</v>
      </c>
      <c r="AW365" s="1">
        <f t="shared" si="53"/>
        <v>0.10760193875791681</v>
      </c>
    </row>
    <row r="366" spans="1:49" x14ac:dyDescent="0.2">
      <c r="A366">
        <v>364</v>
      </c>
      <c r="B366" t="s">
        <v>5787</v>
      </c>
      <c r="C366" t="s">
        <v>5786</v>
      </c>
      <c r="F366" t="s">
        <v>5785</v>
      </c>
      <c r="G366" t="s">
        <v>15</v>
      </c>
      <c r="H366" t="s">
        <v>14</v>
      </c>
      <c r="I366" t="s">
        <v>5784</v>
      </c>
      <c r="J366" t="s">
        <v>5783</v>
      </c>
      <c r="K366" t="s">
        <v>5782</v>
      </c>
      <c r="L366" t="s">
        <v>5781</v>
      </c>
      <c r="M366" t="s">
        <v>9</v>
      </c>
      <c r="N366">
        <v>5</v>
      </c>
      <c r="O366" t="s">
        <v>5780</v>
      </c>
      <c r="P366" t="s">
        <v>5779</v>
      </c>
      <c r="Q366" t="s">
        <v>5778</v>
      </c>
      <c r="R366" s="7">
        <v>32143</v>
      </c>
      <c r="S366" s="8">
        <f t="shared" si="48"/>
        <v>1988</v>
      </c>
      <c r="T366" s="8">
        <v>1988</v>
      </c>
      <c r="U366" s="8">
        <f t="shared" si="49"/>
        <v>34</v>
      </c>
      <c r="V366" s="7">
        <v>32448</v>
      </c>
      <c r="W366" t="s">
        <v>1958</v>
      </c>
      <c r="X366" s="2">
        <v>0.65500000000000003</v>
      </c>
      <c r="Y366" s="6">
        <f t="shared" si="46"/>
        <v>1.7484850911614749E-2</v>
      </c>
      <c r="AA366">
        <v>189375</v>
      </c>
      <c r="AB366">
        <v>26051</v>
      </c>
      <c r="AC366" t="s">
        <v>1957</v>
      </c>
      <c r="AD366" t="s">
        <v>4</v>
      </c>
      <c r="AE366">
        <v>30</v>
      </c>
      <c r="AF366">
        <v>4</v>
      </c>
      <c r="AH366" t="s">
        <v>4208</v>
      </c>
      <c r="AI366" t="s">
        <v>5777</v>
      </c>
      <c r="AK366" t="s">
        <v>5776</v>
      </c>
      <c r="AL366">
        <v>1</v>
      </c>
      <c r="AM366" s="5">
        <f t="shared" si="50"/>
        <v>2.9411764705882353E-2</v>
      </c>
      <c r="AN366" s="4">
        <f t="shared" si="47"/>
        <v>4.4546406218678307E-5</v>
      </c>
      <c r="AO366" s="3"/>
      <c r="AP366">
        <v>0</v>
      </c>
      <c r="AR366" t="s">
        <v>5775</v>
      </c>
      <c r="AT366" s="2" t="s">
        <v>19</v>
      </c>
      <c r="AU366" s="1">
        <f t="shared" si="51"/>
        <v>1.2252759559995927</v>
      </c>
      <c r="AV366" s="1">
        <f t="shared" si="52"/>
        <v>0.87646986589167142</v>
      </c>
      <c r="AW366" s="1">
        <f t="shared" si="53"/>
        <v>0.5276637757837499</v>
      </c>
    </row>
    <row r="367" spans="1:49" x14ac:dyDescent="0.2">
      <c r="A367">
        <v>365</v>
      </c>
      <c r="B367" t="s">
        <v>5774</v>
      </c>
      <c r="C367" t="s">
        <v>5773</v>
      </c>
      <c r="F367" t="s">
        <v>5772</v>
      </c>
      <c r="G367" t="s">
        <v>15</v>
      </c>
      <c r="H367" t="s">
        <v>14</v>
      </c>
      <c r="I367" t="s">
        <v>5771</v>
      </c>
      <c r="J367">
        <v>60007843</v>
      </c>
      <c r="K367" t="s">
        <v>4479</v>
      </c>
      <c r="L367" t="s">
        <v>4478</v>
      </c>
      <c r="M367" t="s">
        <v>31</v>
      </c>
      <c r="N367">
        <v>2</v>
      </c>
      <c r="O367" t="s">
        <v>5770</v>
      </c>
      <c r="P367" t="s">
        <v>5769</v>
      </c>
      <c r="Q367" t="s">
        <v>4475</v>
      </c>
      <c r="R367" s="7">
        <v>32143</v>
      </c>
      <c r="S367" s="8">
        <f t="shared" si="48"/>
        <v>1988</v>
      </c>
      <c r="T367" s="8">
        <v>1988</v>
      </c>
      <c r="U367" s="8">
        <f t="shared" si="49"/>
        <v>34</v>
      </c>
      <c r="V367" s="7">
        <v>32448</v>
      </c>
      <c r="W367" t="s">
        <v>1958</v>
      </c>
      <c r="X367" s="2">
        <v>0.65500000000000003</v>
      </c>
      <c r="Y367" s="6">
        <f t="shared" si="46"/>
        <v>1.7484850911614749E-2</v>
      </c>
      <c r="AA367">
        <v>189375</v>
      </c>
      <c r="AB367">
        <v>26051</v>
      </c>
      <c r="AC367" t="s">
        <v>1957</v>
      </c>
      <c r="AD367" t="s">
        <v>4</v>
      </c>
      <c r="AE367">
        <v>30</v>
      </c>
      <c r="AF367">
        <v>4</v>
      </c>
      <c r="AH367" t="s">
        <v>5768</v>
      </c>
      <c r="AI367" t="s">
        <v>5767</v>
      </c>
      <c r="AK367" t="s">
        <v>5766</v>
      </c>
      <c r="AL367">
        <v>19</v>
      </c>
      <c r="AM367" s="5">
        <f t="shared" si="50"/>
        <v>0.55882352941176472</v>
      </c>
      <c r="AN367" s="4">
        <f t="shared" si="47"/>
        <v>8.4638171815488788E-4</v>
      </c>
      <c r="AO367" s="3"/>
      <c r="AP367">
        <v>0</v>
      </c>
      <c r="AQ367" t="s">
        <v>21</v>
      </c>
      <c r="AR367" t="s">
        <v>5765</v>
      </c>
      <c r="AS367" t="s">
        <v>20</v>
      </c>
      <c r="AT367" s="2" t="s">
        <v>19</v>
      </c>
      <c r="AU367" s="1">
        <f t="shared" si="51"/>
        <v>1.2493310153576789</v>
      </c>
      <c r="AV367" s="1">
        <f t="shared" si="52"/>
        <v>0.9165616314884818</v>
      </c>
      <c r="AW367" s="1">
        <f t="shared" si="53"/>
        <v>0.58379224761928461</v>
      </c>
    </row>
    <row r="368" spans="1:49" x14ac:dyDescent="0.2">
      <c r="A368">
        <v>366</v>
      </c>
      <c r="B368" t="s">
        <v>5764</v>
      </c>
      <c r="C368" t="s">
        <v>5763</v>
      </c>
      <c r="F368" t="s">
        <v>5762</v>
      </c>
      <c r="G368" t="s">
        <v>15</v>
      </c>
      <c r="H368" t="s">
        <v>14</v>
      </c>
      <c r="I368" t="s">
        <v>3245</v>
      </c>
      <c r="J368">
        <v>60038812</v>
      </c>
      <c r="K368" t="s">
        <v>3244</v>
      </c>
      <c r="L368" t="s">
        <v>3243</v>
      </c>
      <c r="M368" t="s">
        <v>3242</v>
      </c>
      <c r="N368">
        <v>1</v>
      </c>
      <c r="O368" t="s">
        <v>3241</v>
      </c>
      <c r="P368">
        <v>56222659200</v>
      </c>
      <c r="Q368">
        <v>60038812</v>
      </c>
      <c r="R368" s="7">
        <v>32143</v>
      </c>
      <c r="S368" s="8">
        <f t="shared" si="48"/>
        <v>1988</v>
      </c>
      <c r="T368" s="8">
        <v>1988</v>
      </c>
      <c r="U368" s="8">
        <f t="shared" si="49"/>
        <v>34</v>
      </c>
      <c r="V368" s="7">
        <v>32448</v>
      </c>
      <c r="W368" t="s">
        <v>1958</v>
      </c>
      <c r="X368" s="2">
        <v>0.65500000000000003</v>
      </c>
      <c r="Y368" s="6">
        <f t="shared" si="46"/>
        <v>1.7484850911614749E-2</v>
      </c>
      <c r="AA368">
        <v>189375</v>
      </c>
      <c r="AB368">
        <v>26051</v>
      </c>
      <c r="AC368" t="s">
        <v>1957</v>
      </c>
      <c r="AD368" t="s">
        <v>4</v>
      </c>
      <c r="AE368">
        <v>30</v>
      </c>
      <c r="AF368">
        <v>4</v>
      </c>
      <c r="AH368" t="s">
        <v>5761</v>
      </c>
      <c r="AI368" t="s">
        <v>5760</v>
      </c>
      <c r="AJ368" t="s">
        <v>5759</v>
      </c>
      <c r="AK368" t="s">
        <v>5758</v>
      </c>
      <c r="AL368">
        <v>15</v>
      </c>
      <c r="AM368" s="5">
        <f t="shared" si="50"/>
        <v>0.44117647058823528</v>
      </c>
      <c r="AN368" s="4">
        <f t="shared" si="47"/>
        <v>6.6819609328017462E-4</v>
      </c>
      <c r="AO368" s="3"/>
      <c r="AP368">
        <v>0</v>
      </c>
      <c r="AQ368" t="s">
        <v>3302</v>
      </c>
      <c r="AR368" t="s">
        <v>5757</v>
      </c>
      <c r="AS368" t="s">
        <v>3244</v>
      </c>
      <c r="AT368" s="2" t="s">
        <v>19</v>
      </c>
      <c r="AU368" s="1">
        <f t="shared" si="51"/>
        <v>1.2439854466114375</v>
      </c>
      <c r="AV368" s="1">
        <f t="shared" si="52"/>
        <v>0.90765235024474622</v>
      </c>
      <c r="AW368" s="1">
        <f t="shared" si="53"/>
        <v>0.57131925387805471</v>
      </c>
    </row>
    <row r="369" spans="1:49" x14ac:dyDescent="0.2">
      <c r="A369">
        <v>367</v>
      </c>
      <c r="B369" t="s">
        <v>5756</v>
      </c>
      <c r="C369" t="s">
        <v>5755</v>
      </c>
      <c r="F369" t="s">
        <v>5754</v>
      </c>
      <c r="G369" t="s">
        <v>15</v>
      </c>
      <c r="H369" t="s">
        <v>14</v>
      </c>
      <c r="I369" t="s">
        <v>5753</v>
      </c>
      <c r="J369">
        <v>60009982</v>
      </c>
      <c r="K369" t="s">
        <v>376</v>
      </c>
      <c r="L369" t="s">
        <v>375</v>
      </c>
      <c r="M369" t="s">
        <v>31</v>
      </c>
      <c r="N369">
        <v>3</v>
      </c>
      <c r="O369" t="s">
        <v>5752</v>
      </c>
      <c r="P369" t="s">
        <v>5751</v>
      </c>
      <c r="Q369" t="s">
        <v>5750</v>
      </c>
      <c r="R369" s="7">
        <v>32143</v>
      </c>
      <c r="S369" s="8">
        <f t="shared" si="48"/>
        <v>1988</v>
      </c>
      <c r="T369" s="8">
        <v>1988</v>
      </c>
      <c r="U369" s="8">
        <f t="shared" si="49"/>
        <v>34</v>
      </c>
      <c r="V369" s="7">
        <v>32448</v>
      </c>
      <c r="W369" t="s">
        <v>69</v>
      </c>
      <c r="X369" s="2">
        <v>1.6519999999999999</v>
      </c>
      <c r="Y369" s="6">
        <f t="shared" si="46"/>
        <v>4.409919649769093E-2</v>
      </c>
      <c r="AA369" t="s">
        <v>68</v>
      </c>
      <c r="AB369">
        <v>17337</v>
      </c>
      <c r="AC369">
        <v>15582221</v>
      </c>
      <c r="AD369" t="s">
        <v>4</v>
      </c>
      <c r="AE369">
        <v>36</v>
      </c>
      <c r="AF369">
        <v>11</v>
      </c>
      <c r="AH369" t="s">
        <v>5749</v>
      </c>
      <c r="AI369" t="s">
        <v>5748</v>
      </c>
      <c r="AK369" t="s">
        <v>5747</v>
      </c>
      <c r="AL369">
        <v>33</v>
      </c>
      <c r="AM369" s="5">
        <f t="shared" si="50"/>
        <v>0.97058823529411764</v>
      </c>
      <c r="AN369" s="4">
        <f t="shared" si="47"/>
        <v>1.4700314052163842E-3</v>
      </c>
      <c r="AO369" s="3"/>
      <c r="AP369">
        <v>0</v>
      </c>
      <c r="AR369" t="s">
        <v>5746</v>
      </c>
      <c r="AS369" t="s">
        <v>376</v>
      </c>
      <c r="AT369" s="2" t="s">
        <v>19</v>
      </c>
      <c r="AU369" s="1">
        <f t="shared" si="51"/>
        <v>3.1310446969948567</v>
      </c>
      <c r="AV369" s="1">
        <f t="shared" si="52"/>
        <v>2.2784613951453658</v>
      </c>
      <c r="AW369" s="1">
        <f t="shared" si="53"/>
        <v>1.4258780932958748</v>
      </c>
    </row>
    <row r="370" spans="1:49" x14ac:dyDescent="0.2">
      <c r="A370">
        <v>368</v>
      </c>
      <c r="B370" t="s">
        <v>5745</v>
      </c>
      <c r="C370" t="s">
        <v>5744</v>
      </c>
      <c r="F370" t="s">
        <v>5743</v>
      </c>
      <c r="G370" t="s">
        <v>15</v>
      </c>
      <c r="H370" t="s">
        <v>14</v>
      </c>
      <c r="I370" t="s">
        <v>5742</v>
      </c>
      <c r="J370" t="s">
        <v>5737</v>
      </c>
      <c r="K370" t="s">
        <v>5741</v>
      </c>
      <c r="L370" t="s">
        <v>5740</v>
      </c>
      <c r="M370" t="s">
        <v>9</v>
      </c>
      <c r="N370">
        <v>2</v>
      </c>
      <c r="O370" t="s">
        <v>5739</v>
      </c>
      <c r="P370" t="s">
        <v>5738</v>
      </c>
      <c r="Q370" t="s">
        <v>5737</v>
      </c>
      <c r="R370" s="7">
        <v>32143</v>
      </c>
      <c r="S370" s="8">
        <f t="shared" si="48"/>
        <v>1988</v>
      </c>
      <c r="T370" s="8">
        <v>1988</v>
      </c>
      <c r="U370" s="8">
        <f t="shared" si="49"/>
        <v>34</v>
      </c>
      <c r="V370" s="7">
        <v>32448</v>
      </c>
      <c r="W370" t="s">
        <v>69</v>
      </c>
      <c r="X370" s="2">
        <v>1.6519999999999999</v>
      </c>
      <c r="Y370" s="6">
        <f t="shared" si="46"/>
        <v>4.409919649769093E-2</v>
      </c>
      <c r="AA370" t="s">
        <v>68</v>
      </c>
      <c r="AB370">
        <v>17337</v>
      </c>
      <c r="AC370">
        <v>15582221</v>
      </c>
      <c r="AD370" t="s">
        <v>4</v>
      </c>
      <c r="AE370">
        <v>36</v>
      </c>
      <c r="AF370">
        <v>11</v>
      </c>
      <c r="AH370" t="s">
        <v>5736</v>
      </c>
      <c r="AI370" t="s">
        <v>5735</v>
      </c>
      <c r="AK370" t="s">
        <v>5734</v>
      </c>
      <c r="AL370">
        <v>7</v>
      </c>
      <c r="AM370" s="5">
        <f t="shared" si="50"/>
        <v>0.20588235294117646</v>
      </c>
      <c r="AN370" s="4">
        <f t="shared" si="47"/>
        <v>3.1182484353074817E-4</v>
      </c>
      <c r="AO370" s="3"/>
      <c r="AP370">
        <v>0</v>
      </c>
      <c r="AQ370" t="s">
        <v>1991</v>
      </c>
      <c r="AR370" t="s">
        <v>5733</v>
      </c>
      <c r="AS370" t="s">
        <v>1989</v>
      </c>
      <c r="AT370" s="2" t="s">
        <v>19</v>
      </c>
      <c r="AU370" s="1">
        <f t="shared" si="51"/>
        <v>3.0962985001442878</v>
      </c>
      <c r="AV370" s="1">
        <f t="shared" si="52"/>
        <v>2.2205510670610837</v>
      </c>
      <c r="AW370" s="1">
        <f t="shared" si="53"/>
        <v>1.3448036339778802</v>
      </c>
    </row>
    <row r="371" spans="1:49" x14ac:dyDescent="0.2">
      <c r="A371">
        <v>369</v>
      </c>
      <c r="B371" t="s">
        <v>5732</v>
      </c>
      <c r="C371" t="s">
        <v>5731</v>
      </c>
      <c r="F371" t="s">
        <v>5730</v>
      </c>
      <c r="G371" t="s">
        <v>15</v>
      </c>
      <c r="H371" t="s">
        <v>14</v>
      </c>
      <c r="I371" t="s">
        <v>2060</v>
      </c>
      <c r="J371">
        <v>60009697</v>
      </c>
      <c r="K371" t="s">
        <v>1417</v>
      </c>
      <c r="L371" t="s">
        <v>1416</v>
      </c>
      <c r="M371" t="s">
        <v>481</v>
      </c>
      <c r="N371">
        <v>2</v>
      </c>
      <c r="O371" t="s">
        <v>2059</v>
      </c>
      <c r="P371" t="s">
        <v>2058</v>
      </c>
      <c r="Q371" t="s">
        <v>1413</v>
      </c>
      <c r="R371" s="7">
        <v>32143</v>
      </c>
      <c r="S371" s="8">
        <f t="shared" si="48"/>
        <v>1988</v>
      </c>
      <c r="T371" s="8">
        <v>1988</v>
      </c>
      <c r="U371" s="8">
        <f t="shared" si="49"/>
        <v>34</v>
      </c>
      <c r="V371" s="7">
        <v>32448</v>
      </c>
      <c r="W371" t="s">
        <v>69</v>
      </c>
      <c r="X371" s="2">
        <v>1.6519999999999999</v>
      </c>
      <c r="Y371" s="6">
        <f t="shared" si="46"/>
        <v>4.409919649769093E-2</v>
      </c>
      <c r="AA371" t="s">
        <v>68</v>
      </c>
      <c r="AB371">
        <v>17337</v>
      </c>
      <c r="AC371">
        <v>15582221</v>
      </c>
      <c r="AD371" t="s">
        <v>4</v>
      </c>
      <c r="AE371">
        <v>36</v>
      </c>
      <c r="AF371">
        <v>11</v>
      </c>
      <c r="AH371" t="s">
        <v>5729</v>
      </c>
      <c r="AI371" t="s">
        <v>5728</v>
      </c>
      <c r="AK371" t="s">
        <v>5727</v>
      </c>
      <c r="AL371">
        <v>21</v>
      </c>
      <c r="AM371" s="5">
        <f t="shared" si="50"/>
        <v>0.61764705882352944</v>
      </c>
      <c r="AN371" s="4">
        <f t="shared" si="47"/>
        <v>9.3547453059224456E-4</v>
      </c>
      <c r="AO371" s="3"/>
      <c r="AP371">
        <v>0</v>
      </c>
      <c r="AR371" t="s">
        <v>0</v>
      </c>
      <c r="AT371" s="2" t="s">
        <v>19</v>
      </c>
      <c r="AU371" s="1">
        <f t="shared" si="51"/>
        <v>3.1150079907561325</v>
      </c>
      <c r="AV371" s="1">
        <f t="shared" si="52"/>
        <v>2.2517335514141585</v>
      </c>
      <c r="AW371" s="1">
        <f t="shared" si="53"/>
        <v>1.388459112072185</v>
      </c>
    </row>
    <row r="372" spans="1:49" x14ac:dyDescent="0.2">
      <c r="A372">
        <v>370</v>
      </c>
      <c r="B372" t="s">
        <v>5726</v>
      </c>
      <c r="C372" t="s">
        <v>5725</v>
      </c>
      <c r="F372" t="s">
        <v>5724</v>
      </c>
      <c r="G372" t="s">
        <v>15</v>
      </c>
      <c r="H372" t="s">
        <v>14</v>
      </c>
      <c r="I372" t="s">
        <v>5723</v>
      </c>
      <c r="J372">
        <v>60003500</v>
      </c>
      <c r="K372" t="s">
        <v>1514</v>
      </c>
      <c r="L372" t="s">
        <v>1513</v>
      </c>
      <c r="M372" t="s">
        <v>31</v>
      </c>
      <c r="N372">
        <v>4</v>
      </c>
      <c r="O372" t="s">
        <v>5722</v>
      </c>
      <c r="P372" t="s">
        <v>5721</v>
      </c>
      <c r="Q372" t="s">
        <v>5720</v>
      </c>
      <c r="R372" s="7">
        <v>32143</v>
      </c>
      <c r="S372" s="8">
        <f t="shared" si="48"/>
        <v>1988</v>
      </c>
      <c r="T372" s="8">
        <v>1988</v>
      </c>
      <c r="U372" s="8">
        <f t="shared" si="49"/>
        <v>34</v>
      </c>
      <c r="V372" s="7">
        <v>32448</v>
      </c>
      <c r="W372" t="s">
        <v>69</v>
      </c>
      <c r="X372" s="2">
        <v>1.6519999999999999</v>
      </c>
      <c r="Y372" s="6">
        <f t="shared" si="46"/>
        <v>4.409919649769093E-2</v>
      </c>
      <c r="AA372" t="s">
        <v>68</v>
      </c>
      <c r="AB372">
        <v>17337</v>
      </c>
      <c r="AC372">
        <v>15582221</v>
      </c>
      <c r="AD372" t="s">
        <v>4</v>
      </c>
      <c r="AE372">
        <v>36</v>
      </c>
      <c r="AF372">
        <v>11</v>
      </c>
      <c r="AH372" t="s">
        <v>5719</v>
      </c>
      <c r="AI372" t="s">
        <v>5718</v>
      </c>
      <c r="AK372" t="s">
        <v>5717</v>
      </c>
      <c r="AL372">
        <v>3</v>
      </c>
      <c r="AM372" s="5">
        <f t="shared" si="50"/>
        <v>8.8235294117647065E-2</v>
      </c>
      <c r="AN372" s="4">
        <f t="shared" si="47"/>
        <v>1.3363921865603494E-4</v>
      </c>
      <c r="AO372" s="3"/>
      <c r="AP372">
        <v>0</v>
      </c>
      <c r="AQ372" t="s">
        <v>577</v>
      </c>
      <c r="AR372" t="s">
        <v>5716</v>
      </c>
      <c r="AS372" t="s">
        <v>575</v>
      </c>
      <c r="AT372" s="2" t="s">
        <v>19</v>
      </c>
      <c r="AU372" s="1">
        <f t="shared" si="51"/>
        <v>3.0909529313980459</v>
      </c>
      <c r="AV372" s="1">
        <f t="shared" si="52"/>
        <v>2.2116417858173483</v>
      </c>
      <c r="AW372" s="1">
        <f t="shared" si="53"/>
        <v>1.3323306402366504</v>
      </c>
    </row>
    <row r="373" spans="1:49" x14ac:dyDescent="0.2">
      <c r="A373">
        <v>371</v>
      </c>
      <c r="B373" t="s">
        <v>5715</v>
      </c>
      <c r="C373" t="s">
        <v>5714</v>
      </c>
      <c r="F373" t="s">
        <v>5713</v>
      </c>
      <c r="G373" t="s">
        <v>15</v>
      </c>
      <c r="H373" t="s">
        <v>14</v>
      </c>
      <c r="I373" t="s">
        <v>5712</v>
      </c>
      <c r="J373" t="s">
        <v>5706</v>
      </c>
      <c r="K373" t="s">
        <v>5711</v>
      </c>
      <c r="L373" t="s">
        <v>5710</v>
      </c>
      <c r="M373" t="s">
        <v>5709</v>
      </c>
      <c r="N373">
        <v>3</v>
      </c>
      <c r="O373" t="s">
        <v>5708</v>
      </c>
      <c r="P373" t="s">
        <v>5707</v>
      </c>
      <c r="Q373" t="s">
        <v>5706</v>
      </c>
      <c r="R373" s="7">
        <v>32143</v>
      </c>
      <c r="S373" s="8">
        <f t="shared" si="48"/>
        <v>1988</v>
      </c>
      <c r="T373" s="8">
        <v>1988</v>
      </c>
      <c r="U373" s="8">
        <f t="shared" si="49"/>
        <v>34</v>
      </c>
      <c r="V373" s="7">
        <v>32448</v>
      </c>
      <c r="W373" t="s">
        <v>69</v>
      </c>
      <c r="X373" s="2">
        <v>1.6519999999999999</v>
      </c>
      <c r="Y373" s="6">
        <f t="shared" si="46"/>
        <v>4.409919649769093E-2</v>
      </c>
      <c r="AA373" t="s">
        <v>68</v>
      </c>
      <c r="AB373">
        <v>17337</v>
      </c>
      <c r="AC373">
        <v>15582221</v>
      </c>
      <c r="AD373" t="s">
        <v>4</v>
      </c>
      <c r="AE373">
        <v>36</v>
      </c>
      <c r="AF373">
        <v>11</v>
      </c>
      <c r="AH373" t="s">
        <v>5705</v>
      </c>
      <c r="AI373" t="s">
        <v>5704</v>
      </c>
      <c r="AK373" t="s">
        <v>5703</v>
      </c>
      <c r="AL373">
        <v>115</v>
      </c>
      <c r="AM373" s="5">
        <f t="shared" si="50"/>
        <v>3.3823529411764706</v>
      </c>
      <c r="AN373" s="4">
        <f t="shared" si="47"/>
        <v>5.1228367151480055E-3</v>
      </c>
      <c r="AO373" s="3"/>
      <c r="AP373">
        <v>0</v>
      </c>
      <c r="AR373" t="s">
        <v>0</v>
      </c>
      <c r="AT373" s="2" t="s">
        <v>19</v>
      </c>
      <c r="AU373" s="1">
        <f t="shared" si="51"/>
        <v>3.2406288562928052</v>
      </c>
      <c r="AV373" s="1">
        <f t="shared" si="52"/>
        <v>2.4611016606419471</v>
      </c>
      <c r="AW373" s="1">
        <f t="shared" si="53"/>
        <v>1.6815744649910882</v>
      </c>
    </row>
    <row r="374" spans="1:49" x14ac:dyDescent="0.2">
      <c r="A374">
        <v>372</v>
      </c>
      <c r="B374" t="s">
        <v>5702</v>
      </c>
      <c r="C374" t="s">
        <v>5701</v>
      </c>
      <c r="F374" t="s">
        <v>5700</v>
      </c>
      <c r="G374" t="s">
        <v>15</v>
      </c>
      <c r="H374" t="s">
        <v>14</v>
      </c>
      <c r="I374" t="s">
        <v>5699</v>
      </c>
      <c r="J374">
        <v>60027550</v>
      </c>
      <c r="K374" t="s">
        <v>1124</v>
      </c>
      <c r="L374" t="s">
        <v>751</v>
      </c>
      <c r="M374" t="s">
        <v>31</v>
      </c>
      <c r="N374">
        <v>2</v>
      </c>
      <c r="O374" t="s">
        <v>5698</v>
      </c>
      <c r="P374" t="s">
        <v>5697</v>
      </c>
      <c r="Q374" t="s">
        <v>1995</v>
      </c>
      <c r="R374" s="7">
        <v>32143</v>
      </c>
      <c r="S374" s="8">
        <f t="shared" si="48"/>
        <v>1988</v>
      </c>
      <c r="T374" s="8">
        <v>1988</v>
      </c>
      <c r="U374" s="8">
        <f t="shared" si="49"/>
        <v>34</v>
      </c>
      <c r="V374" s="7">
        <v>32448</v>
      </c>
      <c r="W374" t="s">
        <v>69</v>
      </c>
      <c r="X374" s="2">
        <v>1.6519999999999999</v>
      </c>
      <c r="Y374" s="6">
        <f t="shared" si="46"/>
        <v>4.409919649769093E-2</v>
      </c>
      <c r="AA374" t="s">
        <v>68</v>
      </c>
      <c r="AB374">
        <v>17337</v>
      </c>
      <c r="AC374">
        <v>15582221</v>
      </c>
      <c r="AD374" t="s">
        <v>4</v>
      </c>
      <c r="AE374">
        <v>36</v>
      </c>
      <c r="AF374">
        <v>11</v>
      </c>
      <c r="AH374" t="s">
        <v>5696</v>
      </c>
      <c r="AI374" t="s">
        <v>5695</v>
      </c>
      <c r="AK374" t="s">
        <v>5694</v>
      </c>
      <c r="AL374">
        <v>45</v>
      </c>
      <c r="AM374" s="5">
        <f t="shared" si="50"/>
        <v>1.3235294117647058</v>
      </c>
      <c r="AN374" s="4">
        <f t="shared" si="47"/>
        <v>2.0045882798405239E-3</v>
      </c>
      <c r="AO374" s="3"/>
      <c r="AP374">
        <v>0</v>
      </c>
      <c r="AQ374" t="s">
        <v>855</v>
      </c>
      <c r="AR374" t="s">
        <v>5595</v>
      </c>
      <c r="AS374" t="s">
        <v>854</v>
      </c>
      <c r="AT374" s="2" t="s">
        <v>19</v>
      </c>
      <c r="AU374" s="1">
        <f t="shared" si="51"/>
        <v>3.1470814032335808</v>
      </c>
      <c r="AV374" s="1">
        <f t="shared" si="52"/>
        <v>2.3051892388765727</v>
      </c>
      <c r="AW374" s="1">
        <f t="shared" si="53"/>
        <v>1.4632970745195646</v>
      </c>
    </row>
    <row r="375" spans="1:49" x14ac:dyDescent="0.2">
      <c r="A375">
        <v>373</v>
      </c>
      <c r="B375" t="s">
        <v>5693</v>
      </c>
      <c r="C375" t="s">
        <v>5692</v>
      </c>
      <c r="F375" t="s">
        <v>5691</v>
      </c>
      <c r="G375" t="s">
        <v>15</v>
      </c>
      <c r="H375" t="s">
        <v>14</v>
      </c>
      <c r="I375" t="s">
        <v>5690</v>
      </c>
      <c r="J375" t="s">
        <v>5689</v>
      </c>
      <c r="K375" t="s">
        <v>5688</v>
      </c>
      <c r="L375" t="s">
        <v>5687</v>
      </c>
      <c r="M375" t="s">
        <v>9</v>
      </c>
      <c r="N375">
        <v>4</v>
      </c>
      <c r="O375" t="s">
        <v>5686</v>
      </c>
      <c r="P375" t="s">
        <v>5685</v>
      </c>
      <c r="Q375" t="s">
        <v>5684</v>
      </c>
      <c r="R375" s="7">
        <v>32143</v>
      </c>
      <c r="S375" s="8">
        <f t="shared" si="48"/>
        <v>1988</v>
      </c>
      <c r="T375" s="8">
        <v>1988</v>
      </c>
      <c r="U375" s="8">
        <f t="shared" si="49"/>
        <v>34</v>
      </c>
      <c r="V375" s="7">
        <v>32448</v>
      </c>
      <c r="W375" t="s">
        <v>69</v>
      </c>
      <c r="X375" s="2">
        <v>1.6519999999999999</v>
      </c>
      <c r="Y375" s="6">
        <f t="shared" si="46"/>
        <v>4.409919649769093E-2</v>
      </c>
      <c r="AA375" t="s">
        <v>68</v>
      </c>
      <c r="AB375">
        <v>17337</v>
      </c>
      <c r="AC375">
        <v>15582221</v>
      </c>
      <c r="AD375" t="s">
        <v>4</v>
      </c>
      <c r="AE375">
        <v>36</v>
      </c>
      <c r="AF375">
        <v>11</v>
      </c>
      <c r="AH375" t="s">
        <v>5683</v>
      </c>
      <c r="AI375" t="s">
        <v>5682</v>
      </c>
      <c r="AK375" t="s">
        <v>5681</v>
      </c>
      <c r="AL375">
        <v>14</v>
      </c>
      <c r="AM375" s="5">
        <f t="shared" si="50"/>
        <v>0.41176470588235292</v>
      </c>
      <c r="AN375" s="4">
        <f t="shared" si="47"/>
        <v>6.2364968706149634E-4</v>
      </c>
      <c r="AO375" s="3"/>
      <c r="AP375">
        <v>0</v>
      </c>
      <c r="AQ375" t="s">
        <v>1044</v>
      </c>
      <c r="AR375" t="s">
        <v>5680</v>
      </c>
      <c r="AS375" t="s">
        <v>1043</v>
      </c>
      <c r="AT375" s="2" t="s">
        <v>19</v>
      </c>
      <c r="AU375" s="1">
        <f t="shared" si="51"/>
        <v>3.1056532454502102</v>
      </c>
      <c r="AV375" s="1">
        <f t="shared" si="52"/>
        <v>2.2361423092376214</v>
      </c>
      <c r="AW375" s="1">
        <f t="shared" si="53"/>
        <v>1.3666313730250326</v>
      </c>
    </row>
    <row r="376" spans="1:49" x14ac:dyDescent="0.2">
      <c r="A376">
        <v>374</v>
      </c>
      <c r="B376" t="s">
        <v>5679</v>
      </c>
      <c r="C376" t="s">
        <v>5678</v>
      </c>
      <c r="F376" t="s">
        <v>5677</v>
      </c>
      <c r="G376" t="s">
        <v>15</v>
      </c>
      <c r="H376" t="s">
        <v>14</v>
      </c>
      <c r="I376" t="s">
        <v>1917</v>
      </c>
      <c r="J376">
        <v>60025488</v>
      </c>
      <c r="K376" t="s">
        <v>5676</v>
      </c>
      <c r="L376" t="s">
        <v>5675</v>
      </c>
      <c r="M376" t="s">
        <v>31</v>
      </c>
      <c r="N376">
        <v>2</v>
      </c>
      <c r="O376" t="s">
        <v>1914</v>
      </c>
      <c r="P376" t="s">
        <v>1913</v>
      </c>
      <c r="Q376" t="s">
        <v>5674</v>
      </c>
      <c r="R376" s="7">
        <v>32143</v>
      </c>
      <c r="S376" s="8">
        <f t="shared" si="48"/>
        <v>1988</v>
      </c>
      <c r="T376" s="8">
        <v>1988</v>
      </c>
      <c r="U376" s="8">
        <f t="shared" si="49"/>
        <v>34</v>
      </c>
      <c r="V376" s="7">
        <v>32448</v>
      </c>
      <c r="W376" t="s">
        <v>69</v>
      </c>
      <c r="X376" s="2">
        <v>1.6519999999999999</v>
      </c>
      <c r="Y376" s="6">
        <f t="shared" si="46"/>
        <v>4.409919649769093E-2</v>
      </c>
      <c r="AA376" t="s">
        <v>68</v>
      </c>
      <c r="AB376">
        <v>17337</v>
      </c>
      <c r="AC376">
        <v>15582221</v>
      </c>
      <c r="AD376" t="s">
        <v>4</v>
      </c>
      <c r="AE376">
        <v>36</v>
      </c>
      <c r="AF376">
        <v>11</v>
      </c>
      <c r="AH376" t="s">
        <v>5673</v>
      </c>
      <c r="AI376" t="s">
        <v>5672</v>
      </c>
      <c r="AK376" t="s">
        <v>5671</v>
      </c>
      <c r="AL376">
        <v>3</v>
      </c>
      <c r="AM376" s="5">
        <f t="shared" si="50"/>
        <v>8.8235294117647065E-2</v>
      </c>
      <c r="AN376" s="4">
        <f t="shared" si="47"/>
        <v>1.3363921865603494E-4</v>
      </c>
      <c r="AO376" s="3"/>
      <c r="AP376">
        <v>0</v>
      </c>
      <c r="AR376" t="s">
        <v>0</v>
      </c>
      <c r="AT376" s="2" t="s">
        <v>19</v>
      </c>
      <c r="AU376" s="1">
        <f t="shared" si="51"/>
        <v>3.0909529313980459</v>
      </c>
      <c r="AV376" s="1">
        <f t="shared" si="52"/>
        <v>2.2116417858173483</v>
      </c>
      <c r="AW376" s="1">
        <f t="shared" si="53"/>
        <v>1.3323306402366504</v>
      </c>
    </row>
    <row r="377" spans="1:49" x14ac:dyDescent="0.2">
      <c r="A377">
        <v>375</v>
      </c>
      <c r="B377" t="s">
        <v>5670</v>
      </c>
      <c r="C377" t="s">
        <v>5669</v>
      </c>
      <c r="F377" t="s">
        <v>5668</v>
      </c>
      <c r="G377" t="s">
        <v>15</v>
      </c>
      <c r="H377" t="s">
        <v>14</v>
      </c>
      <c r="I377" t="s">
        <v>5667</v>
      </c>
      <c r="J377">
        <v>60017563</v>
      </c>
      <c r="K377" t="s">
        <v>1895</v>
      </c>
      <c r="L377" t="s">
        <v>1894</v>
      </c>
      <c r="M377" t="s">
        <v>839</v>
      </c>
      <c r="N377">
        <v>2</v>
      </c>
      <c r="O377" t="s">
        <v>5666</v>
      </c>
      <c r="P377" t="s">
        <v>5665</v>
      </c>
      <c r="Q377" t="s">
        <v>5664</v>
      </c>
      <c r="R377" s="7">
        <v>32143</v>
      </c>
      <c r="S377" s="8">
        <f t="shared" si="48"/>
        <v>1988</v>
      </c>
      <c r="T377" s="8">
        <v>1988</v>
      </c>
      <c r="U377" s="8">
        <f t="shared" si="49"/>
        <v>34</v>
      </c>
      <c r="V377" s="7">
        <v>32448</v>
      </c>
      <c r="W377" t="s">
        <v>69</v>
      </c>
      <c r="X377" s="2">
        <v>1.6519999999999999</v>
      </c>
      <c r="Y377" s="6">
        <f t="shared" si="46"/>
        <v>4.409919649769093E-2</v>
      </c>
      <c r="AA377" t="s">
        <v>68</v>
      </c>
      <c r="AB377">
        <v>17337</v>
      </c>
      <c r="AC377">
        <v>15582221</v>
      </c>
      <c r="AD377" t="s">
        <v>4</v>
      </c>
      <c r="AE377">
        <v>36</v>
      </c>
      <c r="AF377">
        <v>11</v>
      </c>
      <c r="AH377" t="s">
        <v>5663</v>
      </c>
      <c r="AI377" t="s">
        <v>5662</v>
      </c>
      <c r="AK377" t="s">
        <v>5661</v>
      </c>
      <c r="AL377">
        <v>112</v>
      </c>
      <c r="AM377" s="5">
        <f t="shared" si="50"/>
        <v>3.2941176470588234</v>
      </c>
      <c r="AN377" s="4">
        <f t="shared" si="47"/>
        <v>4.9891974964919707E-3</v>
      </c>
      <c r="AO377" s="3"/>
      <c r="AP377">
        <v>0</v>
      </c>
      <c r="AR377" t="s">
        <v>0</v>
      </c>
      <c r="AT377" s="2" t="s">
        <v>19</v>
      </c>
      <c r="AU377" s="1">
        <f t="shared" si="51"/>
        <v>3.2366196797331241</v>
      </c>
      <c r="AV377" s="1">
        <f t="shared" si="52"/>
        <v>2.454419699709145</v>
      </c>
      <c r="AW377" s="1">
        <f t="shared" si="53"/>
        <v>1.6722197196851658</v>
      </c>
    </row>
    <row r="378" spans="1:49" x14ac:dyDescent="0.2">
      <c r="A378">
        <v>376</v>
      </c>
      <c r="B378" t="s">
        <v>5660</v>
      </c>
      <c r="C378" t="s">
        <v>5659</v>
      </c>
      <c r="F378" t="s">
        <v>5658</v>
      </c>
      <c r="G378" t="s">
        <v>15</v>
      </c>
      <c r="H378" t="s">
        <v>14</v>
      </c>
      <c r="I378" t="s">
        <v>5657</v>
      </c>
      <c r="J378">
        <v>60011688</v>
      </c>
      <c r="K378" t="s">
        <v>4454</v>
      </c>
      <c r="L378" t="s">
        <v>4453</v>
      </c>
      <c r="M378" t="s">
        <v>31</v>
      </c>
      <c r="N378">
        <v>2</v>
      </c>
      <c r="O378" t="s">
        <v>5656</v>
      </c>
      <c r="P378" t="s">
        <v>5655</v>
      </c>
      <c r="Q378" t="s">
        <v>5654</v>
      </c>
      <c r="R378" s="7">
        <v>32143</v>
      </c>
      <c r="S378" s="8">
        <f t="shared" si="48"/>
        <v>1988</v>
      </c>
      <c r="T378" s="8">
        <v>1988</v>
      </c>
      <c r="U378" s="8">
        <f t="shared" si="49"/>
        <v>34</v>
      </c>
      <c r="V378" s="7">
        <v>32448</v>
      </c>
      <c r="W378" t="s">
        <v>69</v>
      </c>
      <c r="X378" s="2">
        <v>1.6519999999999999</v>
      </c>
      <c r="Y378" s="6">
        <f t="shared" si="46"/>
        <v>4.409919649769093E-2</v>
      </c>
      <c r="AA378" t="s">
        <v>68</v>
      </c>
      <c r="AB378">
        <v>17337</v>
      </c>
      <c r="AC378">
        <v>15582221</v>
      </c>
      <c r="AD378" t="s">
        <v>4</v>
      </c>
      <c r="AE378">
        <v>36</v>
      </c>
      <c r="AF378">
        <v>11</v>
      </c>
      <c r="AH378" t="s">
        <v>5653</v>
      </c>
      <c r="AI378" t="s">
        <v>5652</v>
      </c>
      <c r="AK378" t="s">
        <v>5651</v>
      </c>
      <c r="AL378">
        <v>3</v>
      </c>
      <c r="AM378" s="5">
        <f t="shared" si="50"/>
        <v>8.8235294117647065E-2</v>
      </c>
      <c r="AN378" s="4">
        <f t="shared" si="47"/>
        <v>1.3363921865603494E-4</v>
      </c>
      <c r="AO378" s="3"/>
      <c r="AP378">
        <v>0</v>
      </c>
      <c r="AR378" t="s">
        <v>0</v>
      </c>
      <c r="AT378" s="2" t="s">
        <v>19</v>
      </c>
      <c r="AU378" s="1">
        <f t="shared" si="51"/>
        <v>3.0909529313980459</v>
      </c>
      <c r="AV378" s="1">
        <f t="shared" si="52"/>
        <v>2.2116417858173483</v>
      </c>
      <c r="AW378" s="1">
        <f t="shared" si="53"/>
        <v>1.3323306402366504</v>
      </c>
    </row>
    <row r="379" spans="1:49" x14ac:dyDescent="0.2">
      <c r="A379">
        <v>377</v>
      </c>
      <c r="B379" t="s">
        <v>5650</v>
      </c>
      <c r="C379" t="s">
        <v>5649</v>
      </c>
      <c r="F379" t="s">
        <v>5648</v>
      </c>
      <c r="G379" t="s">
        <v>15</v>
      </c>
      <c r="H379" t="s">
        <v>14</v>
      </c>
      <c r="I379" t="s">
        <v>5647</v>
      </c>
      <c r="J379">
        <v>60011533</v>
      </c>
      <c r="K379" t="s">
        <v>5646</v>
      </c>
      <c r="L379" t="s">
        <v>621</v>
      </c>
      <c r="M379" t="s">
        <v>31</v>
      </c>
      <c r="N379">
        <v>1</v>
      </c>
      <c r="O379" t="s">
        <v>5645</v>
      </c>
      <c r="P379">
        <v>55574240579</v>
      </c>
      <c r="Q379">
        <v>60011533</v>
      </c>
      <c r="R379" s="7">
        <v>32143</v>
      </c>
      <c r="S379" s="8">
        <f t="shared" si="48"/>
        <v>1988</v>
      </c>
      <c r="T379" s="8">
        <v>1988</v>
      </c>
      <c r="U379" s="8">
        <f t="shared" si="49"/>
        <v>34</v>
      </c>
      <c r="V379" s="7">
        <v>32448</v>
      </c>
      <c r="W379" t="s">
        <v>69</v>
      </c>
      <c r="X379" s="2">
        <v>1.6519999999999999</v>
      </c>
      <c r="Y379" s="6">
        <f t="shared" si="46"/>
        <v>4.409919649769093E-2</v>
      </c>
      <c r="AA379" t="s">
        <v>68</v>
      </c>
      <c r="AB379">
        <v>17337</v>
      </c>
      <c r="AC379">
        <v>15582221</v>
      </c>
      <c r="AD379" t="s">
        <v>4</v>
      </c>
      <c r="AE379">
        <v>36</v>
      </c>
      <c r="AF379">
        <v>11</v>
      </c>
      <c r="AH379" t="s">
        <v>5644</v>
      </c>
      <c r="AL379">
        <v>3</v>
      </c>
      <c r="AM379" s="5">
        <f t="shared" si="50"/>
        <v>8.8235294117647065E-2</v>
      </c>
      <c r="AN379" s="4">
        <f t="shared" si="47"/>
        <v>1.3363921865603494E-4</v>
      </c>
      <c r="AO379" s="3"/>
      <c r="AP379">
        <v>0</v>
      </c>
      <c r="AR379" t="s">
        <v>0</v>
      </c>
      <c r="AT379" s="2" t="s">
        <v>19</v>
      </c>
      <c r="AU379" s="1">
        <f t="shared" si="51"/>
        <v>3.0909529313980459</v>
      </c>
      <c r="AV379" s="1">
        <f t="shared" si="52"/>
        <v>2.2116417858173483</v>
      </c>
      <c r="AW379" s="1">
        <f t="shared" si="53"/>
        <v>1.3323306402366504</v>
      </c>
    </row>
    <row r="380" spans="1:49" x14ac:dyDescent="0.2">
      <c r="A380">
        <v>378</v>
      </c>
      <c r="B380" t="s">
        <v>5643</v>
      </c>
      <c r="C380" t="s">
        <v>5642</v>
      </c>
      <c r="F380" t="s">
        <v>5641</v>
      </c>
      <c r="G380" t="s">
        <v>15</v>
      </c>
      <c r="H380" t="s">
        <v>14</v>
      </c>
      <c r="I380" t="s">
        <v>2179</v>
      </c>
      <c r="J380">
        <v>60024063</v>
      </c>
      <c r="K380" t="s">
        <v>5640</v>
      </c>
      <c r="L380" t="s">
        <v>3605</v>
      </c>
      <c r="M380" t="s">
        <v>31</v>
      </c>
      <c r="N380">
        <v>1</v>
      </c>
      <c r="O380" t="s">
        <v>5639</v>
      </c>
      <c r="P380">
        <v>57189206010</v>
      </c>
      <c r="Q380">
        <v>60024063</v>
      </c>
      <c r="R380" s="7">
        <v>32143</v>
      </c>
      <c r="S380" s="8">
        <f t="shared" si="48"/>
        <v>1988</v>
      </c>
      <c r="T380" s="8">
        <v>1988</v>
      </c>
      <c r="U380" s="8">
        <f t="shared" si="49"/>
        <v>34</v>
      </c>
      <c r="V380" s="7">
        <v>32448</v>
      </c>
      <c r="W380" t="s">
        <v>3814</v>
      </c>
      <c r="X380" s="2">
        <v>1.6379999999999999</v>
      </c>
      <c r="Y380" s="6">
        <f t="shared" si="46"/>
        <v>4.3725474493473214E-2</v>
      </c>
      <c r="AA380">
        <v>963518</v>
      </c>
      <c r="AB380">
        <v>31560</v>
      </c>
      <c r="AD380" t="s">
        <v>4</v>
      </c>
      <c r="AE380">
        <v>36</v>
      </c>
      <c r="AF380">
        <v>11</v>
      </c>
      <c r="AH380" t="s">
        <v>5638</v>
      </c>
      <c r="AI380" t="s">
        <v>5637</v>
      </c>
      <c r="AK380" t="s">
        <v>5636</v>
      </c>
      <c r="AL380">
        <v>1</v>
      </c>
      <c r="AM380" s="5">
        <f t="shared" si="50"/>
        <v>2.9411764705882353E-2</v>
      </c>
      <c r="AN380" s="4">
        <f t="shared" si="47"/>
        <v>4.4546406218678307E-5</v>
      </c>
      <c r="AO380" s="3"/>
      <c r="AP380">
        <v>0</v>
      </c>
      <c r="AR380" t="s">
        <v>0</v>
      </c>
      <c r="AT380" s="2" t="s">
        <v>19</v>
      </c>
      <c r="AU380" s="1">
        <f t="shared" si="51"/>
        <v>3.0621196067296852</v>
      </c>
      <c r="AV380" s="1">
        <f t="shared" si="52"/>
        <v>2.1885010449845943</v>
      </c>
      <c r="AW380" s="1">
        <f t="shared" si="53"/>
        <v>1.3148824832395039</v>
      </c>
    </row>
    <row r="381" spans="1:49" x14ac:dyDescent="0.2">
      <c r="A381">
        <v>379</v>
      </c>
      <c r="B381" t="s">
        <v>5635</v>
      </c>
      <c r="C381" t="s">
        <v>5634</v>
      </c>
      <c r="F381" t="s">
        <v>5633</v>
      </c>
      <c r="G381" t="s">
        <v>15</v>
      </c>
      <c r="H381" t="s">
        <v>14</v>
      </c>
      <c r="I381" t="s">
        <v>5632</v>
      </c>
      <c r="J381">
        <v>60013506</v>
      </c>
      <c r="K381" t="s">
        <v>5631</v>
      </c>
      <c r="L381" t="s">
        <v>5630</v>
      </c>
      <c r="M381" t="s">
        <v>481</v>
      </c>
      <c r="N381">
        <v>1</v>
      </c>
      <c r="O381" t="s">
        <v>5629</v>
      </c>
      <c r="P381">
        <v>7404812629</v>
      </c>
      <c r="Q381">
        <v>60013506</v>
      </c>
      <c r="R381" s="7">
        <v>32143</v>
      </c>
      <c r="S381" s="8">
        <f t="shared" si="48"/>
        <v>1988</v>
      </c>
      <c r="T381" s="8">
        <v>1988</v>
      </c>
      <c r="U381" s="8">
        <f t="shared" si="49"/>
        <v>34</v>
      </c>
      <c r="V381" s="7">
        <v>32448</v>
      </c>
      <c r="W381" t="s">
        <v>69</v>
      </c>
      <c r="X381" s="2">
        <v>1.6519999999999999</v>
      </c>
      <c r="Y381" s="6">
        <f t="shared" si="46"/>
        <v>4.409919649769093E-2</v>
      </c>
      <c r="AA381" t="s">
        <v>68</v>
      </c>
      <c r="AB381">
        <v>17337</v>
      </c>
      <c r="AC381">
        <v>15582221</v>
      </c>
      <c r="AD381" t="s">
        <v>4</v>
      </c>
      <c r="AE381">
        <v>36</v>
      </c>
      <c r="AF381">
        <v>11</v>
      </c>
      <c r="AH381" t="s">
        <v>5628</v>
      </c>
      <c r="AI381" t="s">
        <v>5627</v>
      </c>
      <c r="AK381" t="s">
        <v>5626</v>
      </c>
      <c r="AL381">
        <v>4</v>
      </c>
      <c r="AM381" s="5">
        <f t="shared" si="50"/>
        <v>0.11764705882352941</v>
      </c>
      <c r="AN381" s="4">
        <f t="shared" si="47"/>
        <v>1.7818562487471323E-4</v>
      </c>
      <c r="AO381" s="3"/>
      <c r="AP381">
        <v>0</v>
      </c>
      <c r="AR381" t="s">
        <v>0</v>
      </c>
      <c r="AT381" s="2" t="s">
        <v>19</v>
      </c>
      <c r="AU381" s="1">
        <f t="shared" si="51"/>
        <v>3.0922893235846063</v>
      </c>
      <c r="AV381" s="1">
        <f t="shared" si="52"/>
        <v>2.213869106128282</v>
      </c>
      <c r="AW381" s="1">
        <f t="shared" si="53"/>
        <v>1.3354488886719578</v>
      </c>
    </row>
    <row r="382" spans="1:49" x14ac:dyDescent="0.2">
      <c r="A382">
        <v>380</v>
      </c>
      <c r="B382" t="s">
        <v>5625</v>
      </c>
      <c r="C382" t="s">
        <v>5624</v>
      </c>
      <c r="F382" t="s">
        <v>5623</v>
      </c>
      <c r="G382" t="s">
        <v>15</v>
      </c>
      <c r="H382" t="s">
        <v>14</v>
      </c>
      <c r="I382" t="s">
        <v>5622</v>
      </c>
      <c r="J382">
        <v>60022195</v>
      </c>
      <c r="K382" t="s">
        <v>5621</v>
      </c>
      <c r="L382" t="s">
        <v>375</v>
      </c>
      <c r="M382" t="s">
        <v>31</v>
      </c>
      <c r="N382">
        <v>1</v>
      </c>
      <c r="O382" t="s">
        <v>5620</v>
      </c>
      <c r="P382">
        <v>7005553277</v>
      </c>
      <c r="Q382">
        <v>60022195</v>
      </c>
      <c r="R382" s="7">
        <v>32143</v>
      </c>
      <c r="S382" s="8">
        <f t="shared" si="48"/>
        <v>1988</v>
      </c>
      <c r="T382" s="8">
        <v>1988</v>
      </c>
      <c r="U382" s="8">
        <f t="shared" si="49"/>
        <v>34</v>
      </c>
      <c r="V382" s="7">
        <v>32448</v>
      </c>
      <c r="W382" t="s">
        <v>69</v>
      </c>
      <c r="X382" s="2">
        <v>1.6519999999999999</v>
      </c>
      <c r="Y382" s="6">
        <f t="shared" si="46"/>
        <v>4.409919649769093E-2</v>
      </c>
      <c r="AA382" t="s">
        <v>68</v>
      </c>
      <c r="AB382">
        <v>17337</v>
      </c>
      <c r="AC382">
        <v>15582221</v>
      </c>
      <c r="AD382" t="s">
        <v>4</v>
      </c>
      <c r="AE382">
        <v>36</v>
      </c>
      <c r="AF382">
        <v>11</v>
      </c>
      <c r="AH382" t="s">
        <v>5619</v>
      </c>
      <c r="AI382" t="s">
        <v>5618</v>
      </c>
      <c r="AK382" t="s">
        <v>5617</v>
      </c>
      <c r="AL382">
        <v>7</v>
      </c>
      <c r="AM382" s="5">
        <f t="shared" si="50"/>
        <v>0.20588235294117646</v>
      </c>
      <c r="AN382" s="4">
        <f t="shared" si="47"/>
        <v>3.1182484353074817E-4</v>
      </c>
      <c r="AO382" s="3"/>
      <c r="AP382">
        <v>0</v>
      </c>
      <c r="AR382" t="s">
        <v>0</v>
      </c>
      <c r="AT382" s="2" t="s">
        <v>19</v>
      </c>
      <c r="AU382" s="1">
        <f t="shared" si="51"/>
        <v>3.0962985001442878</v>
      </c>
      <c r="AV382" s="1">
        <f t="shared" si="52"/>
        <v>2.2205510670610837</v>
      </c>
      <c r="AW382" s="1">
        <f t="shared" si="53"/>
        <v>1.3448036339778802</v>
      </c>
    </row>
    <row r="383" spans="1:49" x14ac:dyDescent="0.2">
      <c r="A383">
        <v>381</v>
      </c>
      <c r="B383" t="s">
        <v>5616</v>
      </c>
      <c r="C383" t="s">
        <v>5615</v>
      </c>
      <c r="F383" t="s">
        <v>5614</v>
      </c>
      <c r="G383" t="s">
        <v>15</v>
      </c>
      <c r="H383" t="s">
        <v>14</v>
      </c>
      <c r="I383" t="s">
        <v>5613</v>
      </c>
      <c r="J383">
        <v>60108318</v>
      </c>
      <c r="K383" t="s">
        <v>5612</v>
      </c>
      <c r="L383" t="s">
        <v>1471</v>
      </c>
      <c r="M383" t="s">
        <v>31</v>
      </c>
      <c r="N383">
        <v>3</v>
      </c>
      <c r="O383" t="s">
        <v>5611</v>
      </c>
      <c r="P383" t="s">
        <v>5610</v>
      </c>
      <c r="Q383" t="s">
        <v>5609</v>
      </c>
      <c r="R383" s="7">
        <v>32143</v>
      </c>
      <c r="S383" s="8">
        <f t="shared" si="48"/>
        <v>1988</v>
      </c>
      <c r="T383" s="8">
        <v>1988</v>
      </c>
      <c r="U383" s="8">
        <f t="shared" si="49"/>
        <v>34</v>
      </c>
      <c r="V383" s="7">
        <v>32448</v>
      </c>
      <c r="W383" t="s">
        <v>69</v>
      </c>
      <c r="X383" s="2">
        <v>1.6519999999999999</v>
      </c>
      <c r="Y383" s="6">
        <f t="shared" si="46"/>
        <v>4.409919649769093E-2</v>
      </c>
      <c r="AA383" t="s">
        <v>68</v>
      </c>
      <c r="AB383">
        <v>17337</v>
      </c>
      <c r="AC383">
        <v>15582221</v>
      </c>
      <c r="AD383" t="s">
        <v>4</v>
      </c>
      <c r="AE383">
        <v>36</v>
      </c>
      <c r="AF383">
        <v>11</v>
      </c>
      <c r="AH383" t="s">
        <v>5608</v>
      </c>
      <c r="AI383" t="s">
        <v>5607</v>
      </c>
      <c r="AK383" t="s">
        <v>5606</v>
      </c>
      <c r="AL383">
        <v>45</v>
      </c>
      <c r="AM383" s="5">
        <f t="shared" si="50"/>
        <v>1.3235294117647058</v>
      </c>
      <c r="AN383" s="4">
        <f t="shared" si="47"/>
        <v>2.0045882798405239E-3</v>
      </c>
      <c r="AO383" s="3"/>
      <c r="AP383">
        <v>0</v>
      </c>
      <c r="AR383" t="s">
        <v>5605</v>
      </c>
      <c r="AT383" s="2" t="s">
        <v>19</v>
      </c>
      <c r="AU383" s="1">
        <f t="shared" si="51"/>
        <v>3.1470814032335808</v>
      </c>
      <c r="AV383" s="1">
        <f t="shared" si="52"/>
        <v>2.3051892388765727</v>
      </c>
      <c r="AW383" s="1">
        <f t="shared" si="53"/>
        <v>1.4632970745195646</v>
      </c>
    </row>
    <row r="384" spans="1:49" x14ac:dyDescent="0.2">
      <c r="A384">
        <v>382</v>
      </c>
      <c r="B384" t="s">
        <v>5604</v>
      </c>
      <c r="C384" t="s">
        <v>5603</v>
      </c>
      <c r="F384" t="s">
        <v>5602</v>
      </c>
      <c r="G384" t="s">
        <v>15</v>
      </c>
      <c r="H384" t="s">
        <v>14</v>
      </c>
      <c r="I384" t="s">
        <v>5601</v>
      </c>
      <c r="J384">
        <v>60000745</v>
      </c>
      <c r="K384" t="s">
        <v>3448</v>
      </c>
      <c r="L384" t="s">
        <v>3447</v>
      </c>
      <c r="M384" t="s">
        <v>31</v>
      </c>
      <c r="N384">
        <v>2</v>
      </c>
      <c r="O384" t="s">
        <v>5600</v>
      </c>
      <c r="P384" t="s">
        <v>5599</v>
      </c>
      <c r="Q384" t="s">
        <v>3444</v>
      </c>
      <c r="R384" s="7">
        <v>32143</v>
      </c>
      <c r="S384" s="8">
        <f t="shared" si="48"/>
        <v>1988</v>
      </c>
      <c r="T384" s="8">
        <v>1988</v>
      </c>
      <c r="U384" s="8">
        <f t="shared" si="49"/>
        <v>34</v>
      </c>
      <c r="V384" s="7">
        <v>32448</v>
      </c>
      <c r="W384" t="s">
        <v>69</v>
      </c>
      <c r="X384" s="2">
        <v>1.6519999999999999</v>
      </c>
      <c r="Y384" s="6">
        <f t="shared" si="46"/>
        <v>4.409919649769093E-2</v>
      </c>
      <c r="AA384" t="s">
        <v>68</v>
      </c>
      <c r="AB384">
        <v>17337</v>
      </c>
      <c r="AC384">
        <v>15582221</v>
      </c>
      <c r="AD384" t="s">
        <v>4</v>
      </c>
      <c r="AE384">
        <v>36</v>
      </c>
      <c r="AF384">
        <v>11</v>
      </c>
      <c r="AH384" t="s">
        <v>5598</v>
      </c>
      <c r="AI384" t="s">
        <v>5597</v>
      </c>
      <c r="AK384" t="s">
        <v>5596</v>
      </c>
      <c r="AL384">
        <v>21</v>
      </c>
      <c r="AM384" s="5">
        <f t="shared" si="50"/>
        <v>0.61764705882352944</v>
      </c>
      <c r="AN384" s="4">
        <f t="shared" si="47"/>
        <v>9.3547453059224456E-4</v>
      </c>
      <c r="AO384" s="3"/>
      <c r="AP384">
        <v>0</v>
      </c>
      <c r="AQ384" t="s">
        <v>855</v>
      </c>
      <c r="AR384" t="s">
        <v>5595</v>
      </c>
      <c r="AS384" t="s">
        <v>854</v>
      </c>
      <c r="AT384" s="2" t="s">
        <v>19</v>
      </c>
      <c r="AU384" s="1">
        <f t="shared" si="51"/>
        <v>3.1150079907561325</v>
      </c>
      <c r="AV384" s="1">
        <f t="shared" si="52"/>
        <v>2.2517335514141585</v>
      </c>
      <c r="AW384" s="1">
        <f t="shared" si="53"/>
        <v>1.388459112072185</v>
      </c>
    </row>
    <row r="385" spans="1:49" x14ac:dyDescent="0.2">
      <c r="A385">
        <v>383</v>
      </c>
      <c r="B385" t="s">
        <v>5594</v>
      </c>
      <c r="C385" t="s">
        <v>5593</v>
      </c>
      <c r="F385" t="s">
        <v>5592</v>
      </c>
      <c r="G385" t="s">
        <v>15</v>
      </c>
      <c r="H385" t="s">
        <v>14</v>
      </c>
      <c r="I385" t="s">
        <v>5591</v>
      </c>
      <c r="J385">
        <v>60021706</v>
      </c>
      <c r="K385" t="s">
        <v>5590</v>
      </c>
      <c r="L385" t="s">
        <v>5589</v>
      </c>
      <c r="M385" t="s">
        <v>31</v>
      </c>
      <c r="N385">
        <v>2</v>
      </c>
      <c r="O385" t="s">
        <v>5588</v>
      </c>
      <c r="P385" t="s">
        <v>5587</v>
      </c>
      <c r="Q385" t="s">
        <v>5586</v>
      </c>
      <c r="R385" s="7">
        <v>32143</v>
      </c>
      <c r="S385" s="8">
        <f t="shared" si="48"/>
        <v>1988</v>
      </c>
      <c r="T385" s="8">
        <v>1988</v>
      </c>
      <c r="U385" s="8">
        <f t="shared" si="49"/>
        <v>34</v>
      </c>
      <c r="V385" s="7">
        <v>32448</v>
      </c>
      <c r="W385" t="s">
        <v>69</v>
      </c>
      <c r="X385" s="2">
        <v>1.6519999999999999</v>
      </c>
      <c r="Y385" s="6">
        <f t="shared" si="46"/>
        <v>4.409919649769093E-2</v>
      </c>
      <c r="AA385" t="s">
        <v>68</v>
      </c>
      <c r="AB385">
        <v>17337</v>
      </c>
      <c r="AC385">
        <v>15582221</v>
      </c>
      <c r="AD385" t="s">
        <v>4</v>
      </c>
      <c r="AE385">
        <v>36</v>
      </c>
      <c r="AF385">
        <v>11</v>
      </c>
      <c r="AH385" t="s">
        <v>5585</v>
      </c>
      <c r="AI385" t="s">
        <v>5584</v>
      </c>
      <c r="AK385" t="s">
        <v>5583</v>
      </c>
      <c r="AL385">
        <v>8</v>
      </c>
      <c r="AM385" s="5">
        <f t="shared" si="50"/>
        <v>0.23529411764705882</v>
      </c>
      <c r="AN385" s="4">
        <f t="shared" si="47"/>
        <v>3.5637124974942646E-4</v>
      </c>
      <c r="AO385" s="3"/>
      <c r="AP385">
        <v>0</v>
      </c>
      <c r="AR385" t="s">
        <v>0</v>
      </c>
      <c r="AT385" s="2" t="s">
        <v>19</v>
      </c>
      <c r="AU385" s="1">
        <f t="shared" si="51"/>
        <v>3.0976348923308481</v>
      </c>
      <c r="AV385" s="1">
        <f t="shared" si="52"/>
        <v>2.2227783873720175</v>
      </c>
      <c r="AW385" s="1">
        <f t="shared" si="53"/>
        <v>1.3479218824131878</v>
      </c>
    </row>
    <row r="386" spans="1:49" x14ac:dyDescent="0.2">
      <c r="A386">
        <v>384</v>
      </c>
      <c r="B386" t="s">
        <v>5582</v>
      </c>
      <c r="C386" t="s">
        <v>5581</v>
      </c>
      <c r="F386" t="s">
        <v>5580</v>
      </c>
      <c r="G386" t="s">
        <v>15</v>
      </c>
      <c r="H386" t="s">
        <v>14</v>
      </c>
      <c r="I386" t="s">
        <v>5579</v>
      </c>
      <c r="J386">
        <v>60013372</v>
      </c>
      <c r="K386" t="s">
        <v>5578</v>
      </c>
      <c r="L386" t="s">
        <v>5577</v>
      </c>
      <c r="M386" t="s">
        <v>31</v>
      </c>
      <c r="N386">
        <v>3</v>
      </c>
      <c r="O386" t="s">
        <v>5576</v>
      </c>
      <c r="P386" t="s">
        <v>5575</v>
      </c>
      <c r="Q386" t="s">
        <v>5574</v>
      </c>
      <c r="R386" s="7">
        <v>32143</v>
      </c>
      <c r="S386" s="8">
        <f t="shared" si="48"/>
        <v>1988</v>
      </c>
      <c r="T386" s="8">
        <v>1988</v>
      </c>
      <c r="U386" s="8">
        <f t="shared" si="49"/>
        <v>34</v>
      </c>
      <c r="V386" s="7">
        <v>32448</v>
      </c>
      <c r="W386" t="s">
        <v>69</v>
      </c>
      <c r="X386" s="2">
        <v>1.6519999999999999</v>
      </c>
      <c r="Y386" s="6">
        <f t="shared" ref="Y386:Y449" si="54">(X386-$Z$4)/($Z$3-$Z$4)</f>
        <v>4.409919649769093E-2</v>
      </c>
      <c r="AA386" t="s">
        <v>68</v>
      </c>
      <c r="AB386">
        <v>17337</v>
      </c>
      <c r="AC386">
        <v>15582221</v>
      </c>
      <c r="AD386" t="s">
        <v>4</v>
      </c>
      <c r="AE386">
        <v>36</v>
      </c>
      <c r="AF386">
        <v>11</v>
      </c>
      <c r="AH386" t="s">
        <v>5573</v>
      </c>
      <c r="AI386" t="s">
        <v>5572</v>
      </c>
      <c r="AK386" t="s">
        <v>5571</v>
      </c>
      <c r="AL386">
        <v>6</v>
      </c>
      <c r="AM386" s="5">
        <f t="shared" si="50"/>
        <v>0.17647058823529413</v>
      </c>
      <c r="AN386" s="4">
        <f t="shared" ref="AN386:AN449" si="55">(AM386-$AO$4)/($AO$3-$AO$4)</f>
        <v>2.6727843731206988E-4</v>
      </c>
      <c r="AO386" s="3"/>
      <c r="AP386">
        <v>0</v>
      </c>
      <c r="AR386" t="s">
        <v>5570</v>
      </c>
      <c r="AT386" s="2" t="s">
        <v>19</v>
      </c>
      <c r="AU386" s="1">
        <f t="shared" si="51"/>
        <v>3.094962107957727</v>
      </c>
      <c r="AV386" s="1">
        <f t="shared" si="52"/>
        <v>2.21832374675015</v>
      </c>
      <c r="AW386" s="1">
        <f t="shared" si="53"/>
        <v>1.3416853855425726</v>
      </c>
    </row>
    <row r="387" spans="1:49" x14ac:dyDescent="0.2">
      <c r="A387">
        <v>385</v>
      </c>
      <c r="B387" t="s">
        <v>5569</v>
      </c>
      <c r="C387" t="s">
        <v>5568</v>
      </c>
      <c r="F387" t="s">
        <v>5567</v>
      </c>
      <c r="G387" t="s">
        <v>15</v>
      </c>
      <c r="H387" t="s">
        <v>14</v>
      </c>
      <c r="I387" t="s">
        <v>5566</v>
      </c>
      <c r="J387">
        <v>60007776</v>
      </c>
      <c r="K387" t="s">
        <v>5565</v>
      </c>
      <c r="L387" t="s">
        <v>5564</v>
      </c>
      <c r="M387" t="s">
        <v>31</v>
      </c>
      <c r="N387">
        <v>1</v>
      </c>
      <c r="O387" t="s">
        <v>5563</v>
      </c>
      <c r="P387">
        <v>7402021303</v>
      </c>
      <c r="Q387">
        <v>60007776</v>
      </c>
      <c r="R387" s="7">
        <v>32143</v>
      </c>
      <c r="S387" s="8">
        <f t="shared" si="48"/>
        <v>1988</v>
      </c>
      <c r="T387" s="8">
        <v>1988</v>
      </c>
      <c r="U387" s="8">
        <f t="shared" si="49"/>
        <v>34</v>
      </c>
      <c r="V387" s="7">
        <v>32448</v>
      </c>
      <c r="W387" t="s">
        <v>69</v>
      </c>
      <c r="X387" s="2">
        <v>1.6519999999999999</v>
      </c>
      <c r="Y387" s="6">
        <f t="shared" si="54"/>
        <v>4.409919649769093E-2</v>
      </c>
      <c r="AA387" t="s">
        <v>68</v>
      </c>
      <c r="AB387">
        <v>17337</v>
      </c>
      <c r="AC387">
        <v>15582221</v>
      </c>
      <c r="AD387" t="s">
        <v>4</v>
      </c>
      <c r="AE387">
        <v>36</v>
      </c>
      <c r="AF387">
        <v>11</v>
      </c>
      <c r="AH387" t="s">
        <v>5562</v>
      </c>
      <c r="AI387" t="s">
        <v>5561</v>
      </c>
      <c r="AK387" t="s">
        <v>5560</v>
      </c>
      <c r="AL387">
        <v>5</v>
      </c>
      <c r="AM387" s="5">
        <f t="shared" si="50"/>
        <v>0.14705882352941177</v>
      </c>
      <c r="AN387" s="4">
        <f t="shared" si="55"/>
        <v>2.2273203109339154E-4</v>
      </c>
      <c r="AO387" s="3"/>
      <c r="AP387">
        <v>0</v>
      </c>
      <c r="AR387" t="s">
        <v>0</v>
      </c>
      <c r="AT387" s="2" t="s">
        <v>19</v>
      </c>
      <c r="AU387" s="1">
        <f t="shared" si="51"/>
        <v>3.0936257157711666</v>
      </c>
      <c r="AV387" s="1">
        <f t="shared" si="52"/>
        <v>2.2160964264392158</v>
      </c>
      <c r="AW387" s="1">
        <f t="shared" si="53"/>
        <v>1.3385671371072652</v>
      </c>
    </row>
    <row r="388" spans="1:49" x14ac:dyDescent="0.2">
      <c r="A388">
        <v>386</v>
      </c>
      <c r="B388" t="s">
        <v>5559</v>
      </c>
      <c r="C388" t="s">
        <v>5558</v>
      </c>
      <c r="F388" t="s">
        <v>5557</v>
      </c>
      <c r="G388" t="s">
        <v>15</v>
      </c>
      <c r="H388" t="s">
        <v>14</v>
      </c>
      <c r="I388" t="s">
        <v>4445</v>
      </c>
      <c r="J388">
        <v>60000745</v>
      </c>
      <c r="K388" t="s">
        <v>3448</v>
      </c>
      <c r="L388" t="s">
        <v>3447</v>
      </c>
      <c r="M388" t="s">
        <v>31</v>
      </c>
      <c r="N388">
        <v>1</v>
      </c>
      <c r="O388" t="s">
        <v>5556</v>
      </c>
      <c r="P388">
        <v>26643168800</v>
      </c>
      <c r="Q388">
        <v>60000745</v>
      </c>
      <c r="R388" s="7">
        <v>32143</v>
      </c>
      <c r="S388" s="8">
        <f t="shared" si="48"/>
        <v>1988</v>
      </c>
      <c r="T388" s="8">
        <v>1988</v>
      </c>
      <c r="U388" s="8">
        <f t="shared" si="49"/>
        <v>34</v>
      </c>
      <c r="V388" s="7">
        <v>32448</v>
      </c>
      <c r="W388" t="s">
        <v>69</v>
      </c>
      <c r="X388" s="2">
        <v>1.6519999999999999</v>
      </c>
      <c r="Y388" s="6">
        <f t="shared" si="54"/>
        <v>4.409919649769093E-2</v>
      </c>
      <c r="AA388" t="s">
        <v>68</v>
      </c>
      <c r="AB388">
        <v>17337</v>
      </c>
      <c r="AC388">
        <v>15582221</v>
      </c>
      <c r="AD388" t="s">
        <v>4</v>
      </c>
      <c r="AE388">
        <v>36</v>
      </c>
      <c r="AF388">
        <v>11</v>
      </c>
      <c r="AH388" t="s">
        <v>5555</v>
      </c>
      <c r="AI388" t="s">
        <v>5554</v>
      </c>
      <c r="AK388" t="s">
        <v>5553</v>
      </c>
      <c r="AL388">
        <v>41</v>
      </c>
      <c r="AM388" s="5">
        <f t="shared" si="50"/>
        <v>1.2058823529411764</v>
      </c>
      <c r="AN388" s="4">
        <f t="shared" si="55"/>
        <v>1.8264026549658105E-3</v>
      </c>
      <c r="AO388" s="3"/>
      <c r="AP388">
        <v>0</v>
      </c>
      <c r="AR388" t="s">
        <v>0</v>
      </c>
      <c r="AT388" s="2" t="s">
        <v>19</v>
      </c>
      <c r="AU388" s="1">
        <f t="shared" si="51"/>
        <v>3.1417358344873394</v>
      </c>
      <c r="AV388" s="1">
        <f t="shared" si="52"/>
        <v>2.2962799576328368</v>
      </c>
      <c r="AW388" s="1">
        <f t="shared" si="53"/>
        <v>1.4508240807783346</v>
      </c>
    </row>
    <row r="389" spans="1:49" x14ac:dyDescent="0.2">
      <c r="A389">
        <v>387</v>
      </c>
      <c r="B389" t="s">
        <v>5552</v>
      </c>
      <c r="C389" t="s">
        <v>5551</v>
      </c>
      <c r="F389" t="s">
        <v>5550</v>
      </c>
      <c r="G389" t="s">
        <v>15</v>
      </c>
      <c r="H389" t="s">
        <v>14</v>
      </c>
      <c r="I389" t="s">
        <v>5549</v>
      </c>
      <c r="J389">
        <v>60014256</v>
      </c>
      <c r="K389" t="s">
        <v>3346</v>
      </c>
      <c r="L389" t="s">
        <v>1612</v>
      </c>
      <c r="M389" t="s">
        <v>211</v>
      </c>
      <c r="N389">
        <v>1</v>
      </c>
      <c r="O389" t="s">
        <v>5548</v>
      </c>
      <c r="P389">
        <v>7102376306</v>
      </c>
      <c r="Q389">
        <v>60014256</v>
      </c>
      <c r="R389" s="7">
        <v>32143</v>
      </c>
      <c r="S389" s="8">
        <f t="shared" si="48"/>
        <v>1988</v>
      </c>
      <c r="T389" s="8">
        <v>1988</v>
      </c>
      <c r="U389" s="8">
        <f t="shared" si="49"/>
        <v>34</v>
      </c>
      <c r="V389" s="7">
        <v>32448</v>
      </c>
      <c r="W389" t="s">
        <v>69</v>
      </c>
      <c r="X389" s="2">
        <v>1.6519999999999999</v>
      </c>
      <c r="Y389" s="6">
        <f t="shared" si="54"/>
        <v>4.409919649769093E-2</v>
      </c>
      <c r="AA389" t="s">
        <v>68</v>
      </c>
      <c r="AB389">
        <v>17337</v>
      </c>
      <c r="AC389">
        <v>15582221</v>
      </c>
      <c r="AD389" t="s">
        <v>4</v>
      </c>
      <c r="AE389">
        <v>36</v>
      </c>
      <c r="AF389">
        <v>11</v>
      </c>
      <c r="AH389" t="s">
        <v>5547</v>
      </c>
      <c r="AI389" t="s">
        <v>5546</v>
      </c>
      <c r="AK389" t="s">
        <v>5545</v>
      </c>
      <c r="AL389">
        <v>23</v>
      </c>
      <c r="AM389" s="5">
        <f t="shared" si="50"/>
        <v>0.67647058823529416</v>
      </c>
      <c r="AN389" s="4">
        <f t="shared" si="55"/>
        <v>1.0245673430296011E-3</v>
      </c>
      <c r="AO389" s="3"/>
      <c r="AP389">
        <v>0</v>
      </c>
      <c r="AR389" t="s">
        <v>0</v>
      </c>
      <c r="AT389" s="2" t="s">
        <v>19</v>
      </c>
      <c r="AU389" s="1">
        <f t="shared" si="51"/>
        <v>3.1176807751292532</v>
      </c>
      <c r="AV389" s="1">
        <f t="shared" si="52"/>
        <v>2.2561881920360265</v>
      </c>
      <c r="AW389" s="1">
        <f t="shared" si="53"/>
        <v>1.3946956089428</v>
      </c>
    </row>
    <row r="390" spans="1:49" x14ac:dyDescent="0.2">
      <c r="A390">
        <v>388</v>
      </c>
      <c r="B390" t="s">
        <v>5544</v>
      </c>
      <c r="C390" t="s">
        <v>5543</v>
      </c>
      <c r="F390" t="s">
        <v>5542</v>
      </c>
      <c r="G390" t="s">
        <v>15</v>
      </c>
      <c r="H390" t="s">
        <v>14</v>
      </c>
      <c r="I390" t="s">
        <v>5541</v>
      </c>
      <c r="J390" t="s">
        <v>5540</v>
      </c>
      <c r="K390" t="s">
        <v>5539</v>
      </c>
      <c r="L390" t="s">
        <v>5538</v>
      </c>
      <c r="M390" t="s">
        <v>9</v>
      </c>
      <c r="N390">
        <v>2</v>
      </c>
      <c r="O390" t="s">
        <v>5537</v>
      </c>
      <c r="P390" t="s">
        <v>5536</v>
      </c>
      <c r="Q390" t="s">
        <v>5535</v>
      </c>
      <c r="R390" s="7">
        <v>32143</v>
      </c>
      <c r="S390" s="8">
        <f t="shared" si="48"/>
        <v>1988</v>
      </c>
      <c r="T390" s="8">
        <v>1988</v>
      </c>
      <c r="U390" s="8">
        <f t="shared" si="49"/>
        <v>34</v>
      </c>
      <c r="V390" s="7">
        <v>32448</v>
      </c>
      <c r="W390" t="s">
        <v>69</v>
      </c>
      <c r="X390" s="2">
        <v>1.6519999999999999</v>
      </c>
      <c r="Y390" s="6">
        <f t="shared" si="54"/>
        <v>4.409919649769093E-2</v>
      </c>
      <c r="AA390" t="s">
        <v>68</v>
      </c>
      <c r="AB390">
        <v>17337</v>
      </c>
      <c r="AC390">
        <v>15582221</v>
      </c>
      <c r="AD390" t="s">
        <v>4</v>
      </c>
      <c r="AE390">
        <v>36</v>
      </c>
      <c r="AF390">
        <v>11</v>
      </c>
      <c r="AH390" t="s">
        <v>5534</v>
      </c>
      <c r="AI390" t="s">
        <v>5533</v>
      </c>
      <c r="AK390" t="s">
        <v>5532</v>
      </c>
      <c r="AL390">
        <v>50</v>
      </c>
      <c r="AM390" s="5">
        <f t="shared" si="50"/>
        <v>1.4705882352941178</v>
      </c>
      <c r="AN390" s="4">
        <f t="shared" si="55"/>
        <v>2.2273203109339154E-3</v>
      </c>
      <c r="AO390" s="3"/>
      <c r="AP390">
        <v>0</v>
      </c>
      <c r="AR390" t="s">
        <v>0</v>
      </c>
      <c r="AT390" s="2" t="s">
        <v>19</v>
      </c>
      <c r="AU390" s="1">
        <f t="shared" si="51"/>
        <v>3.1537633641663829</v>
      </c>
      <c r="AV390" s="1">
        <f t="shared" si="52"/>
        <v>2.3163258404312423</v>
      </c>
      <c r="AW390" s="1">
        <f t="shared" si="53"/>
        <v>1.478888316696102</v>
      </c>
    </row>
    <row r="391" spans="1:49" x14ac:dyDescent="0.2">
      <c r="A391">
        <v>389</v>
      </c>
      <c r="B391" t="s">
        <v>5531</v>
      </c>
      <c r="C391" t="s">
        <v>5530</v>
      </c>
      <c r="E391">
        <v>3192234</v>
      </c>
      <c r="F391" t="s">
        <v>5529</v>
      </c>
      <c r="G391" t="s">
        <v>15</v>
      </c>
      <c r="H391" t="s">
        <v>14</v>
      </c>
      <c r="I391" t="s">
        <v>5528</v>
      </c>
      <c r="J391">
        <v>60030443</v>
      </c>
      <c r="K391" t="s">
        <v>711</v>
      </c>
      <c r="L391" t="s">
        <v>710</v>
      </c>
      <c r="M391" t="s">
        <v>31</v>
      </c>
      <c r="N391">
        <v>4</v>
      </c>
      <c r="O391" t="s">
        <v>5527</v>
      </c>
      <c r="P391" t="s">
        <v>5526</v>
      </c>
      <c r="Q391" t="s">
        <v>707</v>
      </c>
      <c r="R391" s="7">
        <v>32143</v>
      </c>
      <c r="S391" s="8">
        <f t="shared" ref="S391:S454" si="56">YEAR(R391)</f>
        <v>1988</v>
      </c>
      <c r="T391" s="8">
        <v>1988</v>
      </c>
      <c r="U391" s="8">
        <f t="shared" ref="U391:U454" si="57">2022-T391</f>
        <v>34</v>
      </c>
      <c r="V391" s="7">
        <v>32417</v>
      </c>
      <c r="W391" t="s">
        <v>2649</v>
      </c>
      <c r="X391" s="2">
        <v>1.1479999999999999</v>
      </c>
      <c r="Y391" s="6">
        <f t="shared" si="54"/>
        <v>3.0645204345853019E-2</v>
      </c>
      <c r="AA391">
        <v>189294</v>
      </c>
      <c r="AB391">
        <v>16318</v>
      </c>
      <c r="AC391">
        <v>15582531</v>
      </c>
      <c r="AD391" t="s">
        <v>4</v>
      </c>
      <c r="AE391">
        <v>35</v>
      </c>
      <c r="AF391">
        <v>10</v>
      </c>
      <c r="AH391" t="s">
        <v>5525</v>
      </c>
      <c r="AI391" t="s">
        <v>5524</v>
      </c>
      <c r="AK391" t="s">
        <v>5523</v>
      </c>
      <c r="AL391">
        <v>33</v>
      </c>
      <c r="AM391" s="5">
        <f t="shared" ref="AM391:AM454" si="58">AL391/U391</f>
        <v>0.97058823529411764</v>
      </c>
      <c r="AN391" s="4">
        <f t="shared" si="55"/>
        <v>1.4700314052163842E-3</v>
      </c>
      <c r="AO391" s="3"/>
      <c r="AP391">
        <v>0</v>
      </c>
      <c r="AQ391" t="s">
        <v>855</v>
      </c>
      <c r="AR391" t="s">
        <v>5522</v>
      </c>
      <c r="AS391" t="s">
        <v>854</v>
      </c>
      <c r="AT391" s="2" t="s">
        <v>19</v>
      </c>
      <c r="AU391" s="1">
        <f t="shared" ref="AU391:AU454" si="59">(Y391*0.7+AN391*0.3)*100</f>
        <v>2.1892652463662028</v>
      </c>
      <c r="AV391" s="1">
        <f t="shared" ref="AV391:AV454" si="60">(Y391*0.5+AN391*0.5)*100</f>
        <v>1.60576178755347</v>
      </c>
      <c r="AW391" s="1">
        <f t="shared" ref="AW391:AW454" si="61">(Y391*0.3+AN391*0.7)*100</f>
        <v>1.0222583287407374</v>
      </c>
    </row>
    <row r="392" spans="1:49" x14ac:dyDescent="0.2">
      <c r="A392">
        <v>390</v>
      </c>
      <c r="B392" t="s">
        <v>5521</v>
      </c>
      <c r="C392" t="s">
        <v>5520</v>
      </c>
      <c r="E392">
        <v>3192239</v>
      </c>
      <c r="F392" t="s">
        <v>5519</v>
      </c>
      <c r="G392" t="s">
        <v>15</v>
      </c>
      <c r="H392" t="s">
        <v>14</v>
      </c>
      <c r="I392" t="s">
        <v>5518</v>
      </c>
      <c r="J392">
        <v>60024488</v>
      </c>
      <c r="K392" t="s">
        <v>5517</v>
      </c>
      <c r="L392" t="s">
        <v>5516</v>
      </c>
      <c r="M392" t="s">
        <v>211</v>
      </c>
      <c r="N392">
        <v>9</v>
      </c>
      <c r="O392" t="s">
        <v>5515</v>
      </c>
      <c r="P392" t="s">
        <v>5514</v>
      </c>
      <c r="Q392" t="s">
        <v>5513</v>
      </c>
      <c r="R392" s="7">
        <v>32143</v>
      </c>
      <c r="S392" s="8">
        <f t="shared" si="56"/>
        <v>1988</v>
      </c>
      <c r="T392" s="8">
        <v>1988</v>
      </c>
      <c r="U392" s="8">
        <f t="shared" si="57"/>
        <v>34</v>
      </c>
      <c r="V392" s="7">
        <v>32417</v>
      </c>
      <c r="W392" t="s">
        <v>2649</v>
      </c>
      <c r="X392" s="2">
        <v>1.1479999999999999</v>
      </c>
      <c r="Y392" s="6">
        <f t="shared" si="54"/>
        <v>3.0645204345853019E-2</v>
      </c>
      <c r="AA392">
        <v>189294</v>
      </c>
      <c r="AB392">
        <v>16318</v>
      </c>
      <c r="AC392">
        <v>15582531</v>
      </c>
      <c r="AD392" t="s">
        <v>4</v>
      </c>
      <c r="AE392">
        <v>35</v>
      </c>
      <c r="AF392">
        <v>10</v>
      </c>
      <c r="AH392" t="s">
        <v>5512</v>
      </c>
      <c r="AI392" t="s">
        <v>5511</v>
      </c>
      <c r="AK392" t="s">
        <v>5510</v>
      </c>
      <c r="AL392">
        <v>12</v>
      </c>
      <c r="AM392" s="5">
        <f t="shared" si="58"/>
        <v>0.35294117647058826</v>
      </c>
      <c r="AN392" s="4">
        <f t="shared" si="55"/>
        <v>5.3455687462413976E-4</v>
      </c>
      <c r="AO392" s="3"/>
      <c r="AP392">
        <v>0</v>
      </c>
      <c r="AR392" t="s">
        <v>0</v>
      </c>
      <c r="AT392" s="2" t="s">
        <v>19</v>
      </c>
      <c r="AU392" s="1">
        <f t="shared" si="59"/>
        <v>2.1612010104484356</v>
      </c>
      <c r="AV392" s="1">
        <f t="shared" si="60"/>
        <v>1.5589880610238578</v>
      </c>
      <c r="AW392" s="1">
        <f t="shared" si="61"/>
        <v>0.9567751115992803</v>
      </c>
    </row>
    <row r="393" spans="1:49" x14ac:dyDescent="0.2">
      <c r="A393">
        <v>391</v>
      </c>
      <c r="B393" t="s">
        <v>5509</v>
      </c>
      <c r="C393" t="s">
        <v>5508</v>
      </c>
      <c r="F393" t="s">
        <v>5507</v>
      </c>
      <c r="G393" t="s">
        <v>15</v>
      </c>
      <c r="H393" t="s">
        <v>14</v>
      </c>
      <c r="I393" t="s">
        <v>4605</v>
      </c>
      <c r="J393">
        <v>60008134</v>
      </c>
      <c r="K393" t="s">
        <v>315</v>
      </c>
      <c r="L393" t="s">
        <v>314</v>
      </c>
      <c r="M393" t="s">
        <v>127</v>
      </c>
      <c r="N393">
        <v>3</v>
      </c>
      <c r="O393" t="s">
        <v>4604</v>
      </c>
      <c r="P393" t="s">
        <v>4603</v>
      </c>
      <c r="Q393" t="s">
        <v>4602</v>
      </c>
      <c r="R393" s="7">
        <v>32143</v>
      </c>
      <c r="S393" s="8">
        <f t="shared" si="56"/>
        <v>1988</v>
      </c>
      <c r="T393" s="8">
        <v>1988</v>
      </c>
      <c r="U393" s="8">
        <f t="shared" si="57"/>
        <v>34</v>
      </c>
      <c r="V393" s="7" t="s">
        <v>5250</v>
      </c>
      <c r="W393" s="11" t="s">
        <v>1890</v>
      </c>
      <c r="X393" s="2">
        <v>2.383</v>
      </c>
      <c r="Y393" s="6">
        <f t="shared" si="54"/>
        <v>6.3612824003630442E-2</v>
      </c>
      <c r="AA393" t="s">
        <v>1889</v>
      </c>
      <c r="AB393">
        <v>101151</v>
      </c>
      <c r="AD393" t="s">
        <v>4</v>
      </c>
      <c r="AE393">
        <v>135</v>
      </c>
      <c r="AF393">
        <v>5</v>
      </c>
      <c r="AH393" t="s">
        <v>5506</v>
      </c>
      <c r="AI393" t="s">
        <v>5505</v>
      </c>
      <c r="AK393" t="s">
        <v>5504</v>
      </c>
      <c r="AL393">
        <v>71</v>
      </c>
      <c r="AM393" s="5">
        <f t="shared" si="58"/>
        <v>2.0882352941176472</v>
      </c>
      <c r="AN393" s="4">
        <f t="shared" si="55"/>
        <v>3.16279484152616E-3</v>
      </c>
      <c r="AO393" s="3"/>
      <c r="AP393">
        <v>0</v>
      </c>
      <c r="AR393" t="s">
        <v>0</v>
      </c>
      <c r="AT393" s="2" t="s">
        <v>19</v>
      </c>
      <c r="AU393" s="1">
        <f t="shared" si="59"/>
        <v>4.5477815254999161</v>
      </c>
      <c r="AV393" s="1">
        <f t="shared" si="60"/>
        <v>3.3387809422578303</v>
      </c>
      <c r="AW393" s="1">
        <f t="shared" si="61"/>
        <v>2.1297803590157445</v>
      </c>
    </row>
    <row r="394" spans="1:49" x14ac:dyDescent="0.2">
      <c r="A394">
        <v>392</v>
      </c>
      <c r="B394" t="s">
        <v>5503</v>
      </c>
      <c r="C394" t="s">
        <v>5502</v>
      </c>
      <c r="F394" t="s">
        <v>5501</v>
      </c>
      <c r="G394" t="s">
        <v>15</v>
      </c>
      <c r="H394" t="s">
        <v>14</v>
      </c>
      <c r="I394" t="s">
        <v>5500</v>
      </c>
      <c r="J394">
        <v>60009658</v>
      </c>
      <c r="K394" t="s">
        <v>1013</v>
      </c>
      <c r="L394" t="s">
        <v>1012</v>
      </c>
      <c r="M394" t="s">
        <v>1011</v>
      </c>
      <c r="N394">
        <v>2</v>
      </c>
      <c r="O394" t="s">
        <v>5499</v>
      </c>
      <c r="P394" t="s">
        <v>5498</v>
      </c>
      <c r="Q394" t="s">
        <v>1008</v>
      </c>
      <c r="R394" s="7">
        <v>32143</v>
      </c>
      <c r="S394" s="8">
        <f t="shared" si="56"/>
        <v>1988</v>
      </c>
      <c r="T394" s="8">
        <v>1988</v>
      </c>
      <c r="U394" s="8">
        <f t="shared" si="57"/>
        <v>34</v>
      </c>
      <c r="V394" s="7" t="s">
        <v>5250</v>
      </c>
      <c r="W394" s="11" t="s">
        <v>1890</v>
      </c>
      <c r="X394" s="2">
        <v>2.383</v>
      </c>
      <c r="Y394" s="6">
        <f t="shared" si="54"/>
        <v>6.3612824003630442E-2</v>
      </c>
      <c r="AA394" t="s">
        <v>1889</v>
      </c>
      <c r="AB394">
        <v>101151</v>
      </c>
      <c r="AD394" t="s">
        <v>4</v>
      </c>
      <c r="AE394">
        <v>135</v>
      </c>
      <c r="AF394">
        <v>5</v>
      </c>
      <c r="AH394" t="s">
        <v>5497</v>
      </c>
      <c r="AI394" t="s">
        <v>5496</v>
      </c>
      <c r="AK394" t="s">
        <v>5495</v>
      </c>
      <c r="AL394">
        <v>9</v>
      </c>
      <c r="AM394" s="5">
        <f t="shared" si="58"/>
        <v>0.26470588235294118</v>
      </c>
      <c r="AN394" s="4">
        <f t="shared" si="55"/>
        <v>4.009176559681048E-4</v>
      </c>
      <c r="AO394" s="3"/>
      <c r="AP394">
        <v>0</v>
      </c>
      <c r="AR394" t="s">
        <v>0</v>
      </c>
      <c r="AT394" s="2" t="s">
        <v>19</v>
      </c>
      <c r="AU394" s="1">
        <f t="shared" si="59"/>
        <v>4.464925209933174</v>
      </c>
      <c r="AV394" s="1">
        <f t="shared" si="60"/>
        <v>3.2006870829799272</v>
      </c>
      <c r="AW394" s="1">
        <f t="shared" si="61"/>
        <v>1.9364489560266807</v>
      </c>
    </row>
    <row r="395" spans="1:49" x14ac:dyDescent="0.2">
      <c r="A395">
        <v>393</v>
      </c>
      <c r="B395" t="s">
        <v>5494</v>
      </c>
      <c r="C395" t="s">
        <v>5493</v>
      </c>
      <c r="F395" t="s">
        <v>5492</v>
      </c>
      <c r="G395" t="s">
        <v>15</v>
      </c>
      <c r="H395" t="s">
        <v>14</v>
      </c>
      <c r="I395" t="s">
        <v>5491</v>
      </c>
      <c r="J395">
        <v>60009941</v>
      </c>
      <c r="K395" t="s">
        <v>5490</v>
      </c>
      <c r="L395" t="s">
        <v>5489</v>
      </c>
      <c r="M395" t="s">
        <v>45</v>
      </c>
      <c r="N395">
        <v>2</v>
      </c>
      <c r="O395" t="s">
        <v>5488</v>
      </c>
      <c r="P395" t="s">
        <v>5487</v>
      </c>
      <c r="Q395" t="s">
        <v>5486</v>
      </c>
      <c r="R395" s="7">
        <v>32143</v>
      </c>
      <c r="S395" s="8">
        <f t="shared" si="56"/>
        <v>1988</v>
      </c>
      <c r="T395" s="8">
        <v>1988</v>
      </c>
      <c r="U395" s="8">
        <f t="shared" si="57"/>
        <v>34</v>
      </c>
      <c r="V395" s="7">
        <v>32417</v>
      </c>
      <c r="W395" t="s">
        <v>3879</v>
      </c>
      <c r="X395" s="2">
        <v>1.468</v>
      </c>
      <c r="Y395" s="6">
        <f t="shared" si="54"/>
        <v>3.9187421585115186E-2</v>
      </c>
      <c r="AA395">
        <v>906778</v>
      </c>
      <c r="AB395">
        <v>18931</v>
      </c>
      <c r="AD395" t="s">
        <v>4</v>
      </c>
      <c r="AE395">
        <v>36</v>
      </c>
      <c r="AF395">
        <v>10</v>
      </c>
      <c r="AH395" t="s">
        <v>5485</v>
      </c>
      <c r="AI395" t="s">
        <v>5484</v>
      </c>
      <c r="AK395" t="s">
        <v>5483</v>
      </c>
      <c r="AL395">
        <v>0</v>
      </c>
      <c r="AM395" s="5">
        <f t="shared" si="58"/>
        <v>0</v>
      </c>
      <c r="AN395" s="4">
        <f t="shared" si="55"/>
        <v>0</v>
      </c>
      <c r="AO395" s="3"/>
      <c r="AP395">
        <v>0</v>
      </c>
      <c r="AR395" t="s">
        <v>0</v>
      </c>
      <c r="AT395" s="2">
        <v>5.0830000000000002</v>
      </c>
      <c r="AU395" s="1">
        <f t="shared" si="59"/>
        <v>2.7431195109580626</v>
      </c>
      <c r="AV395" s="1">
        <f t="shared" si="60"/>
        <v>1.9593710792557593</v>
      </c>
      <c r="AW395" s="1">
        <f t="shared" si="61"/>
        <v>1.1756226475534557</v>
      </c>
    </row>
    <row r="396" spans="1:49" x14ac:dyDescent="0.2">
      <c r="A396">
        <v>394</v>
      </c>
      <c r="B396" t="s">
        <v>5482</v>
      </c>
      <c r="C396" t="s">
        <v>5481</v>
      </c>
      <c r="F396" t="s">
        <v>5480</v>
      </c>
      <c r="G396" t="s">
        <v>15</v>
      </c>
      <c r="H396" t="s">
        <v>14</v>
      </c>
      <c r="I396" t="s">
        <v>5479</v>
      </c>
      <c r="J396" t="s">
        <v>5478</v>
      </c>
      <c r="K396" t="s">
        <v>5477</v>
      </c>
      <c r="L396" t="s">
        <v>5476</v>
      </c>
      <c r="M396" t="s">
        <v>5475</v>
      </c>
      <c r="N396">
        <v>6</v>
      </c>
      <c r="O396" t="s">
        <v>5474</v>
      </c>
      <c r="P396" t="s">
        <v>5473</v>
      </c>
      <c r="Q396" t="s">
        <v>5472</v>
      </c>
      <c r="R396" s="7">
        <v>32143</v>
      </c>
      <c r="S396" s="8">
        <f t="shared" si="56"/>
        <v>1988</v>
      </c>
      <c r="T396" s="8">
        <v>1988</v>
      </c>
      <c r="U396" s="8">
        <f t="shared" si="57"/>
        <v>34</v>
      </c>
      <c r="V396" s="7">
        <v>32417</v>
      </c>
      <c r="W396" t="s">
        <v>3207</v>
      </c>
      <c r="X396" s="2">
        <v>0.371</v>
      </c>
      <c r="Y396" s="6">
        <f t="shared" si="54"/>
        <v>9.9036331117695747E-3</v>
      </c>
      <c r="AA396">
        <v>214922</v>
      </c>
      <c r="AB396">
        <v>130262</v>
      </c>
      <c r="AC396">
        <v>13474065</v>
      </c>
      <c r="AD396" t="s">
        <v>4</v>
      </c>
      <c r="AE396">
        <v>27</v>
      </c>
      <c r="AF396" t="s">
        <v>5471</v>
      </c>
      <c r="AH396" t="s">
        <v>5470</v>
      </c>
      <c r="AI396" t="s">
        <v>5469</v>
      </c>
      <c r="AJ396" t="s">
        <v>5468</v>
      </c>
      <c r="AK396" t="s">
        <v>5467</v>
      </c>
      <c r="AL396">
        <v>1</v>
      </c>
      <c r="AM396" s="5">
        <f t="shared" si="58"/>
        <v>2.9411764705882353E-2</v>
      </c>
      <c r="AN396" s="4">
        <f t="shared" si="55"/>
        <v>4.4546406218678307E-5</v>
      </c>
      <c r="AO396" s="3"/>
      <c r="AP396">
        <v>0</v>
      </c>
      <c r="AR396" t="s">
        <v>0</v>
      </c>
      <c r="AT396" s="2">
        <v>1.48</v>
      </c>
      <c r="AU396" s="1">
        <f t="shared" si="59"/>
        <v>0.69459071001043049</v>
      </c>
      <c r="AV396" s="1">
        <f t="shared" si="60"/>
        <v>0.49740897589941263</v>
      </c>
      <c r="AW396" s="1">
        <f t="shared" si="61"/>
        <v>0.30022724178839472</v>
      </c>
    </row>
    <row r="397" spans="1:49" x14ac:dyDescent="0.2">
      <c r="A397">
        <v>395</v>
      </c>
      <c r="B397" t="s">
        <v>5466</v>
      </c>
      <c r="C397" t="s">
        <v>5465</v>
      </c>
      <c r="F397" t="s">
        <v>5464</v>
      </c>
      <c r="G397" t="s">
        <v>15</v>
      </c>
      <c r="H397" t="s">
        <v>14</v>
      </c>
      <c r="I397" t="s">
        <v>5463</v>
      </c>
      <c r="J397" t="s">
        <v>5462</v>
      </c>
      <c r="K397" t="s">
        <v>5461</v>
      </c>
      <c r="L397" t="s">
        <v>5460</v>
      </c>
      <c r="M397" t="s">
        <v>5459</v>
      </c>
      <c r="N397">
        <v>5</v>
      </c>
      <c r="O397" t="s">
        <v>5458</v>
      </c>
      <c r="P397" t="s">
        <v>5457</v>
      </c>
      <c r="Q397" t="s">
        <v>5456</v>
      </c>
      <c r="R397" s="7">
        <v>32143</v>
      </c>
      <c r="S397" s="8">
        <f t="shared" si="56"/>
        <v>1988</v>
      </c>
      <c r="T397" s="8">
        <v>1988</v>
      </c>
      <c r="U397" s="8">
        <f t="shared" si="57"/>
        <v>34</v>
      </c>
      <c r="V397" s="7">
        <v>32417</v>
      </c>
      <c r="W397" t="s">
        <v>2763</v>
      </c>
      <c r="X397" s="2">
        <v>1.774</v>
      </c>
      <c r="Y397" s="6">
        <f t="shared" si="54"/>
        <v>4.7355916820159633E-2</v>
      </c>
      <c r="AA397">
        <v>295515</v>
      </c>
      <c r="AB397">
        <v>29066</v>
      </c>
      <c r="AC397">
        <v>17414326</v>
      </c>
      <c r="AD397" t="s">
        <v>4</v>
      </c>
      <c r="AE397">
        <v>28</v>
      </c>
      <c r="AF397">
        <v>10</v>
      </c>
      <c r="AH397" t="s">
        <v>5455</v>
      </c>
      <c r="AI397" t="s">
        <v>5454</v>
      </c>
      <c r="AK397" t="s">
        <v>5453</v>
      </c>
      <c r="AL397">
        <v>30</v>
      </c>
      <c r="AM397" s="5">
        <f t="shared" si="58"/>
        <v>0.88235294117647056</v>
      </c>
      <c r="AN397" s="4">
        <f t="shared" si="55"/>
        <v>1.3363921865603492E-3</v>
      </c>
      <c r="AO397" s="3"/>
      <c r="AP397">
        <v>0</v>
      </c>
      <c r="AR397" t="s">
        <v>0</v>
      </c>
      <c r="AT397" s="2">
        <v>3.1789999999999998</v>
      </c>
      <c r="AU397" s="1">
        <f t="shared" si="59"/>
        <v>3.3550059430079848</v>
      </c>
      <c r="AV397" s="1">
        <f t="shared" si="60"/>
        <v>2.4346154503359991</v>
      </c>
      <c r="AW397" s="1">
        <f t="shared" si="61"/>
        <v>1.5142249576640132</v>
      </c>
    </row>
    <row r="398" spans="1:49" x14ac:dyDescent="0.2">
      <c r="A398">
        <v>396</v>
      </c>
      <c r="B398" t="s">
        <v>5452</v>
      </c>
      <c r="C398" t="s">
        <v>5451</v>
      </c>
      <c r="F398" t="s">
        <v>5450</v>
      </c>
      <c r="G398" t="s">
        <v>15</v>
      </c>
      <c r="H398" t="s">
        <v>14</v>
      </c>
      <c r="I398" t="s">
        <v>5449</v>
      </c>
      <c r="J398">
        <v>60008724</v>
      </c>
      <c r="K398" t="s">
        <v>5448</v>
      </c>
      <c r="L398" t="s">
        <v>5447</v>
      </c>
      <c r="M398" t="s">
        <v>31</v>
      </c>
      <c r="N398">
        <v>4</v>
      </c>
      <c r="O398" t="s">
        <v>5446</v>
      </c>
      <c r="P398" t="s">
        <v>5445</v>
      </c>
      <c r="Q398" t="s">
        <v>5444</v>
      </c>
      <c r="R398" s="7">
        <v>32143</v>
      </c>
      <c r="S398" s="8">
        <f t="shared" si="56"/>
        <v>1988</v>
      </c>
      <c r="T398" s="8">
        <v>1988</v>
      </c>
      <c r="U398" s="8">
        <f t="shared" si="57"/>
        <v>34</v>
      </c>
      <c r="V398" s="7">
        <v>32417</v>
      </c>
      <c r="W398" t="s">
        <v>1073</v>
      </c>
      <c r="X398" s="2">
        <v>1.3720000000000001</v>
      </c>
      <c r="Y398" s="6">
        <f t="shared" si="54"/>
        <v>3.662475641333654E-2</v>
      </c>
      <c r="AA398">
        <v>189480</v>
      </c>
      <c r="AB398">
        <v>17366</v>
      </c>
      <c r="AC398">
        <v>15579670</v>
      </c>
      <c r="AD398" t="s">
        <v>4</v>
      </c>
      <c r="AE398">
        <v>36</v>
      </c>
      <c r="AF398">
        <v>10</v>
      </c>
      <c r="AH398" t="s">
        <v>5443</v>
      </c>
      <c r="AI398" t="s">
        <v>5442</v>
      </c>
      <c r="AK398" t="s">
        <v>5441</v>
      </c>
      <c r="AL398">
        <v>27</v>
      </c>
      <c r="AM398" s="5">
        <f t="shared" si="58"/>
        <v>0.79411764705882348</v>
      </c>
      <c r="AN398" s="4">
        <f t="shared" si="55"/>
        <v>1.2027529679043143E-3</v>
      </c>
      <c r="AO398" s="3"/>
      <c r="AP398">
        <v>0</v>
      </c>
      <c r="AQ398" t="s">
        <v>1188</v>
      </c>
      <c r="AR398" t="s">
        <v>5440</v>
      </c>
      <c r="AS398" t="s">
        <v>1186</v>
      </c>
      <c r="AT398" s="2" t="s">
        <v>19</v>
      </c>
      <c r="AU398" s="1">
        <f t="shared" si="59"/>
        <v>2.5998155379706867</v>
      </c>
      <c r="AV398" s="1">
        <f t="shared" si="60"/>
        <v>1.8913754690620426</v>
      </c>
      <c r="AW398" s="1">
        <f t="shared" si="61"/>
        <v>1.182935400153398</v>
      </c>
    </row>
    <row r="399" spans="1:49" x14ac:dyDescent="0.2">
      <c r="A399">
        <v>397</v>
      </c>
      <c r="B399" t="s">
        <v>5439</v>
      </c>
      <c r="C399" t="s">
        <v>5438</v>
      </c>
      <c r="F399" t="s">
        <v>5437</v>
      </c>
      <c r="G399" t="s">
        <v>15</v>
      </c>
      <c r="H399" t="s">
        <v>14</v>
      </c>
      <c r="I399" t="s">
        <v>2081</v>
      </c>
      <c r="J399">
        <v>60019702</v>
      </c>
      <c r="K399" t="s">
        <v>2080</v>
      </c>
      <c r="L399" t="s">
        <v>2079</v>
      </c>
      <c r="M399" t="s">
        <v>1011</v>
      </c>
      <c r="N399">
        <v>1</v>
      </c>
      <c r="O399" t="s">
        <v>2078</v>
      </c>
      <c r="P399">
        <v>7006639115</v>
      </c>
      <c r="Q399">
        <v>60019702</v>
      </c>
      <c r="R399" s="7">
        <v>32143</v>
      </c>
      <c r="S399" s="8">
        <f t="shared" si="56"/>
        <v>1988</v>
      </c>
      <c r="T399" s="8">
        <v>1988</v>
      </c>
      <c r="U399" s="8">
        <f t="shared" si="57"/>
        <v>34</v>
      </c>
      <c r="V399" s="7" t="s">
        <v>5250</v>
      </c>
      <c r="W399" s="11" t="s">
        <v>1890</v>
      </c>
      <c r="X399" s="2">
        <v>2.383</v>
      </c>
      <c r="Y399" s="6">
        <f t="shared" si="54"/>
        <v>6.3612824003630442E-2</v>
      </c>
      <c r="AA399" t="s">
        <v>1889</v>
      </c>
      <c r="AB399">
        <v>101151</v>
      </c>
      <c r="AD399" t="s">
        <v>4</v>
      </c>
      <c r="AE399">
        <v>135</v>
      </c>
      <c r="AF399">
        <v>5</v>
      </c>
      <c r="AH399" t="s">
        <v>5436</v>
      </c>
      <c r="AI399" t="s">
        <v>5435</v>
      </c>
      <c r="AK399" t="s">
        <v>5434</v>
      </c>
      <c r="AL399">
        <v>2</v>
      </c>
      <c r="AM399" s="5">
        <f t="shared" si="58"/>
        <v>5.8823529411764705E-2</v>
      </c>
      <c r="AN399" s="4">
        <f t="shared" si="55"/>
        <v>8.9092812437356614E-5</v>
      </c>
      <c r="AO399" s="3"/>
      <c r="AP399">
        <v>0</v>
      </c>
      <c r="AR399" t="s">
        <v>0</v>
      </c>
      <c r="AT399" s="2" t="s">
        <v>19</v>
      </c>
      <c r="AU399" s="1">
        <f t="shared" si="59"/>
        <v>4.455570464627252</v>
      </c>
      <c r="AV399" s="1">
        <f t="shared" si="60"/>
        <v>3.1850958408033896</v>
      </c>
      <c r="AW399" s="1">
        <f t="shared" si="61"/>
        <v>1.914621216979528</v>
      </c>
    </row>
    <row r="400" spans="1:49" x14ac:dyDescent="0.2">
      <c r="A400">
        <v>398</v>
      </c>
      <c r="B400" t="s">
        <v>5433</v>
      </c>
      <c r="C400" t="s">
        <v>5432</v>
      </c>
      <c r="F400" t="s">
        <v>5431</v>
      </c>
      <c r="G400" t="s">
        <v>15</v>
      </c>
      <c r="H400" t="s">
        <v>14</v>
      </c>
      <c r="I400" t="s">
        <v>5430</v>
      </c>
      <c r="J400" t="s">
        <v>5429</v>
      </c>
      <c r="K400" t="s">
        <v>5428</v>
      </c>
      <c r="L400" t="s">
        <v>5427</v>
      </c>
      <c r="M400" t="s">
        <v>5426</v>
      </c>
      <c r="N400">
        <v>4</v>
      </c>
      <c r="O400" t="s">
        <v>5425</v>
      </c>
      <c r="P400" t="s">
        <v>5424</v>
      </c>
      <c r="Q400" t="s">
        <v>5423</v>
      </c>
      <c r="R400" s="7">
        <v>32143</v>
      </c>
      <c r="S400" s="8">
        <f t="shared" si="56"/>
        <v>1988</v>
      </c>
      <c r="T400" s="8">
        <v>1988</v>
      </c>
      <c r="U400" s="8">
        <f t="shared" si="57"/>
        <v>34</v>
      </c>
      <c r="V400" s="7">
        <v>32417</v>
      </c>
      <c r="W400" t="s">
        <v>1157</v>
      </c>
      <c r="X400" s="2">
        <v>0.39600000000000002</v>
      </c>
      <c r="Y400" s="6">
        <f t="shared" si="54"/>
        <v>1.0570993833586931E-2</v>
      </c>
      <c r="AA400">
        <v>8858985</v>
      </c>
      <c r="AB400">
        <v>25993</v>
      </c>
      <c r="AD400" t="s">
        <v>4</v>
      </c>
      <c r="AE400">
        <v>3</v>
      </c>
      <c r="AF400">
        <v>10</v>
      </c>
      <c r="AH400" s="10">
        <v>44136</v>
      </c>
      <c r="AI400" t="s">
        <v>5422</v>
      </c>
      <c r="AK400" t="s">
        <v>5421</v>
      </c>
      <c r="AL400">
        <v>20</v>
      </c>
      <c r="AM400" s="5">
        <f t="shared" si="58"/>
        <v>0.58823529411764708</v>
      </c>
      <c r="AN400" s="4">
        <f t="shared" si="55"/>
        <v>8.9092812437356617E-4</v>
      </c>
      <c r="AO400" s="3"/>
      <c r="AP400">
        <v>0</v>
      </c>
      <c r="AR400" t="s">
        <v>0</v>
      </c>
      <c r="AT400" s="2" t="s">
        <v>19</v>
      </c>
      <c r="AU400" s="1">
        <f t="shared" si="59"/>
        <v>0.76669741208229214</v>
      </c>
      <c r="AV400" s="1">
        <f t="shared" si="60"/>
        <v>0.57309609789802485</v>
      </c>
      <c r="AW400" s="1">
        <f t="shared" si="61"/>
        <v>0.37949478371375756</v>
      </c>
    </row>
    <row r="401" spans="1:49" x14ac:dyDescent="0.2">
      <c r="A401">
        <v>399</v>
      </c>
      <c r="B401" t="s">
        <v>5420</v>
      </c>
      <c r="C401" t="s">
        <v>5419</v>
      </c>
      <c r="F401" t="s">
        <v>5418</v>
      </c>
      <c r="G401" t="s">
        <v>15</v>
      </c>
      <c r="H401" t="s">
        <v>14</v>
      </c>
      <c r="I401" t="s">
        <v>5417</v>
      </c>
      <c r="J401">
        <v>60104081</v>
      </c>
      <c r="K401" t="s">
        <v>5416</v>
      </c>
      <c r="L401" t="s">
        <v>5415</v>
      </c>
      <c r="M401" t="s">
        <v>127</v>
      </c>
      <c r="N401">
        <v>1</v>
      </c>
      <c r="O401" t="s">
        <v>5414</v>
      </c>
      <c r="P401">
        <v>6508323248</v>
      </c>
      <c r="Q401">
        <v>60104081</v>
      </c>
      <c r="R401" s="7">
        <v>32143</v>
      </c>
      <c r="S401" s="8">
        <f t="shared" si="56"/>
        <v>1988</v>
      </c>
      <c r="T401" s="8">
        <v>1988</v>
      </c>
      <c r="U401" s="8">
        <f t="shared" si="57"/>
        <v>34</v>
      </c>
      <c r="V401" s="7">
        <v>1988</v>
      </c>
      <c r="W401" t="s">
        <v>56</v>
      </c>
      <c r="X401" s="2">
        <v>0.375</v>
      </c>
      <c r="Y401" s="6">
        <f t="shared" si="54"/>
        <v>1.0010410827260351E-2</v>
      </c>
      <c r="AA401">
        <v>135194</v>
      </c>
      <c r="AB401">
        <v>24918</v>
      </c>
      <c r="AD401" t="s">
        <v>4</v>
      </c>
      <c r="AE401">
        <v>24</v>
      </c>
      <c r="AF401">
        <v>21</v>
      </c>
      <c r="AH401" t="s">
        <v>5413</v>
      </c>
      <c r="AI401" t="s">
        <v>5412</v>
      </c>
      <c r="AJ401" t="s">
        <v>5411</v>
      </c>
      <c r="AK401" t="s">
        <v>5410</v>
      </c>
      <c r="AL401">
        <v>3</v>
      </c>
      <c r="AM401" s="5">
        <f t="shared" si="58"/>
        <v>8.8235294117647065E-2</v>
      </c>
      <c r="AN401" s="4">
        <f t="shared" si="55"/>
        <v>1.3363921865603494E-4</v>
      </c>
      <c r="AO401" s="3"/>
      <c r="AP401">
        <v>0</v>
      </c>
      <c r="AR401" t="s">
        <v>0</v>
      </c>
      <c r="AT401" s="2">
        <v>1.3140000000000001</v>
      </c>
      <c r="AU401" s="1">
        <f t="shared" si="59"/>
        <v>0.70473793446790567</v>
      </c>
      <c r="AV401" s="1">
        <f t="shared" si="60"/>
        <v>0.50720250229581931</v>
      </c>
      <c r="AW401" s="1">
        <f t="shared" si="61"/>
        <v>0.30966707012373296</v>
      </c>
    </row>
    <row r="402" spans="1:49" x14ac:dyDescent="0.2">
      <c r="A402">
        <v>400</v>
      </c>
      <c r="B402" t="s">
        <v>5409</v>
      </c>
      <c r="C402" t="s">
        <v>5408</v>
      </c>
      <c r="F402" t="s">
        <v>5407</v>
      </c>
      <c r="G402" t="s">
        <v>15</v>
      </c>
      <c r="H402" t="s">
        <v>14</v>
      </c>
      <c r="I402" t="s">
        <v>5406</v>
      </c>
      <c r="J402">
        <v>113191532</v>
      </c>
      <c r="K402" t="s">
        <v>5405</v>
      </c>
      <c r="L402" t="s">
        <v>212</v>
      </c>
      <c r="M402" t="s">
        <v>211</v>
      </c>
      <c r="N402">
        <v>2</v>
      </c>
      <c r="O402" t="s">
        <v>5404</v>
      </c>
      <c r="P402" t="s">
        <v>5403</v>
      </c>
      <c r="Q402" t="s">
        <v>5402</v>
      </c>
      <c r="R402" s="7">
        <v>32143</v>
      </c>
      <c r="S402" s="8">
        <f t="shared" si="56"/>
        <v>1988</v>
      </c>
      <c r="T402" s="8">
        <v>1988</v>
      </c>
      <c r="U402" s="8">
        <f t="shared" si="57"/>
        <v>34</v>
      </c>
      <c r="V402" s="7">
        <v>32417</v>
      </c>
      <c r="W402" t="s">
        <v>3879</v>
      </c>
      <c r="X402" s="2">
        <v>1.468</v>
      </c>
      <c r="Y402" s="6">
        <f t="shared" si="54"/>
        <v>3.9187421585115186E-2</v>
      </c>
      <c r="AA402">
        <v>906778</v>
      </c>
      <c r="AB402">
        <v>18931</v>
      </c>
      <c r="AD402" t="s">
        <v>4</v>
      </c>
      <c r="AE402">
        <v>36</v>
      </c>
      <c r="AF402">
        <v>10</v>
      </c>
      <c r="AH402" t="s">
        <v>5401</v>
      </c>
      <c r="AI402" t="s">
        <v>5400</v>
      </c>
      <c r="AK402" t="s">
        <v>5399</v>
      </c>
      <c r="AL402">
        <v>14</v>
      </c>
      <c r="AM402" s="5">
        <f t="shared" si="58"/>
        <v>0.41176470588235292</v>
      </c>
      <c r="AN402" s="4">
        <f t="shared" si="55"/>
        <v>6.2364968706149634E-4</v>
      </c>
      <c r="AO402" s="3"/>
      <c r="AP402">
        <v>0</v>
      </c>
      <c r="AR402" t="s">
        <v>0</v>
      </c>
      <c r="AT402" s="2">
        <v>5.0830000000000002</v>
      </c>
      <c r="AU402" s="1">
        <f t="shared" si="59"/>
        <v>2.7618290015699078</v>
      </c>
      <c r="AV402" s="1">
        <f t="shared" si="60"/>
        <v>1.9905535636088341</v>
      </c>
      <c r="AW402" s="1">
        <f t="shared" si="61"/>
        <v>1.2192781256477603</v>
      </c>
    </row>
    <row r="403" spans="1:49" x14ac:dyDescent="0.2">
      <c r="A403">
        <v>401</v>
      </c>
      <c r="B403" t="s">
        <v>5398</v>
      </c>
      <c r="C403" t="s">
        <v>5397</v>
      </c>
      <c r="F403" t="s">
        <v>5396</v>
      </c>
      <c r="G403" t="s">
        <v>15</v>
      </c>
      <c r="H403" t="s">
        <v>14</v>
      </c>
      <c r="I403" t="s">
        <v>4696</v>
      </c>
      <c r="J403">
        <v>60002874</v>
      </c>
      <c r="K403" t="s">
        <v>4695</v>
      </c>
      <c r="L403" t="s">
        <v>4694</v>
      </c>
      <c r="M403" t="s">
        <v>300</v>
      </c>
      <c r="N403">
        <v>3</v>
      </c>
      <c r="O403" t="s">
        <v>5395</v>
      </c>
      <c r="P403" t="s">
        <v>5394</v>
      </c>
      <c r="Q403" t="s">
        <v>5393</v>
      </c>
      <c r="R403" s="7">
        <v>32143</v>
      </c>
      <c r="S403" s="8">
        <f t="shared" si="56"/>
        <v>1988</v>
      </c>
      <c r="T403" s="8">
        <v>1988</v>
      </c>
      <c r="U403" s="8">
        <f t="shared" si="57"/>
        <v>34</v>
      </c>
      <c r="V403" s="7" t="s">
        <v>5250</v>
      </c>
      <c r="W403" t="s">
        <v>5392</v>
      </c>
      <c r="X403" s="2">
        <v>0.34899999999999998</v>
      </c>
      <c r="Y403" s="6">
        <f t="shared" si="54"/>
        <v>9.3163556765702999E-3</v>
      </c>
      <c r="AA403">
        <v>2564602</v>
      </c>
      <c r="AB403">
        <v>18958</v>
      </c>
      <c r="AD403" t="s">
        <v>4</v>
      </c>
      <c r="AE403">
        <v>5</v>
      </c>
      <c r="AF403">
        <v>10</v>
      </c>
      <c r="AH403" t="s">
        <v>5391</v>
      </c>
      <c r="AI403" t="s">
        <v>5390</v>
      </c>
      <c r="AK403" t="s">
        <v>5389</v>
      </c>
      <c r="AL403">
        <v>1</v>
      </c>
      <c r="AM403" s="5">
        <f t="shared" si="58"/>
        <v>2.9411764705882353E-2</v>
      </c>
      <c r="AN403" s="4">
        <f t="shared" si="55"/>
        <v>4.4546406218678307E-5</v>
      </c>
      <c r="AO403" s="3"/>
      <c r="AP403">
        <v>0</v>
      </c>
      <c r="AR403" t="s">
        <v>0</v>
      </c>
      <c r="AT403" s="2" t="s">
        <v>19</v>
      </c>
      <c r="AU403" s="1">
        <f t="shared" si="59"/>
        <v>0.65348128954648133</v>
      </c>
      <c r="AV403" s="1">
        <f t="shared" si="60"/>
        <v>0.46804510413944889</v>
      </c>
      <c r="AW403" s="1">
        <f t="shared" si="61"/>
        <v>0.2826089187324165</v>
      </c>
    </row>
    <row r="404" spans="1:49" x14ac:dyDescent="0.2">
      <c r="A404">
        <v>402</v>
      </c>
      <c r="B404" t="s">
        <v>5388</v>
      </c>
      <c r="C404" t="s">
        <v>5387</v>
      </c>
      <c r="F404" t="s">
        <v>5386</v>
      </c>
      <c r="G404" t="s">
        <v>15</v>
      </c>
      <c r="H404" t="s">
        <v>14</v>
      </c>
      <c r="I404" t="s">
        <v>5385</v>
      </c>
      <c r="J404">
        <v>60011897</v>
      </c>
      <c r="K404" t="s">
        <v>5384</v>
      </c>
      <c r="L404" t="s">
        <v>5383</v>
      </c>
      <c r="M404" t="s">
        <v>1011</v>
      </c>
      <c r="N404">
        <v>1</v>
      </c>
      <c r="O404" t="s">
        <v>5382</v>
      </c>
      <c r="P404">
        <v>6701606046</v>
      </c>
      <c r="Q404">
        <v>60011897</v>
      </c>
      <c r="R404" s="7">
        <v>32143</v>
      </c>
      <c r="S404" s="8">
        <f t="shared" si="56"/>
        <v>1988</v>
      </c>
      <c r="T404" s="8">
        <v>1988</v>
      </c>
      <c r="U404" s="8">
        <f t="shared" si="57"/>
        <v>34</v>
      </c>
      <c r="V404" s="7" t="s">
        <v>5250</v>
      </c>
      <c r="W404" s="11" t="s">
        <v>1890</v>
      </c>
      <c r="X404" s="2">
        <v>2.383</v>
      </c>
      <c r="Y404" s="6">
        <f t="shared" si="54"/>
        <v>6.3612824003630442E-2</v>
      </c>
      <c r="AA404" t="s">
        <v>1889</v>
      </c>
      <c r="AB404">
        <v>101151</v>
      </c>
      <c r="AD404" t="s">
        <v>4</v>
      </c>
      <c r="AE404">
        <v>135</v>
      </c>
      <c r="AF404">
        <v>5</v>
      </c>
      <c r="AH404" t="s">
        <v>5381</v>
      </c>
      <c r="AI404" t="s">
        <v>5380</v>
      </c>
      <c r="AK404" t="s">
        <v>5379</v>
      </c>
      <c r="AL404">
        <v>10</v>
      </c>
      <c r="AM404" s="5">
        <f t="shared" si="58"/>
        <v>0.29411764705882354</v>
      </c>
      <c r="AN404" s="4">
        <f t="shared" si="55"/>
        <v>4.4546406218678308E-4</v>
      </c>
      <c r="AO404" s="3"/>
      <c r="AP404">
        <v>0</v>
      </c>
      <c r="AR404" t="s">
        <v>0</v>
      </c>
      <c r="AT404" s="2" t="s">
        <v>19</v>
      </c>
      <c r="AU404" s="1">
        <f t="shared" si="59"/>
        <v>4.4662616021197348</v>
      </c>
      <c r="AV404" s="1">
        <f t="shared" si="60"/>
        <v>3.2029144032908614</v>
      </c>
      <c r="AW404" s="1">
        <f t="shared" si="61"/>
        <v>1.939567204461988</v>
      </c>
    </row>
    <row r="405" spans="1:49" x14ac:dyDescent="0.2">
      <c r="A405">
        <v>403</v>
      </c>
      <c r="B405" t="s">
        <v>5378</v>
      </c>
      <c r="C405" t="s">
        <v>5377</v>
      </c>
      <c r="F405" t="s">
        <v>5376</v>
      </c>
      <c r="G405" t="s">
        <v>15</v>
      </c>
      <c r="H405" t="s">
        <v>14</v>
      </c>
      <c r="I405" t="s">
        <v>5375</v>
      </c>
      <c r="J405">
        <v>60011048</v>
      </c>
      <c r="K405" t="s">
        <v>5374</v>
      </c>
      <c r="L405" t="s">
        <v>5373</v>
      </c>
      <c r="M405" t="s">
        <v>31</v>
      </c>
      <c r="N405">
        <v>4</v>
      </c>
      <c r="O405" t="s">
        <v>5372</v>
      </c>
      <c r="P405" t="s">
        <v>5371</v>
      </c>
      <c r="Q405" t="s">
        <v>5370</v>
      </c>
      <c r="R405" s="7">
        <v>32143</v>
      </c>
      <c r="S405" s="8">
        <f t="shared" si="56"/>
        <v>1988</v>
      </c>
      <c r="T405" s="8">
        <v>1988</v>
      </c>
      <c r="U405" s="8">
        <f t="shared" si="57"/>
        <v>34</v>
      </c>
      <c r="V405" s="7">
        <v>1988</v>
      </c>
      <c r="W405" t="s">
        <v>56</v>
      </c>
      <c r="X405" s="2">
        <v>0.375</v>
      </c>
      <c r="Y405" s="6">
        <f t="shared" si="54"/>
        <v>1.0010410827260351E-2</v>
      </c>
      <c r="AA405">
        <v>135194</v>
      </c>
      <c r="AB405">
        <v>24918</v>
      </c>
      <c r="AD405" t="s">
        <v>4</v>
      </c>
      <c r="AE405">
        <v>24</v>
      </c>
      <c r="AF405">
        <v>21</v>
      </c>
      <c r="AH405" t="s">
        <v>5369</v>
      </c>
      <c r="AI405" t="s">
        <v>5368</v>
      </c>
      <c r="AJ405" t="s">
        <v>5367</v>
      </c>
      <c r="AK405" t="s">
        <v>5366</v>
      </c>
      <c r="AL405">
        <v>21</v>
      </c>
      <c r="AM405" s="5">
        <f t="shared" si="58"/>
        <v>0.61764705882352944</v>
      </c>
      <c r="AN405" s="4">
        <f t="shared" si="55"/>
        <v>9.3547453059224456E-4</v>
      </c>
      <c r="AO405" s="3"/>
      <c r="AP405">
        <v>0</v>
      </c>
      <c r="AR405" t="s">
        <v>0</v>
      </c>
      <c r="AT405" s="2">
        <v>1.3140000000000001</v>
      </c>
      <c r="AU405" s="1">
        <f t="shared" si="59"/>
        <v>0.72879299382599183</v>
      </c>
      <c r="AV405" s="1">
        <f t="shared" si="60"/>
        <v>0.5472942678926298</v>
      </c>
      <c r="AW405" s="1">
        <f t="shared" si="61"/>
        <v>0.36579554195926761</v>
      </c>
    </row>
    <row r="406" spans="1:49" x14ac:dyDescent="0.2">
      <c r="A406">
        <v>404</v>
      </c>
      <c r="B406" t="s">
        <v>5365</v>
      </c>
      <c r="C406" t="s">
        <v>5364</v>
      </c>
      <c r="F406" t="s">
        <v>5363</v>
      </c>
      <c r="G406" t="s">
        <v>15</v>
      </c>
      <c r="H406" t="s">
        <v>14</v>
      </c>
      <c r="I406" t="s">
        <v>5362</v>
      </c>
      <c r="J406">
        <v>60019656</v>
      </c>
      <c r="K406" t="s">
        <v>4243</v>
      </c>
      <c r="L406" t="s">
        <v>1590</v>
      </c>
      <c r="M406" t="s">
        <v>1011</v>
      </c>
      <c r="N406">
        <v>2</v>
      </c>
      <c r="O406" t="s">
        <v>5361</v>
      </c>
      <c r="P406" t="s">
        <v>5360</v>
      </c>
      <c r="Q406" t="s">
        <v>4240</v>
      </c>
      <c r="R406" s="7">
        <v>32143</v>
      </c>
      <c r="S406" s="8">
        <f t="shared" si="56"/>
        <v>1988</v>
      </c>
      <c r="T406" s="8">
        <v>1988</v>
      </c>
      <c r="U406" s="8">
        <f t="shared" si="57"/>
        <v>34</v>
      </c>
      <c r="V406" s="7" t="s">
        <v>5250</v>
      </c>
      <c r="W406" s="11" t="s">
        <v>1890</v>
      </c>
      <c r="X406" s="2">
        <v>2.383</v>
      </c>
      <c r="Y406" s="6">
        <f t="shared" si="54"/>
        <v>6.3612824003630442E-2</v>
      </c>
      <c r="AA406" t="s">
        <v>1889</v>
      </c>
      <c r="AB406">
        <v>101151</v>
      </c>
      <c r="AD406" t="s">
        <v>4</v>
      </c>
      <c r="AE406">
        <v>135</v>
      </c>
      <c r="AF406">
        <v>5</v>
      </c>
      <c r="AH406" t="s">
        <v>5359</v>
      </c>
      <c r="AI406" t="s">
        <v>5358</v>
      </c>
      <c r="AK406" t="s">
        <v>5357</v>
      </c>
      <c r="AL406">
        <v>5</v>
      </c>
      <c r="AM406" s="5">
        <f t="shared" si="58"/>
        <v>0.14705882352941177</v>
      </c>
      <c r="AN406" s="4">
        <f t="shared" si="55"/>
        <v>2.2273203109339154E-4</v>
      </c>
      <c r="AO406" s="3"/>
      <c r="AP406">
        <v>0</v>
      </c>
      <c r="AR406" t="s">
        <v>0</v>
      </c>
      <c r="AT406" s="2" t="s">
        <v>19</v>
      </c>
      <c r="AU406" s="1">
        <f t="shared" si="59"/>
        <v>4.4595796411869326</v>
      </c>
      <c r="AV406" s="1">
        <f t="shared" si="60"/>
        <v>3.1917778017361917</v>
      </c>
      <c r="AW406" s="1">
        <f t="shared" si="61"/>
        <v>1.9239759622854506</v>
      </c>
    </row>
    <row r="407" spans="1:49" x14ac:dyDescent="0.2">
      <c r="A407">
        <v>405</v>
      </c>
      <c r="B407" t="s">
        <v>5356</v>
      </c>
      <c r="C407" t="s">
        <v>5355</v>
      </c>
      <c r="F407" t="s">
        <v>5354</v>
      </c>
      <c r="G407" t="s">
        <v>15</v>
      </c>
      <c r="H407" t="s">
        <v>14</v>
      </c>
      <c r="I407" t="s">
        <v>5353</v>
      </c>
      <c r="J407" t="s">
        <v>5352</v>
      </c>
      <c r="K407" t="s">
        <v>5351</v>
      </c>
      <c r="L407" t="s">
        <v>5350</v>
      </c>
      <c r="M407" t="s">
        <v>5349</v>
      </c>
      <c r="N407">
        <v>3</v>
      </c>
      <c r="O407" t="s">
        <v>5348</v>
      </c>
      <c r="P407" t="s">
        <v>5347</v>
      </c>
      <c r="Q407" t="s">
        <v>5346</v>
      </c>
      <c r="R407" s="7">
        <v>32143</v>
      </c>
      <c r="S407" s="8">
        <f t="shared" si="56"/>
        <v>1988</v>
      </c>
      <c r="T407" s="8">
        <v>1988</v>
      </c>
      <c r="U407" s="8">
        <f t="shared" si="57"/>
        <v>34</v>
      </c>
      <c r="V407" s="7">
        <v>32417</v>
      </c>
      <c r="W407" t="s">
        <v>1157</v>
      </c>
      <c r="X407" s="2">
        <v>0.39600000000000002</v>
      </c>
      <c r="Y407" s="6">
        <f t="shared" si="54"/>
        <v>1.0570993833586931E-2</v>
      </c>
      <c r="AA407">
        <v>8858985</v>
      </c>
      <c r="AB407">
        <v>25993</v>
      </c>
      <c r="AD407" t="s">
        <v>4</v>
      </c>
      <c r="AE407">
        <v>3</v>
      </c>
      <c r="AF407">
        <v>10</v>
      </c>
      <c r="AH407" t="s">
        <v>5345</v>
      </c>
      <c r="AI407" t="s">
        <v>5344</v>
      </c>
      <c r="AK407" t="s">
        <v>5343</v>
      </c>
      <c r="AL407">
        <v>5</v>
      </c>
      <c r="AM407" s="5">
        <f t="shared" si="58"/>
        <v>0.14705882352941177</v>
      </c>
      <c r="AN407" s="4">
        <f t="shared" si="55"/>
        <v>2.2273203109339154E-4</v>
      </c>
      <c r="AO407" s="3"/>
      <c r="AP407">
        <v>0</v>
      </c>
      <c r="AR407" t="s">
        <v>0</v>
      </c>
      <c r="AT407" s="2" t="s">
        <v>19</v>
      </c>
      <c r="AU407" s="1">
        <f t="shared" si="59"/>
        <v>0.74665152928388689</v>
      </c>
      <c r="AV407" s="1">
        <f t="shared" si="60"/>
        <v>0.53968629323401618</v>
      </c>
      <c r="AW407" s="1">
        <f t="shared" si="61"/>
        <v>0.33272105718414535</v>
      </c>
    </row>
    <row r="408" spans="1:49" x14ac:dyDescent="0.2">
      <c r="A408">
        <v>406</v>
      </c>
      <c r="B408" t="s">
        <v>5342</v>
      </c>
      <c r="C408" t="s">
        <v>5341</v>
      </c>
      <c r="F408" t="s">
        <v>5340</v>
      </c>
      <c r="G408" t="s">
        <v>15</v>
      </c>
      <c r="H408" t="s">
        <v>14</v>
      </c>
      <c r="I408" t="s">
        <v>1267</v>
      </c>
      <c r="J408" t="s">
        <v>5339</v>
      </c>
      <c r="K408" t="s">
        <v>5338</v>
      </c>
      <c r="L408" t="s">
        <v>5337</v>
      </c>
      <c r="M408" t="s">
        <v>352</v>
      </c>
      <c r="N408">
        <v>2</v>
      </c>
      <c r="O408" t="s">
        <v>5336</v>
      </c>
      <c r="P408" t="s">
        <v>5335</v>
      </c>
      <c r="Q408" t="s">
        <v>5334</v>
      </c>
      <c r="R408" s="7">
        <v>32143</v>
      </c>
      <c r="S408" s="8">
        <f t="shared" si="56"/>
        <v>1988</v>
      </c>
      <c r="T408" s="8">
        <v>1988</v>
      </c>
      <c r="U408" s="8">
        <f t="shared" si="57"/>
        <v>34</v>
      </c>
      <c r="V408" s="7">
        <v>32417</v>
      </c>
      <c r="W408" t="s">
        <v>2773</v>
      </c>
      <c r="X408" s="2">
        <v>0.46</v>
      </c>
      <c r="Y408" s="6">
        <f t="shared" si="54"/>
        <v>1.2279437281439364E-2</v>
      </c>
      <c r="AA408">
        <v>933813</v>
      </c>
      <c r="AB408">
        <v>28031</v>
      </c>
      <c r="AC408">
        <v>19399375</v>
      </c>
      <c r="AD408" t="s">
        <v>4</v>
      </c>
      <c r="AE408">
        <v>16</v>
      </c>
      <c r="AF408">
        <v>5</v>
      </c>
      <c r="AH408" t="s">
        <v>5333</v>
      </c>
      <c r="AI408" t="s">
        <v>5332</v>
      </c>
      <c r="AK408" t="s">
        <v>5331</v>
      </c>
      <c r="AL408">
        <v>4</v>
      </c>
      <c r="AM408" s="5">
        <f t="shared" si="58"/>
        <v>0.11764705882352941</v>
      </c>
      <c r="AN408" s="4">
        <f t="shared" si="55"/>
        <v>1.7818562487471323E-4</v>
      </c>
      <c r="AO408" s="3"/>
      <c r="AP408">
        <v>0</v>
      </c>
      <c r="AR408" t="s">
        <v>0</v>
      </c>
      <c r="AT408" s="2">
        <v>1.222</v>
      </c>
      <c r="AU408" s="1">
        <f t="shared" si="59"/>
        <v>0.8649061784469968</v>
      </c>
      <c r="AV408" s="1">
        <f t="shared" si="60"/>
        <v>0.62288114531570382</v>
      </c>
      <c r="AW408" s="1">
        <f t="shared" si="61"/>
        <v>0.38085611218441084</v>
      </c>
    </row>
    <row r="409" spans="1:49" x14ac:dyDescent="0.2">
      <c r="A409">
        <v>407</v>
      </c>
      <c r="B409" t="s">
        <v>5330</v>
      </c>
      <c r="C409" t="s">
        <v>5329</v>
      </c>
      <c r="F409" t="s">
        <v>5328</v>
      </c>
      <c r="G409" t="s">
        <v>15</v>
      </c>
      <c r="H409" t="s">
        <v>14</v>
      </c>
      <c r="I409" t="s">
        <v>5327</v>
      </c>
      <c r="J409">
        <v>60031031</v>
      </c>
      <c r="K409" t="s">
        <v>5326</v>
      </c>
      <c r="L409" t="s">
        <v>5325</v>
      </c>
      <c r="M409" t="s">
        <v>456</v>
      </c>
      <c r="N409">
        <v>2</v>
      </c>
      <c r="O409" t="s">
        <v>5324</v>
      </c>
      <c r="P409" t="s">
        <v>5323</v>
      </c>
      <c r="Q409" t="s">
        <v>5322</v>
      </c>
      <c r="R409" s="7">
        <v>32143</v>
      </c>
      <c r="S409" s="8">
        <f t="shared" si="56"/>
        <v>1988</v>
      </c>
      <c r="T409" s="8">
        <v>1988</v>
      </c>
      <c r="U409" s="8">
        <f t="shared" si="57"/>
        <v>34</v>
      </c>
      <c r="V409" s="7" t="s">
        <v>5250</v>
      </c>
      <c r="W409" s="11" t="s">
        <v>1890</v>
      </c>
      <c r="X409" s="2">
        <v>2.383</v>
      </c>
      <c r="Y409" s="6">
        <f t="shared" si="54"/>
        <v>6.3612824003630442E-2</v>
      </c>
      <c r="AA409" t="s">
        <v>1889</v>
      </c>
      <c r="AB409">
        <v>101151</v>
      </c>
      <c r="AD409" t="s">
        <v>4</v>
      </c>
      <c r="AE409">
        <v>135</v>
      </c>
      <c r="AF409">
        <v>5</v>
      </c>
      <c r="AH409" t="s">
        <v>5321</v>
      </c>
      <c r="AI409" t="s">
        <v>5320</v>
      </c>
      <c r="AK409" t="s">
        <v>5319</v>
      </c>
      <c r="AL409">
        <v>15</v>
      </c>
      <c r="AM409" s="5">
        <f t="shared" si="58"/>
        <v>0.44117647058823528</v>
      </c>
      <c r="AN409" s="4">
        <f t="shared" si="55"/>
        <v>6.6819609328017462E-4</v>
      </c>
      <c r="AO409" s="3"/>
      <c r="AP409">
        <v>0</v>
      </c>
      <c r="AR409" t="s">
        <v>0</v>
      </c>
      <c r="AT409" s="2" t="s">
        <v>19</v>
      </c>
      <c r="AU409" s="1">
        <f t="shared" si="59"/>
        <v>4.472943563052536</v>
      </c>
      <c r="AV409" s="1">
        <f t="shared" si="60"/>
        <v>3.2140510048455306</v>
      </c>
      <c r="AW409" s="1">
        <f t="shared" si="61"/>
        <v>1.9551584466385254</v>
      </c>
    </row>
    <row r="410" spans="1:49" x14ac:dyDescent="0.2">
      <c r="A410">
        <v>408</v>
      </c>
      <c r="B410" t="s">
        <v>5318</v>
      </c>
      <c r="C410" t="s">
        <v>5317</v>
      </c>
      <c r="F410" t="s">
        <v>5316</v>
      </c>
      <c r="G410" t="s">
        <v>15</v>
      </c>
      <c r="H410" t="s">
        <v>14</v>
      </c>
      <c r="I410" t="s">
        <v>5315</v>
      </c>
      <c r="J410">
        <v>60080101</v>
      </c>
      <c r="K410" t="s">
        <v>5314</v>
      </c>
      <c r="L410" t="s">
        <v>5313</v>
      </c>
      <c r="M410" t="s">
        <v>456</v>
      </c>
      <c r="N410">
        <v>3</v>
      </c>
      <c r="O410" t="s">
        <v>5312</v>
      </c>
      <c r="P410" t="s">
        <v>5311</v>
      </c>
      <c r="Q410" t="s">
        <v>5310</v>
      </c>
      <c r="R410" s="7">
        <v>32143</v>
      </c>
      <c r="S410" s="8">
        <f t="shared" si="56"/>
        <v>1988</v>
      </c>
      <c r="T410" s="8">
        <v>1988</v>
      </c>
      <c r="U410" s="8">
        <f t="shared" si="57"/>
        <v>34</v>
      </c>
      <c r="V410" s="7" t="s">
        <v>5250</v>
      </c>
      <c r="W410" s="11" t="s">
        <v>1890</v>
      </c>
      <c r="X410" s="2">
        <v>2.383</v>
      </c>
      <c r="Y410" s="6">
        <f t="shared" si="54"/>
        <v>6.3612824003630442E-2</v>
      </c>
      <c r="AA410" t="s">
        <v>1889</v>
      </c>
      <c r="AB410">
        <v>101151</v>
      </c>
      <c r="AD410" t="s">
        <v>4</v>
      </c>
      <c r="AE410">
        <v>135</v>
      </c>
      <c r="AF410">
        <v>5</v>
      </c>
      <c r="AH410" t="s">
        <v>5309</v>
      </c>
      <c r="AI410" t="s">
        <v>5308</v>
      </c>
      <c r="AK410" t="s">
        <v>5307</v>
      </c>
      <c r="AL410">
        <v>273</v>
      </c>
      <c r="AM410" s="5">
        <f t="shared" si="58"/>
        <v>8.0294117647058822</v>
      </c>
      <c r="AN410" s="4">
        <f t="shared" si="55"/>
        <v>1.2161168897699177E-2</v>
      </c>
      <c r="AO410" s="3"/>
      <c r="AP410">
        <v>0</v>
      </c>
      <c r="AR410" t="s">
        <v>0</v>
      </c>
      <c r="AT410" s="2" t="s">
        <v>19</v>
      </c>
      <c r="AU410" s="1">
        <f t="shared" si="59"/>
        <v>4.8177327471851061</v>
      </c>
      <c r="AV410" s="1">
        <f t="shared" si="60"/>
        <v>3.7886996450664809</v>
      </c>
      <c r="AW410" s="1">
        <f t="shared" si="61"/>
        <v>2.7596665429478557</v>
      </c>
    </row>
    <row r="411" spans="1:49" x14ac:dyDescent="0.2">
      <c r="A411">
        <v>409</v>
      </c>
      <c r="B411" t="s">
        <v>5306</v>
      </c>
      <c r="C411" t="s">
        <v>5305</v>
      </c>
      <c r="F411" t="s">
        <v>5304</v>
      </c>
      <c r="G411" t="s">
        <v>15</v>
      </c>
      <c r="H411" t="s">
        <v>14</v>
      </c>
      <c r="I411" t="s">
        <v>5303</v>
      </c>
      <c r="J411">
        <v>60021902</v>
      </c>
      <c r="K411" t="s">
        <v>4422</v>
      </c>
      <c r="L411" t="s">
        <v>4421</v>
      </c>
      <c r="M411" t="s">
        <v>4420</v>
      </c>
      <c r="N411">
        <v>1</v>
      </c>
      <c r="O411" t="s">
        <v>5302</v>
      </c>
      <c r="P411">
        <v>57203176700</v>
      </c>
      <c r="Q411">
        <v>60021902</v>
      </c>
      <c r="R411" s="7">
        <v>32143</v>
      </c>
      <c r="S411" s="8">
        <f t="shared" si="56"/>
        <v>1988</v>
      </c>
      <c r="T411" s="8">
        <v>1988</v>
      </c>
      <c r="U411" s="8">
        <f t="shared" si="57"/>
        <v>34</v>
      </c>
      <c r="V411" s="7" t="s">
        <v>5250</v>
      </c>
      <c r="W411" s="11" t="s">
        <v>1890</v>
      </c>
      <c r="X411" s="2">
        <v>2.383</v>
      </c>
      <c r="Y411" s="6">
        <f t="shared" si="54"/>
        <v>6.3612824003630442E-2</v>
      </c>
      <c r="AA411" t="s">
        <v>1889</v>
      </c>
      <c r="AB411">
        <v>101151</v>
      </c>
      <c r="AD411" t="s">
        <v>4</v>
      </c>
      <c r="AE411">
        <v>135</v>
      </c>
      <c r="AF411">
        <v>5</v>
      </c>
      <c r="AH411" t="s">
        <v>5301</v>
      </c>
      <c r="AI411" t="s">
        <v>5300</v>
      </c>
      <c r="AK411" t="s">
        <v>5299</v>
      </c>
      <c r="AL411">
        <v>55</v>
      </c>
      <c r="AM411" s="5">
        <f t="shared" si="58"/>
        <v>1.6176470588235294</v>
      </c>
      <c r="AN411" s="4">
        <f t="shared" si="55"/>
        <v>2.450052342027307E-3</v>
      </c>
      <c r="AO411" s="3"/>
      <c r="AP411">
        <v>0</v>
      </c>
      <c r="AR411" t="s">
        <v>0</v>
      </c>
      <c r="AT411" s="2" t="s">
        <v>19</v>
      </c>
      <c r="AU411" s="1">
        <f t="shared" si="59"/>
        <v>4.5263992505149497</v>
      </c>
      <c r="AV411" s="1">
        <f t="shared" si="60"/>
        <v>3.3031438172828871</v>
      </c>
      <c r="AW411" s="1">
        <f t="shared" si="61"/>
        <v>2.0798883840508249</v>
      </c>
    </row>
    <row r="412" spans="1:49" x14ac:dyDescent="0.2">
      <c r="A412">
        <v>410</v>
      </c>
      <c r="B412" t="s">
        <v>5298</v>
      </c>
      <c r="C412" t="s">
        <v>5297</v>
      </c>
      <c r="F412" t="s">
        <v>5296</v>
      </c>
      <c r="G412" t="s">
        <v>15</v>
      </c>
      <c r="H412" t="s">
        <v>14</v>
      </c>
      <c r="I412" t="s">
        <v>5295</v>
      </c>
      <c r="J412">
        <v>60005304</v>
      </c>
      <c r="K412" t="s">
        <v>72</v>
      </c>
      <c r="L412" t="s">
        <v>71</v>
      </c>
      <c r="M412" t="s">
        <v>31</v>
      </c>
      <c r="N412">
        <v>1</v>
      </c>
      <c r="O412" t="s">
        <v>5294</v>
      </c>
      <c r="P412">
        <v>57197139074</v>
      </c>
      <c r="Q412">
        <v>60005304</v>
      </c>
      <c r="R412" s="7">
        <v>32143</v>
      </c>
      <c r="S412" s="8">
        <f t="shared" si="56"/>
        <v>1988</v>
      </c>
      <c r="T412" s="8">
        <v>1988</v>
      </c>
      <c r="U412" s="8">
        <f t="shared" si="57"/>
        <v>34</v>
      </c>
      <c r="V412" s="7">
        <v>32417</v>
      </c>
      <c r="W412" t="s">
        <v>1157</v>
      </c>
      <c r="X412" s="2">
        <v>0.39600000000000002</v>
      </c>
      <c r="Y412" s="6">
        <f t="shared" si="54"/>
        <v>1.0570993833586931E-2</v>
      </c>
      <c r="AA412">
        <v>8858985</v>
      </c>
      <c r="AB412">
        <v>25993</v>
      </c>
      <c r="AD412" t="s">
        <v>4</v>
      </c>
      <c r="AE412">
        <v>3</v>
      </c>
      <c r="AF412">
        <v>10</v>
      </c>
      <c r="AH412" t="s">
        <v>5293</v>
      </c>
      <c r="AI412" t="s">
        <v>5292</v>
      </c>
      <c r="AK412" t="s">
        <v>5291</v>
      </c>
      <c r="AL412">
        <v>27</v>
      </c>
      <c r="AM412" s="5">
        <f t="shared" si="58"/>
        <v>0.79411764705882348</v>
      </c>
      <c r="AN412" s="4">
        <f t="shared" si="55"/>
        <v>1.2027529679043143E-3</v>
      </c>
      <c r="AO412" s="3"/>
      <c r="AP412">
        <v>0</v>
      </c>
      <c r="AR412" t="s">
        <v>0</v>
      </c>
      <c r="AT412" s="2" t="s">
        <v>19</v>
      </c>
      <c r="AU412" s="1">
        <f t="shared" si="59"/>
        <v>0.77605215738821465</v>
      </c>
      <c r="AV412" s="1">
        <f t="shared" si="60"/>
        <v>0.58868734007456225</v>
      </c>
      <c r="AW412" s="1">
        <f t="shared" si="61"/>
        <v>0.40132252276090985</v>
      </c>
    </row>
    <row r="413" spans="1:49" x14ac:dyDescent="0.2">
      <c r="A413">
        <v>411</v>
      </c>
      <c r="B413" t="s">
        <v>5290</v>
      </c>
      <c r="C413" t="s">
        <v>5289</v>
      </c>
      <c r="F413" t="s">
        <v>5288</v>
      </c>
      <c r="G413" t="s">
        <v>15</v>
      </c>
      <c r="H413" t="s">
        <v>14</v>
      </c>
      <c r="I413" t="s">
        <v>5287</v>
      </c>
      <c r="J413">
        <v>60000745</v>
      </c>
      <c r="K413" t="s">
        <v>3448</v>
      </c>
      <c r="L413" t="s">
        <v>3447</v>
      </c>
      <c r="M413" t="s">
        <v>31</v>
      </c>
      <c r="N413">
        <v>2</v>
      </c>
      <c r="O413" t="s">
        <v>5286</v>
      </c>
      <c r="P413" t="s">
        <v>5285</v>
      </c>
      <c r="Q413" t="s">
        <v>3444</v>
      </c>
      <c r="R413" s="7">
        <v>32143</v>
      </c>
      <c r="S413" s="8">
        <f t="shared" si="56"/>
        <v>1988</v>
      </c>
      <c r="T413" s="8">
        <v>1988</v>
      </c>
      <c r="U413" s="8">
        <f t="shared" si="57"/>
        <v>34</v>
      </c>
      <c r="V413" s="7" t="s">
        <v>5250</v>
      </c>
      <c r="W413" s="11" t="s">
        <v>1890</v>
      </c>
      <c r="X413" s="2">
        <v>2.383</v>
      </c>
      <c r="Y413" s="6">
        <f t="shared" si="54"/>
        <v>6.3612824003630442E-2</v>
      </c>
      <c r="AA413" t="s">
        <v>1889</v>
      </c>
      <c r="AB413">
        <v>101151</v>
      </c>
      <c r="AD413" t="s">
        <v>4</v>
      </c>
      <c r="AE413">
        <v>135</v>
      </c>
      <c r="AF413">
        <v>5</v>
      </c>
      <c r="AH413" t="s">
        <v>5284</v>
      </c>
      <c r="AI413" t="s">
        <v>5283</v>
      </c>
      <c r="AK413" t="s">
        <v>5282</v>
      </c>
      <c r="AL413">
        <v>31</v>
      </c>
      <c r="AM413" s="5">
        <f t="shared" si="58"/>
        <v>0.91176470588235292</v>
      </c>
      <c r="AN413" s="4">
        <f t="shared" si="55"/>
        <v>1.3809385927790274E-3</v>
      </c>
      <c r="AO413" s="3"/>
      <c r="AP413">
        <v>0</v>
      </c>
      <c r="AR413" t="s">
        <v>0</v>
      </c>
      <c r="AT413" s="2" t="s">
        <v>19</v>
      </c>
      <c r="AU413" s="1">
        <f t="shared" si="59"/>
        <v>4.4943258380375015</v>
      </c>
      <c r="AV413" s="1">
        <f t="shared" si="60"/>
        <v>3.2496881298204738</v>
      </c>
      <c r="AW413" s="1">
        <f t="shared" si="61"/>
        <v>2.0050504216034453</v>
      </c>
    </row>
    <row r="414" spans="1:49" x14ac:dyDescent="0.2">
      <c r="A414">
        <v>412</v>
      </c>
      <c r="B414" t="s">
        <v>5281</v>
      </c>
      <c r="C414" t="s">
        <v>5280</v>
      </c>
      <c r="F414" t="s">
        <v>5279</v>
      </c>
      <c r="G414" t="s">
        <v>15</v>
      </c>
      <c r="H414" t="s">
        <v>14</v>
      </c>
      <c r="I414" t="s">
        <v>3729</v>
      </c>
      <c r="N414">
        <v>1</v>
      </c>
      <c r="O414" t="s">
        <v>5062</v>
      </c>
      <c r="P414">
        <v>7102110120</v>
      </c>
      <c r="R414" s="7">
        <v>32143</v>
      </c>
      <c r="S414" s="8">
        <f t="shared" si="56"/>
        <v>1988</v>
      </c>
      <c r="T414" s="8">
        <v>1988</v>
      </c>
      <c r="U414" s="8">
        <f t="shared" si="57"/>
        <v>34</v>
      </c>
      <c r="V414" s="7">
        <v>32387</v>
      </c>
      <c r="W414" t="s">
        <v>476</v>
      </c>
      <c r="X414" s="2">
        <v>0.22600000000000001</v>
      </c>
      <c r="Y414" s="6">
        <f t="shared" si="54"/>
        <v>6.0329409252289053E-3</v>
      </c>
      <c r="AA414">
        <v>2786648</v>
      </c>
      <c r="AB414">
        <v>17299</v>
      </c>
      <c r="AD414" t="s">
        <v>4</v>
      </c>
      <c r="AE414">
        <v>7</v>
      </c>
      <c r="AF414">
        <v>3</v>
      </c>
      <c r="AH414" t="s">
        <v>5278</v>
      </c>
      <c r="AL414">
        <v>3</v>
      </c>
      <c r="AM414" s="5">
        <f t="shared" si="58"/>
        <v>8.8235294117647065E-2</v>
      </c>
      <c r="AN414" s="4">
        <f t="shared" si="55"/>
        <v>1.3363921865603494E-4</v>
      </c>
      <c r="AO414" s="3"/>
      <c r="AP414">
        <v>0</v>
      </c>
      <c r="AR414" t="s">
        <v>0</v>
      </c>
      <c r="AT414" s="2" t="s">
        <v>19</v>
      </c>
      <c r="AU414" s="1">
        <f t="shared" si="59"/>
        <v>0.42631504132570441</v>
      </c>
      <c r="AV414" s="1">
        <f t="shared" si="60"/>
        <v>0.308329007194247</v>
      </c>
      <c r="AW414" s="1">
        <f t="shared" si="61"/>
        <v>0.19034297306278961</v>
      </c>
    </row>
    <row r="415" spans="1:49" x14ac:dyDescent="0.2">
      <c r="A415">
        <v>413</v>
      </c>
      <c r="B415" t="s">
        <v>5277</v>
      </c>
      <c r="C415" t="s">
        <v>5276</v>
      </c>
      <c r="F415" t="s">
        <v>5275</v>
      </c>
      <c r="G415" t="s">
        <v>15</v>
      </c>
      <c r="H415" t="s">
        <v>14</v>
      </c>
      <c r="I415" t="s">
        <v>5274</v>
      </c>
      <c r="J415">
        <v>60020547</v>
      </c>
      <c r="K415" t="s">
        <v>2383</v>
      </c>
      <c r="L415" t="s">
        <v>2382</v>
      </c>
      <c r="M415" t="s">
        <v>31</v>
      </c>
      <c r="N415">
        <v>3</v>
      </c>
      <c r="O415" t="s">
        <v>5273</v>
      </c>
      <c r="P415" t="s">
        <v>5272</v>
      </c>
      <c r="Q415" t="s">
        <v>5271</v>
      </c>
      <c r="R415" s="7">
        <v>32143</v>
      </c>
      <c r="S415" s="8">
        <f t="shared" si="56"/>
        <v>1988</v>
      </c>
      <c r="T415" s="8">
        <v>1988</v>
      </c>
      <c r="U415" s="8">
        <f t="shared" si="57"/>
        <v>34</v>
      </c>
      <c r="V415" s="7">
        <v>1988</v>
      </c>
      <c r="W415" t="s">
        <v>56</v>
      </c>
      <c r="X415" s="2">
        <v>0.375</v>
      </c>
      <c r="Y415" s="6">
        <f t="shared" si="54"/>
        <v>1.0010410827260351E-2</v>
      </c>
      <c r="AA415">
        <v>135194</v>
      </c>
      <c r="AB415">
        <v>24918</v>
      </c>
      <c r="AD415" t="s">
        <v>4</v>
      </c>
      <c r="AE415">
        <v>24</v>
      </c>
      <c r="AF415">
        <v>21</v>
      </c>
      <c r="AH415" t="s">
        <v>5270</v>
      </c>
      <c r="AI415" t="s">
        <v>5269</v>
      </c>
      <c r="AJ415" t="s">
        <v>5268</v>
      </c>
      <c r="AK415" t="s">
        <v>5267</v>
      </c>
      <c r="AL415">
        <v>73</v>
      </c>
      <c r="AM415" s="5">
        <f t="shared" si="58"/>
        <v>2.1470588235294117</v>
      </c>
      <c r="AN415" s="4">
        <f t="shared" si="55"/>
        <v>3.2518876539635163E-3</v>
      </c>
      <c r="AO415" s="3"/>
      <c r="AP415">
        <v>0</v>
      </c>
      <c r="AR415" t="s">
        <v>0</v>
      </c>
      <c r="AT415" s="2">
        <v>1.3140000000000001</v>
      </c>
      <c r="AU415" s="1">
        <f t="shared" si="59"/>
        <v>0.79828538752713019</v>
      </c>
      <c r="AV415" s="1">
        <f t="shared" si="60"/>
        <v>0.66311492406119343</v>
      </c>
      <c r="AW415" s="1">
        <f t="shared" si="61"/>
        <v>0.52794446059525657</v>
      </c>
    </row>
    <row r="416" spans="1:49" x14ac:dyDescent="0.2">
      <c r="A416">
        <v>414</v>
      </c>
      <c r="B416" t="s">
        <v>5266</v>
      </c>
      <c r="C416" t="s">
        <v>5265</v>
      </c>
      <c r="F416" t="s">
        <v>5264</v>
      </c>
      <c r="G416" t="s">
        <v>15</v>
      </c>
      <c r="H416" t="s">
        <v>14</v>
      </c>
      <c r="I416" t="s">
        <v>5263</v>
      </c>
      <c r="J416">
        <v>60011520</v>
      </c>
      <c r="K416" t="s">
        <v>5262</v>
      </c>
      <c r="L416" t="s">
        <v>2095</v>
      </c>
      <c r="M416" t="s">
        <v>1011</v>
      </c>
      <c r="N416">
        <v>1</v>
      </c>
      <c r="O416" t="s">
        <v>5261</v>
      </c>
      <c r="P416">
        <v>7402108872</v>
      </c>
      <c r="Q416">
        <v>60011520</v>
      </c>
      <c r="R416" s="7">
        <v>32143</v>
      </c>
      <c r="S416" s="8">
        <f t="shared" si="56"/>
        <v>1988</v>
      </c>
      <c r="T416" s="8">
        <v>1988</v>
      </c>
      <c r="U416" s="8">
        <f t="shared" si="57"/>
        <v>34</v>
      </c>
      <c r="V416" s="7">
        <v>32417</v>
      </c>
      <c r="W416" t="s">
        <v>348</v>
      </c>
      <c r="X416" s="2">
        <v>0.251</v>
      </c>
      <c r="Y416" s="6">
        <f t="shared" si="54"/>
        <v>6.7003016470462617E-3</v>
      </c>
      <c r="AA416">
        <v>207217</v>
      </c>
      <c r="AB416">
        <v>26145</v>
      </c>
      <c r="AC416">
        <v>13623060</v>
      </c>
      <c r="AD416" t="s">
        <v>4</v>
      </c>
      <c r="AE416">
        <v>65</v>
      </c>
      <c r="AF416">
        <v>4</v>
      </c>
      <c r="AH416" t="s">
        <v>5260</v>
      </c>
      <c r="AI416" t="s">
        <v>5259</v>
      </c>
      <c r="AK416" t="s">
        <v>5258</v>
      </c>
      <c r="AL416">
        <v>0</v>
      </c>
      <c r="AM416" s="5">
        <f t="shared" si="58"/>
        <v>0</v>
      </c>
      <c r="AN416" s="4">
        <f t="shared" si="55"/>
        <v>0</v>
      </c>
      <c r="AO416" s="3"/>
      <c r="AP416">
        <v>0</v>
      </c>
      <c r="AR416" t="s">
        <v>0</v>
      </c>
      <c r="AT416" s="2">
        <v>1.3360000000000001</v>
      </c>
      <c r="AU416" s="1">
        <f t="shared" si="59"/>
        <v>0.46902111529323826</v>
      </c>
      <c r="AV416" s="1">
        <f t="shared" si="60"/>
        <v>0.33501508235231309</v>
      </c>
      <c r="AW416" s="1">
        <f t="shared" si="61"/>
        <v>0.20100904941138784</v>
      </c>
    </row>
    <row r="417" spans="1:49" x14ac:dyDescent="0.2">
      <c r="A417">
        <v>415</v>
      </c>
      <c r="B417" t="s">
        <v>5257</v>
      </c>
      <c r="C417" t="s">
        <v>5256</v>
      </c>
      <c r="F417" t="s">
        <v>5255</v>
      </c>
      <c r="G417" t="s">
        <v>15</v>
      </c>
      <c r="H417" t="s">
        <v>14</v>
      </c>
      <c r="I417" t="s">
        <v>5254</v>
      </c>
      <c r="J417">
        <v>60020825</v>
      </c>
      <c r="K417" t="s">
        <v>3420</v>
      </c>
      <c r="L417" t="s">
        <v>3419</v>
      </c>
      <c r="M417" t="s">
        <v>300</v>
      </c>
      <c r="N417">
        <v>5</v>
      </c>
      <c r="O417" t="s">
        <v>5253</v>
      </c>
      <c r="P417" t="s">
        <v>5252</v>
      </c>
      <c r="Q417" t="s">
        <v>5251</v>
      </c>
      <c r="R417" s="7">
        <v>32143</v>
      </c>
      <c r="S417" s="8">
        <f t="shared" si="56"/>
        <v>1988</v>
      </c>
      <c r="T417" s="8">
        <v>1988</v>
      </c>
      <c r="U417" s="8">
        <f t="shared" si="57"/>
        <v>34</v>
      </c>
      <c r="V417" s="7" t="s">
        <v>5250</v>
      </c>
      <c r="W417" s="11" t="s">
        <v>1890</v>
      </c>
      <c r="X417" s="2">
        <v>2.383</v>
      </c>
      <c r="Y417" s="6">
        <f t="shared" si="54"/>
        <v>6.3612824003630442E-2</v>
      </c>
      <c r="AA417" t="s">
        <v>1889</v>
      </c>
      <c r="AB417">
        <v>101151</v>
      </c>
      <c r="AD417" t="s">
        <v>4</v>
      </c>
      <c r="AE417">
        <v>135</v>
      </c>
      <c r="AF417">
        <v>5</v>
      </c>
      <c r="AH417" t="s">
        <v>5249</v>
      </c>
      <c r="AI417" t="s">
        <v>5248</v>
      </c>
      <c r="AK417" t="s">
        <v>5247</v>
      </c>
      <c r="AL417">
        <v>4</v>
      </c>
      <c r="AM417" s="5">
        <f t="shared" si="58"/>
        <v>0.11764705882352941</v>
      </c>
      <c r="AN417" s="4">
        <f t="shared" si="55"/>
        <v>1.7818562487471323E-4</v>
      </c>
      <c r="AO417" s="3"/>
      <c r="AP417">
        <v>0</v>
      </c>
      <c r="AR417" t="s">
        <v>0</v>
      </c>
      <c r="AT417" s="2" t="s">
        <v>19</v>
      </c>
      <c r="AU417" s="1">
        <f t="shared" si="59"/>
        <v>4.4582432490003727</v>
      </c>
      <c r="AV417" s="1">
        <f t="shared" si="60"/>
        <v>3.189550481425258</v>
      </c>
      <c r="AW417" s="1">
        <f t="shared" si="61"/>
        <v>1.920857713850143</v>
      </c>
    </row>
    <row r="418" spans="1:49" x14ac:dyDescent="0.2">
      <c r="A418">
        <v>416</v>
      </c>
      <c r="B418" t="s">
        <v>5246</v>
      </c>
      <c r="C418" t="s">
        <v>5245</v>
      </c>
      <c r="F418" t="s">
        <v>5244</v>
      </c>
      <c r="G418" t="s">
        <v>15</v>
      </c>
      <c r="H418" t="s">
        <v>14</v>
      </c>
      <c r="I418" t="s">
        <v>5243</v>
      </c>
      <c r="J418">
        <v>60029472</v>
      </c>
      <c r="K418" t="s">
        <v>5242</v>
      </c>
      <c r="L418" t="s">
        <v>5241</v>
      </c>
      <c r="M418" t="s">
        <v>31</v>
      </c>
      <c r="N418">
        <v>1</v>
      </c>
      <c r="O418" t="s">
        <v>5240</v>
      </c>
      <c r="P418">
        <v>7201527945</v>
      </c>
      <c r="Q418">
        <v>60029472</v>
      </c>
      <c r="R418" s="7">
        <v>32143</v>
      </c>
      <c r="S418" s="8">
        <f t="shared" si="56"/>
        <v>1988</v>
      </c>
      <c r="T418" s="8">
        <v>1988</v>
      </c>
      <c r="U418" s="8">
        <f t="shared" si="57"/>
        <v>34</v>
      </c>
      <c r="V418" s="7">
        <v>32417</v>
      </c>
      <c r="W418" t="s">
        <v>69</v>
      </c>
      <c r="X418" s="2">
        <v>1.6519999999999999</v>
      </c>
      <c r="Y418" s="6">
        <f t="shared" si="54"/>
        <v>4.409919649769093E-2</v>
      </c>
      <c r="AA418" t="s">
        <v>68</v>
      </c>
      <c r="AB418">
        <v>17337</v>
      </c>
      <c r="AC418">
        <v>15582221</v>
      </c>
      <c r="AD418" t="s">
        <v>4</v>
      </c>
      <c r="AE418">
        <v>36</v>
      </c>
      <c r="AF418">
        <v>10</v>
      </c>
      <c r="AH418" t="s">
        <v>5239</v>
      </c>
      <c r="AI418" t="s">
        <v>5238</v>
      </c>
      <c r="AK418" t="s">
        <v>5237</v>
      </c>
      <c r="AL418">
        <v>1</v>
      </c>
      <c r="AM418" s="5">
        <f t="shared" si="58"/>
        <v>2.9411764705882353E-2</v>
      </c>
      <c r="AN418" s="4">
        <f t="shared" si="55"/>
        <v>4.4546406218678307E-5</v>
      </c>
      <c r="AO418" s="3"/>
      <c r="AP418">
        <v>0</v>
      </c>
      <c r="AR418" t="s">
        <v>0</v>
      </c>
      <c r="AT418" s="2" t="s">
        <v>19</v>
      </c>
      <c r="AU418" s="1">
        <f t="shared" si="59"/>
        <v>3.0882801470249253</v>
      </c>
      <c r="AV418" s="1">
        <f t="shared" si="60"/>
        <v>2.2071871451954803</v>
      </c>
      <c r="AW418" s="1">
        <f t="shared" si="61"/>
        <v>1.3260941433660351</v>
      </c>
    </row>
    <row r="419" spans="1:49" x14ac:dyDescent="0.2">
      <c r="A419">
        <v>417</v>
      </c>
      <c r="B419" t="s">
        <v>5236</v>
      </c>
      <c r="C419" t="s">
        <v>5235</v>
      </c>
      <c r="F419" t="s">
        <v>5234</v>
      </c>
      <c r="G419" t="s">
        <v>15</v>
      </c>
      <c r="H419" t="s">
        <v>14</v>
      </c>
      <c r="I419" t="s">
        <v>5233</v>
      </c>
      <c r="J419">
        <v>60025063</v>
      </c>
      <c r="K419" t="s">
        <v>5232</v>
      </c>
      <c r="L419" t="s">
        <v>5231</v>
      </c>
      <c r="M419" t="s">
        <v>1481</v>
      </c>
      <c r="N419">
        <v>2</v>
      </c>
      <c r="O419" t="s">
        <v>5230</v>
      </c>
      <c r="P419" t="s">
        <v>5229</v>
      </c>
      <c r="Q419" t="s">
        <v>5228</v>
      </c>
      <c r="R419" s="7">
        <v>32143</v>
      </c>
      <c r="S419" s="8">
        <f t="shared" si="56"/>
        <v>1988</v>
      </c>
      <c r="T419" s="8">
        <v>1988</v>
      </c>
      <c r="U419" s="8">
        <f t="shared" si="57"/>
        <v>34</v>
      </c>
      <c r="V419" s="7">
        <v>32417</v>
      </c>
      <c r="W419" t="s">
        <v>69</v>
      </c>
      <c r="X419" s="2">
        <v>1.6519999999999999</v>
      </c>
      <c r="Y419" s="6">
        <f t="shared" si="54"/>
        <v>4.409919649769093E-2</v>
      </c>
      <c r="AA419" t="s">
        <v>68</v>
      </c>
      <c r="AB419">
        <v>17337</v>
      </c>
      <c r="AC419">
        <v>15582221</v>
      </c>
      <c r="AD419" t="s">
        <v>4</v>
      </c>
      <c r="AE419">
        <v>36</v>
      </c>
      <c r="AF419">
        <v>10</v>
      </c>
      <c r="AH419" t="s">
        <v>5227</v>
      </c>
      <c r="AI419" t="s">
        <v>5226</v>
      </c>
      <c r="AK419" t="s">
        <v>5225</v>
      </c>
      <c r="AL419">
        <v>9</v>
      </c>
      <c r="AM419" s="5">
        <f t="shared" si="58"/>
        <v>0.26470588235294118</v>
      </c>
      <c r="AN419" s="4">
        <f t="shared" si="55"/>
        <v>4.009176559681048E-4</v>
      </c>
      <c r="AO419" s="3"/>
      <c r="AP419">
        <v>0</v>
      </c>
      <c r="AR419" t="s">
        <v>0</v>
      </c>
      <c r="AT419" s="2" t="s">
        <v>19</v>
      </c>
      <c r="AU419" s="1">
        <f t="shared" si="59"/>
        <v>3.0989712845174084</v>
      </c>
      <c r="AV419" s="1">
        <f t="shared" si="60"/>
        <v>2.2250057076829517</v>
      </c>
      <c r="AW419" s="1">
        <f t="shared" si="61"/>
        <v>1.3510401308484952</v>
      </c>
    </row>
    <row r="420" spans="1:49" x14ac:dyDescent="0.2">
      <c r="A420">
        <v>418</v>
      </c>
      <c r="B420" t="s">
        <v>5224</v>
      </c>
      <c r="C420" t="s">
        <v>5223</v>
      </c>
      <c r="F420" t="s">
        <v>5222</v>
      </c>
      <c r="G420" t="s">
        <v>15</v>
      </c>
      <c r="H420" t="s">
        <v>14</v>
      </c>
      <c r="I420" t="s">
        <v>5221</v>
      </c>
      <c r="J420">
        <v>60030035</v>
      </c>
      <c r="K420" t="s">
        <v>5220</v>
      </c>
      <c r="L420" t="s">
        <v>5219</v>
      </c>
      <c r="M420" t="s">
        <v>5218</v>
      </c>
      <c r="N420">
        <v>2</v>
      </c>
      <c r="O420" t="s">
        <v>5217</v>
      </c>
      <c r="P420" t="s">
        <v>5216</v>
      </c>
      <c r="Q420" t="s">
        <v>5215</v>
      </c>
      <c r="R420" s="7">
        <v>32143</v>
      </c>
      <c r="S420" s="8">
        <f t="shared" si="56"/>
        <v>1988</v>
      </c>
      <c r="T420" s="8">
        <v>1988</v>
      </c>
      <c r="U420" s="8">
        <f t="shared" si="57"/>
        <v>34</v>
      </c>
      <c r="V420" s="7">
        <v>32417</v>
      </c>
      <c r="W420" t="s">
        <v>69</v>
      </c>
      <c r="X420" s="2">
        <v>1.6519999999999999</v>
      </c>
      <c r="Y420" s="6">
        <f t="shared" si="54"/>
        <v>4.409919649769093E-2</v>
      </c>
      <c r="AA420" t="s">
        <v>68</v>
      </c>
      <c r="AB420">
        <v>17337</v>
      </c>
      <c r="AC420">
        <v>15582221</v>
      </c>
      <c r="AD420" t="s">
        <v>4</v>
      </c>
      <c r="AE420">
        <v>36</v>
      </c>
      <c r="AF420">
        <v>10</v>
      </c>
      <c r="AH420" t="s">
        <v>5214</v>
      </c>
      <c r="AI420" t="s">
        <v>5213</v>
      </c>
      <c r="AK420" t="s">
        <v>5212</v>
      </c>
      <c r="AL420">
        <v>1</v>
      </c>
      <c r="AM420" s="5">
        <f t="shared" si="58"/>
        <v>2.9411764705882353E-2</v>
      </c>
      <c r="AN420" s="4">
        <f t="shared" si="55"/>
        <v>4.4546406218678307E-5</v>
      </c>
      <c r="AO420" s="3"/>
      <c r="AP420">
        <v>0</v>
      </c>
      <c r="AR420" t="s">
        <v>0</v>
      </c>
      <c r="AT420" s="2" t="s">
        <v>19</v>
      </c>
      <c r="AU420" s="1">
        <f t="shared" si="59"/>
        <v>3.0882801470249253</v>
      </c>
      <c r="AV420" s="1">
        <f t="shared" si="60"/>
        <v>2.2071871451954803</v>
      </c>
      <c r="AW420" s="1">
        <f t="shared" si="61"/>
        <v>1.3260941433660351</v>
      </c>
    </row>
    <row r="421" spans="1:49" x14ac:dyDescent="0.2">
      <c r="A421">
        <v>419</v>
      </c>
      <c r="B421" t="s">
        <v>5211</v>
      </c>
      <c r="C421" t="s">
        <v>5210</v>
      </c>
      <c r="F421" t="s">
        <v>5209</v>
      </c>
      <c r="G421" t="s">
        <v>15</v>
      </c>
      <c r="H421" t="s">
        <v>14</v>
      </c>
      <c r="I421" t="s">
        <v>5208</v>
      </c>
      <c r="J421">
        <v>60016849</v>
      </c>
      <c r="K421" t="s">
        <v>5207</v>
      </c>
      <c r="L421" t="s">
        <v>5206</v>
      </c>
      <c r="M421" t="s">
        <v>481</v>
      </c>
      <c r="N421">
        <v>2</v>
      </c>
      <c r="O421" t="s">
        <v>5205</v>
      </c>
      <c r="P421" t="s">
        <v>5204</v>
      </c>
      <c r="Q421" t="s">
        <v>5203</v>
      </c>
      <c r="R421" s="7">
        <v>32143</v>
      </c>
      <c r="S421" s="8">
        <f t="shared" si="56"/>
        <v>1988</v>
      </c>
      <c r="T421" s="8">
        <v>1988</v>
      </c>
      <c r="U421" s="8">
        <f t="shared" si="57"/>
        <v>34</v>
      </c>
      <c r="V421" s="7">
        <v>32417</v>
      </c>
      <c r="W421" t="s">
        <v>69</v>
      </c>
      <c r="X421" s="2">
        <v>1.6519999999999999</v>
      </c>
      <c r="Y421" s="6">
        <f t="shared" si="54"/>
        <v>4.409919649769093E-2</v>
      </c>
      <c r="AA421" t="s">
        <v>68</v>
      </c>
      <c r="AB421">
        <v>17337</v>
      </c>
      <c r="AC421">
        <v>15582221</v>
      </c>
      <c r="AD421" t="s">
        <v>4</v>
      </c>
      <c r="AE421">
        <v>36</v>
      </c>
      <c r="AF421">
        <v>10</v>
      </c>
      <c r="AH421" t="s">
        <v>5202</v>
      </c>
      <c r="AI421" t="s">
        <v>5201</v>
      </c>
      <c r="AK421" t="s">
        <v>5200</v>
      </c>
      <c r="AL421">
        <v>19</v>
      </c>
      <c r="AM421" s="5">
        <f t="shared" si="58"/>
        <v>0.55882352941176472</v>
      </c>
      <c r="AN421" s="4">
        <f t="shared" si="55"/>
        <v>8.4638171815488788E-4</v>
      </c>
      <c r="AO421" s="3"/>
      <c r="AP421">
        <v>0</v>
      </c>
      <c r="AR421" t="s">
        <v>0</v>
      </c>
      <c r="AT421" s="2" t="s">
        <v>19</v>
      </c>
      <c r="AU421" s="1">
        <f t="shared" si="59"/>
        <v>3.1123352063830119</v>
      </c>
      <c r="AV421" s="1">
        <f t="shared" si="60"/>
        <v>2.247278910792291</v>
      </c>
      <c r="AW421" s="1">
        <f t="shared" si="61"/>
        <v>1.38222261520157</v>
      </c>
    </row>
    <row r="422" spans="1:49" x14ac:dyDescent="0.2">
      <c r="A422">
        <v>420</v>
      </c>
      <c r="B422" t="s">
        <v>5199</v>
      </c>
      <c r="C422" t="s">
        <v>5198</v>
      </c>
      <c r="F422" t="s">
        <v>5197</v>
      </c>
      <c r="G422" t="s">
        <v>15</v>
      </c>
      <c r="H422" t="s">
        <v>14</v>
      </c>
      <c r="I422" t="s">
        <v>5196</v>
      </c>
      <c r="J422">
        <v>60005248</v>
      </c>
      <c r="K422" t="s">
        <v>864</v>
      </c>
      <c r="L422" t="s">
        <v>863</v>
      </c>
      <c r="M422" t="s">
        <v>31</v>
      </c>
      <c r="N422">
        <v>1</v>
      </c>
      <c r="O422" t="s">
        <v>5195</v>
      </c>
      <c r="P422">
        <v>7005875949</v>
      </c>
      <c r="Q422">
        <v>60005248</v>
      </c>
      <c r="R422" s="7">
        <v>32143</v>
      </c>
      <c r="S422" s="8">
        <f t="shared" si="56"/>
        <v>1988</v>
      </c>
      <c r="T422" s="8">
        <v>1988</v>
      </c>
      <c r="U422" s="8">
        <f t="shared" si="57"/>
        <v>34</v>
      </c>
      <c r="V422" s="7">
        <v>32417</v>
      </c>
      <c r="W422" t="s">
        <v>69</v>
      </c>
      <c r="X422" s="2">
        <v>1.6519999999999999</v>
      </c>
      <c r="Y422" s="6">
        <f t="shared" si="54"/>
        <v>4.409919649769093E-2</v>
      </c>
      <c r="AA422" t="s">
        <v>68</v>
      </c>
      <c r="AB422">
        <v>17337</v>
      </c>
      <c r="AC422">
        <v>15582221</v>
      </c>
      <c r="AD422" t="s">
        <v>4</v>
      </c>
      <c r="AE422">
        <v>36</v>
      </c>
      <c r="AF422">
        <v>10</v>
      </c>
      <c r="AH422" t="s">
        <v>5194</v>
      </c>
      <c r="AI422" t="s">
        <v>5193</v>
      </c>
      <c r="AK422" t="s">
        <v>5192</v>
      </c>
      <c r="AL422">
        <v>224</v>
      </c>
      <c r="AM422" s="5">
        <f t="shared" si="58"/>
        <v>6.5882352941176467</v>
      </c>
      <c r="AN422" s="4">
        <f t="shared" si="55"/>
        <v>9.9783949929839414E-3</v>
      </c>
      <c r="AO422" s="3"/>
      <c r="AP422">
        <v>0</v>
      </c>
      <c r="AR422" t="s">
        <v>0</v>
      </c>
      <c r="AT422" s="2" t="s">
        <v>19</v>
      </c>
      <c r="AU422" s="1">
        <f t="shared" si="59"/>
        <v>3.3862956046278834</v>
      </c>
      <c r="AV422" s="1">
        <f t="shared" si="60"/>
        <v>2.7038795745337434</v>
      </c>
      <c r="AW422" s="1">
        <f t="shared" si="61"/>
        <v>2.0214635444396034</v>
      </c>
    </row>
    <row r="423" spans="1:49" x14ac:dyDescent="0.2">
      <c r="A423">
        <v>421</v>
      </c>
      <c r="B423" t="s">
        <v>5191</v>
      </c>
      <c r="C423" t="s">
        <v>5190</v>
      </c>
      <c r="F423" t="s">
        <v>5189</v>
      </c>
      <c r="G423" t="s">
        <v>15</v>
      </c>
      <c r="H423" t="s">
        <v>14</v>
      </c>
      <c r="I423" t="s">
        <v>2620</v>
      </c>
      <c r="J423">
        <v>60030526</v>
      </c>
      <c r="K423" t="s">
        <v>2619</v>
      </c>
      <c r="L423" t="s">
        <v>212</v>
      </c>
      <c r="M423" t="s">
        <v>211</v>
      </c>
      <c r="N423">
        <v>3</v>
      </c>
      <c r="O423" t="s">
        <v>5188</v>
      </c>
      <c r="P423" t="s">
        <v>5187</v>
      </c>
      <c r="Q423" t="s">
        <v>2616</v>
      </c>
      <c r="R423" s="7">
        <v>32143</v>
      </c>
      <c r="S423" s="8">
        <f t="shared" si="56"/>
        <v>1988</v>
      </c>
      <c r="T423" s="8">
        <v>1988</v>
      </c>
      <c r="U423" s="8">
        <f t="shared" si="57"/>
        <v>34</v>
      </c>
      <c r="V423" s="7">
        <v>32417</v>
      </c>
      <c r="W423" t="s">
        <v>69</v>
      </c>
      <c r="X423" s="2">
        <v>1.6519999999999999</v>
      </c>
      <c r="Y423" s="6">
        <f t="shared" si="54"/>
        <v>4.409919649769093E-2</v>
      </c>
      <c r="AA423" t="s">
        <v>68</v>
      </c>
      <c r="AB423">
        <v>17337</v>
      </c>
      <c r="AC423">
        <v>15582221</v>
      </c>
      <c r="AD423" t="s">
        <v>4</v>
      </c>
      <c r="AE423">
        <v>36</v>
      </c>
      <c r="AF423">
        <v>10</v>
      </c>
      <c r="AH423" t="s">
        <v>5186</v>
      </c>
      <c r="AI423" t="s">
        <v>5185</v>
      </c>
      <c r="AK423" t="s">
        <v>5184</v>
      </c>
      <c r="AL423">
        <v>39</v>
      </c>
      <c r="AM423" s="5">
        <f t="shared" si="58"/>
        <v>1.1470588235294117</v>
      </c>
      <c r="AN423" s="4">
        <f t="shared" si="55"/>
        <v>1.7373098425284539E-3</v>
      </c>
      <c r="AO423" s="3"/>
      <c r="AP423">
        <v>0</v>
      </c>
      <c r="AR423" t="s">
        <v>0</v>
      </c>
      <c r="AT423" s="2" t="s">
        <v>19</v>
      </c>
      <c r="AU423" s="1">
        <f t="shared" si="59"/>
        <v>3.1390630501142187</v>
      </c>
      <c r="AV423" s="1">
        <f t="shared" si="60"/>
        <v>2.2918253170109693</v>
      </c>
      <c r="AW423" s="1">
        <f t="shared" si="61"/>
        <v>1.4445875839077196</v>
      </c>
    </row>
    <row r="424" spans="1:49" x14ac:dyDescent="0.2">
      <c r="A424">
        <v>422</v>
      </c>
      <c r="B424" t="s">
        <v>5183</v>
      </c>
      <c r="C424" t="s">
        <v>5182</v>
      </c>
      <c r="F424" t="s">
        <v>5181</v>
      </c>
      <c r="G424" t="s">
        <v>15</v>
      </c>
      <c r="H424" t="s">
        <v>14</v>
      </c>
      <c r="I424" t="s">
        <v>5180</v>
      </c>
      <c r="J424">
        <v>60000221</v>
      </c>
      <c r="K424" t="s">
        <v>4825</v>
      </c>
      <c r="L424" t="s">
        <v>4824</v>
      </c>
      <c r="M424" t="s">
        <v>31</v>
      </c>
      <c r="N424">
        <v>2</v>
      </c>
      <c r="O424" t="s">
        <v>5179</v>
      </c>
      <c r="P424" t="s">
        <v>5178</v>
      </c>
      <c r="Q424" t="s">
        <v>5177</v>
      </c>
      <c r="R424" s="7">
        <v>32143</v>
      </c>
      <c r="S424" s="8">
        <f t="shared" si="56"/>
        <v>1988</v>
      </c>
      <c r="T424" s="8">
        <v>1988</v>
      </c>
      <c r="U424" s="8">
        <f t="shared" si="57"/>
        <v>34</v>
      </c>
      <c r="V424" s="7">
        <v>32417</v>
      </c>
      <c r="W424" t="s">
        <v>69</v>
      </c>
      <c r="X424" s="2">
        <v>1.6519999999999999</v>
      </c>
      <c r="Y424" s="6">
        <f t="shared" si="54"/>
        <v>4.409919649769093E-2</v>
      </c>
      <c r="AA424" t="s">
        <v>68</v>
      </c>
      <c r="AB424">
        <v>17337</v>
      </c>
      <c r="AC424">
        <v>15582221</v>
      </c>
      <c r="AD424" t="s">
        <v>4</v>
      </c>
      <c r="AE424">
        <v>36</v>
      </c>
      <c r="AF424">
        <v>10</v>
      </c>
      <c r="AH424" t="s">
        <v>5176</v>
      </c>
      <c r="AI424" t="s">
        <v>5175</v>
      </c>
      <c r="AK424" t="s">
        <v>5174</v>
      </c>
      <c r="AL424">
        <v>19</v>
      </c>
      <c r="AM424" s="5">
        <f t="shared" si="58"/>
        <v>0.55882352941176472</v>
      </c>
      <c r="AN424" s="4">
        <f t="shared" si="55"/>
        <v>8.4638171815488788E-4</v>
      </c>
      <c r="AO424" s="3"/>
      <c r="AP424">
        <v>0</v>
      </c>
      <c r="AR424" t="s">
        <v>5173</v>
      </c>
      <c r="AT424" s="2" t="s">
        <v>19</v>
      </c>
      <c r="AU424" s="1">
        <f t="shared" si="59"/>
        <v>3.1123352063830119</v>
      </c>
      <c r="AV424" s="1">
        <f t="shared" si="60"/>
        <v>2.247278910792291</v>
      </c>
      <c r="AW424" s="1">
        <f t="shared" si="61"/>
        <v>1.38222261520157</v>
      </c>
    </row>
    <row r="425" spans="1:49" x14ac:dyDescent="0.2">
      <c r="A425">
        <v>423</v>
      </c>
      <c r="B425" t="s">
        <v>5172</v>
      </c>
      <c r="C425" t="s">
        <v>5171</v>
      </c>
      <c r="F425" t="s">
        <v>5170</v>
      </c>
      <c r="G425" t="s">
        <v>15</v>
      </c>
      <c r="H425" t="s">
        <v>14</v>
      </c>
      <c r="I425" t="s">
        <v>5169</v>
      </c>
      <c r="J425">
        <v>60003500</v>
      </c>
      <c r="K425" t="s">
        <v>1514</v>
      </c>
      <c r="L425" t="s">
        <v>1513</v>
      </c>
      <c r="M425" t="s">
        <v>31</v>
      </c>
      <c r="N425">
        <v>2</v>
      </c>
      <c r="O425" t="s">
        <v>5168</v>
      </c>
      <c r="P425" t="s">
        <v>5167</v>
      </c>
      <c r="Q425" t="s">
        <v>2938</v>
      </c>
      <c r="R425" s="7">
        <v>32143</v>
      </c>
      <c r="S425" s="8">
        <f t="shared" si="56"/>
        <v>1988</v>
      </c>
      <c r="T425" s="8">
        <v>1988</v>
      </c>
      <c r="U425" s="8">
        <f t="shared" si="57"/>
        <v>34</v>
      </c>
      <c r="V425" s="7">
        <v>32417</v>
      </c>
      <c r="W425" t="s">
        <v>69</v>
      </c>
      <c r="X425" s="2">
        <v>1.6519999999999999</v>
      </c>
      <c r="Y425" s="6">
        <f t="shared" si="54"/>
        <v>4.409919649769093E-2</v>
      </c>
      <c r="AA425" t="s">
        <v>68</v>
      </c>
      <c r="AB425">
        <v>17337</v>
      </c>
      <c r="AC425">
        <v>15582221</v>
      </c>
      <c r="AD425" t="s">
        <v>4</v>
      </c>
      <c r="AE425">
        <v>36</v>
      </c>
      <c r="AF425">
        <v>10</v>
      </c>
      <c r="AH425" t="s">
        <v>5166</v>
      </c>
      <c r="AI425" t="s">
        <v>5165</v>
      </c>
      <c r="AK425" t="s">
        <v>5164</v>
      </c>
      <c r="AL425">
        <v>4</v>
      </c>
      <c r="AM425" s="5">
        <f t="shared" si="58"/>
        <v>0.11764705882352941</v>
      </c>
      <c r="AN425" s="4">
        <f t="shared" si="55"/>
        <v>1.7818562487471323E-4</v>
      </c>
      <c r="AO425" s="3"/>
      <c r="AP425">
        <v>0</v>
      </c>
      <c r="AR425" t="s">
        <v>5163</v>
      </c>
      <c r="AT425" s="2" t="s">
        <v>19</v>
      </c>
      <c r="AU425" s="1">
        <f t="shared" si="59"/>
        <v>3.0922893235846063</v>
      </c>
      <c r="AV425" s="1">
        <f t="shared" si="60"/>
        <v>2.213869106128282</v>
      </c>
      <c r="AW425" s="1">
        <f t="shared" si="61"/>
        <v>1.3354488886719578</v>
      </c>
    </row>
    <row r="426" spans="1:49" x14ac:dyDescent="0.2">
      <c r="A426">
        <v>424</v>
      </c>
      <c r="B426" t="s">
        <v>5162</v>
      </c>
      <c r="C426" t="s">
        <v>5161</v>
      </c>
      <c r="F426" t="s">
        <v>5160</v>
      </c>
      <c r="G426" t="s">
        <v>15</v>
      </c>
      <c r="H426" t="s">
        <v>14</v>
      </c>
      <c r="I426" t="s">
        <v>5159</v>
      </c>
      <c r="J426" t="s">
        <v>5154</v>
      </c>
      <c r="K426" t="s">
        <v>5158</v>
      </c>
      <c r="L426" t="s">
        <v>5157</v>
      </c>
      <c r="M426" t="s">
        <v>9</v>
      </c>
      <c r="N426">
        <v>2</v>
      </c>
      <c r="O426" t="s">
        <v>5156</v>
      </c>
      <c r="P426" t="s">
        <v>5155</v>
      </c>
      <c r="Q426" t="s">
        <v>5154</v>
      </c>
      <c r="R426" s="7">
        <v>32143</v>
      </c>
      <c r="S426" s="8">
        <f t="shared" si="56"/>
        <v>1988</v>
      </c>
      <c r="T426" s="8">
        <v>1988</v>
      </c>
      <c r="U426" s="8">
        <f t="shared" si="57"/>
        <v>34</v>
      </c>
      <c r="V426" s="7">
        <v>32417</v>
      </c>
      <c r="W426" t="s">
        <v>69</v>
      </c>
      <c r="X426" s="2">
        <v>1.6519999999999999</v>
      </c>
      <c r="Y426" s="6">
        <f t="shared" si="54"/>
        <v>4.409919649769093E-2</v>
      </c>
      <c r="AA426" t="s">
        <v>68</v>
      </c>
      <c r="AB426">
        <v>17337</v>
      </c>
      <c r="AC426">
        <v>15582221</v>
      </c>
      <c r="AD426" t="s">
        <v>4</v>
      </c>
      <c r="AE426">
        <v>36</v>
      </c>
      <c r="AF426">
        <v>10</v>
      </c>
      <c r="AH426" t="s">
        <v>5153</v>
      </c>
      <c r="AI426" t="s">
        <v>5152</v>
      </c>
      <c r="AK426" t="s">
        <v>5151</v>
      </c>
      <c r="AL426">
        <v>28</v>
      </c>
      <c r="AM426" s="5">
        <f t="shared" si="58"/>
        <v>0.82352941176470584</v>
      </c>
      <c r="AN426" s="4">
        <f t="shared" si="55"/>
        <v>1.2472993741229927E-3</v>
      </c>
      <c r="AO426" s="3"/>
      <c r="AP426">
        <v>0</v>
      </c>
      <c r="AR426" t="s">
        <v>0</v>
      </c>
      <c r="AT426" s="2" t="s">
        <v>19</v>
      </c>
      <c r="AU426" s="1">
        <f t="shared" si="59"/>
        <v>3.1243627360620545</v>
      </c>
      <c r="AV426" s="1">
        <f t="shared" si="60"/>
        <v>2.2673247935906962</v>
      </c>
      <c r="AW426" s="1">
        <f t="shared" si="61"/>
        <v>1.4102868511193374</v>
      </c>
    </row>
    <row r="427" spans="1:49" x14ac:dyDescent="0.2">
      <c r="A427">
        <v>425</v>
      </c>
      <c r="B427" t="s">
        <v>5150</v>
      </c>
      <c r="C427" t="s">
        <v>5149</v>
      </c>
      <c r="F427" t="s">
        <v>5148</v>
      </c>
      <c r="G427" t="s">
        <v>15</v>
      </c>
      <c r="H427" t="s">
        <v>14</v>
      </c>
      <c r="I427" t="s">
        <v>5147</v>
      </c>
      <c r="J427">
        <v>60029470</v>
      </c>
      <c r="K427" t="s">
        <v>4781</v>
      </c>
      <c r="L427" t="s">
        <v>4780</v>
      </c>
      <c r="M427" t="s">
        <v>1088</v>
      </c>
      <c r="N427">
        <v>3</v>
      </c>
      <c r="O427" t="s">
        <v>5146</v>
      </c>
      <c r="P427" t="s">
        <v>5145</v>
      </c>
      <c r="Q427" t="s">
        <v>5144</v>
      </c>
      <c r="R427" s="7">
        <v>32143</v>
      </c>
      <c r="S427" s="8">
        <f t="shared" si="56"/>
        <v>1988</v>
      </c>
      <c r="T427" s="8">
        <v>1988</v>
      </c>
      <c r="U427" s="8">
        <f t="shared" si="57"/>
        <v>34</v>
      </c>
      <c r="V427" s="7">
        <v>32417</v>
      </c>
      <c r="W427" t="s">
        <v>69</v>
      </c>
      <c r="X427" s="2">
        <v>1.6519999999999999</v>
      </c>
      <c r="Y427" s="6">
        <f t="shared" si="54"/>
        <v>4.409919649769093E-2</v>
      </c>
      <c r="AA427" t="s">
        <v>68</v>
      </c>
      <c r="AB427">
        <v>17337</v>
      </c>
      <c r="AC427">
        <v>15582221</v>
      </c>
      <c r="AD427" t="s">
        <v>4</v>
      </c>
      <c r="AE427">
        <v>36</v>
      </c>
      <c r="AF427">
        <v>10</v>
      </c>
      <c r="AH427" t="s">
        <v>5143</v>
      </c>
      <c r="AI427" t="s">
        <v>5142</v>
      </c>
      <c r="AK427" t="s">
        <v>5141</v>
      </c>
      <c r="AL427">
        <v>10</v>
      </c>
      <c r="AM427" s="5">
        <f t="shared" si="58"/>
        <v>0.29411764705882354</v>
      </c>
      <c r="AN427" s="4">
        <f t="shared" si="55"/>
        <v>4.4546406218678308E-4</v>
      </c>
      <c r="AO427" s="3"/>
      <c r="AP427">
        <v>0</v>
      </c>
      <c r="AR427" t="s">
        <v>0</v>
      </c>
      <c r="AT427" s="2" t="s">
        <v>19</v>
      </c>
      <c r="AU427" s="1">
        <f t="shared" si="59"/>
        <v>3.1003076767039688</v>
      </c>
      <c r="AV427" s="1">
        <f t="shared" si="60"/>
        <v>2.2272330279938855</v>
      </c>
      <c r="AW427" s="1">
        <f t="shared" si="61"/>
        <v>1.3541583792838026</v>
      </c>
    </row>
    <row r="428" spans="1:49" x14ac:dyDescent="0.2">
      <c r="A428">
        <v>426</v>
      </c>
      <c r="B428" t="s">
        <v>5140</v>
      </c>
      <c r="C428" t="s">
        <v>5139</v>
      </c>
      <c r="F428" t="s">
        <v>5138</v>
      </c>
      <c r="G428" t="s">
        <v>15</v>
      </c>
      <c r="H428" t="s">
        <v>14</v>
      </c>
      <c r="I428" t="s">
        <v>5137</v>
      </c>
      <c r="J428" t="s">
        <v>5132</v>
      </c>
      <c r="K428" t="s">
        <v>5136</v>
      </c>
      <c r="L428" t="s">
        <v>5135</v>
      </c>
      <c r="M428" t="s">
        <v>9</v>
      </c>
      <c r="N428">
        <v>2</v>
      </c>
      <c r="O428" t="s">
        <v>5134</v>
      </c>
      <c r="P428" t="s">
        <v>5133</v>
      </c>
      <c r="Q428" t="s">
        <v>5132</v>
      </c>
      <c r="R428" s="7">
        <v>32143</v>
      </c>
      <c r="S428" s="8">
        <f t="shared" si="56"/>
        <v>1988</v>
      </c>
      <c r="T428" s="8">
        <v>1988</v>
      </c>
      <c r="U428" s="8">
        <f t="shared" si="57"/>
        <v>34</v>
      </c>
      <c r="V428" s="7">
        <v>32417</v>
      </c>
      <c r="W428" t="s">
        <v>69</v>
      </c>
      <c r="X428" s="2">
        <v>1.6519999999999999</v>
      </c>
      <c r="Y428" s="6">
        <f t="shared" si="54"/>
        <v>4.409919649769093E-2</v>
      </c>
      <c r="AA428" t="s">
        <v>68</v>
      </c>
      <c r="AB428">
        <v>17337</v>
      </c>
      <c r="AC428">
        <v>15582221</v>
      </c>
      <c r="AD428" t="s">
        <v>4</v>
      </c>
      <c r="AE428">
        <v>36</v>
      </c>
      <c r="AF428">
        <v>10</v>
      </c>
      <c r="AH428" t="s">
        <v>5131</v>
      </c>
      <c r="AI428" t="s">
        <v>5130</v>
      </c>
      <c r="AK428" t="s">
        <v>5129</v>
      </c>
      <c r="AL428">
        <v>3</v>
      </c>
      <c r="AM428" s="5">
        <f t="shared" si="58"/>
        <v>8.8235294117647065E-2</v>
      </c>
      <c r="AN428" s="4">
        <f t="shared" si="55"/>
        <v>1.3363921865603494E-4</v>
      </c>
      <c r="AO428" s="3"/>
      <c r="AP428">
        <v>0</v>
      </c>
      <c r="AR428" t="s">
        <v>5128</v>
      </c>
      <c r="AT428" s="2" t="s">
        <v>19</v>
      </c>
      <c r="AU428" s="1">
        <f t="shared" si="59"/>
        <v>3.0909529313980459</v>
      </c>
      <c r="AV428" s="1">
        <f t="shared" si="60"/>
        <v>2.2116417858173483</v>
      </c>
      <c r="AW428" s="1">
        <f t="shared" si="61"/>
        <v>1.3323306402366504</v>
      </c>
    </row>
    <row r="429" spans="1:49" x14ac:dyDescent="0.2">
      <c r="A429">
        <v>427</v>
      </c>
      <c r="B429" t="s">
        <v>5127</v>
      </c>
      <c r="C429" t="s">
        <v>5126</v>
      </c>
      <c r="F429" t="s">
        <v>5125</v>
      </c>
      <c r="G429" t="s">
        <v>15</v>
      </c>
      <c r="H429" t="s">
        <v>14</v>
      </c>
      <c r="I429" t="s">
        <v>5124</v>
      </c>
      <c r="J429" t="s">
        <v>5123</v>
      </c>
      <c r="K429" t="s">
        <v>5122</v>
      </c>
      <c r="L429" t="s">
        <v>5121</v>
      </c>
      <c r="M429" t="s">
        <v>5120</v>
      </c>
      <c r="N429">
        <v>3</v>
      </c>
      <c r="O429" t="s">
        <v>5119</v>
      </c>
      <c r="P429" t="s">
        <v>5118</v>
      </c>
      <c r="Q429" t="s">
        <v>5117</v>
      </c>
      <c r="R429" s="7">
        <v>32143</v>
      </c>
      <c r="S429" s="8">
        <f t="shared" si="56"/>
        <v>1988</v>
      </c>
      <c r="T429" s="8">
        <v>1988</v>
      </c>
      <c r="U429" s="8">
        <f t="shared" si="57"/>
        <v>34</v>
      </c>
      <c r="V429" s="7">
        <v>32417</v>
      </c>
      <c r="W429" t="s">
        <v>69</v>
      </c>
      <c r="X429" s="2">
        <v>1.6519999999999999</v>
      </c>
      <c r="Y429" s="6">
        <f t="shared" si="54"/>
        <v>4.409919649769093E-2</v>
      </c>
      <c r="AA429" t="s">
        <v>68</v>
      </c>
      <c r="AB429">
        <v>17337</v>
      </c>
      <c r="AC429">
        <v>15582221</v>
      </c>
      <c r="AD429" t="s">
        <v>4</v>
      </c>
      <c r="AE429">
        <v>36</v>
      </c>
      <c r="AF429">
        <v>10</v>
      </c>
      <c r="AH429" t="s">
        <v>5116</v>
      </c>
      <c r="AI429" t="s">
        <v>5115</v>
      </c>
      <c r="AK429" t="s">
        <v>5114</v>
      </c>
      <c r="AL429">
        <v>16</v>
      </c>
      <c r="AM429" s="5">
        <f t="shared" si="58"/>
        <v>0.47058823529411764</v>
      </c>
      <c r="AN429" s="4">
        <f t="shared" si="55"/>
        <v>7.1274249949885291E-4</v>
      </c>
      <c r="AO429" s="3"/>
      <c r="AP429">
        <v>0</v>
      </c>
      <c r="AR429" t="s">
        <v>0</v>
      </c>
      <c r="AT429" s="2" t="s">
        <v>19</v>
      </c>
      <c r="AU429" s="1">
        <f t="shared" si="59"/>
        <v>3.1083260298233308</v>
      </c>
      <c r="AV429" s="1">
        <f t="shared" si="60"/>
        <v>2.2405969498594893</v>
      </c>
      <c r="AW429" s="1">
        <f t="shared" si="61"/>
        <v>1.3728678698956476</v>
      </c>
    </row>
    <row r="430" spans="1:49" x14ac:dyDescent="0.2">
      <c r="A430">
        <v>428</v>
      </c>
      <c r="B430" t="s">
        <v>5113</v>
      </c>
      <c r="C430" t="s">
        <v>5112</v>
      </c>
      <c r="F430" t="s">
        <v>5111</v>
      </c>
      <c r="G430" t="s">
        <v>15</v>
      </c>
      <c r="H430" t="s">
        <v>14</v>
      </c>
      <c r="I430" t="s">
        <v>5110</v>
      </c>
      <c r="J430">
        <v>60024266</v>
      </c>
      <c r="K430" t="s">
        <v>5109</v>
      </c>
      <c r="L430" t="s">
        <v>5108</v>
      </c>
      <c r="M430" t="s">
        <v>31</v>
      </c>
      <c r="N430">
        <v>5</v>
      </c>
      <c r="O430" t="s">
        <v>5107</v>
      </c>
      <c r="P430" t="s">
        <v>5106</v>
      </c>
      <c r="Q430" t="s">
        <v>5105</v>
      </c>
      <c r="R430" s="7">
        <v>32143</v>
      </c>
      <c r="S430" s="8">
        <f t="shared" si="56"/>
        <v>1988</v>
      </c>
      <c r="T430" s="8">
        <v>1988</v>
      </c>
      <c r="U430" s="8">
        <f t="shared" si="57"/>
        <v>34</v>
      </c>
      <c r="V430" s="7" t="s">
        <v>4867</v>
      </c>
      <c r="W430" t="s">
        <v>5104</v>
      </c>
      <c r="X430" s="2" t="s">
        <v>19</v>
      </c>
      <c r="Y430" s="6" t="e">
        <f t="shared" si="54"/>
        <v>#VALUE!</v>
      </c>
      <c r="AA430">
        <v>7481896</v>
      </c>
      <c r="AB430">
        <v>78193</v>
      </c>
      <c r="AD430" t="s">
        <v>4</v>
      </c>
      <c r="AE430">
        <v>14</v>
      </c>
      <c r="AF430">
        <v>2</v>
      </c>
      <c r="AH430" t="s">
        <v>5103</v>
      </c>
      <c r="AI430" t="s">
        <v>5102</v>
      </c>
      <c r="AK430" t="s">
        <v>5101</v>
      </c>
      <c r="AL430">
        <v>4</v>
      </c>
      <c r="AM430" s="5">
        <f t="shared" si="58"/>
        <v>0.11764705882352941</v>
      </c>
      <c r="AN430" s="4">
        <f t="shared" si="55"/>
        <v>1.7818562487471323E-4</v>
      </c>
      <c r="AO430" s="3"/>
      <c r="AP430">
        <v>0</v>
      </c>
      <c r="AR430" t="s">
        <v>0</v>
      </c>
      <c r="AT430" s="2" t="s">
        <v>19</v>
      </c>
      <c r="AU430" s="1" t="e">
        <f t="shared" si="59"/>
        <v>#VALUE!</v>
      </c>
      <c r="AV430" s="1" t="e">
        <f t="shared" si="60"/>
        <v>#VALUE!</v>
      </c>
      <c r="AW430" s="1" t="e">
        <f t="shared" si="61"/>
        <v>#VALUE!</v>
      </c>
    </row>
    <row r="431" spans="1:49" x14ac:dyDescent="0.2">
      <c r="A431">
        <v>429</v>
      </c>
      <c r="B431" t="s">
        <v>5100</v>
      </c>
      <c r="C431" t="s">
        <v>5099</v>
      </c>
      <c r="F431" t="s">
        <v>5098</v>
      </c>
      <c r="G431" t="s">
        <v>15</v>
      </c>
      <c r="H431" t="s">
        <v>14</v>
      </c>
      <c r="I431" t="s">
        <v>5097</v>
      </c>
      <c r="J431">
        <v>60005837</v>
      </c>
      <c r="K431" t="s">
        <v>2905</v>
      </c>
      <c r="L431" t="s">
        <v>2904</v>
      </c>
      <c r="M431" t="s">
        <v>31</v>
      </c>
      <c r="N431">
        <v>2</v>
      </c>
      <c r="O431" t="s">
        <v>5096</v>
      </c>
      <c r="P431" t="s">
        <v>5095</v>
      </c>
      <c r="Q431" t="s">
        <v>2901</v>
      </c>
      <c r="R431" s="7">
        <v>32143</v>
      </c>
      <c r="S431" s="8">
        <f t="shared" si="56"/>
        <v>1988</v>
      </c>
      <c r="T431" s="8">
        <v>1988</v>
      </c>
      <c r="U431" s="8">
        <f t="shared" si="57"/>
        <v>34</v>
      </c>
      <c r="V431" s="7">
        <v>1988</v>
      </c>
      <c r="W431" t="s">
        <v>56</v>
      </c>
      <c r="X431" s="2">
        <v>0.375</v>
      </c>
      <c r="Y431" s="6">
        <f t="shared" si="54"/>
        <v>1.0010410827260351E-2</v>
      </c>
      <c r="AA431">
        <v>135194</v>
      </c>
      <c r="AB431">
        <v>24918</v>
      </c>
      <c r="AD431" t="s">
        <v>4</v>
      </c>
      <c r="AE431">
        <v>24</v>
      </c>
      <c r="AF431">
        <v>18</v>
      </c>
      <c r="AH431" t="s">
        <v>5094</v>
      </c>
      <c r="AI431" t="s">
        <v>5093</v>
      </c>
      <c r="AJ431" t="s">
        <v>5092</v>
      </c>
      <c r="AK431" t="s">
        <v>5091</v>
      </c>
      <c r="AL431">
        <v>171</v>
      </c>
      <c r="AM431" s="5">
        <f t="shared" si="58"/>
        <v>5.0294117647058822</v>
      </c>
      <c r="AN431" s="4">
        <f t="shared" si="55"/>
        <v>7.6174354633939904E-3</v>
      </c>
      <c r="AO431" s="3"/>
      <c r="AP431">
        <v>0</v>
      </c>
      <c r="AR431" t="s">
        <v>0</v>
      </c>
      <c r="AT431" s="2">
        <v>1.3140000000000001</v>
      </c>
      <c r="AU431" s="1">
        <f t="shared" si="59"/>
        <v>0.9292518218100444</v>
      </c>
      <c r="AV431" s="1">
        <f t="shared" si="60"/>
        <v>0.88139231453271716</v>
      </c>
      <c r="AW431" s="1">
        <f t="shared" si="61"/>
        <v>0.83353280725538981</v>
      </c>
    </row>
    <row r="432" spans="1:49" x14ac:dyDescent="0.2">
      <c r="A432">
        <v>430</v>
      </c>
      <c r="B432" t="s">
        <v>5090</v>
      </c>
      <c r="C432" t="s">
        <v>5089</v>
      </c>
      <c r="F432" t="s">
        <v>5088</v>
      </c>
      <c r="G432" t="s">
        <v>15</v>
      </c>
      <c r="H432" t="s">
        <v>14</v>
      </c>
      <c r="I432" t="s">
        <v>5087</v>
      </c>
      <c r="J432" t="s">
        <v>5086</v>
      </c>
      <c r="K432" t="s">
        <v>5085</v>
      </c>
      <c r="L432" t="s">
        <v>5084</v>
      </c>
      <c r="M432" t="s">
        <v>5083</v>
      </c>
      <c r="N432">
        <v>3</v>
      </c>
      <c r="O432" t="s">
        <v>5082</v>
      </c>
      <c r="P432" t="s">
        <v>5081</v>
      </c>
      <c r="Q432" t="s">
        <v>5080</v>
      </c>
      <c r="R432" s="7">
        <v>32143</v>
      </c>
      <c r="S432" s="8">
        <f t="shared" si="56"/>
        <v>1988</v>
      </c>
      <c r="T432" s="8">
        <v>1988</v>
      </c>
      <c r="U432" s="8">
        <f t="shared" si="57"/>
        <v>34</v>
      </c>
      <c r="V432" s="7">
        <v>1988</v>
      </c>
      <c r="W432" t="s">
        <v>56</v>
      </c>
      <c r="X432" s="2">
        <v>0.375</v>
      </c>
      <c r="Y432" s="6">
        <f t="shared" si="54"/>
        <v>1.0010410827260351E-2</v>
      </c>
      <c r="AA432">
        <v>135194</v>
      </c>
      <c r="AB432">
        <v>24918</v>
      </c>
      <c r="AD432" t="s">
        <v>4</v>
      </c>
      <c r="AE432">
        <v>24</v>
      </c>
      <c r="AF432">
        <v>18</v>
      </c>
      <c r="AH432" t="s">
        <v>5079</v>
      </c>
      <c r="AI432" t="s">
        <v>5078</v>
      </c>
      <c r="AJ432" t="s">
        <v>5077</v>
      </c>
      <c r="AK432" t="s">
        <v>5076</v>
      </c>
      <c r="AL432">
        <v>3</v>
      </c>
      <c r="AM432" s="5">
        <f t="shared" si="58"/>
        <v>8.8235294117647065E-2</v>
      </c>
      <c r="AN432" s="4">
        <f t="shared" si="55"/>
        <v>1.3363921865603494E-4</v>
      </c>
      <c r="AO432" s="3"/>
      <c r="AP432">
        <v>0</v>
      </c>
      <c r="AR432" t="s">
        <v>0</v>
      </c>
      <c r="AT432" s="2">
        <v>1.3140000000000001</v>
      </c>
      <c r="AU432" s="1">
        <f t="shared" si="59"/>
        <v>0.70473793446790567</v>
      </c>
      <c r="AV432" s="1">
        <f t="shared" si="60"/>
        <v>0.50720250229581931</v>
      </c>
      <c r="AW432" s="1">
        <f t="shared" si="61"/>
        <v>0.30966707012373296</v>
      </c>
    </row>
    <row r="433" spans="1:49" x14ac:dyDescent="0.2">
      <c r="A433">
        <v>431</v>
      </c>
      <c r="B433" t="s">
        <v>5075</v>
      </c>
      <c r="C433" t="s">
        <v>5074</v>
      </c>
      <c r="F433" t="s">
        <v>5073</v>
      </c>
      <c r="G433" t="s">
        <v>15</v>
      </c>
      <c r="H433" t="s">
        <v>14</v>
      </c>
      <c r="I433" t="s">
        <v>5072</v>
      </c>
      <c r="J433">
        <v>60014652</v>
      </c>
      <c r="K433" t="s">
        <v>2261</v>
      </c>
      <c r="L433" t="s">
        <v>2260</v>
      </c>
      <c r="M433" t="s">
        <v>211</v>
      </c>
      <c r="N433">
        <v>3</v>
      </c>
      <c r="O433" t="s">
        <v>5071</v>
      </c>
      <c r="P433" t="s">
        <v>5070</v>
      </c>
      <c r="Q433" t="s">
        <v>4406</v>
      </c>
      <c r="R433" s="7">
        <v>32143</v>
      </c>
      <c r="S433" s="8">
        <f t="shared" si="56"/>
        <v>1988</v>
      </c>
      <c r="T433" s="8">
        <v>1988</v>
      </c>
      <c r="U433" s="8">
        <f t="shared" si="57"/>
        <v>34</v>
      </c>
      <c r="V433" s="7">
        <v>1988</v>
      </c>
      <c r="W433" t="s">
        <v>56</v>
      </c>
      <c r="X433" s="2">
        <v>0.375</v>
      </c>
      <c r="Y433" s="6">
        <f t="shared" si="54"/>
        <v>1.0010410827260351E-2</v>
      </c>
      <c r="AA433">
        <v>135194</v>
      </c>
      <c r="AB433">
        <v>24918</v>
      </c>
      <c r="AD433" t="s">
        <v>4</v>
      </c>
      <c r="AE433">
        <v>24</v>
      </c>
      <c r="AF433">
        <v>18</v>
      </c>
      <c r="AH433" t="s">
        <v>5069</v>
      </c>
      <c r="AI433" t="s">
        <v>5068</v>
      </c>
      <c r="AJ433" t="s">
        <v>5067</v>
      </c>
      <c r="AK433" t="s">
        <v>5066</v>
      </c>
      <c r="AL433">
        <v>3</v>
      </c>
      <c r="AM433" s="5">
        <f t="shared" si="58"/>
        <v>8.8235294117647065E-2</v>
      </c>
      <c r="AN433" s="4">
        <f t="shared" si="55"/>
        <v>1.3363921865603494E-4</v>
      </c>
      <c r="AO433" s="3"/>
      <c r="AP433">
        <v>0</v>
      </c>
      <c r="AR433" t="s">
        <v>0</v>
      </c>
      <c r="AT433" s="2">
        <v>1.3140000000000001</v>
      </c>
      <c r="AU433" s="1">
        <f t="shared" si="59"/>
        <v>0.70473793446790567</v>
      </c>
      <c r="AV433" s="1">
        <f t="shared" si="60"/>
        <v>0.50720250229581931</v>
      </c>
      <c r="AW433" s="1">
        <f t="shared" si="61"/>
        <v>0.30966707012373296</v>
      </c>
    </row>
    <row r="434" spans="1:49" x14ac:dyDescent="0.2">
      <c r="A434">
        <v>432</v>
      </c>
      <c r="B434" t="s">
        <v>5065</v>
      </c>
      <c r="C434" t="s">
        <v>5064</v>
      </c>
      <c r="F434" t="s">
        <v>5063</v>
      </c>
      <c r="G434" t="s">
        <v>15</v>
      </c>
      <c r="H434" t="s">
        <v>14</v>
      </c>
      <c r="I434" t="s">
        <v>3729</v>
      </c>
      <c r="J434">
        <v>60009037</v>
      </c>
      <c r="K434" t="s">
        <v>400</v>
      </c>
      <c r="L434" t="s">
        <v>399</v>
      </c>
      <c r="M434" t="s">
        <v>31</v>
      </c>
      <c r="N434">
        <v>1</v>
      </c>
      <c r="O434" t="s">
        <v>5062</v>
      </c>
      <c r="P434">
        <v>57190244601</v>
      </c>
      <c r="Q434">
        <v>60009037</v>
      </c>
      <c r="R434" s="7">
        <v>32143</v>
      </c>
      <c r="S434" s="8">
        <f t="shared" si="56"/>
        <v>1988</v>
      </c>
      <c r="T434" s="8">
        <v>1988</v>
      </c>
      <c r="U434" s="8">
        <f t="shared" si="57"/>
        <v>34</v>
      </c>
      <c r="V434" s="7">
        <v>1988</v>
      </c>
      <c r="W434" t="s">
        <v>56</v>
      </c>
      <c r="X434" s="2">
        <v>0.375</v>
      </c>
      <c r="Y434" s="6">
        <f t="shared" si="54"/>
        <v>1.0010410827260351E-2</v>
      </c>
      <c r="AA434">
        <v>135194</v>
      </c>
      <c r="AB434">
        <v>24918</v>
      </c>
      <c r="AD434" t="s">
        <v>4</v>
      </c>
      <c r="AE434">
        <v>24</v>
      </c>
      <c r="AF434">
        <v>18</v>
      </c>
      <c r="AH434" t="s">
        <v>5061</v>
      </c>
      <c r="AI434" t="s">
        <v>5060</v>
      </c>
      <c r="AJ434" t="s">
        <v>5059</v>
      </c>
      <c r="AK434" t="s">
        <v>5058</v>
      </c>
      <c r="AL434">
        <v>4</v>
      </c>
      <c r="AM434" s="5">
        <f t="shared" si="58"/>
        <v>0.11764705882352941</v>
      </c>
      <c r="AN434" s="4">
        <f t="shared" si="55"/>
        <v>1.7818562487471323E-4</v>
      </c>
      <c r="AO434" s="3"/>
      <c r="AP434">
        <v>0</v>
      </c>
      <c r="AR434" t="s">
        <v>0</v>
      </c>
      <c r="AT434" s="2">
        <v>1.3140000000000001</v>
      </c>
      <c r="AU434" s="1">
        <f t="shared" si="59"/>
        <v>0.70607432665446601</v>
      </c>
      <c r="AV434" s="1">
        <f t="shared" si="60"/>
        <v>0.50942982260675329</v>
      </c>
      <c r="AW434" s="1">
        <f t="shared" si="61"/>
        <v>0.31278531855904046</v>
      </c>
    </row>
    <row r="435" spans="1:49" x14ac:dyDescent="0.2">
      <c r="A435">
        <v>433</v>
      </c>
      <c r="B435" t="s">
        <v>5057</v>
      </c>
      <c r="C435" t="s">
        <v>5056</v>
      </c>
      <c r="F435" t="s">
        <v>5055</v>
      </c>
      <c r="G435" t="s">
        <v>15</v>
      </c>
      <c r="H435" t="s">
        <v>14</v>
      </c>
      <c r="I435" t="s">
        <v>5054</v>
      </c>
      <c r="N435">
        <v>2</v>
      </c>
      <c r="O435" t="s">
        <v>5053</v>
      </c>
      <c r="P435" t="s">
        <v>5052</v>
      </c>
      <c r="Q435" t="s">
        <v>501</v>
      </c>
      <c r="R435" s="7">
        <v>32143</v>
      </c>
      <c r="S435" s="8">
        <f t="shared" si="56"/>
        <v>1988</v>
      </c>
      <c r="T435" s="8">
        <v>1988</v>
      </c>
      <c r="U435" s="8">
        <f t="shared" si="57"/>
        <v>34</v>
      </c>
      <c r="V435" s="7" t="s">
        <v>5051</v>
      </c>
      <c r="W435" t="s">
        <v>1307</v>
      </c>
      <c r="X435" s="2">
        <v>0.371</v>
      </c>
      <c r="Y435" s="6">
        <f t="shared" si="54"/>
        <v>9.9036331117695747E-3</v>
      </c>
      <c r="AA435">
        <v>486604</v>
      </c>
      <c r="AB435">
        <v>28580</v>
      </c>
      <c r="AC435" t="s">
        <v>1306</v>
      </c>
      <c r="AD435" t="s">
        <v>4</v>
      </c>
      <c r="AE435">
        <v>23</v>
      </c>
      <c r="AF435">
        <v>5</v>
      </c>
      <c r="AH435" t="s">
        <v>5050</v>
      </c>
      <c r="AI435" t="s">
        <v>5049</v>
      </c>
      <c r="AK435" t="s">
        <v>5048</v>
      </c>
      <c r="AL435">
        <v>7</v>
      </c>
      <c r="AM435" s="5">
        <f t="shared" si="58"/>
        <v>0.20588235294117646</v>
      </c>
      <c r="AN435" s="4">
        <f t="shared" si="55"/>
        <v>3.1182484353074817E-4</v>
      </c>
      <c r="AO435" s="3"/>
      <c r="AP435">
        <v>0</v>
      </c>
      <c r="AR435" t="s">
        <v>0</v>
      </c>
      <c r="AT435" s="2">
        <v>1.431</v>
      </c>
      <c r="AU435" s="1">
        <f t="shared" si="59"/>
        <v>0.70260906312979254</v>
      </c>
      <c r="AV435" s="1">
        <f t="shared" si="60"/>
        <v>0.51077289776501611</v>
      </c>
      <c r="AW435" s="1">
        <f t="shared" si="61"/>
        <v>0.31893673240023962</v>
      </c>
    </row>
    <row r="436" spans="1:49" x14ac:dyDescent="0.2">
      <c r="A436">
        <v>434</v>
      </c>
      <c r="B436" t="s">
        <v>5047</v>
      </c>
      <c r="C436" t="s">
        <v>5046</v>
      </c>
      <c r="F436" t="s">
        <v>5045</v>
      </c>
      <c r="G436" t="s">
        <v>15</v>
      </c>
      <c r="H436" t="s">
        <v>14</v>
      </c>
      <c r="I436" t="s">
        <v>5044</v>
      </c>
      <c r="J436">
        <v>60023345</v>
      </c>
      <c r="K436" t="s">
        <v>5043</v>
      </c>
      <c r="L436" t="s">
        <v>5042</v>
      </c>
      <c r="M436" t="s">
        <v>300</v>
      </c>
      <c r="N436">
        <v>3</v>
      </c>
      <c r="O436" t="s">
        <v>5041</v>
      </c>
      <c r="P436" t="s">
        <v>5040</v>
      </c>
      <c r="Q436" t="s">
        <v>5039</v>
      </c>
      <c r="R436" s="7">
        <v>32143</v>
      </c>
      <c r="S436" s="8">
        <f t="shared" si="56"/>
        <v>1988</v>
      </c>
      <c r="T436" s="8">
        <v>1988</v>
      </c>
      <c r="U436" s="8">
        <f t="shared" si="57"/>
        <v>34</v>
      </c>
      <c r="V436" s="7">
        <v>32387</v>
      </c>
      <c r="W436" t="s">
        <v>2450</v>
      </c>
      <c r="X436" s="2">
        <v>2.141</v>
      </c>
      <c r="Y436" s="6">
        <f t="shared" si="54"/>
        <v>5.7152772216438434E-2</v>
      </c>
      <c r="AA436">
        <v>1962892</v>
      </c>
      <c r="AB436">
        <v>17360</v>
      </c>
      <c r="AC436">
        <v>15580644</v>
      </c>
      <c r="AD436" t="s">
        <v>4</v>
      </c>
      <c r="AE436">
        <v>26</v>
      </c>
      <c r="AF436">
        <v>5</v>
      </c>
      <c r="AH436" t="s">
        <v>5038</v>
      </c>
      <c r="AI436" t="s">
        <v>5037</v>
      </c>
      <c r="AJ436" t="s">
        <v>5036</v>
      </c>
      <c r="AK436" t="s">
        <v>5035</v>
      </c>
      <c r="AL436">
        <v>1</v>
      </c>
      <c r="AM436" s="5">
        <f t="shared" si="58"/>
        <v>2.9411764705882353E-2</v>
      </c>
      <c r="AN436" s="4">
        <f t="shared" si="55"/>
        <v>4.4546406218678307E-5</v>
      </c>
      <c r="AO436" s="3"/>
      <c r="AP436">
        <v>0</v>
      </c>
      <c r="AR436" t="s">
        <v>0</v>
      </c>
      <c r="AT436" s="2" t="s">
        <v>19</v>
      </c>
      <c r="AU436" s="1">
        <f t="shared" si="59"/>
        <v>4.0020304473372503</v>
      </c>
      <c r="AV436" s="1">
        <f t="shared" si="60"/>
        <v>2.8598659311328554</v>
      </c>
      <c r="AW436" s="1">
        <f t="shared" si="61"/>
        <v>1.7177014149284606</v>
      </c>
    </row>
    <row r="437" spans="1:49" x14ac:dyDescent="0.2">
      <c r="A437">
        <v>435</v>
      </c>
      <c r="B437" t="s">
        <v>5034</v>
      </c>
      <c r="C437" t="s">
        <v>5033</v>
      </c>
      <c r="F437" t="s">
        <v>5032</v>
      </c>
      <c r="G437" t="s">
        <v>15</v>
      </c>
      <c r="H437" t="s">
        <v>14</v>
      </c>
      <c r="I437" t="s">
        <v>5031</v>
      </c>
      <c r="J437">
        <v>60032912</v>
      </c>
      <c r="K437" t="s">
        <v>5030</v>
      </c>
      <c r="L437" t="s">
        <v>2095</v>
      </c>
      <c r="M437" t="s">
        <v>1011</v>
      </c>
      <c r="N437">
        <v>1</v>
      </c>
      <c r="O437" t="s">
        <v>5029</v>
      </c>
      <c r="P437">
        <v>7201863037</v>
      </c>
      <c r="Q437">
        <v>60032912</v>
      </c>
      <c r="R437" s="7">
        <v>32143</v>
      </c>
      <c r="S437" s="8">
        <f t="shared" si="56"/>
        <v>1988</v>
      </c>
      <c r="T437" s="8">
        <v>1988</v>
      </c>
      <c r="U437" s="8">
        <f t="shared" si="57"/>
        <v>34</v>
      </c>
      <c r="V437" s="7" t="s">
        <v>4904</v>
      </c>
      <c r="W437" t="s">
        <v>1058</v>
      </c>
      <c r="X437" s="2" t="s">
        <v>19</v>
      </c>
      <c r="Y437" s="6" t="e">
        <f t="shared" si="54"/>
        <v>#VALUE!</v>
      </c>
      <c r="AA437">
        <v>2671689</v>
      </c>
      <c r="AB437">
        <v>87645</v>
      </c>
      <c r="AD437" t="s">
        <v>4</v>
      </c>
      <c r="AE437">
        <v>58</v>
      </c>
      <c r="AF437">
        <v>6</v>
      </c>
      <c r="AH437" t="s">
        <v>5028</v>
      </c>
      <c r="AL437">
        <v>0</v>
      </c>
      <c r="AM437" s="5">
        <f t="shared" si="58"/>
        <v>0</v>
      </c>
      <c r="AN437" s="4">
        <f t="shared" si="55"/>
        <v>0</v>
      </c>
      <c r="AO437" s="3"/>
      <c r="AP437">
        <v>0</v>
      </c>
      <c r="AR437" t="s">
        <v>0</v>
      </c>
      <c r="AT437" s="2" t="s">
        <v>19</v>
      </c>
      <c r="AU437" s="1" t="e">
        <f t="shared" si="59"/>
        <v>#VALUE!</v>
      </c>
      <c r="AV437" s="1" t="e">
        <f t="shared" si="60"/>
        <v>#VALUE!</v>
      </c>
      <c r="AW437" s="1" t="e">
        <f t="shared" si="61"/>
        <v>#VALUE!</v>
      </c>
    </row>
    <row r="438" spans="1:49" x14ac:dyDescent="0.2">
      <c r="A438">
        <v>436</v>
      </c>
      <c r="B438" t="s">
        <v>5027</v>
      </c>
      <c r="C438" t="s">
        <v>5026</v>
      </c>
      <c r="F438" t="s">
        <v>5025</v>
      </c>
      <c r="G438" t="s">
        <v>15</v>
      </c>
      <c r="H438" t="s">
        <v>14</v>
      </c>
      <c r="I438" t="s">
        <v>5024</v>
      </c>
      <c r="J438">
        <v>60028333</v>
      </c>
      <c r="K438" t="s">
        <v>5023</v>
      </c>
      <c r="L438" t="s">
        <v>3295</v>
      </c>
      <c r="M438" t="s">
        <v>1088</v>
      </c>
      <c r="N438">
        <v>2</v>
      </c>
      <c r="O438" t="s">
        <v>5022</v>
      </c>
      <c r="P438" t="s">
        <v>5021</v>
      </c>
      <c r="Q438" t="s">
        <v>5020</v>
      </c>
      <c r="R438" s="7">
        <v>32143</v>
      </c>
      <c r="S438" s="8">
        <f t="shared" si="56"/>
        <v>1988</v>
      </c>
      <c r="T438" s="8">
        <v>1988</v>
      </c>
      <c r="U438" s="8">
        <f t="shared" si="57"/>
        <v>34</v>
      </c>
      <c r="V438" s="7">
        <v>1988</v>
      </c>
      <c r="W438" t="s">
        <v>56</v>
      </c>
      <c r="X438" s="2">
        <v>0.375</v>
      </c>
      <c r="Y438" s="6">
        <f t="shared" si="54"/>
        <v>1.0010410827260351E-2</v>
      </c>
      <c r="AA438">
        <v>135194</v>
      </c>
      <c r="AB438">
        <v>24918</v>
      </c>
      <c r="AD438" t="s">
        <v>4</v>
      </c>
      <c r="AE438">
        <v>24</v>
      </c>
      <c r="AF438">
        <v>20</v>
      </c>
      <c r="AH438" t="s">
        <v>5019</v>
      </c>
      <c r="AI438" t="s">
        <v>5018</v>
      </c>
      <c r="AJ438" t="s">
        <v>5017</v>
      </c>
      <c r="AK438" t="s">
        <v>5016</v>
      </c>
      <c r="AL438">
        <v>4</v>
      </c>
      <c r="AM438" s="5">
        <f t="shared" si="58"/>
        <v>0.11764705882352941</v>
      </c>
      <c r="AN438" s="4">
        <f t="shared" si="55"/>
        <v>1.7818562487471323E-4</v>
      </c>
      <c r="AO438" s="3"/>
      <c r="AP438">
        <v>0</v>
      </c>
      <c r="AR438" t="s">
        <v>0</v>
      </c>
      <c r="AT438" s="2">
        <v>1.3140000000000001</v>
      </c>
      <c r="AU438" s="1">
        <f t="shared" si="59"/>
        <v>0.70607432665446601</v>
      </c>
      <c r="AV438" s="1">
        <f t="shared" si="60"/>
        <v>0.50942982260675329</v>
      </c>
      <c r="AW438" s="1">
        <f t="shared" si="61"/>
        <v>0.31278531855904046</v>
      </c>
    </row>
    <row r="439" spans="1:49" x14ac:dyDescent="0.2">
      <c r="A439">
        <v>437</v>
      </c>
      <c r="B439" t="s">
        <v>5015</v>
      </c>
      <c r="C439" t="s">
        <v>5014</v>
      </c>
      <c r="F439" t="s">
        <v>5013</v>
      </c>
      <c r="G439" t="s">
        <v>15</v>
      </c>
      <c r="H439" t="s">
        <v>14</v>
      </c>
      <c r="I439" t="s">
        <v>5012</v>
      </c>
      <c r="J439">
        <v>60031126</v>
      </c>
      <c r="K439" t="s">
        <v>2070</v>
      </c>
      <c r="L439" t="s">
        <v>212</v>
      </c>
      <c r="M439" t="s">
        <v>211</v>
      </c>
      <c r="N439">
        <v>4</v>
      </c>
      <c r="O439" t="s">
        <v>5011</v>
      </c>
      <c r="P439" t="s">
        <v>5010</v>
      </c>
      <c r="Q439" t="s">
        <v>5009</v>
      </c>
      <c r="R439" s="7">
        <v>32143</v>
      </c>
      <c r="S439" s="8">
        <f t="shared" si="56"/>
        <v>1988</v>
      </c>
      <c r="T439" s="8">
        <v>1988</v>
      </c>
      <c r="U439" s="8">
        <f t="shared" si="57"/>
        <v>34</v>
      </c>
      <c r="V439" s="7">
        <v>32387</v>
      </c>
      <c r="W439" t="s">
        <v>1225</v>
      </c>
      <c r="X439" s="2">
        <v>0.111</v>
      </c>
      <c r="Y439" s="6">
        <f t="shared" si="54"/>
        <v>2.9630816048690639E-3</v>
      </c>
      <c r="AA439">
        <v>87566621</v>
      </c>
      <c r="AB439">
        <v>24890</v>
      </c>
      <c r="AC439">
        <v>15206424</v>
      </c>
      <c r="AD439" t="s">
        <v>4</v>
      </c>
      <c r="AE439">
        <v>71</v>
      </c>
      <c r="AF439">
        <v>9</v>
      </c>
      <c r="AH439" t="s">
        <v>5008</v>
      </c>
      <c r="AI439" t="s">
        <v>5007</v>
      </c>
      <c r="AK439" t="s">
        <v>5006</v>
      </c>
      <c r="AL439">
        <v>0</v>
      </c>
      <c r="AM439" s="5">
        <f t="shared" si="58"/>
        <v>0</v>
      </c>
      <c r="AN439" s="4">
        <f t="shared" si="55"/>
        <v>0</v>
      </c>
      <c r="AO439" s="3"/>
      <c r="AP439">
        <v>0</v>
      </c>
      <c r="AR439" t="s">
        <v>0</v>
      </c>
      <c r="AT439" s="2" t="s">
        <v>19</v>
      </c>
      <c r="AU439" s="1">
        <f t="shared" si="59"/>
        <v>0.20741571234083445</v>
      </c>
      <c r="AV439" s="1">
        <f t="shared" si="60"/>
        <v>0.1481540802434532</v>
      </c>
      <c r="AW439" s="1">
        <f t="shared" si="61"/>
        <v>8.8892448146071903E-2</v>
      </c>
    </row>
    <row r="440" spans="1:49" x14ac:dyDescent="0.2">
      <c r="A440">
        <v>438</v>
      </c>
      <c r="B440" t="s">
        <v>5005</v>
      </c>
      <c r="C440" t="s">
        <v>5004</v>
      </c>
      <c r="F440" t="s">
        <v>5003</v>
      </c>
      <c r="G440" t="s">
        <v>15</v>
      </c>
      <c r="H440" t="s">
        <v>14</v>
      </c>
      <c r="I440" t="s">
        <v>5002</v>
      </c>
      <c r="J440">
        <v>60000809</v>
      </c>
      <c r="K440" t="s">
        <v>5001</v>
      </c>
      <c r="L440" t="s">
        <v>5000</v>
      </c>
      <c r="M440" t="s">
        <v>211</v>
      </c>
      <c r="N440">
        <v>2</v>
      </c>
      <c r="O440" t="s">
        <v>4999</v>
      </c>
      <c r="P440" t="s">
        <v>4998</v>
      </c>
      <c r="Q440" t="s">
        <v>4997</v>
      </c>
      <c r="R440" s="7">
        <v>32143</v>
      </c>
      <c r="S440" s="8">
        <f t="shared" si="56"/>
        <v>1988</v>
      </c>
      <c r="T440" s="8">
        <v>1988</v>
      </c>
      <c r="U440" s="8">
        <f t="shared" si="57"/>
        <v>34</v>
      </c>
      <c r="V440" s="7">
        <v>32387</v>
      </c>
      <c r="W440" t="s">
        <v>2450</v>
      </c>
      <c r="X440" s="2">
        <v>2.141</v>
      </c>
      <c r="Y440" s="6">
        <f t="shared" si="54"/>
        <v>5.7152772216438434E-2</v>
      </c>
      <c r="AA440">
        <v>1962892</v>
      </c>
      <c r="AB440">
        <v>17360</v>
      </c>
      <c r="AC440">
        <v>15580644</v>
      </c>
      <c r="AD440" t="s">
        <v>4</v>
      </c>
      <c r="AE440">
        <v>26</v>
      </c>
      <c r="AF440">
        <v>5</v>
      </c>
      <c r="AH440" t="s">
        <v>4996</v>
      </c>
      <c r="AI440" t="s">
        <v>4995</v>
      </c>
      <c r="AK440" t="s">
        <v>4994</v>
      </c>
      <c r="AL440">
        <v>2</v>
      </c>
      <c r="AM440" s="5">
        <f t="shared" si="58"/>
        <v>5.8823529411764705E-2</v>
      </c>
      <c r="AN440" s="4">
        <f t="shared" si="55"/>
        <v>8.9092812437356614E-5</v>
      </c>
      <c r="AO440" s="3"/>
      <c r="AP440">
        <v>0</v>
      </c>
      <c r="AR440" t="s">
        <v>0</v>
      </c>
      <c r="AT440" s="2" t="s">
        <v>19</v>
      </c>
      <c r="AU440" s="1">
        <f t="shared" si="59"/>
        <v>4.0033668395238111</v>
      </c>
      <c r="AV440" s="1">
        <f t="shared" si="60"/>
        <v>2.8620932514437896</v>
      </c>
      <c r="AW440" s="1">
        <f t="shared" si="61"/>
        <v>1.720819663363768</v>
      </c>
    </row>
    <row r="441" spans="1:49" x14ac:dyDescent="0.2">
      <c r="A441">
        <v>439</v>
      </c>
      <c r="B441" t="s">
        <v>4993</v>
      </c>
      <c r="C441" t="s">
        <v>4992</v>
      </c>
      <c r="F441" t="s">
        <v>4991</v>
      </c>
      <c r="G441" t="s">
        <v>15</v>
      </c>
      <c r="H441" t="s">
        <v>14</v>
      </c>
      <c r="I441" t="s">
        <v>4990</v>
      </c>
      <c r="J441" t="s">
        <v>4989</v>
      </c>
      <c r="K441" t="s">
        <v>4988</v>
      </c>
      <c r="L441" t="s">
        <v>4987</v>
      </c>
      <c r="M441" t="s">
        <v>1295</v>
      </c>
      <c r="N441">
        <v>3</v>
      </c>
      <c r="O441" t="s">
        <v>4986</v>
      </c>
      <c r="P441" t="s">
        <v>4985</v>
      </c>
      <c r="Q441" t="s">
        <v>4984</v>
      </c>
      <c r="R441" s="7">
        <v>32143</v>
      </c>
      <c r="S441" s="8">
        <f t="shared" si="56"/>
        <v>1988</v>
      </c>
      <c r="T441" s="8">
        <v>1988</v>
      </c>
      <c r="U441" s="8">
        <f t="shared" si="57"/>
        <v>34</v>
      </c>
      <c r="V441" s="7">
        <v>1988</v>
      </c>
      <c r="W441" t="s">
        <v>56</v>
      </c>
      <c r="X441" s="2">
        <v>0.375</v>
      </c>
      <c r="Y441" s="6">
        <f t="shared" si="54"/>
        <v>1.0010410827260351E-2</v>
      </c>
      <c r="AA441">
        <v>135194</v>
      </c>
      <c r="AB441">
        <v>24918</v>
      </c>
      <c r="AD441" t="s">
        <v>4</v>
      </c>
      <c r="AE441">
        <v>24</v>
      </c>
      <c r="AF441">
        <v>19</v>
      </c>
      <c r="AH441" t="s">
        <v>4983</v>
      </c>
      <c r="AI441" t="s">
        <v>4982</v>
      </c>
      <c r="AJ441" t="s">
        <v>2886</v>
      </c>
      <c r="AK441" t="s">
        <v>4981</v>
      </c>
      <c r="AL441">
        <v>13</v>
      </c>
      <c r="AM441" s="5">
        <f t="shared" si="58"/>
        <v>0.38235294117647056</v>
      </c>
      <c r="AN441" s="4">
        <f t="shared" si="55"/>
        <v>5.7910328084281794E-4</v>
      </c>
      <c r="AO441" s="3"/>
      <c r="AP441">
        <v>0</v>
      </c>
      <c r="AR441" t="s">
        <v>0</v>
      </c>
      <c r="AT441" s="2">
        <v>1.3140000000000001</v>
      </c>
      <c r="AU441" s="1">
        <f t="shared" si="59"/>
        <v>0.71810185633350909</v>
      </c>
      <c r="AV441" s="1">
        <f t="shared" si="60"/>
        <v>0.52947570540515854</v>
      </c>
      <c r="AW441" s="1">
        <f t="shared" si="61"/>
        <v>0.34084955447680776</v>
      </c>
    </row>
    <row r="442" spans="1:49" x14ac:dyDescent="0.2">
      <c r="A442">
        <v>440</v>
      </c>
      <c r="B442" t="s">
        <v>4980</v>
      </c>
      <c r="C442" t="s">
        <v>4979</v>
      </c>
      <c r="F442" t="s">
        <v>4978</v>
      </c>
      <c r="G442" t="s">
        <v>15</v>
      </c>
      <c r="H442" t="s">
        <v>14</v>
      </c>
      <c r="I442" t="s">
        <v>4977</v>
      </c>
      <c r="J442">
        <v>101024736</v>
      </c>
      <c r="K442" t="s">
        <v>4976</v>
      </c>
      <c r="M442" t="s">
        <v>481</v>
      </c>
      <c r="N442">
        <v>1</v>
      </c>
      <c r="O442" t="s">
        <v>4975</v>
      </c>
      <c r="P442">
        <v>6603792097</v>
      </c>
      <c r="Q442">
        <v>101024736</v>
      </c>
      <c r="R442" s="7">
        <v>32143</v>
      </c>
      <c r="S442" s="8">
        <f t="shared" si="56"/>
        <v>1988</v>
      </c>
      <c r="T442" s="8">
        <v>1988</v>
      </c>
      <c r="U442" s="8">
        <f t="shared" si="57"/>
        <v>34</v>
      </c>
      <c r="V442" s="7" t="s">
        <v>4904</v>
      </c>
      <c r="W442" t="s">
        <v>1058</v>
      </c>
      <c r="X442" s="2" t="s">
        <v>19</v>
      </c>
      <c r="Y442" s="6" t="e">
        <f t="shared" si="54"/>
        <v>#VALUE!</v>
      </c>
      <c r="AA442">
        <v>2671689</v>
      </c>
      <c r="AB442">
        <v>87645</v>
      </c>
      <c r="AD442" t="s">
        <v>4</v>
      </c>
      <c r="AE442">
        <v>58</v>
      </c>
      <c r="AF442">
        <v>6</v>
      </c>
      <c r="AH442" t="s">
        <v>4974</v>
      </c>
      <c r="AI442" t="s">
        <v>4973</v>
      </c>
      <c r="AK442" t="s">
        <v>4972</v>
      </c>
      <c r="AL442">
        <v>2</v>
      </c>
      <c r="AM442" s="5">
        <f t="shared" si="58"/>
        <v>5.8823529411764705E-2</v>
      </c>
      <c r="AN442" s="4">
        <f t="shared" si="55"/>
        <v>8.9092812437356614E-5</v>
      </c>
      <c r="AO442" s="3"/>
      <c r="AP442">
        <v>0</v>
      </c>
      <c r="AR442" t="s">
        <v>0</v>
      </c>
      <c r="AT442" s="2" t="s">
        <v>19</v>
      </c>
      <c r="AU442" s="1" t="e">
        <f t="shared" si="59"/>
        <v>#VALUE!</v>
      </c>
      <c r="AV442" s="1" t="e">
        <f t="shared" si="60"/>
        <v>#VALUE!</v>
      </c>
      <c r="AW442" s="1" t="e">
        <f t="shared" si="61"/>
        <v>#VALUE!</v>
      </c>
    </row>
    <row r="443" spans="1:49" x14ac:dyDescent="0.2">
      <c r="A443">
        <v>441</v>
      </c>
      <c r="B443" t="s">
        <v>4971</v>
      </c>
      <c r="C443" t="s">
        <v>4970</v>
      </c>
      <c r="F443" t="s">
        <v>4969</v>
      </c>
      <c r="G443" t="s">
        <v>15</v>
      </c>
      <c r="H443" t="s">
        <v>14</v>
      </c>
      <c r="I443" t="s">
        <v>4968</v>
      </c>
      <c r="J443">
        <v>117137981</v>
      </c>
      <c r="K443" t="s">
        <v>4967</v>
      </c>
      <c r="L443" t="s">
        <v>4966</v>
      </c>
      <c r="M443" t="s">
        <v>31</v>
      </c>
      <c r="N443">
        <v>1</v>
      </c>
      <c r="O443" t="s">
        <v>4965</v>
      </c>
      <c r="P443">
        <v>57197514561</v>
      </c>
      <c r="Q443">
        <v>117137981</v>
      </c>
      <c r="R443" s="7">
        <v>32143</v>
      </c>
      <c r="S443" s="8">
        <f t="shared" si="56"/>
        <v>1988</v>
      </c>
      <c r="T443" s="8">
        <v>1988</v>
      </c>
      <c r="U443" s="8">
        <f t="shared" si="57"/>
        <v>34</v>
      </c>
      <c r="V443" s="7" t="s">
        <v>4964</v>
      </c>
      <c r="W443" t="s">
        <v>4963</v>
      </c>
      <c r="X443" s="2" t="s">
        <v>19</v>
      </c>
      <c r="Y443" s="6" t="e">
        <f t="shared" si="54"/>
        <v>#VALUE!</v>
      </c>
      <c r="AA443">
        <v>281522</v>
      </c>
      <c r="AB443">
        <v>12174</v>
      </c>
      <c r="AC443">
        <v>21614296</v>
      </c>
      <c r="AD443" t="s">
        <v>4</v>
      </c>
      <c r="AE443">
        <v>35</v>
      </c>
      <c r="AF443">
        <v>3</v>
      </c>
      <c r="AH443" t="s">
        <v>4962</v>
      </c>
      <c r="AI443" t="s">
        <v>4961</v>
      </c>
      <c r="AK443" t="s">
        <v>4960</v>
      </c>
      <c r="AL443">
        <v>0</v>
      </c>
      <c r="AM443" s="5">
        <f t="shared" si="58"/>
        <v>0</v>
      </c>
      <c r="AN443" s="4">
        <f t="shared" si="55"/>
        <v>0</v>
      </c>
      <c r="AO443" s="3"/>
      <c r="AP443">
        <v>0</v>
      </c>
      <c r="AR443" t="s">
        <v>0</v>
      </c>
      <c r="AT443" s="2" t="s">
        <v>19</v>
      </c>
      <c r="AU443" s="1" t="e">
        <f t="shared" si="59"/>
        <v>#VALUE!</v>
      </c>
      <c r="AV443" s="1" t="e">
        <f t="shared" si="60"/>
        <v>#VALUE!</v>
      </c>
      <c r="AW443" s="1" t="e">
        <f t="shared" si="61"/>
        <v>#VALUE!</v>
      </c>
    </row>
    <row r="444" spans="1:49" x14ac:dyDescent="0.2">
      <c r="A444">
        <v>442</v>
      </c>
      <c r="B444" t="s">
        <v>4959</v>
      </c>
      <c r="C444" t="s">
        <v>4958</v>
      </c>
      <c r="F444" t="s">
        <v>4957</v>
      </c>
      <c r="G444" t="s">
        <v>15</v>
      </c>
      <c r="H444" t="s">
        <v>14</v>
      </c>
      <c r="I444" t="s">
        <v>4956</v>
      </c>
      <c r="J444">
        <v>60031828</v>
      </c>
      <c r="K444" t="s">
        <v>4955</v>
      </c>
      <c r="L444" t="s">
        <v>4954</v>
      </c>
      <c r="M444" t="s">
        <v>481</v>
      </c>
      <c r="N444">
        <v>2</v>
      </c>
      <c r="O444" t="s">
        <v>4953</v>
      </c>
      <c r="P444" t="s">
        <v>4952</v>
      </c>
      <c r="Q444" t="s">
        <v>4951</v>
      </c>
      <c r="R444" s="7">
        <v>32143</v>
      </c>
      <c r="S444" s="8">
        <f t="shared" si="56"/>
        <v>1988</v>
      </c>
      <c r="T444" s="8">
        <v>1988</v>
      </c>
      <c r="U444" s="8">
        <f t="shared" si="57"/>
        <v>34</v>
      </c>
      <c r="V444" s="7">
        <v>32387</v>
      </c>
      <c r="W444" t="s">
        <v>3814</v>
      </c>
      <c r="X444" s="2">
        <v>1.6379999999999999</v>
      </c>
      <c r="Y444" s="6">
        <f t="shared" si="54"/>
        <v>4.3725474493473214E-2</v>
      </c>
      <c r="AA444">
        <v>963518</v>
      </c>
      <c r="AB444">
        <v>31560</v>
      </c>
      <c r="AD444" t="s">
        <v>4</v>
      </c>
      <c r="AE444">
        <v>36</v>
      </c>
      <c r="AF444">
        <v>9</v>
      </c>
      <c r="AH444" t="s">
        <v>4950</v>
      </c>
      <c r="AI444" t="s">
        <v>4949</v>
      </c>
      <c r="AK444" t="s">
        <v>4948</v>
      </c>
      <c r="AL444">
        <v>9</v>
      </c>
      <c r="AM444" s="5">
        <f t="shared" si="58"/>
        <v>0.26470588235294118</v>
      </c>
      <c r="AN444" s="4">
        <f t="shared" si="55"/>
        <v>4.009176559681048E-4</v>
      </c>
      <c r="AO444" s="3"/>
      <c r="AP444">
        <v>0</v>
      </c>
      <c r="AR444" t="s">
        <v>0</v>
      </c>
      <c r="AT444" s="2" t="s">
        <v>19</v>
      </c>
      <c r="AU444" s="1">
        <f t="shared" si="59"/>
        <v>3.0728107442221679</v>
      </c>
      <c r="AV444" s="1">
        <f t="shared" si="60"/>
        <v>2.2063196074720661</v>
      </c>
      <c r="AW444" s="1">
        <f t="shared" si="61"/>
        <v>1.3398284707219636</v>
      </c>
    </row>
    <row r="445" spans="1:49" x14ac:dyDescent="0.2">
      <c r="A445">
        <v>443</v>
      </c>
      <c r="B445" t="s">
        <v>4947</v>
      </c>
      <c r="C445" t="s">
        <v>4946</v>
      </c>
      <c r="F445" t="s">
        <v>4945</v>
      </c>
      <c r="G445" t="s">
        <v>15</v>
      </c>
      <c r="H445" t="s">
        <v>14</v>
      </c>
      <c r="I445" t="s">
        <v>4944</v>
      </c>
      <c r="N445">
        <v>1</v>
      </c>
      <c r="O445" t="s">
        <v>4943</v>
      </c>
      <c r="P445">
        <v>57225459439</v>
      </c>
      <c r="R445" s="7">
        <v>32143</v>
      </c>
      <c r="S445" s="8">
        <f t="shared" si="56"/>
        <v>1988</v>
      </c>
      <c r="T445" s="8">
        <v>1988</v>
      </c>
      <c r="U445" s="8">
        <f t="shared" si="57"/>
        <v>34</v>
      </c>
      <c r="V445" s="7">
        <v>32387</v>
      </c>
      <c r="W445" t="s">
        <v>2441</v>
      </c>
      <c r="X445" s="2">
        <v>0.78200000000000003</v>
      </c>
      <c r="Y445" s="6">
        <f t="shared" si="54"/>
        <v>2.0875043378446919E-2</v>
      </c>
      <c r="AA445">
        <v>189316</v>
      </c>
      <c r="AB445">
        <v>19901</v>
      </c>
      <c r="AC445">
        <v>15579611</v>
      </c>
      <c r="AD445" t="s">
        <v>4</v>
      </c>
      <c r="AE445">
        <v>34</v>
      </c>
      <c r="AF445">
        <v>3</v>
      </c>
      <c r="AH445" t="s">
        <v>4942</v>
      </c>
      <c r="AI445" t="s">
        <v>4941</v>
      </c>
      <c r="AK445" t="s">
        <v>4940</v>
      </c>
      <c r="AL445">
        <v>3</v>
      </c>
      <c r="AM445" s="5">
        <f t="shared" si="58"/>
        <v>8.8235294117647065E-2</v>
      </c>
      <c r="AN445" s="4">
        <f t="shared" si="55"/>
        <v>1.3363921865603494E-4</v>
      </c>
      <c r="AO445" s="3"/>
      <c r="AP445">
        <v>0</v>
      </c>
      <c r="AR445" t="s">
        <v>0</v>
      </c>
      <c r="AT445" s="2">
        <v>3.863</v>
      </c>
      <c r="AU445" s="1">
        <f t="shared" si="59"/>
        <v>1.4652622130509652</v>
      </c>
      <c r="AV445" s="1">
        <f t="shared" si="60"/>
        <v>1.0504341298551478</v>
      </c>
      <c r="AW445" s="1">
        <f t="shared" si="61"/>
        <v>0.63560604665932996</v>
      </c>
    </row>
    <row r="446" spans="1:49" x14ac:dyDescent="0.2">
      <c r="A446">
        <v>444</v>
      </c>
      <c r="B446" t="s">
        <v>4939</v>
      </c>
      <c r="C446" t="s">
        <v>4938</v>
      </c>
      <c r="F446" t="s">
        <v>4937</v>
      </c>
      <c r="G446" t="s">
        <v>15</v>
      </c>
      <c r="H446" t="s">
        <v>14</v>
      </c>
      <c r="I446" t="s">
        <v>2954</v>
      </c>
      <c r="J446">
        <v>60021918</v>
      </c>
      <c r="K446" t="s">
        <v>4936</v>
      </c>
      <c r="L446" t="s">
        <v>4935</v>
      </c>
      <c r="M446" t="s">
        <v>31</v>
      </c>
      <c r="N446">
        <v>4</v>
      </c>
      <c r="O446" t="s">
        <v>4934</v>
      </c>
      <c r="P446" t="s">
        <v>4933</v>
      </c>
      <c r="Q446" t="s">
        <v>4932</v>
      </c>
      <c r="R446" s="7">
        <v>32143</v>
      </c>
      <c r="S446" s="8">
        <f t="shared" si="56"/>
        <v>1988</v>
      </c>
      <c r="T446" s="8">
        <v>1988</v>
      </c>
      <c r="U446" s="8">
        <f t="shared" si="57"/>
        <v>34</v>
      </c>
      <c r="V446" s="7">
        <v>32387</v>
      </c>
      <c r="W446" t="s">
        <v>2579</v>
      </c>
      <c r="X446" s="2">
        <v>0.82</v>
      </c>
      <c r="Y446" s="6">
        <f t="shared" si="54"/>
        <v>2.1889431675609299E-2</v>
      </c>
      <c r="AA446">
        <v>189456</v>
      </c>
      <c r="AB446">
        <v>15361</v>
      </c>
      <c r="AC446">
        <v>15579662</v>
      </c>
      <c r="AD446" t="s">
        <v>4</v>
      </c>
      <c r="AE446">
        <v>37</v>
      </c>
      <c r="AF446">
        <v>3</v>
      </c>
      <c r="AH446" t="s">
        <v>4931</v>
      </c>
      <c r="AI446" t="s">
        <v>4930</v>
      </c>
      <c r="AK446" t="s">
        <v>4929</v>
      </c>
      <c r="AL446">
        <v>8</v>
      </c>
      <c r="AM446" s="5">
        <f t="shared" si="58"/>
        <v>0.23529411764705882</v>
      </c>
      <c r="AN446" s="4">
        <f t="shared" si="55"/>
        <v>3.5637124974942646E-4</v>
      </c>
      <c r="AO446" s="3"/>
      <c r="AP446">
        <v>0</v>
      </c>
      <c r="AQ446" t="s">
        <v>4928</v>
      </c>
      <c r="AR446" t="s">
        <v>0</v>
      </c>
      <c r="AS446" t="s">
        <v>4927</v>
      </c>
      <c r="AT446" s="2" t="s">
        <v>19</v>
      </c>
      <c r="AU446" s="1">
        <f t="shared" si="59"/>
        <v>1.5429513547851337</v>
      </c>
      <c r="AV446" s="1">
        <f t="shared" si="60"/>
        <v>1.1122901462679362</v>
      </c>
      <c r="AW446" s="1">
        <f t="shared" si="61"/>
        <v>0.68162893775073874</v>
      </c>
    </row>
    <row r="447" spans="1:49" x14ac:dyDescent="0.2">
      <c r="A447">
        <v>445</v>
      </c>
      <c r="B447" t="s">
        <v>4926</v>
      </c>
      <c r="C447" t="s">
        <v>4925</v>
      </c>
      <c r="F447" t="s">
        <v>4924</v>
      </c>
      <c r="G447" t="s">
        <v>15</v>
      </c>
      <c r="H447" t="s">
        <v>14</v>
      </c>
      <c r="I447" t="s">
        <v>4923</v>
      </c>
      <c r="N447">
        <v>2</v>
      </c>
      <c r="O447" t="s">
        <v>4922</v>
      </c>
      <c r="P447" t="s">
        <v>4921</v>
      </c>
      <c r="Q447" t="s">
        <v>501</v>
      </c>
      <c r="R447" s="7">
        <v>32143</v>
      </c>
      <c r="S447" s="8">
        <f t="shared" si="56"/>
        <v>1988</v>
      </c>
      <c r="T447" s="8">
        <v>1988</v>
      </c>
      <c r="U447" s="8">
        <f t="shared" si="57"/>
        <v>34</v>
      </c>
      <c r="V447" s="7">
        <v>32387</v>
      </c>
      <c r="W447" t="s">
        <v>2003</v>
      </c>
      <c r="X447" s="2">
        <v>2.823</v>
      </c>
      <c r="Y447" s="6">
        <f t="shared" si="54"/>
        <v>7.5358372707615917E-2</v>
      </c>
      <c r="AA447">
        <v>1636804</v>
      </c>
      <c r="AB447">
        <v>17249</v>
      </c>
      <c r="AD447" t="s">
        <v>4</v>
      </c>
      <c r="AE447">
        <v>26</v>
      </c>
      <c r="AF447">
        <v>9</v>
      </c>
      <c r="AH447" t="s">
        <v>2232</v>
      </c>
      <c r="AL447">
        <v>7</v>
      </c>
      <c r="AM447" s="5">
        <f t="shared" si="58"/>
        <v>0.20588235294117646</v>
      </c>
      <c r="AN447" s="4">
        <f t="shared" si="55"/>
        <v>3.1182484353074817E-4</v>
      </c>
      <c r="AO447" s="3"/>
      <c r="AP447">
        <v>0</v>
      </c>
      <c r="AR447" t="s">
        <v>0</v>
      </c>
      <c r="AT447" s="2">
        <v>9.6189999999999998</v>
      </c>
      <c r="AU447" s="1">
        <f t="shared" si="59"/>
        <v>5.2844408348390361</v>
      </c>
      <c r="AV447" s="1">
        <f t="shared" si="60"/>
        <v>3.783509877557333</v>
      </c>
      <c r="AW447" s="1">
        <f t="shared" si="61"/>
        <v>2.2825789202756299</v>
      </c>
    </row>
    <row r="448" spans="1:49" x14ac:dyDescent="0.2">
      <c r="A448">
        <v>446</v>
      </c>
      <c r="B448" t="s">
        <v>4920</v>
      </c>
      <c r="C448" t="s">
        <v>4919</v>
      </c>
      <c r="F448" t="s">
        <v>4918</v>
      </c>
      <c r="G448" t="s">
        <v>15</v>
      </c>
      <c r="H448" t="s">
        <v>14</v>
      </c>
      <c r="I448" t="s">
        <v>4917</v>
      </c>
      <c r="N448">
        <v>2</v>
      </c>
      <c r="O448" t="s">
        <v>4916</v>
      </c>
      <c r="P448" t="s">
        <v>4915</v>
      </c>
      <c r="Q448" t="s">
        <v>501</v>
      </c>
      <c r="R448" s="7">
        <v>32143</v>
      </c>
      <c r="S448" s="8">
        <f t="shared" si="56"/>
        <v>1988</v>
      </c>
      <c r="T448" s="8">
        <v>1988</v>
      </c>
      <c r="U448" s="8">
        <f t="shared" si="57"/>
        <v>34</v>
      </c>
      <c r="V448" s="7">
        <v>32387</v>
      </c>
      <c r="W448" t="s">
        <v>2003</v>
      </c>
      <c r="X448" s="2">
        <v>2.823</v>
      </c>
      <c r="Y448" s="6">
        <f t="shared" si="54"/>
        <v>7.5358372707615917E-2</v>
      </c>
      <c r="AA448">
        <v>1636804</v>
      </c>
      <c r="AB448">
        <v>17249</v>
      </c>
      <c r="AD448" t="s">
        <v>4</v>
      </c>
      <c r="AE448">
        <v>26</v>
      </c>
      <c r="AF448">
        <v>9</v>
      </c>
      <c r="AH448" t="s">
        <v>4914</v>
      </c>
      <c r="AL448">
        <v>2</v>
      </c>
      <c r="AM448" s="5">
        <f t="shared" si="58"/>
        <v>5.8823529411764705E-2</v>
      </c>
      <c r="AN448" s="4">
        <f t="shared" si="55"/>
        <v>8.9092812437356614E-5</v>
      </c>
      <c r="AO448" s="3"/>
      <c r="AP448">
        <v>0</v>
      </c>
      <c r="AR448" t="s">
        <v>0</v>
      </c>
      <c r="AT448" s="2">
        <v>9.6189999999999998</v>
      </c>
      <c r="AU448" s="1">
        <f t="shared" si="59"/>
        <v>5.2777588739062349</v>
      </c>
      <c r="AV448" s="1">
        <f t="shared" si="60"/>
        <v>3.7723732760026634</v>
      </c>
      <c r="AW448" s="1">
        <f t="shared" si="61"/>
        <v>2.2669876780990923</v>
      </c>
    </row>
    <row r="449" spans="1:49" x14ac:dyDescent="0.2">
      <c r="A449">
        <v>447</v>
      </c>
      <c r="B449" t="s">
        <v>4913</v>
      </c>
      <c r="C449" t="s">
        <v>4912</v>
      </c>
      <c r="F449" t="s">
        <v>4911</v>
      </c>
      <c r="G449" t="s">
        <v>15</v>
      </c>
      <c r="H449" t="s">
        <v>14</v>
      </c>
      <c r="I449" t="s">
        <v>4910</v>
      </c>
      <c r="J449">
        <v>60010818</v>
      </c>
      <c r="K449" t="s">
        <v>4909</v>
      </c>
      <c r="L449" t="s">
        <v>4908</v>
      </c>
      <c r="M449" t="s">
        <v>1011</v>
      </c>
      <c r="N449">
        <v>4</v>
      </c>
      <c r="O449" t="s">
        <v>4907</v>
      </c>
      <c r="P449" t="s">
        <v>4906</v>
      </c>
      <c r="Q449" t="s">
        <v>4905</v>
      </c>
      <c r="R449" s="7">
        <v>32143</v>
      </c>
      <c r="S449" s="8">
        <f t="shared" si="56"/>
        <v>1988</v>
      </c>
      <c r="T449" s="8">
        <v>1988</v>
      </c>
      <c r="U449" s="8">
        <f t="shared" si="57"/>
        <v>34</v>
      </c>
      <c r="V449" s="7" t="s">
        <v>4904</v>
      </c>
      <c r="W449" t="s">
        <v>1058</v>
      </c>
      <c r="X449" s="2" t="s">
        <v>19</v>
      </c>
      <c r="Y449" s="6" t="e">
        <f t="shared" si="54"/>
        <v>#VALUE!</v>
      </c>
      <c r="AA449">
        <v>2671689</v>
      </c>
      <c r="AB449">
        <v>87645</v>
      </c>
      <c r="AD449" t="s">
        <v>4</v>
      </c>
      <c r="AE449">
        <v>58</v>
      </c>
      <c r="AF449">
        <v>6</v>
      </c>
      <c r="AH449" t="s">
        <v>4903</v>
      </c>
      <c r="AI449" t="s">
        <v>4902</v>
      </c>
      <c r="AK449" t="s">
        <v>4901</v>
      </c>
      <c r="AL449">
        <v>4</v>
      </c>
      <c r="AM449" s="5">
        <f t="shared" si="58"/>
        <v>0.11764705882352941</v>
      </c>
      <c r="AN449" s="4">
        <f t="shared" si="55"/>
        <v>1.7818562487471323E-4</v>
      </c>
      <c r="AO449" s="3"/>
      <c r="AP449">
        <v>0</v>
      </c>
      <c r="AR449" t="s">
        <v>0</v>
      </c>
      <c r="AT449" s="2" t="s">
        <v>19</v>
      </c>
      <c r="AU449" s="1" t="e">
        <f t="shared" si="59"/>
        <v>#VALUE!</v>
      </c>
      <c r="AV449" s="1" t="e">
        <f t="shared" si="60"/>
        <v>#VALUE!</v>
      </c>
      <c r="AW449" s="1" t="e">
        <f t="shared" si="61"/>
        <v>#VALUE!</v>
      </c>
    </row>
    <row r="450" spans="1:49" x14ac:dyDescent="0.2">
      <c r="A450">
        <v>448</v>
      </c>
      <c r="B450" t="s">
        <v>4900</v>
      </c>
      <c r="C450" t="s">
        <v>4899</v>
      </c>
      <c r="F450" t="s">
        <v>4898</v>
      </c>
      <c r="G450" t="s">
        <v>15</v>
      </c>
      <c r="H450" t="s">
        <v>14</v>
      </c>
      <c r="I450" t="s">
        <v>4897</v>
      </c>
      <c r="J450">
        <v>60001881</v>
      </c>
      <c r="K450" t="s">
        <v>1024</v>
      </c>
      <c r="L450" t="s">
        <v>1023</v>
      </c>
      <c r="M450" t="s">
        <v>1011</v>
      </c>
      <c r="N450">
        <v>3</v>
      </c>
      <c r="O450" t="s">
        <v>4896</v>
      </c>
      <c r="P450" t="s">
        <v>4895</v>
      </c>
      <c r="Q450" t="s">
        <v>4894</v>
      </c>
      <c r="R450" s="7">
        <v>32143</v>
      </c>
      <c r="S450" s="8">
        <f t="shared" si="56"/>
        <v>1988</v>
      </c>
      <c r="T450" s="8">
        <v>1988</v>
      </c>
      <c r="U450" s="8">
        <f t="shared" si="57"/>
        <v>34</v>
      </c>
      <c r="V450" s="7">
        <v>1988</v>
      </c>
      <c r="W450" t="s">
        <v>56</v>
      </c>
      <c r="X450" s="2">
        <v>0.375</v>
      </c>
      <c r="Y450" s="6">
        <f t="shared" ref="Y450:Y513" si="62">(X450-$Z$4)/($Z$3-$Z$4)</f>
        <v>1.0010410827260351E-2</v>
      </c>
      <c r="AA450">
        <v>135194</v>
      </c>
      <c r="AB450">
        <v>24918</v>
      </c>
      <c r="AD450" t="s">
        <v>4</v>
      </c>
      <c r="AE450">
        <v>24</v>
      </c>
      <c r="AF450">
        <v>19</v>
      </c>
      <c r="AH450" t="s">
        <v>4893</v>
      </c>
      <c r="AI450" t="s">
        <v>4892</v>
      </c>
      <c r="AJ450" t="s">
        <v>4891</v>
      </c>
      <c r="AK450" t="s">
        <v>4890</v>
      </c>
      <c r="AL450">
        <v>6</v>
      </c>
      <c r="AM450" s="5">
        <f t="shared" si="58"/>
        <v>0.17647058823529413</v>
      </c>
      <c r="AN450" s="4">
        <f t="shared" ref="AN450:AN513" si="63">(AM450-$AO$4)/($AO$3-$AO$4)</f>
        <v>2.6727843731206988E-4</v>
      </c>
      <c r="AO450" s="3"/>
      <c r="AP450">
        <v>0</v>
      </c>
      <c r="AR450" t="s">
        <v>0</v>
      </c>
      <c r="AT450" s="2">
        <v>1.3140000000000001</v>
      </c>
      <c r="AU450" s="1">
        <f t="shared" si="59"/>
        <v>0.7087471110275867</v>
      </c>
      <c r="AV450" s="1">
        <f t="shared" si="60"/>
        <v>0.51388446322862102</v>
      </c>
      <c r="AW450" s="1">
        <f t="shared" si="61"/>
        <v>0.31902181542965541</v>
      </c>
    </row>
    <row r="451" spans="1:49" x14ac:dyDescent="0.2">
      <c r="A451">
        <v>449</v>
      </c>
      <c r="B451" t="s">
        <v>4889</v>
      </c>
      <c r="C451" t="s">
        <v>4888</v>
      </c>
      <c r="F451" t="s">
        <v>4887</v>
      </c>
      <c r="G451" t="s">
        <v>15</v>
      </c>
      <c r="H451" t="s">
        <v>14</v>
      </c>
      <c r="I451" t="s">
        <v>4886</v>
      </c>
      <c r="J451" t="s">
        <v>4885</v>
      </c>
      <c r="K451" t="s">
        <v>4884</v>
      </c>
      <c r="L451" t="s">
        <v>4883</v>
      </c>
      <c r="M451" t="s">
        <v>9</v>
      </c>
      <c r="N451">
        <v>4</v>
      </c>
      <c r="O451" t="s">
        <v>4882</v>
      </c>
      <c r="P451" t="s">
        <v>4881</v>
      </c>
      <c r="Q451" t="s">
        <v>4880</v>
      </c>
      <c r="R451" s="7">
        <v>32143</v>
      </c>
      <c r="S451" s="8">
        <f t="shared" si="56"/>
        <v>1988</v>
      </c>
      <c r="T451" s="8">
        <v>1988</v>
      </c>
      <c r="U451" s="8">
        <f t="shared" si="57"/>
        <v>34</v>
      </c>
      <c r="V451" s="7">
        <v>32387</v>
      </c>
      <c r="W451" t="s">
        <v>2450</v>
      </c>
      <c r="X451" s="2">
        <v>2.141</v>
      </c>
      <c r="Y451" s="6">
        <f t="shared" si="62"/>
        <v>5.7152772216438434E-2</v>
      </c>
      <c r="AA451">
        <v>1962892</v>
      </c>
      <c r="AB451">
        <v>17360</v>
      </c>
      <c r="AC451">
        <v>15580644</v>
      </c>
      <c r="AD451" t="s">
        <v>4</v>
      </c>
      <c r="AE451">
        <v>26</v>
      </c>
      <c r="AF451">
        <v>5</v>
      </c>
      <c r="AH451" t="s">
        <v>4879</v>
      </c>
      <c r="AI451" t="s">
        <v>4878</v>
      </c>
      <c r="AK451" t="s">
        <v>4877</v>
      </c>
      <c r="AL451">
        <v>416</v>
      </c>
      <c r="AM451" s="5">
        <f t="shared" si="58"/>
        <v>12.235294117647058</v>
      </c>
      <c r="AN451" s="4">
        <f t="shared" si="63"/>
        <v>1.8531304986970174E-2</v>
      </c>
      <c r="AO451" s="3"/>
      <c r="AP451">
        <v>0</v>
      </c>
      <c r="AR451" t="s">
        <v>0</v>
      </c>
      <c r="AT451" s="2" t="s">
        <v>19</v>
      </c>
      <c r="AU451" s="1">
        <f t="shared" si="59"/>
        <v>4.5566332047597955</v>
      </c>
      <c r="AV451" s="1">
        <f t="shared" si="60"/>
        <v>3.7842038601704306</v>
      </c>
      <c r="AW451" s="1">
        <f t="shared" si="61"/>
        <v>3.0117745155810649</v>
      </c>
    </row>
    <row r="452" spans="1:49" x14ac:dyDescent="0.2">
      <c r="A452">
        <v>450</v>
      </c>
      <c r="B452" t="s">
        <v>4876</v>
      </c>
      <c r="C452" t="s">
        <v>4875</v>
      </c>
      <c r="F452" t="s">
        <v>4874</v>
      </c>
      <c r="G452" t="s">
        <v>15</v>
      </c>
      <c r="H452" t="s">
        <v>14</v>
      </c>
      <c r="I452" t="s">
        <v>4873</v>
      </c>
      <c r="J452">
        <v>60019870</v>
      </c>
      <c r="K452" t="s">
        <v>4872</v>
      </c>
      <c r="L452" t="s">
        <v>4871</v>
      </c>
      <c r="M452" t="s">
        <v>1088</v>
      </c>
      <c r="N452">
        <v>2</v>
      </c>
      <c r="O452" t="s">
        <v>4870</v>
      </c>
      <c r="P452" t="s">
        <v>4869</v>
      </c>
      <c r="Q452" t="s">
        <v>4868</v>
      </c>
      <c r="R452" s="7">
        <v>32143</v>
      </c>
      <c r="S452" s="8">
        <f t="shared" si="56"/>
        <v>1988</v>
      </c>
      <c r="T452" s="8">
        <v>1988</v>
      </c>
      <c r="U452" s="8">
        <f t="shared" si="57"/>
        <v>34</v>
      </c>
      <c r="V452" s="7" t="s">
        <v>4867</v>
      </c>
      <c r="W452" t="s">
        <v>3103</v>
      </c>
      <c r="X452" s="2" t="s">
        <v>19</v>
      </c>
      <c r="Y452" s="6" t="e">
        <f t="shared" si="62"/>
        <v>#VALUE!</v>
      </c>
      <c r="AA452">
        <v>84204</v>
      </c>
      <c r="AB452">
        <v>27420</v>
      </c>
      <c r="AD452" t="s">
        <v>4</v>
      </c>
      <c r="AE452">
        <v>66</v>
      </c>
      <c r="AF452">
        <v>9</v>
      </c>
      <c r="AH452" t="s">
        <v>4866</v>
      </c>
      <c r="AI452" t="s">
        <v>4865</v>
      </c>
      <c r="AK452" t="s">
        <v>4864</v>
      </c>
      <c r="AL452">
        <v>7</v>
      </c>
      <c r="AM452" s="5">
        <f t="shared" si="58"/>
        <v>0.20588235294117646</v>
      </c>
      <c r="AN452" s="4">
        <f t="shared" si="63"/>
        <v>3.1182484353074817E-4</v>
      </c>
      <c r="AO452" s="3"/>
      <c r="AP452">
        <v>0</v>
      </c>
      <c r="AR452" t="s">
        <v>0</v>
      </c>
      <c r="AT452" s="2">
        <v>1.24</v>
      </c>
      <c r="AU452" s="1" t="e">
        <f t="shared" si="59"/>
        <v>#VALUE!</v>
      </c>
      <c r="AV452" s="1" t="e">
        <f t="shared" si="60"/>
        <v>#VALUE!</v>
      </c>
      <c r="AW452" s="1" t="e">
        <f t="shared" si="61"/>
        <v>#VALUE!</v>
      </c>
    </row>
    <row r="453" spans="1:49" x14ac:dyDescent="0.2">
      <c r="A453">
        <v>451</v>
      </c>
      <c r="B453" t="s">
        <v>4863</v>
      </c>
      <c r="C453" t="s">
        <v>4862</v>
      </c>
      <c r="F453" t="s">
        <v>4861</v>
      </c>
      <c r="G453" t="s">
        <v>15</v>
      </c>
      <c r="H453" t="s">
        <v>14</v>
      </c>
      <c r="I453" t="s">
        <v>4860</v>
      </c>
      <c r="J453" t="s">
        <v>4859</v>
      </c>
      <c r="K453" t="s">
        <v>4858</v>
      </c>
      <c r="L453" t="s">
        <v>4857</v>
      </c>
      <c r="M453" t="s">
        <v>4856</v>
      </c>
      <c r="N453">
        <v>6</v>
      </c>
      <c r="O453" t="s">
        <v>4855</v>
      </c>
      <c r="P453" t="s">
        <v>4854</v>
      </c>
      <c r="Q453" t="s">
        <v>4853</v>
      </c>
      <c r="R453" s="7">
        <v>32143</v>
      </c>
      <c r="S453" s="8">
        <f t="shared" si="56"/>
        <v>1988</v>
      </c>
      <c r="T453" s="8">
        <v>1988</v>
      </c>
      <c r="U453" s="8">
        <f t="shared" si="57"/>
        <v>34</v>
      </c>
      <c r="V453" s="7">
        <v>32387</v>
      </c>
      <c r="W453" t="s">
        <v>2763</v>
      </c>
      <c r="X453" s="2">
        <v>1.774</v>
      </c>
      <c r="Y453" s="6">
        <f t="shared" si="62"/>
        <v>4.7355916820159633E-2</v>
      </c>
      <c r="AA453">
        <v>295515</v>
      </c>
      <c r="AB453">
        <v>29066</v>
      </c>
      <c r="AC453">
        <v>17414326</v>
      </c>
      <c r="AD453" t="s">
        <v>4</v>
      </c>
      <c r="AE453">
        <v>28</v>
      </c>
      <c r="AF453">
        <v>9</v>
      </c>
      <c r="AH453" t="s">
        <v>4852</v>
      </c>
      <c r="AI453" t="s">
        <v>4851</v>
      </c>
      <c r="AK453" t="s">
        <v>4850</v>
      </c>
      <c r="AL453">
        <v>48</v>
      </c>
      <c r="AM453" s="5">
        <f t="shared" si="58"/>
        <v>1.411764705882353</v>
      </c>
      <c r="AN453" s="4">
        <f t="shared" si="63"/>
        <v>2.1382274984965591E-3</v>
      </c>
      <c r="AO453" s="3"/>
      <c r="AP453">
        <v>0</v>
      </c>
      <c r="AR453" t="s">
        <v>0</v>
      </c>
      <c r="AT453" s="2">
        <v>3.1789999999999998</v>
      </c>
      <c r="AU453" s="1">
        <f t="shared" si="59"/>
        <v>3.379061002366071</v>
      </c>
      <c r="AV453" s="1">
        <f t="shared" si="60"/>
        <v>2.4747072159328094</v>
      </c>
      <c r="AW453" s="1">
        <f t="shared" si="61"/>
        <v>1.570353429499548</v>
      </c>
    </row>
    <row r="454" spans="1:49" x14ac:dyDescent="0.2">
      <c r="A454">
        <v>452</v>
      </c>
      <c r="B454" t="s">
        <v>4849</v>
      </c>
      <c r="C454" t="s">
        <v>4848</v>
      </c>
      <c r="F454" t="s">
        <v>4847</v>
      </c>
      <c r="G454" t="s">
        <v>15</v>
      </c>
      <c r="H454" t="s">
        <v>14</v>
      </c>
      <c r="I454" t="s">
        <v>4846</v>
      </c>
      <c r="J454">
        <v>60000745</v>
      </c>
      <c r="K454" t="s">
        <v>3448</v>
      </c>
      <c r="L454" t="s">
        <v>3447</v>
      </c>
      <c r="M454" t="s">
        <v>31</v>
      </c>
      <c r="N454">
        <v>4</v>
      </c>
      <c r="O454" t="s">
        <v>4845</v>
      </c>
      <c r="P454" t="s">
        <v>4844</v>
      </c>
      <c r="Q454" t="s">
        <v>4843</v>
      </c>
      <c r="R454" s="7">
        <v>32143</v>
      </c>
      <c r="S454" s="8">
        <f t="shared" si="56"/>
        <v>1988</v>
      </c>
      <c r="T454" s="8">
        <v>1988</v>
      </c>
      <c r="U454" s="8">
        <f t="shared" si="57"/>
        <v>34</v>
      </c>
      <c r="V454" s="7">
        <v>32387</v>
      </c>
      <c r="W454" t="s">
        <v>4842</v>
      </c>
      <c r="X454" s="2">
        <v>1.159</v>
      </c>
      <c r="Y454" s="6">
        <f t="shared" si="62"/>
        <v>3.093884306345266E-2</v>
      </c>
      <c r="AA454">
        <v>8853010</v>
      </c>
      <c r="AB454">
        <v>12998</v>
      </c>
      <c r="AD454" t="s">
        <v>4</v>
      </c>
      <c r="AE454">
        <v>35</v>
      </c>
      <c r="AF454">
        <v>5</v>
      </c>
      <c r="AH454" t="s">
        <v>4841</v>
      </c>
      <c r="AI454" t="s">
        <v>4840</v>
      </c>
      <c r="AK454" t="s">
        <v>4839</v>
      </c>
      <c r="AL454">
        <v>84</v>
      </c>
      <c r="AM454" s="5">
        <f t="shared" si="58"/>
        <v>2.4705882352941178</v>
      </c>
      <c r="AN454" s="4">
        <f t="shared" si="63"/>
        <v>3.7418981223689782E-3</v>
      </c>
      <c r="AO454" s="3"/>
      <c r="AP454">
        <v>0</v>
      </c>
      <c r="AR454" t="s">
        <v>4838</v>
      </c>
      <c r="AT454" s="2" t="s">
        <v>19</v>
      </c>
      <c r="AU454" s="1">
        <f t="shared" si="59"/>
        <v>2.2779759581127554</v>
      </c>
      <c r="AV454" s="1">
        <f t="shared" si="60"/>
        <v>1.7340370592910819</v>
      </c>
      <c r="AW454" s="1">
        <f t="shared" si="61"/>
        <v>1.1900981604694083</v>
      </c>
    </row>
    <row r="455" spans="1:49" x14ac:dyDescent="0.2">
      <c r="A455">
        <v>453</v>
      </c>
      <c r="B455" t="s">
        <v>4837</v>
      </c>
      <c r="C455" t="s">
        <v>4836</v>
      </c>
      <c r="F455" t="s">
        <v>4835</v>
      </c>
      <c r="G455" t="s">
        <v>15</v>
      </c>
      <c r="H455" t="s">
        <v>14</v>
      </c>
      <c r="I455" t="s">
        <v>4834</v>
      </c>
      <c r="J455">
        <v>60003500</v>
      </c>
      <c r="K455" t="s">
        <v>1514</v>
      </c>
      <c r="L455" t="s">
        <v>1513</v>
      </c>
      <c r="M455" t="s">
        <v>31</v>
      </c>
      <c r="N455">
        <v>1</v>
      </c>
      <c r="O455" t="s">
        <v>4833</v>
      </c>
      <c r="P455">
        <v>36927548100</v>
      </c>
      <c r="Q455">
        <v>60003500</v>
      </c>
      <c r="R455" s="7">
        <v>32143</v>
      </c>
      <c r="S455" s="8">
        <f t="shared" ref="S455:S518" si="64">YEAR(R455)</f>
        <v>1988</v>
      </c>
      <c r="T455" s="8">
        <v>1988</v>
      </c>
      <c r="U455" s="8">
        <f t="shared" ref="U455:U518" si="65">2022-T455</f>
        <v>34</v>
      </c>
      <c r="V455" s="7">
        <v>32387</v>
      </c>
      <c r="W455" t="s">
        <v>69</v>
      </c>
      <c r="X455" s="2">
        <v>1.6519999999999999</v>
      </c>
      <c r="Y455" s="6">
        <f t="shared" si="62"/>
        <v>4.409919649769093E-2</v>
      </c>
      <c r="AA455" t="s">
        <v>68</v>
      </c>
      <c r="AB455">
        <v>17337</v>
      </c>
      <c r="AC455">
        <v>15582221</v>
      </c>
      <c r="AD455" t="s">
        <v>4</v>
      </c>
      <c r="AE455">
        <v>36</v>
      </c>
      <c r="AF455">
        <v>9</v>
      </c>
      <c r="AH455" t="s">
        <v>4832</v>
      </c>
      <c r="AI455" t="s">
        <v>4831</v>
      </c>
      <c r="AK455" t="s">
        <v>4830</v>
      </c>
      <c r="AL455">
        <v>12</v>
      </c>
      <c r="AM455" s="5">
        <f t="shared" ref="AM455:AM518" si="66">AL455/U455</f>
        <v>0.35294117647058826</v>
      </c>
      <c r="AN455" s="4">
        <f t="shared" si="63"/>
        <v>5.3455687462413976E-4</v>
      </c>
      <c r="AO455" s="3"/>
      <c r="AP455">
        <v>0</v>
      </c>
      <c r="AR455" t="s">
        <v>1507</v>
      </c>
      <c r="AT455" s="2" t="s">
        <v>19</v>
      </c>
      <c r="AU455" s="1">
        <f t="shared" ref="AU455:AU518" si="67">(Y455*0.7+AN455*0.3)*100</f>
        <v>3.1029804610770895</v>
      </c>
      <c r="AV455" s="1">
        <f t="shared" ref="AV455:AV518" si="68">(Y455*0.5+AN455*0.5)*100</f>
        <v>2.2316876686157539</v>
      </c>
      <c r="AW455" s="1">
        <f t="shared" ref="AW455:AW518" si="69">(Y455*0.3+AN455*0.7)*100</f>
        <v>1.3603948761544176</v>
      </c>
    </row>
    <row r="456" spans="1:49" x14ac:dyDescent="0.2">
      <c r="A456">
        <v>454</v>
      </c>
      <c r="B456" t="s">
        <v>4829</v>
      </c>
      <c r="C456" t="s">
        <v>4828</v>
      </c>
      <c r="F456" t="s">
        <v>4827</v>
      </c>
      <c r="G456" t="s">
        <v>15</v>
      </c>
      <c r="H456" t="s">
        <v>14</v>
      </c>
      <c r="I456" t="s">
        <v>4826</v>
      </c>
      <c r="J456">
        <v>60000221</v>
      </c>
      <c r="K456" t="s">
        <v>4825</v>
      </c>
      <c r="L456" t="s">
        <v>4824</v>
      </c>
      <c r="M456" t="s">
        <v>31</v>
      </c>
      <c r="N456">
        <v>3</v>
      </c>
      <c r="O456" t="s">
        <v>4823</v>
      </c>
      <c r="P456" t="s">
        <v>4822</v>
      </c>
      <c r="Q456" t="s">
        <v>4821</v>
      </c>
      <c r="R456" s="7">
        <v>32143</v>
      </c>
      <c r="S456" s="8">
        <f t="shared" si="64"/>
        <v>1988</v>
      </c>
      <c r="T456" s="8">
        <v>1988</v>
      </c>
      <c r="U456" s="8">
        <f t="shared" si="65"/>
        <v>34</v>
      </c>
      <c r="V456" s="7">
        <v>32387</v>
      </c>
      <c r="W456" t="s">
        <v>69</v>
      </c>
      <c r="X456" s="2">
        <v>1.6519999999999999</v>
      </c>
      <c r="Y456" s="6">
        <f t="shared" si="62"/>
        <v>4.409919649769093E-2</v>
      </c>
      <c r="AA456" t="s">
        <v>68</v>
      </c>
      <c r="AB456">
        <v>17337</v>
      </c>
      <c r="AC456">
        <v>15582221</v>
      </c>
      <c r="AD456" t="s">
        <v>4</v>
      </c>
      <c r="AE456">
        <v>36</v>
      </c>
      <c r="AF456">
        <v>9</v>
      </c>
      <c r="AH456" t="s">
        <v>4820</v>
      </c>
      <c r="AI456" t="s">
        <v>4819</v>
      </c>
      <c r="AK456" t="s">
        <v>4818</v>
      </c>
      <c r="AL456">
        <v>8</v>
      </c>
      <c r="AM456" s="5">
        <f t="shared" si="66"/>
        <v>0.23529411764705882</v>
      </c>
      <c r="AN456" s="4">
        <f t="shared" si="63"/>
        <v>3.5637124974942646E-4</v>
      </c>
      <c r="AO456" s="3"/>
      <c r="AP456">
        <v>0</v>
      </c>
      <c r="AR456" t="s">
        <v>0</v>
      </c>
      <c r="AT456" s="2" t="s">
        <v>19</v>
      </c>
      <c r="AU456" s="1">
        <f t="shared" si="67"/>
        <v>3.0976348923308481</v>
      </c>
      <c r="AV456" s="1">
        <f t="shared" si="68"/>
        <v>2.2227783873720175</v>
      </c>
      <c r="AW456" s="1">
        <f t="shared" si="69"/>
        <v>1.3479218824131878</v>
      </c>
    </row>
    <row r="457" spans="1:49" x14ac:dyDescent="0.2">
      <c r="A457">
        <v>455</v>
      </c>
      <c r="B457" t="s">
        <v>4817</v>
      </c>
      <c r="C457" t="s">
        <v>4816</v>
      </c>
      <c r="F457" t="s">
        <v>4815</v>
      </c>
      <c r="G457" t="s">
        <v>15</v>
      </c>
      <c r="H457" t="s">
        <v>14</v>
      </c>
      <c r="I457" t="s">
        <v>4814</v>
      </c>
      <c r="J457">
        <v>60028442</v>
      </c>
      <c r="K457" t="s">
        <v>4813</v>
      </c>
      <c r="L457" t="s">
        <v>4812</v>
      </c>
      <c r="M457" t="s">
        <v>3034</v>
      </c>
      <c r="N457">
        <v>1</v>
      </c>
      <c r="O457" t="s">
        <v>4811</v>
      </c>
      <c r="P457">
        <v>57220192155</v>
      </c>
      <c r="Q457">
        <v>60028442</v>
      </c>
      <c r="R457" s="7">
        <v>32143</v>
      </c>
      <c r="S457" s="8">
        <f t="shared" si="64"/>
        <v>1988</v>
      </c>
      <c r="T457" s="8">
        <v>1988</v>
      </c>
      <c r="U457" s="8">
        <f t="shared" si="65"/>
        <v>34</v>
      </c>
      <c r="V457" s="7">
        <v>32387</v>
      </c>
      <c r="W457" t="s">
        <v>69</v>
      </c>
      <c r="X457" s="2">
        <v>1.6519999999999999</v>
      </c>
      <c r="Y457" s="6">
        <f t="shared" si="62"/>
        <v>4.409919649769093E-2</v>
      </c>
      <c r="AA457" t="s">
        <v>68</v>
      </c>
      <c r="AB457">
        <v>17337</v>
      </c>
      <c r="AC457">
        <v>15582221</v>
      </c>
      <c r="AD457" t="s">
        <v>4</v>
      </c>
      <c r="AE457">
        <v>36</v>
      </c>
      <c r="AF457">
        <v>9</v>
      </c>
      <c r="AH457" t="s">
        <v>4810</v>
      </c>
      <c r="AI457" t="s">
        <v>4809</v>
      </c>
      <c r="AK457" t="s">
        <v>4808</v>
      </c>
      <c r="AL457">
        <v>9</v>
      </c>
      <c r="AM457" s="5">
        <f t="shared" si="66"/>
        <v>0.26470588235294118</v>
      </c>
      <c r="AN457" s="4">
        <f t="shared" si="63"/>
        <v>4.009176559681048E-4</v>
      </c>
      <c r="AO457" s="3"/>
      <c r="AP457">
        <v>0</v>
      </c>
      <c r="AQ457" t="s">
        <v>2999</v>
      </c>
      <c r="AR457" t="s">
        <v>4807</v>
      </c>
      <c r="AS457" t="s">
        <v>2997</v>
      </c>
      <c r="AT457" s="2" t="s">
        <v>19</v>
      </c>
      <c r="AU457" s="1">
        <f t="shared" si="67"/>
        <v>3.0989712845174084</v>
      </c>
      <c r="AV457" s="1">
        <f t="shared" si="68"/>
        <v>2.2250057076829517</v>
      </c>
      <c r="AW457" s="1">
        <f t="shared" si="69"/>
        <v>1.3510401308484952</v>
      </c>
    </row>
    <row r="458" spans="1:49" x14ac:dyDescent="0.2">
      <c r="A458">
        <v>456</v>
      </c>
      <c r="B458" t="s">
        <v>4806</v>
      </c>
      <c r="C458" t="s">
        <v>4805</v>
      </c>
      <c r="F458" t="s">
        <v>4804</v>
      </c>
      <c r="G458" t="s">
        <v>15</v>
      </c>
      <c r="H458" t="s">
        <v>14</v>
      </c>
      <c r="I458" t="s">
        <v>4803</v>
      </c>
      <c r="J458">
        <v>60006297</v>
      </c>
      <c r="K458" t="s">
        <v>4802</v>
      </c>
      <c r="L458" t="s">
        <v>387</v>
      </c>
      <c r="M458" t="s">
        <v>31</v>
      </c>
      <c r="N458">
        <v>2</v>
      </c>
      <c r="O458" t="s">
        <v>4801</v>
      </c>
      <c r="P458" t="s">
        <v>4800</v>
      </c>
      <c r="Q458" t="s">
        <v>4799</v>
      </c>
      <c r="R458" s="7">
        <v>32143</v>
      </c>
      <c r="S458" s="8">
        <f t="shared" si="64"/>
        <v>1988</v>
      </c>
      <c r="T458" s="8">
        <v>1988</v>
      </c>
      <c r="U458" s="8">
        <f t="shared" si="65"/>
        <v>34</v>
      </c>
      <c r="V458" s="7">
        <v>32387</v>
      </c>
      <c r="W458" t="s">
        <v>69</v>
      </c>
      <c r="X458" s="2">
        <v>1.6519999999999999</v>
      </c>
      <c r="Y458" s="6">
        <f t="shared" si="62"/>
        <v>4.409919649769093E-2</v>
      </c>
      <c r="AA458" t="s">
        <v>68</v>
      </c>
      <c r="AB458">
        <v>17337</v>
      </c>
      <c r="AC458">
        <v>15582221</v>
      </c>
      <c r="AD458" t="s">
        <v>4</v>
      </c>
      <c r="AE458">
        <v>36</v>
      </c>
      <c r="AF458">
        <v>9</v>
      </c>
      <c r="AH458" t="s">
        <v>4798</v>
      </c>
      <c r="AI458" t="s">
        <v>4797</v>
      </c>
      <c r="AK458" t="s">
        <v>4796</v>
      </c>
      <c r="AL458">
        <v>0</v>
      </c>
      <c r="AM458" s="5">
        <f t="shared" si="66"/>
        <v>0</v>
      </c>
      <c r="AN458" s="4">
        <f t="shared" si="63"/>
        <v>0</v>
      </c>
      <c r="AO458" s="3"/>
      <c r="AP458">
        <v>0</v>
      </c>
      <c r="AR458" t="s">
        <v>0</v>
      </c>
      <c r="AT458" s="2" t="s">
        <v>19</v>
      </c>
      <c r="AU458" s="1">
        <f t="shared" si="67"/>
        <v>3.0869437548383649</v>
      </c>
      <c r="AV458" s="1">
        <f t="shared" si="68"/>
        <v>2.2049598248845466</v>
      </c>
      <c r="AW458" s="1">
        <f t="shared" si="69"/>
        <v>1.3229758949307278</v>
      </c>
    </row>
    <row r="459" spans="1:49" x14ac:dyDescent="0.2">
      <c r="A459">
        <v>457</v>
      </c>
      <c r="B459" t="s">
        <v>4795</v>
      </c>
      <c r="C459" t="s">
        <v>4794</v>
      </c>
      <c r="F459" t="s">
        <v>4793</v>
      </c>
      <c r="G459" t="s">
        <v>15</v>
      </c>
      <c r="H459" t="s">
        <v>14</v>
      </c>
      <c r="I459" t="s">
        <v>4792</v>
      </c>
      <c r="J459">
        <v>60031126</v>
      </c>
      <c r="K459" t="s">
        <v>2070</v>
      </c>
      <c r="L459" t="s">
        <v>212</v>
      </c>
      <c r="M459" t="s">
        <v>211</v>
      </c>
      <c r="N459">
        <v>5</v>
      </c>
      <c r="O459" t="s">
        <v>4791</v>
      </c>
      <c r="P459" t="s">
        <v>4790</v>
      </c>
      <c r="Q459" t="s">
        <v>4789</v>
      </c>
      <c r="R459" s="7">
        <v>32143</v>
      </c>
      <c r="S459" s="8">
        <f t="shared" si="64"/>
        <v>1988</v>
      </c>
      <c r="T459" s="8">
        <v>1988</v>
      </c>
      <c r="U459" s="8">
        <f t="shared" si="65"/>
        <v>34</v>
      </c>
      <c r="V459" s="7">
        <v>32387</v>
      </c>
      <c r="W459" t="s">
        <v>69</v>
      </c>
      <c r="X459" s="2">
        <v>1.6519999999999999</v>
      </c>
      <c r="Y459" s="6">
        <f t="shared" si="62"/>
        <v>4.409919649769093E-2</v>
      </c>
      <c r="AA459" t="s">
        <v>68</v>
      </c>
      <c r="AB459">
        <v>17337</v>
      </c>
      <c r="AC459">
        <v>15582221</v>
      </c>
      <c r="AD459" t="s">
        <v>4</v>
      </c>
      <c r="AE459">
        <v>36</v>
      </c>
      <c r="AF459">
        <v>9</v>
      </c>
      <c r="AH459" t="s">
        <v>4788</v>
      </c>
      <c r="AI459" t="s">
        <v>4787</v>
      </c>
      <c r="AK459" t="s">
        <v>4786</v>
      </c>
      <c r="AL459">
        <v>27</v>
      </c>
      <c r="AM459" s="5">
        <f t="shared" si="66"/>
        <v>0.79411764705882348</v>
      </c>
      <c r="AN459" s="4">
        <f t="shared" si="63"/>
        <v>1.2027529679043143E-3</v>
      </c>
      <c r="AO459" s="3"/>
      <c r="AP459">
        <v>0</v>
      </c>
      <c r="AR459" t="s">
        <v>0</v>
      </c>
      <c r="AT459" s="2" t="s">
        <v>19</v>
      </c>
      <c r="AU459" s="1">
        <f t="shared" si="67"/>
        <v>3.1230263438754942</v>
      </c>
      <c r="AV459" s="1">
        <f t="shared" si="68"/>
        <v>2.2650974732797624</v>
      </c>
      <c r="AW459" s="1">
        <f t="shared" si="69"/>
        <v>1.4071686026840298</v>
      </c>
    </row>
    <row r="460" spans="1:49" x14ac:dyDescent="0.2">
      <c r="A460">
        <v>458</v>
      </c>
      <c r="B460" t="s">
        <v>4785</v>
      </c>
      <c r="C460" t="s">
        <v>4784</v>
      </c>
      <c r="F460" t="s">
        <v>4783</v>
      </c>
      <c r="G460" t="s">
        <v>15</v>
      </c>
      <c r="H460" t="s">
        <v>14</v>
      </c>
      <c r="I460" t="s">
        <v>4782</v>
      </c>
      <c r="J460">
        <v>60029470</v>
      </c>
      <c r="K460" t="s">
        <v>4781</v>
      </c>
      <c r="L460" t="s">
        <v>4780</v>
      </c>
      <c r="M460" t="s">
        <v>1088</v>
      </c>
      <c r="N460">
        <v>1</v>
      </c>
      <c r="O460" t="s">
        <v>4779</v>
      </c>
      <c r="P460">
        <v>7202832083</v>
      </c>
      <c r="Q460">
        <v>60029470</v>
      </c>
      <c r="R460" s="7">
        <v>32143</v>
      </c>
      <c r="S460" s="8">
        <f t="shared" si="64"/>
        <v>1988</v>
      </c>
      <c r="T460" s="8">
        <v>1988</v>
      </c>
      <c r="U460" s="8">
        <f t="shared" si="65"/>
        <v>34</v>
      </c>
      <c r="V460" s="7">
        <v>32387</v>
      </c>
      <c r="W460" t="s">
        <v>69</v>
      </c>
      <c r="X460" s="2">
        <v>1.6519999999999999</v>
      </c>
      <c r="Y460" s="6">
        <f t="shared" si="62"/>
        <v>4.409919649769093E-2</v>
      </c>
      <c r="AA460" t="s">
        <v>68</v>
      </c>
      <c r="AB460">
        <v>17337</v>
      </c>
      <c r="AC460">
        <v>15582221</v>
      </c>
      <c r="AD460" t="s">
        <v>4</v>
      </c>
      <c r="AE460">
        <v>36</v>
      </c>
      <c r="AF460">
        <v>9</v>
      </c>
      <c r="AH460" t="s">
        <v>4778</v>
      </c>
      <c r="AI460" t="s">
        <v>4777</v>
      </c>
      <c r="AK460" t="s">
        <v>4776</v>
      </c>
      <c r="AL460">
        <v>10</v>
      </c>
      <c r="AM460" s="5">
        <f t="shared" si="66"/>
        <v>0.29411764705882354</v>
      </c>
      <c r="AN460" s="4">
        <f t="shared" si="63"/>
        <v>4.4546406218678308E-4</v>
      </c>
      <c r="AO460" s="3"/>
      <c r="AP460">
        <v>0</v>
      </c>
      <c r="AR460" t="s">
        <v>0</v>
      </c>
      <c r="AT460" s="2" t="s">
        <v>19</v>
      </c>
      <c r="AU460" s="1">
        <f t="shared" si="67"/>
        <v>3.1003076767039688</v>
      </c>
      <c r="AV460" s="1">
        <f t="shared" si="68"/>
        <v>2.2272330279938855</v>
      </c>
      <c r="AW460" s="1">
        <f t="shared" si="69"/>
        <v>1.3541583792838026</v>
      </c>
    </row>
    <row r="461" spans="1:49" x14ac:dyDescent="0.2">
      <c r="A461">
        <v>459</v>
      </c>
      <c r="B461" t="s">
        <v>4775</v>
      </c>
      <c r="C461" t="s">
        <v>4774</v>
      </c>
      <c r="F461" t="s">
        <v>4773</v>
      </c>
      <c r="G461" t="s">
        <v>15</v>
      </c>
      <c r="H461" t="s">
        <v>14</v>
      </c>
      <c r="I461" t="s">
        <v>4772</v>
      </c>
      <c r="J461">
        <v>60002561</v>
      </c>
      <c r="K461" t="s">
        <v>4771</v>
      </c>
      <c r="L461" t="s">
        <v>212</v>
      </c>
      <c r="M461" t="s">
        <v>211</v>
      </c>
      <c r="N461">
        <v>2</v>
      </c>
      <c r="O461" t="s">
        <v>4770</v>
      </c>
      <c r="P461" t="s">
        <v>4769</v>
      </c>
      <c r="Q461" t="s">
        <v>4768</v>
      </c>
      <c r="R461" s="7">
        <v>32143</v>
      </c>
      <c r="S461" s="8">
        <f t="shared" si="64"/>
        <v>1988</v>
      </c>
      <c r="T461" s="8">
        <v>1988</v>
      </c>
      <c r="U461" s="8">
        <f t="shared" si="65"/>
        <v>34</v>
      </c>
      <c r="V461" s="7">
        <v>32387</v>
      </c>
      <c r="W461" t="s">
        <v>69</v>
      </c>
      <c r="X461" s="2">
        <v>1.6519999999999999</v>
      </c>
      <c r="Y461" s="6">
        <f t="shared" si="62"/>
        <v>4.409919649769093E-2</v>
      </c>
      <c r="AA461" t="s">
        <v>68</v>
      </c>
      <c r="AB461">
        <v>17337</v>
      </c>
      <c r="AC461">
        <v>15582221</v>
      </c>
      <c r="AD461" t="s">
        <v>4</v>
      </c>
      <c r="AE461">
        <v>36</v>
      </c>
      <c r="AF461">
        <v>9</v>
      </c>
      <c r="AH461" t="s">
        <v>4767</v>
      </c>
      <c r="AI461" t="s">
        <v>4766</v>
      </c>
      <c r="AK461" t="s">
        <v>4765</v>
      </c>
      <c r="AL461">
        <v>25</v>
      </c>
      <c r="AM461" s="5">
        <f t="shared" si="66"/>
        <v>0.73529411764705888</v>
      </c>
      <c r="AN461" s="4">
        <f t="shared" si="63"/>
        <v>1.1136601554669577E-3</v>
      </c>
      <c r="AO461" s="3"/>
      <c r="AP461">
        <v>0</v>
      </c>
      <c r="AR461" t="s">
        <v>0</v>
      </c>
      <c r="AT461" s="2" t="s">
        <v>19</v>
      </c>
      <c r="AU461" s="1">
        <f t="shared" si="67"/>
        <v>3.1203535595023735</v>
      </c>
      <c r="AV461" s="1">
        <f t="shared" si="68"/>
        <v>2.2606428326578945</v>
      </c>
      <c r="AW461" s="1">
        <f t="shared" si="69"/>
        <v>1.4009321058134148</v>
      </c>
    </row>
    <row r="462" spans="1:49" x14ac:dyDescent="0.2">
      <c r="A462">
        <v>460</v>
      </c>
      <c r="B462" t="s">
        <v>4764</v>
      </c>
      <c r="C462" t="s">
        <v>4763</v>
      </c>
      <c r="F462" t="s">
        <v>4762</v>
      </c>
      <c r="G462" t="s">
        <v>15</v>
      </c>
      <c r="H462" t="s">
        <v>14</v>
      </c>
      <c r="I462" t="s">
        <v>4761</v>
      </c>
      <c r="J462" t="s">
        <v>4756</v>
      </c>
      <c r="K462" t="s">
        <v>4760</v>
      </c>
      <c r="L462" t="s">
        <v>4759</v>
      </c>
      <c r="M462" t="s">
        <v>9</v>
      </c>
      <c r="N462">
        <v>2</v>
      </c>
      <c r="O462" t="s">
        <v>4758</v>
      </c>
      <c r="P462" t="s">
        <v>4757</v>
      </c>
      <c r="Q462" t="s">
        <v>4756</v>
      </c>
      <c r="R462" s="7">
        <v>32143</v>
      </c>
      <c r="S462" s="8">
        <f t="shared" si="64"/>
        <v>1988</v>
      </c>
      <c r="T462" s="8">
        <v>1988</v>
      </c>
      <c r="U462" s="8">
        <f t="shared" si="65"/>
        <v>34</v>
      </c>
      <c r="V462" s="7">
        <v>32387</v>
      </c>
      <c r="W462" t="s">
        <v>69</v>
      </c>
      <c r="X462" s="2">
        <v>1.6519999999999999</v>
      </c>
      <c r="Y462" s="6">
        <f t="shared" si="62"/>
        <v>4.409919649769093E-2</v>
      </c>
      <c r="AA462" t="s">
        <v>68</v>
      </c>
      <c r="AB462">
        <v>17337</v>
      </c>
      <c r="AC462">
        <v>15582221</v>
      </c>
      <c r="AD462" t="s">
        <v>4</v>
      </c>
      <c r="AE462">
        <v>36</v>
      </c>
      <c r="AF462">
        <v>9</v>
      </c>
      <c r="AH462" t="s">
        <v>4755</v>
      </c>
      <c r="AI462" t="s">
        <v>4754</v>
      </c>
      <c r="AK462" t="s">
        <v>4753</v>
      </c>
      <c r="AL462">
        <v>0</v>
      </c>
      <c r="AM462" s="5">
        <f t="shared" si="66"/>
        <v>0</v>
      </c>
      <c r="AN462" s="4">
        <f t="shared" si="63"/>
        <v>0</v>
      </c>
      <c r="AO462" s="3"/>
      <c r="AP462">
        <v>0</v>
      </c>
      <c r="AQ462" t="s">
        <v>577</v>
      </c>
      <c r="AR462" t="s">
        <v>0</v>
      </c>
      <c r="AS462" t="s">
        <v>575</v>
      </c>
      <c r="AT462" s="2" t="s">
        <v>19</v>
      </c>
      <c r="AU462" s="1">
        <f t="shared" si="67"/>
        <v>3.0869437548383649</v>
      </c>
      <c r="AV462" s="1">
        <f t="shared" si="68"/>
        <v>2.2049598248845466</v>
      </c>
      <c r="AW462" s="1">
        <f t="shared" si="69"/>
        <v>1.3229758949307278</v>
      </c>
    </row>
    <row r="463" spans="1:49" x14ac:dyDescent="0.2">
      <c r="A463">
        <v>461</v>
      </c>
      <c r="B463" t="s">
        <v>4752</v>
      </c>
      <c r="C463" t="s">
        <v>4751</v>
      </c>
      <c r="F463" t="s">
        <v>4750</v>
      </c>
      <c r="G463" t="s">
        <v>15</v>
      </c>
      <c r="H463" t="s">
        <v>14</v>
      </c>
      <c r="I463" t="s">
        <v>4749</v>
      </c>
      <c r="J463" t="s">
        <v>4748</v>
      </c>
      <c r="K463" t="s">
        <v>4747</v>
      </c>
      <c r="L463" t="s">
        <v>4746</v>
      </c>
      <c r="M463" t="s">
        <v>4745</v>
      </c>
      <c r="N463">
        <v>2</v>
      </c>
      <c r="O463" t="s">
        <v>4744</v>
      </c>
      <c r="P463" t="s">
        <v>4743</v>
      </c>
      <c r="Q463" t="s">
        <v>4742</v>
      </c>
      <c r="R463" s="7">
        <v>32143</v>
      </c>
      <c r="S463" s="8">
        <f t="shared" si="64"/>
        <v>1988</v>
      </c>
      <c r="T463" s="8">
        <v>1988</v>
      </c>
      <c r="U463" s="8">
        <f t="shared" si="65"/>
        <v>34</v>
      </c>
      <c r="V463" s="7">
        <v>32387</v>
      </c>
      <c r="W463" t="s">
        <v>69</v>
      </c>
      <c r="X463" s="2">
        <v>1.6519999999999999</v>
      </c>
      <c r="Y463" s="6">
        <f t="shared" si="62"/>
        <v>4.409919649769093E-2</v>
      </c>
      <c r="AA463" t="s">
        <v>68</v>
      </c>
      <c r="AB463">
        <v>17337</v>
      </c>
      <c r="AC463">
        <v>15582221</v>
      </c>
      <c r="AD463" t="s">
        <v>4</v>
      </c>
      <c r="AE463">
        <v>36</v>
      </c>
      <c r="AF463">
        <v>9</v>
      </c>
      <c r="AH463" t="s">
        <v>4741</v>
      </c>
      <c r="AI463" t="s">
        <v>4740</v>
      </c>
      <c r="AK463" t="s">
        <v>4739</v>
      </c>
      <c r="AL463">
        <v>12</v>
      </c>
      <c r="AM463" s="5">
        <f t="shared" si="66"/>
        <v>0.35294117647058826</v>
      </c>
      <c r="AN463" s="4">
        <f t="shared" si="63"/>
        <v>5.3455687462413976E-4</v>
      </c>
      <c r="AO463" s="3"/>
      <c r="AP463">
        <v>0</v>
      </c>
      <c r="AR463" t="s">
        <v>0</v>
      </c>
      <c r="AT463" s="2" t="s">
        <v>19</v>
      </c>
      <c r="AU463" s="1">
        <f t="shared" si="67"/>
        <v>3.1029804610770895</v>
      </c>
      <c r="AV463" s="1">
        <f t="shared" si="68"/>
        <v>2.2316876686157539</v>
      </c>
      <c r="AW463" s="1">
        <f t="shared" si="69"/>
        <v>1.3603948761544176</v>
      </c>
    </row>
    <row r="464" spans="1:49" x14ac:dyDescent="0.2">
      <c r="A464">
        <v>462</v>
      </c>
      <c r="B464" t="s">
        <v>4738</v>
      </c>
      <c r="C464" t="s">
        <v>4737</v>
      </c>
      <c r="F464" t="s">
        <v>4736</v>
      </c>
      <c r="G464" t="s">
        <v>15</v>
      </c>
      <c r="H464" t="s">
        <v>14</v>
      </c>
      <c r="I464" t="s">
        <v>4735</v>
      </c>
      <c r="J464">
        <v>60021902</v>
      </c>
      <c r="K464" t="s">
        <v>4422</v>
      </c>
      <c r="L464" t="s">
        <v>4421</v>
      </c>
      <c r="M464" t="s">
        <v>4420</v>
      </c>
      <c r="N464">
        <v>1</v>
      </c>
      <c r="O464" t="s">
        <v>4734</v>
      </c>
      <c r="P464">
        <v>35565202000</v>
      </c>
      <c r="Q464">
        <v>60021902</v>
      </c>
      <c r="R464" s="7">
        <v>32143</v>
      </c>
      <c r="S464" s="8">
        <f t="shared" si="64"/>
        <v>1988</v>
      </c>
      <c r="T464" s="8">
        <v>1988</v>
      </c>
      <c r="U464" s="8">
        <f t="shared" si="65"/>
        <v>34</v>
      </c>
      <c r="V464" s="7">
        <v>32387</v>
      </c>
      <c r="W464" t="s">
        <v>69</v>
      </c>
      <c r="X464" s="2">
        <v>1.6519999999999999</v>
      </c>
      <c r="Y464" s="6">
        <f t="shared" si="62"/>
        <v>4.409919649769093E-2</v>
      </c>
      <c r="AA464" t="s">
        <v>68</v>
      </c>
      <c r="AB464">
        <v>17337</v>
      </c>
      <c r="AC464">
        <v>15582221</v>
      </c>
      <c r="AD464" t="s">
        <v>4</v>
      </c>
      <c r="AE464">
        <v>36</v>
      </c>
      <c r="AF464">
        <v>9</v>
      </c>
      <c r="AH464" t="s">
        <v>4733</v>
      </c>
      <c r="AI464" t="s">
        <v>4732</v>
      </c>
      <c r="AK464" t="s">
        <v>4731</v>
      </c>
      <c r="AL464">
        <v>12</v>
      </c>
      <c r="AM464" s="5">
        <f t="shared" si="66"/>
        <v>0.35294117647058826</v>
      </c>
      <c r="AN464" s="4">
        <f t="shared" si="63"/>
        <v>5.3455687462413976E-4</v>
      </c>
      <c r="AO464" s="3"/>
      <c r="AP464">
        <v>0</v>
      </c>
      <c r="AR464" t="s">
        <v>0</v>
      </c>
      <c r="AT464" s="2" t="s">
        <v>19</v>
      </c>
      <c r="AU464" s="1">
        <f t="shared" si="67"/>
        <v>3.1029804610770895</v>
      </c>
      <c r="AV464" s="1">
        <f t="shared" si="68"/>
        <v>2.2316876686157539</v>
      </c>
      <c r="AW464" s="1">
        <f t="shared" si="69"/>
        <v>1.3603948761544176</v>
      </c>
    </row>
    <row r="465" spans="1:49" x14ac:dyDescent="0.2">
      <c r="A465">
        <v>463</v>
      </c>
      <c r="B465" t="s">
        <v>4730</v>
      </c>
      <c r="C465" t="s">
        <v>4729</v>
      </c>
      <c r="F465" t="s">
        <v>4728</v>
      </c>
      <c r="G465" t="s">
        <v>15</v>
      </c>
      <c r="H465" t="s">
        <v>14</v>
      </c>
      <c r="I465" t="s">
        <v>4727</v>
      </c>
      <c r="J465" t="s">
        <v>4726</v>
      </c>
      <c r="K465" t="s">
        <v>4725</v>
      </c>
      <c r="L465" t="s">
        <v>4724</v>
      </c>
      <c r="M465" t="s">
        <v>4641</v>
      </c>
      <c r="N465">
        <v>3</v>
      </c>
      <c r="O465" t="s">
        <v>4723</v>
      </c>
      <c r="P465" t="s">
        <v>4722</v>
      </c>
      <c r="Q465" t="s">
        <v>4721</v>
      </c>
      <c r="R465" s="7">
        <v>32143</v>
      </c>
      <c r="S465" s="8">
        <f t="shared" si="64"/>
        <v>1988</v>
      </c>
      <c r="T465" s="8">
        <v>1988</v>
      </c>
      <c r="U465" s="8">
        <f t="shared" si="65"/>
        <v>34</v>
      </c>
      <c r="V465" s="7">
        <v>32387</v>
      </c>
      <c r="W465" t="s">
        <v>69</v>
      </c>
      <c r="X465" s="2">
        <v>1.6519999999999999</v>
      </c>
      <c r="Y465" s="6">
        <f t="shared" si="62"/>
        <v>4.409919649769093E-2</v>
      </c>
      <c r="AA465" t="s">
        <v>68</v>
      </c>
      <c r="AB465">
        <v>17337</v>
      </c>
      <c r="AC465">
        <v>15582221</v>
      </c>
      <c r="AD465" t="s">
        <v>4</v>
      </c>
      <c r="AE465">
        <v>36</v>
      </c>
      <c r="AF465">
        <v>9</v>
      </c>
      <c r="AH465" t="s">
        <v>4720</v>
      </c>
      <c r="AI465" t="s">
        <v>4719</v>
      </c>
      <c r="AK465" t="s">
        <v>4718</v>
      </c>
      <c r="AL465">
        <v>34</v>
      </c>
      <c r="AM465" s="5">
        <f t="shared" si="66"/>
        <v>1</v>
      </c>
      <c r="AN465" s="4">
        <f t="shared" si="63"/>
        <v>1.5145778114350624E-3</v>
      </c>
      <c r="AO465" s="3"/>
      <c r="AP465">
        <v>0</v>
      </c>
      <c r="AR465" t="s">
        <v>0</v>
      </c>
      <c r="AT465" s="2" t="s">
        <v>19</v>
      </c>
      <c r="AU465" s="1">
        <f t="shared" si="67"/>
        <v>3.132381089181417</v>
      </c>
      <c r="AV465" s="1">
        <f t="shared" si="68"/>
        <v>2.2806887154562996</v>
      </c>
      <c r="AW465" s="1">
        <f t="shared" si="69"/>
        <v>1.4289963417311822</v>
      </c>
    </row>
    <row r="466" spans="1:49" x14ac:dyDescent="0.2">
      <c r="A466">
        <v>464</v>
      </c>
      <c r="B466" t="s">
        <v>4717</v>
      </c>
      <c r="C466" t="s">
        <v>4716</v>
      </c>
      <c r="F466" t="s">
        <v>4715</v>
      </c>
      <c r="G466" t="s">
        <v>15</v>
      </c>
      <c r="H466" t="s">
        <v>14</v>
      </c>
      <c r="I466" t="s">
        <v>4714</v>
      </c>
      <c r="J466">
        <v>60033461</v>
      </c>
      <c r="K466" t="s">
        <v>4630</v>
      </c>
      <c r="L466" t="s">
        <v>4629</v>
      </c>
      <c r="M466" t="s">
        <v>31</v>
      </c>
      <c r="N466">
        <v>1</v>
      </c>
      <c r="O466" t="s">
        <v>4713</v>
      </c>
      <c r="P466">
        <v>7003292725</v>
      </c>
      <c r="Q466">
        <v>60033461</v>
      </c>
      <c r="R466" s="7">
        <v>32143</v>
      </c>
      <c r="S466" s="8">
        <f t="shared" si="64"/>
        <v>1988</v>
      </c>
      <c r="T466" s="8">
        <v>1988</v>
      </c>
      <c r="U466" s="8">
        <f t="shared" si="65"/>
        <v>34</v>
      </c>
      <c r="V466" s="7" t="s">
        <v>4378</v>
      </c>
      <c r="W466" s="11" t="s">
        <v>1890</v>
      </c>
      <c r="X466" s="2">
        <v>2.383</v>
      </c>
      <c r="Y466" s="6">
        <f t="shared" si="62"/>
        <v>6.3612824003630442E-2</v>
      </c>
      <c r="AA466" t="s">
        <v>1889</v>
      </c>
      <c r="AB466">
        <v>101151</v>
      </c>
      <c r="AD466" t="s">
        <v>4</v>
      </c>
      <c r="AE466">
        <v>135</v>
      </c>
      <c r="AF466">
        <v>4</v>
      </c>
      <c r="AH466" t="s">
        <v>4712</v>
      </c>
      <c r="AI466" t="s">
        <v>4711</v>
      </c>
      <c r="AK466" t="s">
        <v>4710</v>
      </c>
      <c r="AL466">
        <v>22</v>
      </c>
      <c r="AM466" s="5">
        <f t="shared" si="66"/>
        <v>0.6470588235294118</v>
      </c>
      <c r="AN466" s="4">
        <f t="shared" si="63"/>
        <v>9.8002093681092274E-4</v>
      </c>
      <c r="AO466" s="3"/>
      <c r="AP466">
        <v>0</v>
      </c>
      <c r="AR466" t="s">
        <v>0</v>
      </c>
      <c r="AT466" s="2" t="s">
        <v>19</v>
      </c>
      <c r="AU466" s="1">
        <f t="shared" si="67"/>
        <v>4.4822983083584589</v>
      </c>
      <c r="AV466" s="1">
        <f t="shared" si="68"/>
        <v>3.2296422470220678</v>
      </c>
      <c r="AW466" s="1">
        <f t="shared" si="69"/>
        <v>1.9769861856856781</v>
      </c>
    </row>
    <row r="467" spans="1:49" x14ac:dyDescent="0.2">
      <c r="A467">
        <v>465</v>
      </c>
      <c r="B467" t="s">
        <v>4709</v>
      </c>
      <c r="C467" t="s">
        <v>4708</v>
      </c>
      <c r="F467" t="s">
        <v>4707</v>
      </c>
      <c r="G467" t="s">
        <v>15</v>
      </c>
      <c r="H467" t="s">
        <v>14</v>
      </c>
      <c r="I467" t="s">
        <v>4706</v>
      </c>
      <c r="J467">
        <v>60018829</v>
      </c>
      <c r="K467" t="s">
        <v>4705</v>
      </c>
      <c r="L467" t="s">
        <v>4704</v>
      </c>
      <c r="M467" t="s">
        <v>1011</v>
      </c>
      <c r="N467">
        <v>1</v>
      </c>
      <c r="O467" t="s">
        <v>4703</v>
      </c>
      <c r="P467">
        <v>7201580163</v>
      </c>
      <c r="Q467">
        <v>60018829</v>
      </c>
      <c r="R467" s="7">
        <v>32143</v>
      </c>
      <c r="S467" s="8">
        <f t="shared" si="64"/>
        <v>1988</v>
      </c>
      <c r="T467" s="8">
        <v>1988</v>
      </c>
      <c r="U467" s="8">
        <f t="shared" si="65"/>
        <v>34</v>
      </c>
      <c r="V467" s="7" t="s">
        <v>4378</v>
      </c>
      <c r="W467" s="11" t="s">
        <v>1890</v>
      </c>
      <c r="X467" s="2">
        <v>2.383</v>
      </c>
      <c r="Y467" s="6">
        <f t="shared" si="62"/>
        <v>6.3612824003630442E-2</v>
      </c>
      <c r="AA467" t="s">
        <v>1889</v>
      </c>
      <c r="AB467">
        <v>101151</v>
      </c>
      <c r="AD467" t="s">
        <v>4</v>
      </c>
      <c r="AE467">
        <v>135</v>
      </c>
      <c r="AF467">
        <v>4</v>
      </c>
      <c r="AH467" t="s">
        <v>4702</v>
      </c>
      <c r="AI467" t="s">
        <v>4701</v>
      </c>
      <c r="AK467" t="s">
        <v>4700</v>
      </c>
      <c r="AL467">
        <v>20</v>
      </c>
      <c r="AM467" s="5">
        <f t="shared" si="66"/>
        <v>0.58823529411764708</v>
      </c>
      <c r="AN467" s="4">
        <f t="shared" si="63"/>
        <v>8.9092812437356617E-4</v>
      </c>
      <c r="AO467" s="3"/>
      <c r="AP467">
        <v>0</v>
      </c>
      <c r="AR467" t="s">
        <v>0</v>
      </c>
      <c r="AT467" s="2" t="s">
        <v>19</v>
      </c>
      <c r="AU467" s="1">
        <f t="shared" si="67"/>
        <v>4.4796255239853382</v>
      </c>
      <c r="AV467" s="1">
        <f t="shared" si="68"/>
        <v>3.2251876064002003</v>
      </c>
      <c r="AW467" s="1">
        <f t="shared" si="69"/>
        <v>1.9707496888150629</v>
      </c>
    </row>
    <row r="468" spans="1:49" x14ac:dyDescent="0.2">
      <c r="A468">
        <v>466</v>
      </c>
      <c r="B468" t="s">
        <v>4699</v>
      </c>
      <c r="C468" t="s">
        <v>4698</v>
      </c>
      <c r="F468" t="s">
        <v>4697</v>
      </c>
      <c r="G468" t="s">
        <v>15</v>
      </c>
      <c r="H468" t="s">
        <v>14</v>
      </c>
      <c r="I468" t="s">
        <v>4696</v>
      </c>
      <c r="J468">
        <v>60002874</v>
      </c>
      <c r="K468" t="s">
        <v>4695</v>
      </c>
      <c r="L468" t="s">
        <v>4694</v>
      </c>
      <c r="M468" t="s">
        <v>300</v>
      </c>
      <c r="N468">
        <v>3</v>
      </c>
      <c r="O468" t="s">
        <v>4693</v>
      </c>
      <c r="P468" t="s">
        <v>4692</v>
      </c>
      <c r="Q468" t="s">
        <v>4691</v>
      </c>
      <c r="R468" s="7">
        <v>32143</v>
      </c>
      <c r="S468" s="8">
        <f t="shared" si="64"/>
        <v>1988</v>
      </c>
      <c r="T468" s="8">
        <v>1988</v>
      </c>
      <c r="U468" s="8">
        <f t="shared" si="65"/>
        <v>34</v>
      </c>
      <c r="V468" s="7" t="s">
        <v>4378</v>
      </c>
      <c r="W468" s="11" t="s">
        <v>1890</v>
      </c>
      <c r="X468" s="2">
        <v>2.383</v>
      </c>
      <c r="Y468" s="6">
        <f t="shared" si="62"/>
        <v>6.3612824003630442E-2</v>
      </c>
      <c r="AA468" t="s">
        <v>1889</v>
      </c>
      <c r="AB468">
        <v>101151</v>
      </c>
      <c r="AD468" t="s">
        <v>4</v>
      </c>
      <c r="AE468">
        <v>135</v>
      </c>
      <c r="AF468">
        <v>4</v>
      </c>
      <c r="AH468" t="s">
        <v>4690</v>
      </c>
      <c r="AI468" t="s">
        <v>4689</v>
      </c>
      <c r="AK468" t="s">
        <v>4688</v>
      </c>
      <c r="AL468">
        <v>17</v>
      </c>
      <c r="AM468" s="5">
        <f t="shared" si="66"/>
        <v>0.5</v>
      </c>
      <c r="AN468" s="4">
        <f t="shared" si="63"/>
        <v>7.572889057175312E-4</v>
      </c>
      <c r="AO468" s="3"/>
      <c r="AP468">
        <v>0</v>
      </c>
      <c r="AR468" t="s">
        <v>0</v>
      </c>
      <c r="AT468" s="2" t="s">
        <v>19</v>
      </c>
      <c r="AU468" s="1">
        <f t="shared" si="67"/>
        <v>4.4756163474256567</v>
      </c>
      <c r="AV468" s="1">
        <f t="shared" si="68"/>
        <v>3.218505645467399</v>
      </c>
      <c r="AW468" s="1">
        <f t="shared" si="69"/>
        <v>1.9613949435091407</v>
      </c>
    </row>
    <row r="469" spans="1:49" x14ac:dyDescent="0.2">
      <c r="A469">
        <v>467</v>
      </c>
      <c r="B469" t="s">
        <v>4687</v>
      </c>
      <c r="C469" t="s">
        <v>4686</v>
      </c>
      <c r="F469" t="s">
        <v>4685</v>
      </c>
      <c r="G469" t="s">
        <v>15</v>
      </c>
      <c r="H469" t="s">
        <v>14</v>
      </c>
      <c r="I469" t="s">
        <v>4684</v>
      </c>
      <c r="J469">
        <v>120569630</v>
      </c>
      <c r="K469" t="s">
        <v>4683</v>
      </c>
      <c r="L469" t="s">
        <v>4682</v>
      </c>
      <c r="M469" t="s">
        <v>1011</v>
      </c>
      <c r="N469">
        <v>2</v>
      </c>
      <c r="O469" t="s">
        <v>4681</v>
      </c>
      <c r="P469" t="s">
        <v>4680</v>
      </c>
      <c r="Q469" t="s">
        <v>4679</v>
      </c>
      <c r="R469" s="7">
        <v>32143</v>
      </c>
      <c r="S469" s="8">
        <f t="shared" si="64"/>
        <v>1988</v>
      </c>
      <c r="T469" s="8">
        <v>1988</v>
      </c>
      <c r="U469" s="8">
        <f t="shared" si="65"/>
        <v>34</v>
      </c>
      <c r="V469" s="7" t="s">
        <v>4378</v>
      </c>
      <c r="W469" s="11" t="s">
        <v>1890</v>
      </c>
      <c r="X469" s="2">
        <v>2.383</v>
      </c>
      <c r="Y469" s="6">
        <f t="shared" si="62"/>
        <v>6.3612824003630442E-2</v>
      </c>
      <c r="AA469" t="s">
        <v>1889</v>
      </c>
      <c r="AB469">
        <v>101151</v>
      </c>
      <c r="AD469" t="s">
        <v>4</v>
      </c>
      <c r="AE469">
        <v>135</v>
      </c>
      <c r="AF469">
        <v>4</v>
      </c>
      <c r="AH469" t="s">
        <v>4678</v>
      </c>
      <c r="AI469" t="s">
        <v>4677</v>
      </c>
      <c r="AK469" t="s">
        <v>4676</v>
      </c>
      <c r="AL469">
        <v>1</v>
      </c>
      <c r="AM469" s="5">
        <f t="shared" si="66"/>
        <v>2.9411764705882353E-2</v>
      </c>
      <c r="AN469" s="4">
        <f t="shared" si="63"/>
        <v>4.4546406218678307E-5</v>
      </c>
      <c r="AO469" s="3"/>
      <c r="AP469">
        <v>0</v>
      </c>
      <c r="AR469" t="s">
        <v>0</v>
      </c>
      <c r="AT469" s="2" t="s">
        <v>19</v>
      </c>
      <c r="AU469" s="1">
        <f t="shared" si="67"/>
        <v>4.4542340724406912</v>
      </c>
      <c r="AV469" s="1">
        <f t="shared" si="68"/>
        <v>3.1828685204924558</v>
      </c>
      <c r="AW469" s="1">
        <f t="shared" si="69"/>
        <v>1.9115029685442209</v>
      </c>
    </row>
    <row r="470" spans="1:49" x14ac:dyDescent="0.2">
      <c r="A470">
        <v>468</v>
      </c>
      <c r="B470" t="s">
        <v>4675</v>
      </c>
      <c r="C470" t="s">
        <v>4674</v>
      </c>
      <c r="F470" t="s">
        <v>4673</v>
      </c>
      <c r="G470" t="s">
        <v>15</v>
      </c>
      <c r="H470" t="s">
        <v>14</v>
      </c>
      <c r="I470" t="s">
        <v>140</v>
      </c>
      <c r="N470">
        <v>1</v>
      </c>
      <c r="O470" t="s">
        <v>139</v>
      </c>
      <c r="P470">
        <v>7101988263</v>
      </c>
      <c r="R470" s="7">
        <v>32143</v>
      </c>
      <c r="S470" s="8">
        <f t="shared" si="64"/>
        <v>1988</v>
      </c>
      <c r="T470" s="8">
        <v>1988</v>
      </c>
      <c r="U470" s="8">
        <f t="shared" si="65"/>
        <v>34</v>
      </c>
      <c r="V470" s="7" t="s">
        <v>4378</v>
      </c>
      <c r="W470" s="11" t="s">
        <v>1890</v>
      </c>
      <c r="X470" s="2">
        <v>2.383</v>
      </c>
      <c r="Y470" s="6">
        <f t="shared" si="62"/>
        <v>6.3612824003630442E-2</v>
      </c>
      <c r="AA470" t="s">
        <v>1889</v>
      </c>
      <c r="AB470">
        <v>101151</v>
      </c>
      <c r="AD470" t="s">
        <v>4</v>
      </c>
      <c r="AE470">
        <v>135</v>
      </c>
      <c r="AF470">
        <v>4</v>
      </c>
      <c r="AH470" t="s">
        <v>4672</v>
      </c>
      <c r="AI470" t="s">
        <v>4671</v>
      </c>
      <c r="AK470" t="s">
        <v>4670</v>
      </c>
      <c r="AL470">
        <v>18</v>
      </c>
      <c r="AM470" s="5">
        <f t="shared" si="66"/>
        <v>0.52941176470588236</v>
      </c>
      <c r="AN470" s="4">
        <f t="shared" si="63"/>
        <v>8.0183531193620959E-4</v>
      </c>
      <c r="AO470" s="3"/>
      <c r="AP470">
        <v>0</v>
      </c>
      <c r="AR470" t="s">
        <v>0</v>
      </c>
      <c r="AT470" s="2" t="s">
        <v>19</v>
      </c>
      <c r="AU470" s="1">
        <f t="shared" si="67"/>
        <v>4.4769527396122175</v>
      </c>
      <c r="AV470" s="1">
        <f t="shared" si="68"/>
        <v>3.2207329657783328</v>
      </c>
      <c r="AW470" s="1">
        <f t="shared" si="69"/>
        <v>1.9645131919444478</v>
      </c>
    </row>
    <row r="471" spans="1:49" x14ac:dyDescent="0.2">
      <c r="A471">
        <v>469</v>
      </c>
      <c r="B471" t="s">
        <v>4669</v>
      </c>
      <c r="C471" t="s">
        <v>4668</v>
      </c>
      <c r="F471" t="s">
        <v>4667</v>
      </c>
      <c r="G471" t="s">
        <v>15</v>
      </c>
      <c r="H471" t="s">
        <v>14</v>
      </c>
      <c r="I471" t="s">
        <v>4666</v>
      </c>
      <c r="J471">
        <v>105638034</v>
      </c>
      <c r="K471" t="s">
        <v>4665</v>
      </c>
      <c r="L471" t="s">
        <v>794</v>
      </c>
      <c r="M471" t="s">
        <v>31</v>
      </c>
      <c r="N471">
        <v>1</v>
      </c>
      <c r="O471" t="s">
        <v>4664</v>
      </c>
      <c r="P471">
        <v>35577564700</v>
      </c>
      <c r="Q471">
        <v>105638034</v>
      </c>
      <c r="R471" s="7">
        <v>32143</v>
      </c>
      <c r="S471" s="8">
        <f t="shared" si="64"/>
        <v>1988</v>
      </c>
      <c r="T471" s="8">
        <v>1988</v>
      </c>
      <c r="U471" s="8">
        <f t="shared" si="65"/>
        <v>34</v>
      </c>
      <c r="V471" s="7">
        <v>32356</v>
      </c>
      <c r="W471" t="s">
        <v>2085</v>
      </c>
      <c r="X471" s="2">
        <v>1.365</v>
      </c>
      <c r="Y471" s="6">
        <f t="shared" si="62"/>
        <v>3.6437895411227675E-2</v>
      </c>
      <c r="AA471">
        <v>189545</v>
      </c>
      <c r="AB471">
        <v>17393</v>
      </c>
      <c r="AC471">
        <v>19399359</v>
      </c>
      <c r="AD471" t="s">
        <v>4</v>
      </c>
      <c r="AE471">
        <v>37</v>
      </c>
      <c r="AF471">
        <v>3</v>
      </c>
      <c r="AH471" t="s">
        <v>4663</v>
      </c>
      <c r="AI471" t="s">
        <v>4662</v>
      </c>
      <c r="AK471" t="s">
        <v>4661</v>
      </c>
      <c r="AL471">
        <v>93</v>
      </c>
      <c r="AM471" s="5">
        <f t="shared" si="66"/>
        <v>2.7352941176470589</v>
      </c>
      <c r="AN471" s="4">
        <f t="shared" si="63"/>
        <v>4.1428157783370825E-3</v>
      </c>
      <c r="AO471" s="3"/>
      <c r="AP471">
        <v>0</v>
      </c>
      <c r="AR471" t="s">
        <v>0</v>
      </c>
      <c r="AT471" s="2" t="s">
        <v>19</v>
      </c>
      <c r="AU471" s="1">
        <f t="shared" si="67"/>
        <v>2.6749371521360494</v>
      </c>
      <c r="AV471" s="1">
        <f t="shared" si="68"/>
        <v>2.0290355594782379</v>
      </c>
      <c r="AW471" s="1">
        <f t="shared" si="69"/>
        <v>1.3831339668204259</v>
      </c>
    </row>
    <row r="472" spans="1:49" x14ac:dyDescent="0.2">
      <c r="A472">
        <v>470</v>
      </c>
      <c r="B472" t="s">
        <v>4660</v>
      </c>
      <c r="C472" t="s">
        <v>4659</v>
      </c>
      <c r="F472" t="s">
        <v>4658</v>
      </c>
      <c r="G472" t="s">
        <v>15</v>
      </c>
      <c r="H472" t="s">
        <v>14</v>
      </c>
      <c r="I472" t="s">
        <v>3681</v>
      </c>
      <c r="J472" t="s">
        <v>4657</v>
      </c>
      <c r="K472" t="s">
        <v>4656</v>
      </c>
      <c r="L472" t="s">
        <v>4655</v>
      </c>
      <c r="M472" t="s">
        <v>439</v>
      </c>
      <c r="N472">
        <v>3</v>
      </c>
      <c r="O472" t="s">
        <v>4654</v>
      </c>
      <c r="P472" t="s">
        <v>4653</v>
      </c>
      <c r="Q472" t="s">
        <v>4652</v>
      </c>
      <c r="R472" s="7">
        <v>32143</v>
      </c>
      <c r="S472" s="8">
        <f t="shared" si="64"/>
        <v>1988</v>
      </c>
      <c r="T472" s="8">
        <v>1988</v>
      </c>
      <c r="U472" s="8">
        <f t="shared" si="65"/>
        <v>34</v>
      </c>
      <c r="V472" s="7">
        <v>32356</v>
      </c>
      <c r="W472" t="s">
        <v>69</v>
      </c>
      <c r="X472" s="2">
        <v>1.6519999999999999</v>
      </c>
      <c r="Y472" s="6">
        <f t="shared" si="62"/>
        <v>4.409919649769093E-2</v>
      </c>
      <c r="AA472" t="s">
        <v>68</v>
      </c>
      <c r="AB472">
        <v>17337</v>
      </c>
      <c r="AC472">
        <v>15582221</v>
      </c>
      <c r="AD472" t="s">
        <v>4</v>
      </c>
      <c r="AE472">
        <v>36</v>
      </c>
      <c r="AF472">
        <v>8</v>
      </c>
      <c r="AH472" t="s">
        <v>4651</v>
      </c>
      <c r="AI472" t="s">
        <v>4650</v>
      </c>
      <c r="AK472" t="s">
        <v>4649</v>
      </c>
      <c r="AL472">
        <v>10</v>
      </c>
      <c r="AM472" s="5">
        <f t="shared" si="66"/>
        <v>0.29411764705882354</v>
      </c>
      <c r="AN472" s="4">
        <f t="shared" si="63"/>
        <v>4.4546406218678308E-4</v>
      </c>
      <c r="AO472" s="3"/>
      <c r="AP472">
        <v>0</v>
      </c>
      <c r="AR472" t="s">
        <v>0</v>
      </c>
      <c r="AT472" s="2" t="s">
        <v>19</v>
      </c>
      <c r="AU472" s="1">
        <f t="shared" si="67"/>
        <v>3.1003076767039688</v>
      </c>
      <c r="AV472" s="1">
        <f t="shared" si="68"/>
        <v>2.2272330279938855</v>
      </c>
      <c r="AW472" s="1">
        <f t="shared" si="69"/>
        <v>1.3541583792838026</v>
      </c>
    </row>
    <row r="473" spans="1:49" x14ac:dyDescent="0.2">
      <c r="A473">
        <v>471</v>
      </c>
      <c r="B473" t="s">
        <v>4648</v>
      </c>
      <c r="C473" t="s">
        <v>4647</v>
      </c>
      <c r="F473" t="s">
        <v>4646</v>
      </c>
      <c r="G473" t="s">
        <v>15</v>
      </c>
      <c r="H473" t="s">
        <v>14</v>
      </c>
      <c r="I473" t="s">
        <v>4645</v>
      </c>
      <c r="J473" t="s">
        <v>4644</v>
      </c>
      <c r="K473" t="s">
        <v>4643</v>
      </c>
      <c r="L473" t="s">
        <v>4642</v>
      </c>
      <c r="M473" t="s">
        <v>4641</v>
      </c>
      <c r="N473">
        <v>2</v>
      </c>
      <c r="O473" t="s">
        <v>4640</v>
      </c>
      <c r="P473" t="s">
        <v>4639</v>
      </c>
      <c r="Q473" t="s">
        <v>4638</v>
      </c>
      <c r="R473" s="7">
        <v>32143</v>
      </c>
      <c r="S473" s="8">
        <f t="shared" si="64"/>
        <v>1988</v>
      </c>
      <c r="T473" s="8">
        <v>1988</v>
      </c>
      <c r="U473" s="8">
        <f t="shared" si="65"/>
        <v>34</v>
      </c>
      <c r="V473" s="7">
        <v>32356</v>
      </c>
      <c r="W473" t="s">
        <v>69</v>
      </c>
      <c r="X473" s="2">
        <v>1.6519999999999999</v>
      </c>
      <c r="Y473" s="6">
        <f t="shared" si="62"/>
        <v>4.409919649769093E-2</v>
      </c>
      <c r="AA473" t="s">
        <v>68</v>
      </c>
      <c r="AB473">
        <v>17337</v>
      </c>
      <c r="AC473">
        <v>15582221</v>
      </c>
      <c r="AD473" t="s">
        <v>4</v>
      </c>
      <c r="AE473">
        <v>36</v>
      </c>
      <c r="AF473">
        <v>8</v>
      </c>
      <c r="AH473" t="s">
        <v>4637</v>
      </c>
      <c r="AI473" t="s">
        <v>4636</v>
      </c>
      <c r="AK473" t="s">
        <v>4635</v>
      </c>
      <c r="AL473">
        <v>7</v>
      </c>
      <c r="AM473" s="5">
        <f t="shared" si="66"/>
        <v>0.20588235294117646</v>
      </c>
      <c r="AN473" s="4">
        <f t="shared" si="63"/>
        <v>3.1182484353074817E-4</v>
      </c>
      <c r="AO473" s="3"/>
      <c r="AP473">
        <v>0</v>
      </c>
      <c r="AR473" t="s">
        <v>0</v>
      </c>
      <c r="AT473" s="2" t="s">
        <v>19</v>
      </c>
      <c r="AU473" s="1">
        <f t="shared" si="67"/>
        <v>3.0962985001442878</v>
      </c>
      <c r="AV473" s="1">
        <f t="shared" si="68"/>
        <v>2.2205510670610837</v>
      </c>
      <c r="AW473" s="1">
        <f t="shared" si="69"/>
        <v>1.3448036339778802</v>
      </c>
    </row>
    <row r="474" spans="1:49" x14ac:dyDescent="0.2">
      <c r="A474">
        <v>472</v>
      </c>
      <c r="B474" t="s">
        <v>4634</v>
      </c>
      <c r="C474" t="s">
        <v>4633</v>
      </c>
      <c r="F474" t="s">
        <v>4632</v>
      </c>
      <c r="G474" t="s">
        <v>15</v>
      </c>
      <c r="H474" t="s">
        <v>14</v>
      </c>
      <c r="I474" t="s">
        <v>4631</v>
      </c>
      <c r="J474">
        <v>60033461</v>
      </c>
      <c r="K474" t="s">
        <v>4630</v>
      </c>
      <c r="L474" t="s">
        <v>4629</v>
      </c>
      <c r="M474" t="s">
        <v>31</v>
      </c>
      <c r="N474">
        <v>1</v>
      </c>
      <c r="O474" t="s">
        <v>4628</v>
      </c>
      <c r="P474">
        <v>24295974500</v>
      </c>
      <c r="Q474">
        <v>60033461</v>
      </c>
      <c r="R474" s="7">
        <v>32143</v>
      </c>
      <c r="S474" s="8">
        <f t="shared" si="64"/>
        <v>1988</v>
      </c>
      <c r="T474" s="8">
        <v>1988</v>
      </c>
      <c r="U474" s="8">
        <f t="shared" si="65"/>
        <v>34</v>
      </c>
      <c r="V474" s="7">
        <v>32356</v>
      </c>
      <c r="W474" t="s">
        <v>69</v>
      </c>
      <c r="X474" s="2">
        <v>1.6519999999999999</v>
      </c>
      <c r="Y474" s="6">
        <f t="shared" si="62"/>
        <v>4.409919649769093E-2</v>
      </c>
      <c r="AA474" t="s">
        <v>68</v>
      </c>
      <c r="AB474">
        <v>17337</v>
      </c>
      <c r="AC474">
        <v>15582221</v>
      </c>
      <c r="AD474" t="s">
        <v>4</v>
      </c>
      <c r="AE474">
        <v>36</v>
      </c>
      <c r="AF474">
        <v>8</v>
      </c>
      <c r="AH474" t="s">
        <v>4627</v>
      </c>
      <c r="AI474" t="s">
        <v>4626</v>
      </c>
      <c r="AK474" t="s">
        <v>4625</v>
      </c>
      <c r="AL474">
        <v>4</v>
      </c>
      <c r="AM474" s="5">
        <f t="shared" si="66"/>
        <v>0.11764705882352941</v>
      </c>
      <c r="AN474" s="4">
        <f t="shared" si="63"/>
        <v>1.7818562487471323E-4</v>
      </c>
      <c r="AO474" s="3"/>
      <c r="AP474">
        <v>0</v>
      </c>
      <c r="AR474" t="s">
        <v>0</v>
      </c>
      <c r="AT474" s="2" t="s">
        <v>19</v>
      </c>
      <c r="AU474" s="1">
        <f t="shared" si="67"/>
        <v>3.0922893235846063</v>
      </c>
      <c r="AV474" s="1">
        <f t="shared" si="68"/>
        <v>2.213869106128282</v>
      </c>
      <c r="AW474" s="1">
        <f t="shared" si="69"/>
        <v>1.3354488886719578</v>
      </c>
    </row>
    <row r="475" spans="1:49" x14ac:dyDescent="0.2">
      <c r="A475">
        <v>473</v>
      </c>
      <c r="B475" t="s">
        <v>4624</v>
      </c>
      <c r="C475" t="s">
        <v>4623</v>
      </c>
      <c r="F475" t="s">
        <v>4622</v>
      </c>
      <c r="G475" t="s">
        <v>15</v>
      </c>
      <c r="H475" t="s">
        <v>14</v>
      </c>
      <c r="I475" t="s">
        <v>61</v>
      </c>
      <c r="J475">
        <v>60013141</v>
      </c>
      <c r="K475" t="s">
        <v>60</v>
      </c>
      <c r="L475" t="s">
        <v>59</v>
      </c>
      <c r="M475" t="s">
        <v>58</v>
      </c>
      <c r="N475">
        <v>2</v>
      </c>
      <c r="O475" t="s">
        <v>4621</v>
      </c>
      <c r="P475" t="s">
        <v>4620</v>
      </c>
      <c r="Q475" t="s">
        <v>1622</v>
      </c>
      <c r="R475" s="7">
        <v>32143</v>
      </c>
      <c r="S475" s="8">
        <f t="shared" si="64"/>
        <v>1988</v>
      </c>
      <c r="T475" s="8">
        <v>1988</v>
      </c>
      <c r="U475" s="8">
        <f t="shared" si="65"/>
        <v>34</v>
      </c>
      <c r="V475" s="7">
        <v>32356</v>
      </c>
      <c r="W475" t="s">
        <v>69</v>
      </c>
      <c r="X475" s="2">
        <v>1.6519999999999999</v>
      </c>
      <c r="Y475" s="6">
        <f t="shared" si="62"/>
        <v>4.409919649769093E-2</v>
      </c>
      <c r="AA475" t="s">
        <v>68</v>
      </c>
      <c r="AB475">
        <v>17337</v>
      </c>
      <c r="AC475">
        <v>15582221</v>
      </c>
      <c r="AD475" t="s">
        <v>4</v>
      </c>
      <c r="AE475">
        <v>36</v>
      </c>
      <c r="AF475">
        <v>8</v>
      </c>
      <c r="AH475" t="s">
        <v>4619</v>
      </c>
      <c r="AI475" t="s">
        <v>4618</v>
      </c>
      <c r="AK475" t="s">
        <v>4617</v>
      </c>
      <c r="AL475">
        <v>75</v>
      </c>
      <c r="AM475" s="5">
        <f t="shared" si="66"/>
        <v>2.2058823529411766</v>
      </c>
      <c r="AN475" s="4">
        <f t="shared" si="63"/>
        <v>3.3409804664008736E-3</v>
      </c>
      <c r="AO475" s="3"/>
      <c r="AP475">
        <v>0</v>
      </c>
      <c r="AR475" t="s">
        <v>0</v>
      </c>
      <c r="AT475" s="2" t="s">
        <v>19</v>
      </c>
      <c r="AU475" s="1">
        <f t="shared" si="67"/>
        <v>3.1871731688303915</v>
      </c>
      <c r="AV475" s="1">
        <f t="shared" si="68"/>
        <v>2.3720088482045902</v>
      </c>
      <c r="AW475" s="1">
        <f t="shared" si="69"/>
        <v>1.556844527578789</v>
      </c>
    </row>
    <row r="476" spans="1:49" x14ac:dyDescent="0.2">
      <c r="A476">
        <v>474</v>
      </c>
      <c r="B476" t="s">
        <v>4616</v>
      </c>
      <c r="C476" t="s">
        <v>4615</v>
      </c>
      <c r="F476" t="s">
        <v>4614</v>
      </c>
      <c r="G476" t="s">
        <v>15</v>
      </c>
      <c r="H476" t="s">
        <v>14</v>
      </c>
      <c r="I476" t="s">
        <v>4613</v>
      </c>
      <c r="J476">
        <v>60032949</v>
      </c>
      <c r="K476" t="s">
        <v>340</v>
      </c>
      <c r="L476" t="s">
        <v>339</v>
      </c>
      <c r="M476" t="s">
        <v>31</v>
      </c>
      <c r="N476">
        <v>1</v>
      </c>
      <c r="O476" t="s">
        <v>4612</v>
      </c>
      <c r="P476">
        <v>7102617827</v>
      </c>
      <c r="Q476">
        <v>60032949</v>
      </c>
      <c r="R476" s="7">
        <v>32143</v>
      </c>
      <c r="S476" s="8">
        <f t="shared" si="64"/>
        <v>1988</v>
      </c>
      <c r="T476" s="8">
        <v>1988</v>
      </c>
      <c r="U476" s="8">
        <f t="shared" si="65"/>
        <v>34</v>
      </c>
      <c r="V476" s="7">
        <v>32356</v>
      </c>
      <c r="W476" t="s">
        <v>1958</v>
      </c>
      <c r="X476" s="2">
        <v>0.65500000000000003</v>
      </c>
      <c r="Y476" s="6">
        <f t="shared" si="62"/>
        <v>1.7484850911614749E-2</v>
      </c>
      <c r="AA476">
        <v>189375</v>
      </c>
      <c r="AB476">
        <v>26051</v>
      </c>
      <c r="AC476" t="s">
        <v>1957</v>
      </c>
      <c r="AD476" t="s">
        <v>4</v>
      </c>
      <c r="AE476">
        <v>30</v>
      </c>
      <c r="AF476">
        <v>3</v>
      </c>
      <c r="AH476" t="s">
        <v>4611</v>
      </c>
      <c r="AI476" t="s">
        <v>4610</v>
      </c>
      <c r="AK476" t="s">
        <v>4609</v>
      </c>
      <c r="AL476">
        <v>35</v>
      </c>
      <c r="AM476" s="5">
        <f t="shared" si="66"/>
        <v>1.0294117647058822</v>
      </c>
      <c r="AN476" s="4">
        <f t="shared" si="63"/>
        <v>1.5591242176537406E-3</v>
      </c>
      <c r="AO476" s="3"/>
      <c r="AP476">
        <v>0</v>
      </c>
      <c r="AR476" t="s">
        <v>0</v>
      </c>
      <c r="AT476" s="2" t="s">
        <v>19</v>
      </c>
      <c r="AU476" s="1">
        <f t="shared" si="67"/>
        <v>1.2707132903426446</v>
      </c>
      <c r="AV476" s="1">
        <f t="shared" si="68"/>
        <v>0.95219875646342444</v>
      </c>
      <c r="AW476" s="1">
        <f t="shared" si="69"/>
        <v>0.63368422258420432</v>
      </c>
    </row>
    <row r="477" spans="1:49" x14ac:dyDescent="0.2">
      <c r="A477">
        <v>475</v>
      </c>
      <c r="B477" t="s">
        <v>4608</v>
      </c>
      <c r="C477" t="s">
        <v>4607</v>
      </c>
      <c r="F477" t="s">
        <v>4606</v>
      </c>
      <c r="G477" t="s">
        <v>15</v>
      </c>
      <c r="H477" t="s">
        <v>14</v>
      </c>
      <c r="I477" t="s">
        <v>4605</v>
      </c>
      <c r="J477">
        <v>60008134</v>
      </c>
      <c r="K477" t="s">
        <v>315</v>
      </c>
      <c r="L477" t="s">
        <v>314</v>
      </c>
      <c r="M477" t="s">
        <v>127</v>
      </c>
      <c r="N477">
        <v>3</v>
      </c>
      <c r="O477" t="s">
        <v>4604</v>
      </c>
      <c r="P477" t="s">
        <v>4603</v>
      </c>
      <c r="Q477" t="s">
        <v>4602</v>
      </c>
      <c r="R477" s="7">
        <v>32143</v>
      </c>
      <c r="S477" s="8">
        <f t="shared" si="64"/>
        <v>1988</v>
      </c>
      <c r="T477" s="8">
        <v>1988</v>
      </c>
      <c r="U477" s="8">
        <f t="shared" si="65"/>
        <v>34</v>
      </c>
      <c r="V477" s="7">
        <v>43313</v>
      </c>
      <c r="W477" t="s">
        <v>56</v>
      </c>
      <c r="X477" s="2">
        <v>0.375</v>
      </c>
      <c r="Y477" s="6">
        <f t="shared" si="62"/>
        <v>1.0010410827260351E-2</v>
      </c>
      <c r="AA477">
        <v>135194</v>
      </c>
      <c r="AB477">
        <v>24918</v>
      </c>
      <c r="AD477" t="s">
        <v>4</v>
      </c>
      <c r="AE477">
        <v>24</v>
      </c>
      <c r="AF477">
        <v>17</v>
      </c>
      <c r="AH477" t="s">
        <v>4601</v>
      </c>
      <c r="AI477" t="s">
        <v>4600</v>
      </c>
      <c r="AK477" t="s">
        <v>4599</v>
      </c>
      <c r="AL477">
        <v>44</v>
      </c>
      <c r="AM477" s="5">
        <f t="shared" si="66"/>
        <v>1.2941176470588236</v>
      </c>
      <c r="AN477" s="4">
        <f t="shared" si="63"/>
        <v>1.9600418736218455E-3</v>
      </c>
      <c r="AO477" s="3"/>
      <c r="AP477">
        <v>0</v>
      </c>
      <c r="AR477" t="s">
        <v>0</v>
      </c>
      <c r="AT477" s="2">
        <v>1.3140000000000001</v>
      </c>
      <c r="AU477" s="1">
        <f t="shared" si="67"/>
        <v>0.75953001411687993</v>
      </c>
      <c r="AV477" s="1">
        <f t="shared" si="68"/>
        <v>0.59852263504410985</v>
      </c>
      <c r="AW477" s="1">
        <f t="shared" si="69"/>
        <v>0.43751525597133972</v>
      </c>
    </row>
    <row r="478" spans="1:49" x14ac:dyDescent="0.2">
      <c r="A478">
        <v>476</v>
      </c>
      <c r="B478" t="s">
        <v>4598</v>
      </c>
      <c r="C478" t="s">
        <v>4597</v>
      </c>
      <c r="F478" t="s">
        <v>4596</v>
      </c>
      <c r="G478" t="s">
        <v>15</v>
      </c>
      <c r="H478" t="s">
        <v>14</v>
      </c>
      <c r="I478" t="s">
        <v>4595</v>
      </c>
      <c r="J478" t="s">
        <v>4594</v>
      </c>
      <c r="K478" t="s">
        <v>4593</v>
      </c>
      <c r="L478" t="s">
        <v>4592</v>
      </c>
      <c r="M478" t="s">
        <v>9</v>
      </c>
      <c r="N478">
        <v>3</v>
      </c>
      <c r="O478" t="s">
        <v>4591</v>
      </c>
      <c r="P478" t="s">
        <v>4590</v>
      </c>
      <c r="Q478" t="s">
        <v>4589</v>
      </c>
      <c r="R478" s="7">
        <v>32143</v>
      </c>
      <c r="S478" s="8">
        <f t="shared" si="64"/>
        <v>1988</v>
      </c>
      <c r="T478" s="8">
        <v>1988</v>
      </c>
      <c r="U478" s="8">
        <f t="shared" si="65"/>
        <v>34</v>
      </c>
      <c r="V478" s="7">
        <v>32356</v>
      </c>
      <c r="W478" t="s">
        <v>2763</v>
      </c>
      <c r="X478" s="2">
        <v>1.774</v>
      </c>
      <c r="Y478" s="6">
        <f t="shared" si="62"/>
        <v>4.7355916820159633E-2</v>
      </c>
      <c r="AA478">
        <v>295515</v>
      </c>
      <c r="AB478">
        <v>29066</v>
      </c>
      <c r="AC478">
        <v>17414326</v>
      </c>
      <c r="AD478" t="s">
        <v>4</v>
      </c>
      <c r="AE478">
        <v>28</v>
      </c>
      <c r="AF478">
        <v>8</v>
      </c>
      <c r="AH478" t="s">
        <v>4588</v>
      </c>
      <c r="AI478" t="s">
        <v>4587</v>
      </c>
      <c r="AK478" t="s">
        <v>4586</v>
      </c>
      <c r="AL478">
        <v>0</v>
      </c>
      <c r="AM478" s="5">
        <f t="shared" si="66"/>
        <v>0</v>
      </c>
      <c r="AN478" s="4">
        <f t="shared" si="63"/>
        <v>0</v>
      </c>
      <c r="AO478" s="3"/>
      <c r="AP478">
        <v>0</v>
      </c>
      <c r="AR478" t="s">
        <v>0</v>
      </c>
      <c r="AT478" s="2">
        <v>3.1789999999999998</v>
      </c>
      <c r="AU478" s="1">
        <f t="shared" si="67"/>
        <v>3.3149141774111741</v>
      </c>
      <c r="AV478" s="1">
        <f t="shared" si="68"/>
        <v>2.3677958410079816</v>
      </c>
      <c r="AW478" s="1">
        <f t="shared" si="69"/>
        <v>1.4206775046047888</v>
      </c>
    </row>
    <row r="479" spans="1:49" x14ac:dyDescent="0.2">
      <c r="A479">
        <v>477</v>
      </c>
      <c r="B479" t="s">
        <v>4585</v>
      </c>
      <c r="C479" t="s">
        <v>4584</v>
      </c>
      <c r="F479" t="s">
        <v>4583</v>
      </c>
      <c r="G479" t="s">
        <v>15</v>
      </c>
      <c r="H479" t="s">
        <v>14</v>
      </c>
      <c r="I479" t="s">
        <v>4582</v>
      </c>
      <c r="J479">
        <v>60004176</v>
      </c>
      <c r="K479" t="s">
        <v>3212</v>
      </c>
      <c r="L479" t="s">
        <v>3211</v>
      </c>
      <c r="M479" t="s">
        <v>211</v>
      </c>
      <c r="N479">
        <v>2</v>
      </c>
      <c r="O479" t="s">
        <v>4581</v>
      </c>
      <c r="P479" t="s">
        <v>4580</v>
      </c>
      <c r="Q479" t="s">
        <v>4579</v>
      </c>
      <c r="R479" s="7">
        <v>32143</v>
      </c>
      <c r="S479" s="8">
        <f t="shared" si="64"/>
        <v>1988</v>
      </c>
      <c r="T479" s="8">
        <v>1988</v>
      </c>
      <c r="U479" s="8">
        <f t="shared" si="65"/>
        <v>34</v>
      </c>
      <c r="V479" s="7">
        <v>32356</v>
      </c>
      <c r="W479" t="s">
        <v>3207</v>
      </c>
      <c r="X479" s="2">
        <v>0.371</v>
      </c>
      <c r="Y479" s="6">
        <f t="shared" si="62"/>
        <v>9.9036331117695747E-3</v>
      </c>
      <c r="AA479">
        <v>214922</v>
      </c>
      <c r="AB479">
        <v>130262</v>
      </c>
      <c r="AC479">
        <v>13474065</v>
      </c>
      <c r="AD479" t="s">
        <v>4</v>
      </c>
      <c r="AE479">
        <v>27</v>
      </c>
      <c r="AF479" t="s">
        <v>4578</v>
      </c>
      <c r="AH479" t="s">
        <v>4577</v>
      </c>
      <c r="AI479" t="s">
        <v>4576</v>
      </c>
      <c r="AJ479" t="s">
        <v>4575</v>
      </c>
      <c r="AK479" t="s">
        <v>4574</v>
      </c>
      <c r="AL479">
        <v>9</v>
      </c>
      <c r="AM479" s="5">
        <f t="shared" si="66"/>
        <v>0.26470588235294118</v>
      </c>
      <c r="AN479" s="4">
        <f t="shared" si="63"/>
        <v>4.009176559681048E-4</v>
      </c>
      <c r="AO479" s="3"/>
      <c r="AP479">
        <v>0</v>
      </c>
      <c r="AR479" t="s">
        <v>0</v>
      </c>
      <c r="AT479" s="2">
        <v>1.48</v>
      </c>
      <c r="AU479" s="1">
        <f t="shared" si="67"/>
        <v>0.70528184750291334</v>
      </c>
      <c r="AV479" s="1">
        <f t="shared" si="68"/>
        <v>0.51522753838688395</v>
      </c>
      <c r="AW479" s="1">
        <f t="shared" si="69"/>
        <v>0.32517322927085462</v>
      </c>
    </row>
    <row r="480" spans="1:49" x14ac:dyDescent="0.2">
      <c r="A480">
        <v>478</v>
      </c>
      <c r="B480" t="s">
        <v>4573</v>
      </c>
      <c r="C480" t="s">
        <v>4572</v>
      </c>
      <c r="F480" t="s">
        <v>4571</v>
      </c>
      <c r="G480" t="s">
        <v>15</v>
      </c>
      <c r="H480" t="s">
        <v>14</v>
      </c>
      <c r="I480" t="s">
        <v>4570</v>
      </c>
      <c r="J480">
        <v>60028112</v>
      </c>
      <c r="K480" t="s">
        <v>4569</v>
      </c>
      <c r="L480" t="s">
        <v>3062</v>
      </c>
      <c r="M480" t="s">
        <v>127</v>
      </c>
      <c r="N480">
        <v>3</v>
      </c>
      <c r="O480" t="s">
        <v>4568</v>
      </c>
      <c r="P480" t="s">
        <v>4567</v>
      </c>
      <c r="Q480" t="s">
        <v>4566</v>
      </c>
      <c r="R480" s="7">
        <v>32143</v>
      </c>
      <c r="S480" s="8">
        <f t="shared" si="64"/>
        <v>1988</v>
      </c>
      <c r="T480" s="8">
        <v>1988</v>
      </c>
      <c r="U480" s="8">
        <f t="shared" si="65"/>
        <v>34</v>
      </c>
      <c r="V480" s="7">
        <v>32356</v>
      </c>
      <c r="W480" t="s">
        <v>69</v>
      </c>
      <c r="X480" s="2">
        <v>1.6519999999999999</v>
      </c>
      <c r="Y480" s="6">
        <f t="shared" si="62"/>
        <v>4.409919649769093E-2</v>
      </c>
      <c r="AA480" t="s">
        <v>68</v>
      </c>
      <c r="AB480">
        <v>17337</v>
      </c>
      <c r="AC480">
        <v>15582221</v>
      </c>
      <c r="AD480" t="s">
        <v>4</v>
      </c>
      <c r="AE480">
        <v>36</v>
      </c>
      <c r="AF480">
        <v>8</v>
      </c>
      <c r="AH480" t="s">
        <v>4565</v>
      </c>
      <c r="AI480" t="s">
        <v>4564</v>
      </c>
      <c r="AK480" t="s">
        <v>4563</v>
      </c>
      <c r="AL480">
        <v>46</v>
      </c>
      <c r="AM480" s="5">
        <f t="shared" si="66"/>
        <v>1.3529411764705883</v>
      </c>
      <c r="AN480" s="4">
        <f t="shared" si="63"/>
        <v>2.0491346860592023E-3</v>
      </c>
      <c r="AO480" s="3"/>
      <c r="AP480">
        <v>0</v>
      </c>
      <c r="AR480" t="s">
        <v>0</v>
      </c>
      <c r="AT480" s="2" t="s">
        <v>19</v>
      </c>
      <c r="AU480" s="1">
        <f t="shared" si="67"/>
        <v>3.1484177954201416</v>
      </c>
      <c r="AV480" s="1">
        <f t="shared" si="68"/>
        <v>2.3074165591875069</v>
      </c>
      <c r="AW480" s="1">
        <f t="shared" si="69"/>
        <v>1.466415322954872</v>
      </c>
    </row>
    <row r="481" spans="1:49" x14ac:dyDescent="0.2">
      <c r="A481">
        <v>479</v>
      </c>
      <c r="B481" t="s">
        <v>4562</v>
      </c>
      <c r="C481" t="s">
        <v>4561</v>
      </c>
      <c r="F481" t="s">
        <v>4560</v>
      </c>
      <c r="G481" t="s">
        <v>15</v>
      </c>
      <c r="H481" t="s">
        <v>14</v>
      </c>
      <c r="I481" t="s">
        <v>2941</v>
      </c>
      <c r="J481">
        <v>60003500</v>
      </c>
      <c r="K481" t="s">
        <v>1514</v>
      </c>
      <c r="L481" t="s">
        <v>1513</v>
      </c>
      <c r="M481" t="s">
        <v>31</v>
      </c>
      <c r="N481">
        <v>1</v>
      </c>
      <c r="O481" t="s">
        <v>4559</v>
      </c>
      <c r="P481">
        <v>7203066664</v>
      </c>
      <c r="Q481">
        <v>60003500</v>
      </c>
      <c r="R481" s="7">
        <v>32143</v>
      </c>
      <c r="S481" s="8">
        <f t="shared" si="64"/>
        <v>1988</v>
      </c>
      <c r="T481" s="8">
        <v>1988</v>
      </c>
      <c r="U481" s="8">
        <f t="shared" si="65"/>
        <v>34</v>
      </c>
      <c r="V481" s="7">
        <v>32356</v>
      </c>
      <c r="W481" t="s">
        <v>3314</v>
      </c>
      <c r="X481" s="2">
        <v>0.91600000000000004</v>
      </c>
      <c r="Y481" s="6">
        <f t="shared" si="62"/>
        <v>2.4452096847387951E-2</v>
      </c>
      <c r="AA481">
        <v>189359</v>
      </c>
      <c r="AB481">
        <v>17344</v>
      </c>
      <c r="AC481">
        <v>15579638</v>
      </c>
      <c r="AD481" t="s">
        <v>4</v>
      </c>
      <c r="AE481">
        <v>31</v>
      </c>
      <c r="AF481">
        <v>3</v>
      </c>
      <c r="AH481" t="s">
        <v>3793</v>
      </c>
      <c r="AI481" t="s">
        <v>4558</v>
      </c>
      <c r="AK481" t="s">
        <v>4557</v>
      </c>
      <c r="AL481">
        <v>10</v>
      </c>
      <c r="AM481" s="5">
        <f t="shared" si="66"/>
        <v>0.29411764705882354</v>
      </c>
      <c r="AN481" s="4">
        <f t="shared" si="63"/>
        <v>4.4546406218678308E-4</v>
      </c>
      <c r="AO481" s="3"/>
      <c r="AP481">
        <v>0</v>
      </c>
      <c r="AR481" t="s">
        <v>0</v>
      </c>
      <c r="AT481" s="2">
        <v>2.1160000000000001</v>
      </c>
      <c r="AU481" s="1">
        <f t="shared" si="67"/>
        <v>1.7250107011827598</v>
      </c>
      <c r="AV481" s="1">
        <f t="shared" si="68"/>
        <v>1.2448780454787367</v>
      </c>
      <c r="AW481" s="1">
        <f t="shared" si="69"/>
        <v>0.76474538977471329</v>
      </c>
    </row>
    <row r="482" spans="1:49" x14ac:dyDescent="0.2">
      <c r="A482">
        <v>480</v>
      </c>
      <c r="B482" t="s">
        <v>4556</v>
      </c>
      <c r="C482" t="s">
        <v>4555</v>
      </c>
      <c r="F482" t="s">
        <v>4554</v>
      </c>
      <c r="G482" t="s">
        <v>15</v>
      </c>
      <c r="H482" t="s">
        <v>14</v>
      </c>
      <c r="I482" t="s">
        <v>4553</v>
      </c>
      <c r="J482">
        <v>60000461</v>
      </c>
      <c r="K482" t="s">
        <v>3914</v>
      </c>
      <c r="L482" t="s">
        <v>3913</v>
      </c>
      <c r="M482" t="s">
        <v>31</v>
      </c>
      <c r="N482">
        <v>2</v>
      </c>
      <c r="O482" t="s">
        <v>4552</v>
      </c>
      <c r="P482" t="s">
        <v>4551</v>
      </c>
      <c r="Q482" t="s">
        <v>4550</v>
      </c>
      <c r="R482" s="7">
        <v>32143</v>
      </c>
      <c r="S482" s="8">
        <f t="shared" si="64"/>
        <v>1988</v>
      </c>
      <c r="T482" s="8">
        <v>1988</v>
      </c>
      <c r="U482" s="8">
        <f t="shared" si="65"/>
        <v>34</v>
      </c>
      <c r="V482" s="7">
        <v>32356</v>
      </c>
      <c r="W482" t="s">
        <v>1958</v>
      </c>
      <c r="X482" s="2">
        <v>0.65500000000000003</v>
      </c>
      <c r="Y482" s="6">
        <f t="shared" si="62"/>
        <v>1.7484850911614749E-2</v>
      </c>
      <c r="AA482">
        <v>189375</v>
      </c>
      <c r="AB482">
        <v>26051</v>
      </c>
      <c r="AC482" t="s">
        <v>1957</v>
      </c>
      <c r="AD482" t="s">
        <v>4</v>
      </c>
      <c r="AE482">
        <v>30</v>
      </c>
      <c r="AF482">
        <v>3</v>
      </c>
      <c r="AH482" t="s">
        <v>4549</v>
      </c>
      <c r="AI482" t="s">
        <v>4548</v>
      </c>
      <c r="AK482" t="s">
        <v>4547</v>
      </c>
      <c r="AL482">
        <v>9</v>
      </c>
      <c r="AM482" s="5">
        <f t="shared" si="66"/>
        <v>0.26470588235294118</v>
      </c>
      <c r="AN482" s="4">
        <f t="shared" si="63"/>
        <v>4.009176559681048E-4</v>
      </c>
      <c r="AO482" s="3"/>
      <c r="AP482">
        <v>0</v>
      </c>
      <c r="AR482" t="s">
        <v>0</v>
      </c>
      <c r="AT482" s="2" t="s">
        <v>19</v>
      </c>
      <c r="AU482" s="1">
        <f t="shared" si="67"/>
        <v>1.2359670934920755</v>
      </c>
      <c r="AV482" s="1">
        <f t="shared" si="68"/>
        <v>0.89428842837914257</v>
      </c>
      <c r="AW482" s="1">
        <f t="shared" si="69"/>
        <v>0.55260976326620981</v>
      </c>
    </row>
    <row r="483" spans="1:49" x14ac:dyDescent="0.2">
      <c r="A483">
        <v>481</v>
      </c>
      <c r="B483" t="s">
        <v>4546</v>
      </c>
      <c r="C483" t="s">
        <v>4545</v>
      </c>
      <c r="F483" t="s">
        <v>4544</v>
      </c>
      <c r="G483" t="s">
        <v>15</v>
      </c>
      <c r="H483" t="s">
        <v>14</v>
      </c>
      <c r="I483" t="s">
        <v>4543</v>
      </c>
      <c r="J483">
        <v>60011273</v>
      </c>
      <c r="K483" t="s">
        <v>4542</v>
      </c>
      <c r="L483" t="s">
        <v>4541</v>
      </c>
      <c r="M483" t="s">
        <v>31</v>
      </c>
      <c r="N483">
        <v>1</v>
      </c>
      <c r="O483" t="s">
        <v>4540</v>
      </c>
      <c r="P483">
        <v>7102432240</v>
      </c>
      <c r="Q483">
        <v>60011273</v>
      </c>
      <c r="R483" s="7">
        <v>32143</v>
      </c>
      <c r="S483" s="8">
        <f t="shared" si="64"/>
        <v>1988</v>
      </c>
      <c r="T483" s="8">
        <v>1988</v>
      </c>
      <c r="U483" s="8">
        <f t="shared" si="65"/>
        <v>34</v>
      </c>
      <c r="V483" s="7">
        <v>32356</v>
      </c>
      <c r="W483" t="s">
        <v>1958</v>
      </c>
      <c r="X483" s="2">
        <v>0.65500000000000003</v>
      </c>
      <c r="Y483" s="6">
        <f t="shared" si="62"/>
        <v>1.7484850911614749E-2</v>
      </c>
      <c r="AA483">
        <v>189375</v>
      </c>
      <c r="AB483">
        <v>26051</v>
      </c>
      <c r="AC483" t="s">
        <v>1957</v>
      </c>
      <c r="AD483" t="s">
        <v>4</v>
      </c>
      <c r="AE483">
        <v>30</v>
      </c>
      <c r="AF483">
        <v>3</v>
      </c>
      <c r="AH483" t="s">
        <v>4539</v>
      </c>
      <c r="AI483" t="s">
        <v>4538</v>
      </c>
      <c r="AK483" t="s">
        <v>4537</v>
      </c>
      <c r="AL483">
        <v>119</v>
      </c>
      <c r="AM483" s="5">
        <f t="shared" si="66"/>
        <v>3.5</v>
      </c>
      <c r="AN483" s="4">
        <f t="shared" si="63"/>
        <v>5.301022340022719E-3</v>
      </c>
      <c r="AO483" s="3"/>
      <c r="AP483">
        <v>0</v>
      </c>
      <c r="AR483" t="s">
        <v>0</v>
      </c>
      <c r="AT483" s="2" t="s">
        <v>19</v>
      </c>
      <c r="AU483" s="1">
        <f t="shared" si="67"/>
        <v>1.3829702340137138</v>
      </c>
      <c r="AV483" s="1">
        <f t="shared" si="68"/>
        <v>1.1392936625818733</v>
      </c>
      <c r="AW483" s="1">
        <f t="shared" si="69"/>
        <v>0.89561709115003274</v>
      </c>
    </row>
    <row r="484" spans="1:49" x14ac:dyDescent="0.2">
      <c r="A484">
        <v>482</v>
      </c>
      <c r="B484" t="s">
        <v>4536</v>
      </c>
      <c r="C484" t="s">
        <v>4535</v>
      </c>
      <c r="F484" t="s">
        <v>4534</v>
      </c>
      <c r="G484" t="s">
        <v>15</v>
      </c>
      <c r="H484" t="s">
        <v>14</v>
      </c>
      <c r="I484" t="s">
        <v>4533</v>
      </c>
      <c r="J484">
        <v>60032350</v>
      </c>
      <c r="K484" t="s">
        <v>4532</v>
      </c>
      <c r="L484" t="s">
        <v>2153</v>
      </c>
      <c r="M484" t="s">
        <v>1725</v>
      </c>
      <c r="N484">
        <v>3</v>
      </c>
      <c r="O484" t="s">
        <v>4531</v>
      </c>
      <c r="P484" t="s">
        <v>4530</v>
      </c>
      <c r="Q484" t="s">
        <v>4529</v>
      </c>
      <c r="R484" s="7">
        <v>32143</v>
      </c>
      <c r="S484" s="8">
        <f t="shared" si="64"/>
        <v>1988</v>
      </c>
      <c r="T484" s="8">
        <v>1988</v>
      </c>
      <c r="U484" s="8">
        <f t="shared" si="65"/>
        <v>34</v>
      </c>
      <c r="V484" s="7">
        <v>32356</v>
      </c>
      <c r="W484" t="s">
        <v>69</v>
      </c>
      <c r="X484" s="2">
        <v>1.6519999999999999</v>
      </c>
      <c r="Y484" s="6">
        <f t="shared" si="62"/>
        <v>4.409919649769093E-2</v>
      </c>
      <c r="AA484" t="s">
        <v>68</v>
      </c>
      <c r="AB484">
        <v>17337</v>
      </c>
      <c r="AC484">
        <v>15582221</v>
      </c>
      <c r="AD484" t="s">
        <v>4</v>
      </c>
      <c r="AE484">
        <v>36</v>
      </c>
      <c r="AF484">
        <v>8</v>
      </c>
      <c r="AH484" t="s">
        <v>4528</v>
      </c>
      <c r="AI484" t="s">
        <v>4527</v>
      </c>
      <c r="AK484" t="s">
        <v>4526</v>
      </c>
      <c r="AL484">
        <v>94</v>
      </c>
      <c r="AM484" s="5">
        <f t="shared" si="66"/>
        <v>2.7647058823529411</v>
      </c>
      <c r="AN484" s="4">
        <f t="shared" si="63"/>
        <v>4.1873621845557605E-3</v>
      </c>
      <c r="AO484" s="3"/>
      <c r="AP484">
        <v>0</v>
      </c>
      <c r="AR484" t="s">
        <v>0</v>
      </c>
      <c r="AT484" s="2" t="s">
        <v>19</v>
      </c>
      <c r="AU484" s="1">
        <f t="shared" si="67"/>
        <v>3.212564620375038</v>
      </c>
      <c r="AV484" s="1">
        <f t="shared" si="68"/>
        <v>2.4143279341123347</v>
      </c>
      <c r="AW484" s="1">
        <f t="shared" si="69"/>
        <v>1.6160912478496312</v>
      </c>
    </row>
    <row r="485" spans="1:49" x14ac:dyDescent="0.2">
      <c r="A485">
        <v>483</v>
      </c>
      <c r="B485" t="s">
        <v>4525</v>
      </c>
      <c r="C485" t="s">
        <v>4524</v>
      </c>
      <c r="F485" t="s">
        <v>4523</v>
      </c>
      <c r="G485" t="s">
        <v>15</v>
      </c>
      <c r="H485" t="s">
        <v>14</v>
      </c>
      <c r="I485" t="s">
        <v>4384</v>
      </c>
      <c r="J485">
        <v>60019000</v>
      </c>
      <c r="K485" t="s">
        <v>4383</v>
      </c>
      <c r="L485" t="s">
        <v>4382</v>
      </c>
      <c r="M485" t="s">
        <v>481</v>
      </c>
      <c r="N485">
        <v>2</v>
      </c>
      <c r="O485" t="s">
        <v>4381</v>
      </c>
      <c r="P485" t="s">
        <v>4380</v>
      </c>
      <c r="Q485" t="s">
        <v>4379</v>
      </c>
      <c r="R485" s="7">
        <v>32143</v>
      </c>
      <c r="S485" s="8">
        <f t="shared" si="64"/>
        <v>1988</v>
      </c>
      <c r="T485" s="8">
        <v>1988</v>
      </c>
      <c r="U485" s="8">
        <f t="shared" si="65"/>
        <v>34</v>
      </c>
      <c r="V485" s="7" t="s">
        <v>4378</v>
      </c>
      <c r="W485" t="s">
        <v>3103</v>
      </c>
      <c r="X485" s="2" t="s">
        <v>19</v>
      </c>
      <c r="Y485" s="6" t="e">
        <f t="shared" si="62"/>
        <v>#VALUE!</v>
      </c>
      <c r="AA485">
        <v>84204</v>
      </c>
      <c r="AB485">
        <v>27420</v>
      </c>
      <c r="AD485" t="s">
        <v>4</v>
      </c>
      <c r="AE485">
        <v>66</v>
      </c>
      <c r="AF485">
        <v>8</v>
      </c>
      <c r="AH485" t="s">
        <v>4522</v>
      </c>
      <c r="AI485" t="s">
        <v>4521</v>
      </c>
      <c r="AK485" t="s">
        <v>4520</v>
      </c>
      <c r="AL485">
        <v>6</v>
      </c>
      <c r="AM485" s="5">
        <f t="shared" si="66"/>
        <v>0.17647058823529413</v>
      </c>
      <c r="AN485" s="4">
        <f t="shared" si="63"/>
        <v>2.6727843731206988E-4</v>
      </c>
      <c r="AO485" s="3"/>
      <c r="AP485">
        <v>0</v>
      </c>
      <c r="AR485" t="s">
        <v>0</v>
      </c>
      <c r="AT485" s="2">
        <v>1.24</v>
      </c>
      <c r="AU485" s="1" t="e">
        <f t="shared" si="67"/>
        <v>#VALUE!</v>
      </c>
      <c r="AV485" s="1" t="e">
        <f t="shared" si="68"/>
        <v>#VALUE!</v>
      </c>
      <c r="AW485" s="1" t="e">
        <f t="shared" si="69"/>
        <v>#VALUE!</v>
      </c>
    </row>
    <row r="486" spans="1:49" x14ac:dyDescent="0.2">
      <c r="A486">
        <v>484</v>
      </c>
      <c r="B486" t="s">
        <v>4519</v>
      </c>
      <c r="C486" t="s">
        <v>4518</v>
      </c>
      <c r="F486" t="s">
        <v>4517</v>
      </c>
      <c r="G486" t="s">
        <v>15</v>
      </c>
      <c r="H486" t="s">
        <v>14</v>
      </c>
      <c r="I486" t="s">
        <v>4516</v>
      </c>
      <c r="J486" t="s">
        <v>4511</v>
      </c>
      <c r="K486" t="s">
        <v>4515</v>
      </c>
      <c r="L486" t="s">
        <v>4514</v>
      </c>
      <c r="M486" t="s">
        <v>9</v>
      </c>
      <c r="N486">
        <v>2</v>
      </c>
      <c r="O486" t="s">
        <v>4513</v>
      </c>
      <c r="P486" t="s">
        <v>4512</v>
      </c>
      <c r="Q486" t="s">
        <v>4511</v>
      </c>
      <c r="R486" s="7">
        <v>32143</v>
      </c>
      <c r="S486" s="8">
        <f t="shared" si="64"/>
        <v>1988</v>
      </c>
      <c r="T486" s="8">
        <v>1988</v>
      </c>
      <c r="U486" s="8">
        <f t="shared" si="65"/>
        <v>34</v>
      </c>
      <c r="V486" s="7">
        <v>32356</v>
      </c>
      <c r="W486" t="s">
        <v>69</v>
      </c>
      <c r="X486" s="2">
        <v>1.6519999999999999</v>
      </c>
      <c r="Y486" s="6">
        <f t="shared" si="62"/>
        <v>4.409919649769093E-2</v>
      </c>
      <c r="AA486" t="s">
        <v>68</v>
      </c>
      <c r="AB486">
        <v>17337</v>
      </c>
      <c r="AC486">
        <v>15582221</v>
      </c>
      <c r="AD486" t="s">
        <v>4</v>
      </c>
      <c r="AE486">
        <v>36</v>
      </c>
      <c r="AF486">
        <v>8</v>
      </c>
      <c r="AH486" t="s">
        <v>4510</v>
      </c>
      <c r="AI486" t="s">
        <v>4509</v>
      </c>
      <c r="AK486" t="s">
        <v>4508</v>
      </c>
      <c r="AL486">
        <v>3</v>
      </c>
      <c r="AM486" s="5">
        <f t="shared" si="66"/>
        <v>8.8235294117647065E-2</v>
      </c>
      <c r="AN486" s="4">
        <f t="shared" si="63"/>
        <v>1.3363921865603494E-4</v>
      </c>
      <c r="AO486" s="3"/>
      <c r="AP486">
        <v>0</v>
      </c>
      <c r="AR486" t="s">
        <v>0</v>
      </c>
      <c r="AT486" s="2" t="s">
        <v>19</v>
      </c>
      <c r="AU486" s="1">
        <f t="shared" si="67"/>
        <v>3.0909529313980459</v>
      </c>
      <c r="AV486" s="1">
        <f t="shared" si="68"/>
        <v>2.2116417858173483</v>
      </c>
      <c r="AW486" s="1">
        <f t="shared" si="69"/>
        <v>1.3323306402366504</v>
      </c>
    </row>
    <row r="487" spans="1:49" x14ac:dyDescent="0.2">
      <c r="A487">
        <v>485</v>
      </c>
      <c r="B487" t="s">
        <v>4507</v>
      </c>
      <c r="C487" t="s">
        <v>4506</v>
      </c>
      <c r="F487" t="s">
        <v>4505</v>
      </c>
      <c r="G487" t="s">
        <v>15</v>
      </c>
      <c r="H487" t="s">
        <v>14</v>
      </c>
      <c r="I487" t="s">
        <v>4504</v>
      </c>
      <c r="J487" t="s">
        <v>4499</v>
      </c>
      <c r="K487" t="s">
        <v>4503</v>
      </c>
      <c r="L487" t="s">
        <v>4502</v>
      </c>
      <c r="M487" t="s">
        <v>2679</v>
      </c>
      <c r="N487">
        <v>2</v>
      </c>
      <c r="O487" t="s">
        <v>4501</v>
      </c>
      <c r="P487" t="s">
        <v>4500</v>
      </c>
      <c r="Q487" t="s">
        <v>4499</v>
      </c>
      <c r="R487" s="7">
        <v>32143</v>
      </c>
      <c r="S487" s="8">
        <f t="shared" si="64"/>
        <v>1988</v>
      </c>
      <c r="T487" s="8">
        <v>1988</v>
      </c>
      <c r="U487" s="8">
        <f t="shared" si="65"/>
        <v>34</v>
      </c>
      <c r="V487" s="7">
        <v>32356</v>
      </c>
      <c r="W487" t="s">
        <v>69</v>
      </c>
      <c r="X487" s="2">
        <v>1.6519999999999999</v>
      </c>
      <c r="Y487" s="6">
        <f t="shared" si="62"/>
        <v>4.409919649769093E-2</v>
      </c>
      <c r="AA487" t="s">
        <v>68</v>
      </c>
      <c r="AB487">
        <v>17337</v>
      </c>
      <c r="AC487">
        <v>15582221</v>
      </c>
      <c r="AD487" t="s">
        <v>4</v>
      </c>
      <c r="AE487">
        <v>36</v>
      </c>
      <c r="AF487">
        <v>8</v>
      </c>
      <c r="AH487" t="s">
        <v>4498</v>
      </c>
      <c r="AI487" t="s">
        <v>4497</v>
      </c>
      <c r="AK487" t="s">
        <v>4496</v>
      </c>
      <c r="AL487">
        <v>9</v>
      </c>
      <c r="AM487" s="5">
        <f t="shared" si="66"/>
        <v>0.26470588235294118</v>
      </c>
      <c r="AN487" s="4">
        <f t="shared" si="63"/>
        <v>4.009176559681048E-4</v>
      </c>
      <c r="AO487" s="3"/>
      <c r="AP487">
        <v>0</v>
      </c>
      <c r="AR487" t="s">
        <v>0</v>
      </c>
      <c r="AT487" s="2" t="s">
        <v>19</v>
      </c>
      <c r="AU487" s="1">
        <f t="shared" si="67"/>
        <v>3.0989712845174084</v>
      </c>
      <c r="AV487" s="1">
        <f t="shared" si="68"/>
        <v>2.2250057076829517</v>
      </c>
      <c r="AW487" s="1">
        <f t="shared" si="69"/>
        <v>1.3510401308484952</v>
      </c>
    </row>
    <row r="488" spans="1:49" x14ac:dyDescent="0.2">
      <c r="A488">
        <v>486</v>
      </c>
      <c r="B488" t="s">
        <v>4495</v>
      </c>
      <c r="C488" t="s">
        <v>4494</v>
      </c>
      <c r="F488" t="s">
        <v>4493</v>
      </c>
      <c r="G488" t="s">
        <v>15</v>
      </c>
      <c r="H488" t="s">
        <v>14</v>
      </c>
      <c r="I488" t="s">
        <v>4492</v>
      </c>
      <c r="J488" t="s">
        <v>4487</v>
      </c>
      <c r="K488" t="s">
        <v>4491</v>
      </c>
      <c r="L488" t="s">
        <v>4490</v>
      </c>
      <c r="M488" t="s">
        <v>9</v>
      </c>
      <c r="N488">
        <v>2</v>
      </c>
      <c r="O488" t="s">
        <v>4489</v>
      </c>
      <c r="P488" t="s">
        <v>4488</v>
      </c>
      <c r="Q488" t="s">
        <v>4487</v>
      </c>
      <c r="R488" s="7">
        <v>32143</v>
      </c>
      <c r="S488" s="8">
        <f t="shared" si="64"/>
        <v>1988</v>
      </c>
      <c r="T488" s="8">
        <v>1988</v>
      </c>
      <c r="U488" s="8">
        <f t="shared" si="65"/>
        <v>34</v>
      </c>
      <c r="V488" s="7">
        <v>32356</v>
      </c>
      <c r="W488" t="s">
        <v>69</v>
      </c>
      <c r="X488" s="2">
        <v>1.6519999999999999</v>
      </c>
      <c r="Y488" s="6">
        <f t="shared" si="62"/>
        <v>4.409919649769093E-2</v>
      </c>
      <c r="AA488" t="s">
        <v>68</v>
      </c>
      <c r="AB488">
        <v>17337</v>
      </c>
      <c r="AC488">
        <v>15582221</v>
      </c>
      <c r="AD488" t="s">
        <v>4</v>
      </c>
      <c r="AE488">
        <v>36</v>
      </c>
      <c r="AF488">
        <v>8</v>
      </c>
      <c r="AH488" t="s">
        <v>4486</v>
      </c>
      <c r="AI488" t="s">
        <v>4485</v>
      </c>
      <c r="AK488" t="s">
        <v>4484</v>
      </c>
      <c r="AL488">
        <v>0</v>
      </c>
      <c r="AM488" s="5">
        <f t="shared" si="66"/>
        <v>0</v>
      </c>
      <c r="AN488" s="4">
        <f t="shared" si="63"/>
        <v>0</v>
      </c>
      <c r="AO488" s="3"/>
      <c r="AP488">
        <v>0</v>
      </c>
      <c r="AR488" t="s">
        <v>0</v>
      </c>
      <c r="AT488" s="2" t="s">
        <v>19</v>
      </c>
      <c r="AU488" s="1">
        <f t="shared" si="67"/>
        <v>3.0869437548383649</v>
      </c>
      <c r="AV488" s="1">
        <f t="shared" si="68"/>
        <v>2.2049598248845466</v>
      </c>
      <c r="AW488" s="1">
        <f t="shared" si="69"/>
        <v>1.3229758949307278</v>
      </c>
    </row>
    <row r="489" spans="1:49" x14ac:dyDescent="0.2">
      <c r="A489">
        <v>487</v>
      </c>
      <c r="B489" t="s">
        <v>4483</v>
      </c>
      <c r="C489" t="s">
        <v>4482</v>
      </c>
      <c r="F489" t="s">
        <v>4481</v>
      </c>
      <c r="G489" t="s">
        <v>15</v>
      </c>
      <c r="H489" t="s">
        <v>14</v>
      </c>
      <c r="I489" t="s">
        <v>4480</v>
      </c>
      <c r="J489">
        <v>60007843</v>
      </c>
      <c r="K489" t="s">
        <v>4479</v>
      </c>
      <c r="L489" t="s">
        <v>4478</v>
      </c>
      <c r="M489" t="s">
        <v>31</v>
      </c>
      <c r="N489">
        <v>2</v>
      </c>
      <c r="O489" t="s">
        <v>4477</v>
      </c>
      <c r="P489" t="s">
        <v>4476</v>
      </c>
      <c r="Q489" t="s">
        <v>4475</v>
      </c>
      <c r="R489" s="7">
        <v>32143</v>
      </c>
      <c r="S489" s="8">
        <f t="shared" si="64"/>
        <v>1988</v>
      </c>
      <c r="T489" s="8">
        <v>1988</v>
      </c>
      <c r="U489" s="8">
        <f t="shared" si="65"/>
        <v>34</v>
      </c>
      <c r="V489" s="7">
        <v>32356</v>
      </c>
      <c r="W489" t="s">
        <v>1958</v>
      </c>
      <c r="X489" s="2">
        <v>0.65500000000000003</v>
      </c>
      <c r="Y489" s="6">
        <f t="shared" si="62"/>
        <v>1.7484850911614749E-2</v>
      </c>
      <c r="AA489">
        <v>189375</v>
      </c>
      <c r="AB489">
        <v>26051</v>
      </c>
      <c r="AC489" t="s">
        <v>1957</v>
      </c>
      <c r="AD489" t="s">
        <v>4</v>
      </c>
      <c r="AE489">
        <v>30</v>
      </c>
      <c r="AF489">
        <v>3</v>
      </c>
      <c r="AH489" t="s">
        <v>4474</v>
      </c>
      <c r="AI489" t="s">
        <v>4473</v>
      </c>
      <c r="AK489" t="s">
        <v>4472</v>
      </c>
      <c r="AL489">
        <v>14</v>
      </c>
      <c r="AM489" s="5">
        <f t="shared" si="66"/>
        <v>0.41176470588235292</v>
      </c>
      <c r="AN489" s="4">
        <f t="shared" si="63"/>
        <v>6.2364968706149634E-4</v>
      </c>
      <c r="AO489" s="3"/>
      <c r="AP489">
        <v>0</v>
      </c>
      <c r="AR489" t="s">
        <v>0</v>
      </c>
      <c r="AT489" s="2" t="s">
        <v>19</v>
      </c>
      <c r="AU489" s="1">
        <f t="shared" si="67"/>
        <v>1.2426490544248772</v>
      </c>
      <c r="AV489" s="1">
        <f t="shared" si="68"/>
        <v>0.90542502993381213</v>
      </c>
      <c r="AW489" s="1">
        <f t="shared" si="69"/>
        <v>0.56820100544274721</v>
      </c>
    </row>
    <row r="490" spans="1:49" x14ac:dyDescent="0.2">
      <c r="A490">
        <v>488</v>
      </c>
      <c r="B490" t="s">
        <v>4471</v>
      </c>
      <c r="C490" t="s">
        <v>4470</v>
      </c>
      <c r="F490" t="s">
        <v>4469</v>
      </c>
      <c r="G490" t="s">
        <v>15</v>
      </c>
      <c r="H490" t="s">
        <v>14</v>
      </c>
      <c r="I490" t="s">
        <v>4468</v>
      </c>
      <c r="J490" t="s">
        <v>4467</v>
      </c>
      <c r="K490" t="s">
        <v>4466</v>
      </c>
      <c r="L490" t="s">
        <v>440</v>
      </c>
      <c r="M490" t="s">
        <v>439</v>
      </c>
      <c r="N490">
        <v>5</v>
      </c>
      <c r="O490" t="s">
        <v>4465</v>
      </c>
      <c r="P490" t="s">
        <v>4464</v>
      </c>
      <c r="Q490" t="s">
        <v>4463</v>
      </c>
      <c r="R490" s="7">
        <v>32143</v>
      </c>
      <c r="S490" s="8">
        <f t="shared" si="64"/>
        <v>1988</v>
      </c>
      <c r="T490" s="8">
        <v>1988</v>
      </c>
      <c r="U490" s="8">
        <f t="shared" si="65"/>
        <v>34</v>
      </c>
      <c r="V490" s="7">
        <v>1988</v>
      </c>
      <c r="W490" t="s">
        <v>56</v>
      </c>
      <c r="X490" s="2">
        <v>0.375</v>
      </c>
      <c r="Y490" s="6">
        <f t="shared" si="62"/>
        <v>1.0010410827260351E-2</v>
      </c>
      <c r="AA490">
        <v>135194</v>
      </c>
      <c r="AB490">
        <v>24918</v>
      </c>
      <c r="AD490" t="s">
        <v>4</v>
      </c>
      <c r="AE490">
        <v>24</v>
      </c>
      <c r="AF490">
        <v>17</v>
      </c>
      <c r="AH490" t="s">
        <v>4462</v>
      </c>
      <c r="AI490" t="s">
        <v>4461</v>
      </c>
      <c r="AJ490" t="s">
        <v>4460</v>
      </c>
      <c r="AK490" t="s">
        <v>4459</v>
      </c>
      <c r="AL490">
        <v>0</v>
      </c>
      <c r="AM490" s="5">
        <f t="shared" si="66"/>
        <v>0</v>
      </c>
      <c r="AN490" s="4">
        <f t="shared" si="63"/>
        <v>0</v>
      </c>
      <c r="AO490" s="3"/>
      <c r="AP490">
        <v>0</v>
      </c>
      <c r="AR490" t="s">
        <v>0</v>
      </c>
      <c r="AT490" s="2">
        <v>1.3140000000000001</v>
      </c>
      <c r="AU490" s="1">
        <f t="shared" si="67"/>
        <v>0.70072875790822453</v>
      </c>
      <c r="AV490" s="1">
        <f t="shared" si="68"/>
        <v>0.5005205413630176</v>
      </c>
      <c r="AW490" s="1">
        <f t="shared" si="69"/>
        <v>0.30031232481781051</v>
      </c>
    </row>
    <row r="491" spans="1:49" x14ac:dyDescent="0.2">
      <c r="A491">
        <v>489</v>
      </c>
      <c r="B491" t="s">
        <v>4458</v>
      </c>
      <c r="C491" t="s">
        <v>4457</v>
      </c>
      <c r="F491" t="s">
        <v>4456</v>
      </c>
      <c r="G491" t="s">
        <v>15</v>
      </c>
      <c r="H491" t="s">
        <v>14</v>
      </c>
      <c r="I491" t="s">
        <v>4455</v>
      </c>
      <c r="J491">
        <v>60011688</v>
      </c>
      <c r="K491" t="s">
        <v>4454</v>
      </c>
      <c r="L491" t="s">
        <v>4453</v>
      </c>
      <c r="M491" t="s">
        <v>31</v>
      </c>
      <c r="N491">
        <v>1</v>
      </c>
      <c r="O491" t="s">
        <v>4452</v>
      </c>
      <c r="P491">
        <v>7003568836</v>
      </c>
      <c r="Q491">
        <v>60011688</v>
      </c>
      <c r="R491" s="7">
        <v>32143</v>
      </c>
      <c r="S491" s="8">
        <f t="shared" si="64"/>
        <v>1988</v>
      </c>
      <c r="T491" s="8">
        <v>1988</v>
      </c>
      <c r="U491" s="8">
        <f t="shared" si="65"/>
        <v>34</v>
      </c>
      <c r="V491" s="7">
        <v>32356</v>
      </c>
      <c r="W491" t="s">
        <v>69</v>
      </c>
      <c r="X491" s="2">
        <v>1.6519999999999999</v>
      </c>
      <c r="Y491" s="6">
        <f t="shared" si="62"/>
        <v>4.409919649769093E-2</v>
      </c>
      <c r="AA491" t="s">
        <v>68</v>
      </c>
      <c r="AB491">
        <v>17337</v>
      </c>
      <c r="AC491">
        <v>15582221</v>
      </c>
      <c r="AD491" t="s">
        <v>4</v>
      </c>
      <c r="AE491">
        <v>36</v>
      </c>
      <c r="AF491">
        <v>8</v>
      </c>
      <c r="AH491" t="s">
        <v>4451</v>
      </c>
      <c r="AI491" t="s">
        <v>4450</v>
      </c>
      <c r="AK491" t="s">
        <v>4449</v>
      </c>
      <c r="AL491">
        <v>1</v>
      </c>
      <c r="AM491" s="5">
        <f t="shared" si="66"/>
        <v>2.9411764705882353E-2</v>
      </c>
      <c r="AN491" s="4">
        <f t="shared" si="63"/>
        <v>4.4546406218678307E-5</v>
      </c>
      <c r="AO491" s="3"/>
      <c r="AP491">
        <v>0</v>
      </c>
      <c r="AR491" t="s">
        <v>0</v>
      </c>
      <c r="AT491" s="2" t="s">
        <v>19</v>
      </c>
      <c r="AU491" s="1">
        <f t="shared" si="67"/>
        <v>3.0882801470249253</v>
      </c>
      <c r="AV491" s="1">
        <f t="shared" si="68"/>
        <v>2.2071871451954803</v>
      </c>
      <c r="AW491" s="1">
        <f t="shared" si="69"/>
        <v>1.3260941433660351</v>
      </c>
    </row>
    <row r="492" spans="1:49" x14ac:dyDescent="0.2">
      <c r="A492">
        <v>490</v>
      </c>
      <c r="B492" t="s">
        <v>4448</v>
      </c>
      <c r="C492" t="s">
        <v>4447</v>
      </c>
      <c r="F492" t="s">
        <v>4446</v>
      </c>
      <c r="G492" t="s">
        <v>15</v>
      </c>
      <c r="H492" t="s">
        <v>14</v>
      </c>
      <c r="I492" t="s">
        <v>4445</v>
      </c>
      <c r="J492">
        <v>60000745</v>
      </c>
      <c r="K492" t="s">
        <v>3448</v>
      </c>
      <c r="L492" t="s">
        <v>3447</v>
      </c>
      <c r="M492" t="s">
        <v>31</v>
      </c>
      <c r="N492">
        <v>2</v>
      </c>
      <c r="O492" t="s">
        <v>4444</v>
      </c>
      <c r="P492" t="s">
        <v>4443</v>
      </c>
      <c r="Q492" t="s">
        <v>3444</v>
      </c>
      <c r="R492" s="7">
        <v>32143</v>
      </c>
      <c r="S492" s="8">
        <f t="shared" si="64"/>
        <v>1988</v>
      </c>
      <c r="T492" s="8">
        <v>1988</v>
      </c>
      <c r="U492" s="8">
        <f t="shared" si="65"/>
        <v>34</v>
      </c>
      <c r="V492" s="7">
        <v>32356</v>
      </c>
      <c r="W492" t="s">
        <v>69</v>
      </c>
      <c r="X492" s="2">
        <v>1.6519999999999999</v>
      </c>
      <c r="Y492" s="6">
        <f t="shared" si="62"/>
        <v>4.409919649769093E-2</v>
      </c>
      <c r="AA492" t="s">
        <v>68</v>
      </c>
      <c r="AB492">
        <v>17337</v>
      </c>
      <c r="AC492">
        <v>15582221</v>
      </c>
      <c r="AD492" t="s">
        <v>4</v>
      </c>
      <c r="AE492">
        <v>36</v>
      </c>
      <c r="AF492">
        <v>8</v>
      </c>
      <c r="AH492" t="s">
        <v>4442</v>
      </c>
      <c r="AI492" t="s">
        <v>4441</v>
      </c>
      <c r="AK492" t="s">
        <v>4440</v>
      </c>
      <c r="AL492">
        <v>105</v>
      </c>
      <c r="AM492" s="5">
        <f t="shared" si="66"/>
        <v>3.0882352941176472</v>
      </c>
      <c r="AN492" s="4">
        <f t="shared" si="63"/>
        <v>4.6773726529612224E-3</v>
      </c>
      <c r="AO492" s="3"/>
      <c r="AP492">
        <v>0</v>
      </c>
      <c r="AQ492" t="s">
        <v>855</v>
      </c>
      <c r="AR492" t="s">
        <v>4439</v>
      </c>
      <c r="AS492" t="s">
        <v>854</v>
      </c>
      <c r="AT492" s="2" t="s">
        <v>19</v>
      </c>
      <c r="AU492" s="1">
        <f t="shared" si="67"/>
        <v>3.2272649344272013</v>
      </c>
      <c r="AV492" s="1">
        <f t="shared" si="68"/>
        <v>2.4388284575326074</v>
      </c>
      <c r="AW492" s="1">
        <f t="shared" si="69"/>
        <v>1.6503919806380134</v>
      </c>
    </row>
    <row r="493" spans="1:49" x14ac:dyDescent="0.2">
      <c r="A493">
        <v>491</v>
      </c>
      <c r="B493" t="s">
        <v>4438</v>
      </c>
      <c r="C493" t="s">
        <v>4437</v>
      </c>
      <c r="F493" t="s">
        <v>4436</v>
      </c>
      <c r="G493" t="s">
        <v>15</v>
      </c>
      <c r="H493" t="s">
        <v>14</v>
      </c>
      <c r="I493" t="s">
        <v>4435</v>
      </c>
      <c r="J493">
        <v>60025757</v>
      </c>
      <c r="K493" t="s">
        <v>4434</v>
      </c>
      <c r="L493" t="s">
        <v>4433</v>
      </c>
      <c r="M493" t="s">
        <v>300</v>
      </c>
      <c r="N493">
        <v>2</v>
      </c>
      <c r="O493" t="s">
        <v>4432</v>
      </c>
      <c r="P493" t="s">
        <v>4431</v>
      </c>
      <c r="Q493" t="s">
        <v>4430</v>
      </c>
      <c r="R493" s="7">
        <v>32143</v>
      </c>
      <c r="S493" s="8">
        <f t="shared" si="64"/>
        <v>1988</v>
      </c>
      <c r="T493" s="8">
        <v>1988</v>
      </c>
      <c r="U493" s="8">
        <f t="shared" si="65"/>
        <v>34</v>
      </c>
      <c r="V493" s="7">
        <v>32356</v>
      </c>
      <c r="W493" t="s">
        <v>69</v>
      </c>
      <c r="X493" s="2">
        <v>1.6519999999999999</v>
      </c>
      <c r="Y493" s="6">
        <f t="shared" si="62"/>
        <v>4.409919649769093E-2</v>
      </c>
      <c r="AA493" t="s">
        <v>68</v>
      </c>
      <c r="AB493">
        <v>17337</v>
      </c>
      <c r="AC493">
        <v>15582221</v>
      </c>
      <c r="AD493" t="s">
        <v>4</v>
      </c>
      <c r="AE493">
        <v>36</v>
      </c>
      <c r="AF493">
        <v>8</v>
      </c>
      <c r="AH493" t="s">
        <v>4429</v>
      </c>
      <c r="AI493" t="s">
        <v>4428</v>
      </c>
      <c r="AK493" t="s">
        <v>4427</v>
      </c>
      <c r="AL493">
        <v>5</v>
      </c>
      <c r="AM493" s="5">
        <f t="shared" si="66"/>
        <v>0.14705882352941177</v>
      </c>
      <c r="AN493" s="4">
        <f t="shared" si="63"/>
        <v>2.2273203109339154E-4</v>
      </c>
      <c r="AO493" s="3"/>
      <c r="AP493">
        <v>0</v>
      </c>
      <c r="AR493" t="s">
        <v>0</v>
      </c>
      <c r="AT493" s="2" t="s">
        <v>19</v>
      </c>
      <c r="AU493" s="1">
        <f t="shared" si="67"/>
        <v>3.0936257157711666</v>
      </c>
      <c r="AV493" s="1">
        <f t="shared" si="68"/>
        <v>2.2160964264392158</v>
      </c>
      <c r="AW493" s="1">
        <f t="shared" si="69"/>
        <v>1.3385671371072652</v>
      </c>
    </row>
    <row r="494" spans="1:49" x14ac:dyDescent="0.2">
      <c r="A494">
        <v>492</v>
      </c>
      <c r="B494" t="s">
        <v>4426</v>
      </c>
      <c r="C494" t="s">
        <v>4425</v>
      </c>
      <c r="F494" t="s">
        <v>4424</v>
      </c>
      <c r="G494" t="s">
        <v>15</v>
      </c>
      <c r="H494" t="s">
        <v>14</v>
      </c>
      <c r="I494" t="s">
        <v>4423</v>
      </c>
      <c r="J494">
        <v>60021902</v>
      </c>
      <c r="K494" t="s">
        <v>4422</v>
      </c>
      <c r="L494" t="s">
        <v>4421</v>
      </c>
      <c r="M494" t="s">
        <v>4420</v>
      </c>
      <c r="N494">
        <v>2</v>
      </c>
      <c r="O494" t="s">
        <v>4419</v>
      </c>
      <c r="P494" t="s">
        <v>4418</v>
      </c>
      <c r="Q494" t="s">
        <v>4417</v>
      </c>
      <c r="R494" s="7">
        <v>32143</v>
      </c>
      <c r="S494" s="8">
        <f t="shared" si="64"/>
        <v>1988</v>
      </c>
      <c r="T494" s="8">
        <v>1988</v>
      </c>
      <c r="U494" s="8">
        <f t="shared" si="65"/>
        <v>34</v>
      </c>
      <c r="V494" s="7">
        <v>1988</v>
      </c>
      <c r="W494" t="s">
        <v>56</v>
      </c>
      <c r="X494" s="2">
        <v>0.375</v>
      </c>
      <c r="Y494" s="6">
        <f t="shared" si="62"/>
        <v>1.0010410827260351E-2</v>
      </c>
      <c r="AA494">
        <v>135194</v>
      </c>
      <c r="AB494">
        <v>24918</v>
      </c>
      <c r="AD494" t="s">
        <v>4</v>
      </c>
      <c r="AE494">
        <v>24</v>
      </c>
      <c r="AF494">
        <v>17</v>
      </c>
      <c r="AH494" t="s">
        <v>4416</v>
      </c>
      <c r="AI494" t="s">
        <v>4415</v>
      </c>
      <c r="AJ494" t="s">
        <v>4414</v>
      </c>
      <c r="AK494" t="s">
        <v>4413</v>
      </c>
      <c r="AL494">
        <v>0</v>
      </c>
      <c r="AM494" s="5">
        <f t="shared" si="66"/>
        <v>0</v>
      </c>
      <c r="AN494" s="4">
        <f t="shared" si="63"/>
        <v>0</v>
      </c>
      <c r="AO494" s="3"/>
      <c r="AP494">
        <v>0</v>
      </c>
      <c r="AR494" t="s">
        <v>0</v>
      </c>
      <c r="AT494" s="2">
        <v>1.3140000000000001</v>
      </c>
      <c r="AU494" s="1">
        <f t="shared" si="67"/>
        <v>0.70072875790822453</v>
      </c>
      <c r="AV494" s="1">
        <f t="shared" si="68"/>
        <v>0.5005205413630176</v>
      </c>
      <c r="AW494" s="1">
        <f t="shared" si="69"/>
        <v>0.30031232481781051</v>
      </c>
    </row>
    <row r="495" spans="1:49" x14ac:dyDescent="0.2">
      <c r="A495">
        <v>493</v>
      </c>
      <c r="B495" t="s">
        <v>4412</v>
      </c>
      <c r="C495" t="s">
        <v>4411</v>
      </c>
      <c r="F495" t="s">
        <v>4410</v>
      </c>
      <c r="G495" t="s">
        <v>15</v>
      </c>
      <c r="H495" t="s">
        <v>14</v>
      </c>
      <c r="I495" t="s">
        <v>4409</v>
      </c>
      <c r="J495">
        <v>60014652</v>
      </c>
      <c r="K495" t="s">
        <v>2261</v>
      </c>
      <c r="L495" t="s">
        <v>2260</v>
      </c>
      <c r="M495" t="s">
        <v>211</v>
      </c>
      <c r="N495">
        <v>3</v>
      </c>
      <c r="O495" t="s">
        <v>4408</v>
      </c>
      <c r="P495" t="s">
        <v>4407</v>
      </c>
      <c r="Q495" t="s">
        <v>4406</v>
      </c>
      <c r="R495" s="7">
        <v>32143</v>
      </c>
      <c r="S495" s="8">
        <f t="shared" si="64"/>
        <v>1988</v>
      </c>
      <c r="T495" s="8">
        <v>1988</v>
      </c>
      <c r="U495" s="8">
        <f t="shared" si="65"/>
        <v>34</v>
      </c>
      <c r="V495" s="7">
        <v>32356</v>
      </c>
      <c r="W495" t="s">
        <v>1225</v>
      </c>
      <c r="X495" s="2">
        <v>0.111</v>
      </c>
      <c r="Y495" s="6">
        <f t="shared" si="62"/>
        <v>2.9630816048690639E-3</v>
      </c>
      <c r="AA495">
        <v>87566621</v>
      </c>
      <c r="AB495">
        <v>24890</v>
      </c>
      <c r="AC495">
        <v>15206424</v>
      </c>
      <c r="AD495" t="s">
        <v>4</v>
      </c>
      <c r="AE495">
        <v>71</v>
      </c>
      <c r="AF495">
        <v>8</v>
      </c>
      <c r="AH495" t="s">
        <v>4405</v>
      </c>
      <c r="AI495" t="s">
        <v>4404</v>
      </c>
      <c r="AK495" t="s">
        <v>4403</v>
      </c>
      <c r="AL495">
        <v>0</v>
      </c>
      <c r="AM495" s="5">
        <f t="shared" si="66"/>
        <v>0</v>
      </c>
      <c r="AN495" s="4">
        <f t="shared" si="63"/>
        <v>0</v>
      </c>
      <c r="AO495" s="3"/>
      <c r="AP495">
        <v>0</v>
      </c>
      <c r="AR495" t="s">
        <v>0</v>
      </c>
      <c r="AT495" s="2" t="s">
        <v>19</v>
      </c>
      <c r="AU495" s="1">
        <f t="shared" si="67"/>
        <v>0.20741571234083445</v>
      </c>
      <c r="AV495" s="1">
        <f t="shared" si="68"/>
        <v>0.1481540802434532</v>
      </c>
      <c r="AW495" s="1">
        <f t="shared" si="69"/>
        <v>8.8892448146071903E-2</v>
      </c>
    </row>
    <row r="496" spans="1:49" x14ac:dyDescent="0.2">
      <c r="A496">
        <v>494</v>
      </c>
      <c r="B496" t="s">
        <v>4402</v>
      </c>
      <c r="C496" t="s">
        <v>4401</v>
      </c>
      <c r="F496" t="s">
        <v>4400</v>
      </c>
      <c r="G496" t="s">
        <v>15</v>
      </c>
      <c r="H496" t="s">
        <v>14</v>
      </c>
      <c r="I496" t="s">
        <v>4399</v>
      </c>
      <c r="J496" t="s">
        <v>4398</v>
      </c>
      <c r="K496" t="s">
        <v>4397</v>
      </c>
      <c r="L496" t="s">
        <v>4396</v>
      </c>
      <c r="M496" t="s">
        <v>195</v>
      </c>
      <c r="N496">
        <v>5</v>
      </c>
      <c r="O496" t="s">
        <v>4395</v>
      </c>
      <c r="P496" t="s">
        <v>4394</v>
      </c>
      <c r="Q496" t="s">
        <v>4393</v>
      </c>
      <c r="R496" s="7">
        <v>32143</v>
      </c>
      <c r="S496" s="8">
        <f t="shared" si="64"/>
        <v>1988</v>
      </c>
      <c r="T496" s="8">
        <v>1988</v>
      </c>
      <c r="U496" s="8">
        <f t="shared" si="65"/>
        <v>34</v>
      </c>
      <c r="V496" s="7">
        <v>32356</v>
      </c>
      <c r="W496" t="s">
        <v>1958</v>
      </c>
      <c r="X496" s="2">
        <v>0.65500000000000003</v>
      </c>
      <c r="Y496" s="6">
        <f t="shared" si="62"/>
        <v>1.7484850911614749E-2</v>
      </c>
      <c r="AA496">
        <v>189375</v>
      </c>
      <c r="AB496">
        <v>26051</v>
      </c>
      <c r="AC496" t="s">
        <v>1957</v>
      </c>
      <c r="AD496" t="s">
        <v>4</v>
      </c>
      <c r="AE496">
        <v>30</v>
      </c>
      <c r="AF496">
        <v>3</v>
      </c>
      <c r="AH496" t="s">
        <v>4392</v>
      </c>
      <c r="AI496" t="s">
        <v>4391</v>
      </c>
      <c r="AJ496" t="s">
        <v>4390</v>
      </c>
      <c r="AK496" t="s">
        <v>4389</v>
      </c>
      <c r="AL496">
        <v>4</v>
      </c>
      <c r="AM496" s="5">
        <f t="shared" si="66"/>
        <v>0.11764705882352941</v>
      </c>
      <c r="AN496" s="4">
        <f t="shared" si="63"/>
        <v>1.7818562487471323E-4</v>
      </c>
      <c r="AO496" s="3"/>
      <c r="AP496">
        <v>0</v>
      </c>
      <c r="AQ496" t="s">
        <v>577</v>
      </c>
      <c r="AR496" t="s">
        <v>4388</v>
      </c>
      <c r="AS496" t="s">
        <v>575</v>
      </c>
      <c r="AT496" s="2" t="s">
        <v>19</v>
      </c>
      <c r="AU496" s="1">
        <f t="shared" si="67"/>
        <v>1.2292851325592737</v>
      </c>
      <c r="AV496" s="1">
        <f t="shared" si="68"/>
        <v>0.88315182682447302</v>
      </c>
      <c r="AW496" s="1">
        <f t="shared" si="69"/>
        <v>0.53701852108967241</v>
      </c>
    </row>
    <row r="497" spans="1:49" x14ac:dyDescent="0.2">
      <c r="A497">
        <v>495</v>
      </c>
      <c r="B497" t="s">
        <v>4387</v>
      </c>
      <c r="C497" t="s">
        <v>4386</v>
      </c>
      <c r="F497" t="s">
        <v>4385</v>
      </c>
      <c r="G497" t="s">
        <v>15</v>
      </c>
      <c r="H497" t="s">
        <v>14</v>
      </c>
      <c r="I497" t="s">
        <v>4384</v>
      </c>
      <c r="J497">
        <v>60019000</v>
      </c>
      <c r="K497" t="s">
        <v>4383</v>
      </c>
      <c r="L497" t="s">
        <v>4382</v>
      </c>
      <c r="M497" t="s">
        <v>481</v>
      </c>
      <c r="N497">
        <v>2</v>
      </c>
      <c r="O497" t="s">
        <v>4381</v>
      </c>
      <c r="P497" t="s">
        <v>4380</v>
      </c>
      <c r="Q497" t="s">
        <v>4379</v>
      </c>
      <c r="R497" s="7">
        <v>32143</v>
      </c>
      <c r="S497" s="8">
        <f t="shared" si="64"/>
        <v>1988</v>
      </c>
      <c r="T497" s="8">
        <v>1988</v>
      </c>
      <c r="U497" s="8">
        <f t="shared" si="65"/>
        <v>34</v>
      </c>
      <c r="V497" s="7" t="s">
        <v>4378</v>
      </c>
      <c r="W497" t="s">
        <v>3103</v>
      </c>
      <c r="X497" s="2" t="s">
        <v>19</v>
      </c>
      <c r="Y497" s="6" t="e">
        <f t="shared" si="62"/>
        <v>#VALUE!</v>
      </c>
      <c r="AA497">
        <v>84204</v>
      </c>
      <c r="AB497">
        <v>27420</v>
      </c>
      <c r="AD497" t="s">
        <v>4</v>
      </c>
      <c r="AE497">
        <v>66</v>
      </c>
      <c r="AF497">
        <v>8</v>
      </c>
      <c r="AH497" t="s">
        <v>4377</v>
      </c>
      <c r="AI497" t="s">
        <v>4376</v>
      </c>
      <c r="AK497" t="s">
        <v>4375</v>
      </c>
      <c r="AL497">
        <v>1</v>
      </c>
      <c r="AM497" s="5">
        <f t="shared" si="66"/>
        <v>2.9411764705882353E-2</v>
      </c>
      <c r="AN497" s="4">
        <f t="shared" si="63"/>
        <v>4.4546406218678307E-5</v>
      </c>
      <c r="AO497" s="3"/>
      <c r="AP497">
        <v>0</v>
      </c>
      <c r="AR497" t="s">
        <v>0</v>
      </c>
      <c r="AT497" s="2">
        <v>1.24</v>
      </c>
      <c r="AU497" s="1" t="e">
        <f t="shared" si="67"/>
        <v>#VALUE!</v>
      </c>
      <c r="AV497" s="1" t="e">
        <f t="shared" si="68"/>
        <v>#VALUE!</v>
      </c>
      <c r="AW497" s="1" t="e">
        <f t="shared" si="69"/>
        <v>#VALUE!</v>
      </c>
    </row>
    <row r="498" spans="1:49" x14ac:dyDescent="0.2">
      <c r="A498">
        <v>496</v>
      </c>
      <c r="B498" t="s">
        <v>4374</v>
      </c>
      <c r="C498" t="s">
        <v>4373</v>
      </c>
      <c r="F498" t="s">
        <v>4372</v>
      </c>
      <c r="G498" t="s">
        <v>15</v>
      </c>
      <c r="H498" t="s">
        <v>14</v>
      </c>
      <c r="I498" t="s">
        <v>4371</v>
      </c>
      <c r="J498">
        <v>60011754</v>
      </c>
      <c r="K498" t="s">
        <v>4370</v>
      </c>
      <c r="L498" t="s">
        <v>4369</v>
      </c>
      <c r="M498" t="s">
        <v>31</v>
      </c>
      <c r="N498">
        <v>2</v>
      </c>
      <c r="O498" t="s">
        <v>4368</v>
      </c>
      <c r="P498" t="s">
        <v>4367</v>
      </c>
      <c r="Q498" t="s">
        <v>4366</v>
      </c>
      <c r="R498" s="7">
        <v>32143</v>
      </c>
      <c r="S498" s="8">
        <f t="shared" si="64"/>
        <v>1988</v>
      </c>
      <c r="T498" s="8">
        <v>1988</v>
      </c>
      <c r="U498" s="8">
        <f t="shared" si="65"/>
        <v>34</v>
      </c>
      <c r="V498" s="7">
        <v>32356</v>
      </c>
      <c r="W498" t="s">
        <v>69</v>
      </c>
      <c r="X498" s="2">
        <v>1.6519999999999999</v>
      </c>
      <c r="Y498" s="6">
        <f t="shared" si="62"/>
        <v>4.409919649769093E-2</v>
      </c>
      <c r="AA498" t="s">
        <v>68</v>
      </c>
      <c r="AB498">
        <v>17337</v>
      </c>
      <c r="AC498">
        <v>15582221</v>
      </c>
      <c r="AD498" t="s">
        <v>4</v>
      </c>
      <c r="AE498">
        <v>36</v>
      </c>
      <c r="AF498">
        <v>8</v>
      </c>
      <c r="AH498" t="s">
        <v>4365</v>
      </c>
      <c r="AI498" t="s">
        <v>4364</v>
      </c>
      <c r="AK498" t="s">
        <v>4363</v>
      </c>
      <c r="AL498">
        <v>8</v>
      </c>
      <c r="AM498" s="5">
        <f t="shared" si="66"/>
        <v>0.23529411764705882</v>
      </c>
      <c r="AN498" s="4">
        <f t="shared" si="63"/>
        <v>3.5637124974942646E-4</v>
      </c>
      <c r="AO498" s="3"/>
      <c r="AP498">
        <v>0</v>
      </c>
      <c r="AR498" t="s">
        <v>0</v>
      </c>
      <c r="AT498" s="2" t="s">
        <v>19</v>
      </c>
      <c r="AU498" s="1">
        <f t="shared" si="67"/>
        <v>3.0976348923308481</v>
      </c>
      <c r="AV498" s="1">
        <f t="shared" si="68"/>
        <v>2.2227783873720175</v>
      </c>
      <c r="AW498" s="1">
        <f t="shared" si="69"/>
        <v>1.3479218824131878</v>
      </c>
    </row>
    <row r="499" spans="1:49" x14ac:dyDescent="0.2">
      <c r="A499">
        <v>497</v>
      </c>
      <c r="B499" t="s">
        <v>4362</v>
      </c>
      <c r="C499" t="s">
        <v>4361</v>
      </c>
      <c r="F499" t="s">
        <v>4360</v>
      </c>
      <c r="G499" t="s">
        <v>15</v>
      </c>
      <c r="H499" t="s">
        <v>14</v>
      </c>
      <c r="I499" t="s">
        <v>4359</v>
      </c>
      <c r="J499">
        <v>60021907</v>
      </c>
      <c r="K499" t="s">
        <v>4358</v>
      </c>
      <c r="L499" t="s">
        <v>4357</v>
      </c>
      <c r="M499" t="s">
        <v>31</v>
      </c>
      <c r="N499">
        <v>1</v>
      </c>
      <c r="O499" t="s">
        <v>4356</v>
      </c>
      <c r="P499">
        <v>7004384815</v>
      </c>
      <c r="Q499">
        <v>60021907</v>
      </c>
      <c r="R499" s="7">
        <v>32143</v>
      </c>
      <c r="S499" s="8">
        <f t="shared" si="64"/>
        <v>1988</v>
      </c>
      <c r="T499" s="8">
        <v>1988</v>
      </c>
      <c r="U499" s="8">
        <f t="shared" si="65"/>
        <v>34</v>
      </c>
      <c r="V499" s="7">
        <v>32356</v>
      </c>
      <c r="W499" t="s">
        <v>69</v>
      </c>
      <c r="X499" s="2">
        <v>1.6519999999999999</v>
      </c>
      <c r="Y499" s="6">
        <f t="shared" si="62"/>
        <v>4.409919649769093E-2</v>
      </c>
      <c r="AA499" t="s">
        <v>68</v>
      </c>
      <c r="AB499">
        <v>17337</v>
      </c>
      <c r="AC499">
        <v>15582221</v>
      </c>
      <c r="AD499" t="s">
        <v>4</v>
      </c>
      <c r="AE499">
        <v>36</v>
      </c>
      <c r="AF499">
        <v>8</v>
      </c>
      <c r="AH499" t="s">
        <v>4355</v>
      </c>
      <c r="AI499" t="s">
        <v>4354</v>
      </c>
      <c r="AK499" t="s">
        <v>4353</v>
      </c>
      <c r="AL499">
        <v>80</v>
      </c>
      <c r="AM499" s="5">
        <f t="shared" si="66"/>
        <v>2.3529411764705883</v>
      </c>
      <c r="AN499" s="4">
        <f t="shared" si="63"/>
        <v>3.5637124974942647E-3</v>
      </c>
      <c r="AO499" s="3"/>
      <c r="AP499">
        <v>0</v>
      </c>
      <c r="AR499" t="s">
        <v>0</v>
      </c>
      <c r="AT499" s="2" t="s">
        <v>19</v>
      </c>
      <c r="AU499" s="1">
        <f t="shared" si="67"/>
        <v>3.1938551297631927</v>
      </c>
      <c r="AV499" s="1">
        <f t="shared" si="68"/>
        <v>2.3831454497592599</v>
      </c>
      <c r="AW499" s="1">
        <f t="shared" si="69"/>
        <v>1.5724357697553264</v>
      </c>
    </row>
    <row r="500" spans="1:49" x14ac:dyDescent="0.2">
      <c r="A500">
        <v>498</v>
      </c>
      <c r="B500" t="s">
        <v>4352</v>
      </c>
      <c r="C500" t="s">
        <v>4351</v>
      </c>
      <c r="F500" t="s">
        <v>4350</v>
      </c>
      <c r="G500" t="s">
        <v>15</v>
      </c>
      <c r="H500" t="s">
        <v>14</v>
      </c>
      <c r="I500" t="s">
        <v>4349</v>
      </c>
      <c r="J500" t="s">
        <v>4348</v>
      </c>
      <c r="K500" t="s">
        <v>4347</v>
      </c>
      <c r="L500" t="s">
        <v>4346</v>
      </c>
      <c r="M500" t="s">
        <v>352</v>
      </c>
      <c r="N500">
        <v>6</v>
      </c>
      <c r="O500" t="s">
        <v>4345</v>
      </c>
      <c r="P500" t="s">
        <v>4344</v>
      </c>
      <c r="Q500" t="s">
        <v>4343</v>
      </c>
      <c r="R500" s="7">
        <v>32143</v>
      </c>
      <c r="S500" s="8">
        <f t="shared" si="64"/>
        <v>1988</v>
      </c>
      <c r="T500" s="8">
        <v>1988</v>
      </c>
      <c r="U500" s="8">
        <f t="shared" si="65"/>
        <v>34</v>
      </c>
      <c r="V500" s="7">
        <v>32356</v>
      </c>
      <c r="W500" t="s">
        <v>4342</v>
      </c>
      <c r="X500" s="2">
        <v>0.76700000000000002</v>
      </c>
      <c r="Y500" s="6">
        <f t="shared" si="62"/>
        <v>2.0474626945356504E-2</v>
      </c>
      <c r="AA500">
        <v>983063</v>
      </c>
      <c r="AB500">
        <v>26048</v>
      </c>
      <c r="AD500" t="s">
        <v>4</v>
      </c>
      <c r="AE500">
        <v>34</v>
      </c>
      <c r="AF500">
        <v>3</v>
      </c>
      <c r="AH500" t="s">
        <v>4341</v>
      </c>
      <c r="AI500" t="s">
        <v>4340</v>
      </c>
      <c r="AK500" t="s">
        <v>4339</v>
      </c>
      <c r="AL500">
        <v>1</v>
      </c>
      <c r="AM500" s="5">
        <f t="shared" si="66"/>
        <v>2.9411764705882353E-2</v>
      </c>
      <c r="AN500" s="4">
        <f t="shared" si="63"/>
        <v>4.4546406218678307E-5</v>
      </c>
      <c r="AO500" s="3"/>
      <c r="AP500">
        <v>0</v>
      </c>
      <c r="AR500" t="s">
        <v>0</v>
      </c>
      <c r="AT500" s="2" t="s">
        <v>19</v>
      </c>
      <c r="AU500" s="1">
        <f t="shared" si="67"/>
        <v>1.4345602783615157</v>
      </c>
      <c r="AV500" s="1">
        <f t="shared" si="68"/>
        <v>1.0259586675787591</v>
      </c>
      <c r="AW500" s="1">
        <f t="shared" si="69"/>
        <v>0.6173570567960025</v>
      </c>
    </row>
    <row r="501" spans="1:49" x14ac:dyDescent="0.2">
      <c r="A501">
        <v>499</v>
      </c>
      <c r="B501" t="s">
        <v>4338</v>
      </c>
      <c r="C501" t="s">
        <v>4337</v>
      </c>
      <c r="F501" t="s">
        <v>4336</v>
      </c>
      <c r="G501" t="s">
        <v>15</v>
      </c>
      <c r="H501" t="s">
        <v>14</v>
      </c>
      <c r="I501" t="s">
        <v>2238</v>
      </c>
      <c r="J501">
        <v>60009831</v>
      </c>
      <c r="K501" t="s">
        <v>4335</v>
      </c>
      <c r="L501" t="s">
        <v>2236</v>
      </c>
      <c r="M501" t="s">
        <v>31</v>
      </c>
      <c r="N501">
        <v>3</v>
      </c>
      <c r="O501" t="s">
        <v>4334</v>
      </c>
      <c r="P501" t="s">
        <v>4333</v>
      </c>
      <c r="Q501" t="s">
        <v>4332</v>
      </c>
      <c r="R501" s="7">
        <v>32143</v>
      </c>
      <c r="S501" s="8">
        <f t="shared" si="64"/>
        <v>1988</v>
      </c>
      <c r="T501" s="8">
        <v>1988</v>
      </c>
      <c r="U501" s="8">
        <f t="shared" si="65"/>
        <v>34</v>
      </c>
      <c r="V501" s="7">
        <v>32356</v>
      </c>
      <c r="W501" t="s">
        <v>69</v>
      </c>
      <c r="X501" s="2">
        <v>1.6519999999999999</v>
      </c>
      <c r="Y501" s="6">
        <f t="shared" si="62"/>
        <v>4.409919649769093E-2</v>
      </c>
      <c r="AA501" t="s">
        <v>68</v>
      </c>
      <c r="AB501">
        <v>17337</v>
      </c>
      <c r="AC501">
        <v>15582221</v>
      </c>
      <c r="AD501" t="s">
        <v>4</v>
      </c>
      <c r="AE501">
        <v>36</v>
      </c>
      <c r="AF501">
        <v>8</v>
      </c>
      <c r="AH501" t="s">
        <v>4331</v>
      </c>
      <c r="AI501" t="s">
        <v>4330</v>
      </c>
      <c r="AK501" t="s">
        <v>4329</v>
      </c>
      <c r="AL501">
        <v>7</v>
      </c>
      <c r="AM501" s="5">
        <f t="shared" si="66"/>
        <v>0.20588235294117646</v>
      </c>
      <c r="AN501" s="4">
        <f t="shared" si="63"/>
        <v>3.1182484353074817E-4</v>
      </c>
      <c r="AO501" s="3"/>
      <c r="AP501">
        <v>0</v>
      </c>
      <c r="AQ501" t="s">
        <v>1636</v>
      </c>
      <c r="AR501" t="s">
        <v>4328</v>
      </c>
      <c r="AS501" t="s">
        <v>1634</v>
      </c>
      <c r="AT501" s="2" t="s">
        <v>19</v>
      </c>
      <c r="AU501" s="1">
        <f t="shared" si="67"/>
        <v>3.0962985001442878</v>
      </c>
      <c r="AV501" s="1">
        <f t="shared" si="68"/>
        <v>2.2205510670610837</v>
      </c>
      <c r="AW501" s="1">
        <f t="shared" si="69"/>
        <v>1.3448036339778802</v>
      </c>
    </row>
    <row r="502" spans="1:49" x14ac:dyDescent="0.2">
      <c r="A502">
        <v>500</v>
      </c>
      <c r="B502" t="s">
        <v>4327</v>
      </c>
      <c r="C502" t="s">
        <v>4326</v>
      </c>
      <c r="F502" t="s">
        <v>4325</v>
      </c>
      <c r="G502" t="s">
        <v>15</v>
      </c>
      <c r="H502" t="s">
        <v>14</v>
      </c>
      <c r="I502" t="s">
        <v>4324</v>
      </c>
      <c r="J502" t="s">
        <v>1266</v>
      </c>
      <c r="K502" t="s">
        <v>1265</v>
      </c>
      <c r="L502" t="s">
        <v>1264</v>
      </c>
      <c r="M502" t="s">
        <v>352</v>
      </c>
      <c r="N502">
        <v>4</v>
      </c>
      <c r="O502" t="s">
        <v>4323</v>
      </c>
      <c r="P502" t="s">
        <v>4322</v>
      </c>
      <c r="Q502" t="s">
        <v>1261</v>
      </c>
      <c r="R502" s="7">
        <v>32143</v>
      </c>
      <c r="S502" s="8">
        <f t="shared" si="64"/>
        <v>1988</v>
      </c>
      <c r="T502" s="8">
        <v>1988</v>
      </c>
      <c r="U502" s="8">
        <f t="shared" si="65"/>
        <v>34</v>
      </c>
      <c r="V502" s="7">
        <v>32356</v>
      </c>
      <c r="W502" t="s">
        <v>1225</v>
      </c>
      <c r="X502" s="2">
        <v>0.111</v>
      </c>
      <c r="Y502" s="6">
        <f t="shared" si="62"/>
        <v>2.9630816048690639E-3</v>
      </c>
      <c r="AA502">
        <v>87566621</v>
      </c>
      <c r="AB502">
        <v>24890</v>
      </c>
      <c r="AC502">
        <v>15206424</v>
      </c>
      <c r="AD502" t="s">
        <v>4</v>
      </c>
      <c r="AE502">
        <v>71</v>
      </c>
      <c r="AF502">
        <v>8</v>
      </c>
      <c r="AH502" t="s">
        <v>4321</v>
      </c>
      <c r="AI502" t="s">
        <v>4320</v>
      </c>
      <c r="AK502" t="s">
        <v>4319</v>
      </c>
      <c r="AL502">
        <v>0</v>
      </c>
      <c r="AM502" s="5">
        <f t="shared" si="66"/>
        <v>0</v>
      </c>
      <c r="AN502" s="4">
        <f t="shared" si="63"/>
        <v>0</v>
      </c>
      <c r="AO502" s="3"/>
      <c r="AP502">
        <v>0</v>
      </c>
      <c r="AR502" t="s">
        <v>0</v>
      </c>
      <c r="AT502" s="2" t="s">
        <v>19</v>
      </c>
      <c r="AU502" s="1">
        <f t="shared" si="67"/>
        <v>0.20741571234083445</v>
      </c>
      <c r="AV502" s="1">
        <f t="shared" si="68"/>
        <v>0.1481540802434532</v>
      </c>
      <c r="AW502" s="1">
        <f t="shared" si="69"/>
        <v>8.8892448146071903E-2</v>
      </c>
    </row>
    <row r="503" spans="1:49" x14ac:dyDescent="0.2">
      <c r="A503">
        <v>501</v>
      </c>
      <c r="B503" t="s">
        <v>4318</v>
      </c>
      <c r="C503" t="s">
        <v>4317</v>
      </c>
      <c r="F503" t="s">
        <v>4316</v>
      </c>
      <c r="G503" t="s">
        <v>15</v>
      </c>
      <c r="H503" t="s">
        <v>14</v>
      </c>
      <c r="I503" t="s">
        <v>4315</v>
      </c>
      <c r="J503">
        <v>60009108</v>
      </c>
      <c r="K503" t="s">
        <v>4314</v>
      </c>
      <c r="L503" t="s">
        <v>4313</v>
      </c>
      <c r="M503" t="s">
        <v>211</v>
      </c>
      <c r="N503">
        <v>3</v>
      </c>
      <c r="O503" t="s">
        <v>4312</v>
      </c>
      <c r="P503" t="s">
        <v>4311</v>
      </c>
      <c r="Q503" t="s">
        <v>4310</v>
      </c>
      <c r="R503" s="7">
        <v>32143</v>
      </c>
      <c r="S503" s="8">
        <f t="shared" si="64"/>
        <v>1988</v>
      </c>
      <c r="T503" s="8">
        <v>1988</v>
      </c>
      <c r="U503" s="8">
        <f t="shared" si="65"/>
        <v>34</v>
      </c>
      <c r="V503" s="7">
        <v>32356</v>
      </c>
      <c r="W503" t="s">
        <v>1225</v>
      </c>
      <c r="X503" s="2">
        <v>0.111</v>
      </c>
      <c r="Y503" s="6">
        <f t="shared" si="62"/>
        <v>2.9630816048690639E-3</v>
      </c>
      <c r="AA503">
        <v>87566621</v>
      </c>
      <c r="AB503">
        <v>24890</v>
      </c>
      <c r="AC503">
        <v>15206424</v>
      </c>
      <c r="AD503" t="s">
        <v>4</v>
      </c>
      <c r="AE503">
        <v>71</v>
      </c>
      <c r="AF503">
        <v>8</v>
      </c>
      <c r="AH503" t="s">
        <v>4309</v>
      </c>
      <c r="AI503" t="s">
        <v>4308</v>
      </c>
      <c r="AK503" t="s">
        <v>4307</v>
      </c>
      <c r="AL503">
        <v>0</v>
      </c>
      <c r="AM503" s="5">
        <f t="shared" si="66"/>
        <v>0</v>
      </c>
      <c r="AN503" s="4">
        <f t="shared" si="63"/>
        <v>0</v>
      </c>
      <c r="AO503" s="3"/>
      <c r="AP503">
        <v>0</v>
      </c>
      <c r="AR503" t="s">
        <v>0</v>
      </c>
      <c r="AT503" s="2" t="s">
        <v>19</v>
      </c>
      <c r="AU503" s="1">
        <f t="shared" si="67"/>
        <v>0.20741571234083445</v>
      </c>
      <c r="AV503" s="1">
        <f t="shared" si="68"/>
        <v>0.1481540802434532</v>
      </c>
      <c r="AW503" s="1">
        <f t="shared" si="69"/>
        <v>8.8892448146071903E-2</v>
      </c>
    </row>
    <row r="504" spans="1:49" x14ac:dyDescent="0.2">
      <c r="A504">
        <v>502</v>
      </c>
      <c r="B504" t="s">
        <v>4306</v>
      </c>
      <c r="C504" t="s">
        <v>4305</v>
      </c>
      <c r="F504" t="s">
        <v>4304</v>
      </c>
      <c r="G504" t="s">
        <v>15</v>
      </c>
      <c r="H504" t="s">
        <v>14</v>
      </c>
      <c r="I504" t="s">
        <v>4303</v>
      </c>
      <c r="J504">
        <v>60032143</v>
      </c>
      <c r="K504" t="s">
        <v>4302</v>
      </c>
      <c r="L504" t="s">
        <v>4301</v>
      </c>
      <c r="M504" t="s">
        <v>31</v>
      </c>
      <c r="N504">
        <v>4</v>
      </c>
      <c r="O504" t="s">
        <v>4300</v>
      </c>
      <c r="P504" t="s">
        <v>4299</v>
      </c>
      <c r="Q504" t="s">
        <v>4298</v>
      </c>
      <c r="R504" s="7">
        <v>32143</v>
      </c>
      <c r="S504" s="8">
        <f t="shared" si="64"/>
        <v>1988</v>
      </c>
      <c r="T504" s="8">
        <v>1988</v>
      </c>
      <c r="U504" s="8">
        <f t="shared" si="65"/>
        <v>34</v>
      </c>
      <c r="V504" s="7">
        <v>32325</v>
      </c>
      <c r="W504" t="s">
        <v>4297</v>
      </c>
      <c r="X504" s="2">
        <v>1.994</v>
      </c>
      <c r="Y504" s="6">
        <f t="shared" si="62"/>
        <v>5.322869117215237E-2</v>
      </c>
      <c r="AA504">
        <v>249297</v>
      </c>
      <c r="AB504">
        <v>21100779404</v>
      </c>
      <c r="AC504">
        <v>15205835</v>
      </c>
      <c r="AD504" t="s">
        <v>4</v>
      </c>
      <c r="AE504">
        <v>21</v>
      </c>
      <c r="AF504">
        <v>7</v>
      </c>
      <c r="AH504" t="s">
        <v>4296</v>
      </c>
      <c r="AL504">
        <v>27</v>
      </c>
      <c r="AM504" s="5">
        <f t="shared" si="66"/>
        <v>0.79411764705882348</v>
      </c>
      <c r="AN504" s="4">
        <f t="shared" si="63"/>
        <v>1.2027529679043143E-3</v>
      </c>
      <c r="AO504" s="3"/>
      <c r="AP504">
        <v>0</v>
      </c>
      <c r="AR504" t="s">
        <v>0</v>
      </c>
      <c r="AT504" s="2">
        <v>5.9850000000000003</v>
      </c>
      <c r="AU504" s="1">
        <f t="shared" si="67"/>
        <v>3.7620909710877948</v>
      </c>
      <c r="AV504" s="1">
        <f t="shared" si="68"/>
        <v>2.7215722070028341</v>
      </c>
      <c r="AW504" s="1">
        <f t="shared" si="69"/>
        <v>1.6810534429178732</v>
      </c>
    </row>
    <row r="505" spans="1:49" x14ac:dyDescent="0.2">
      <c r="A505">
        <v>503</v>
      </c>
      <c r="B505" t="s">
        <v>4295</v>
      </c>
      <c r="C505" t="s">
        <v>4294</v>
      </c>
      <c r="F505" t="s">
        <v>4293</v>
      </c>
      <c r="G505" t="s">
        <v>15</v>
      </c>
      <c r="H505" t="s">
        <v>14</v>
      </c>
      <c r="I505" t="s">
        <v>4292</v>
      </c>
      <c r="J505" t="s">
        <v>4291</v>
      </c>
      <c r="K505" t="s">
        <v>4290</v>
      </c>
      <c r="L505" t="s">
        <v>4289</v>
      </c>
      <c r="M505" t="s">
        <v>4288</v>
      </c>
      <c r="N505">
        <v>5</v>
      </c>
      <c r="O505" t="s">
        <v>4287</v>
      </c>
      <c r="P505" t="s">
        <v>4286</v>
      </c>
      <c r="Q505" t="s">
        <v>4285</v>
      </c>
      <c r="R505" s="7">
        <v>32143</v>
      </c>
      <c r="S505" s="8">
        <f t="shared" si="64"/>
        <v>1988</v>
      </c>
      <c r="T505" s="8">
        <v>1988</v>
      </c>
      <c r="U505" s="8">
        <f t="shared" si="65"/>
        <v>34</v>
      </c>
      <c r="V505" s="7">
        <v>1988</v>
      </c>
      <c r="W505" t="s">
        <v>56</v>
      </c>
      <c r="X505" s="2">
        <v>0.375</v>
      </c>
      <c r="Y505" s="6">
        <f t="shared" si="62"/>
        <v>1.0010410827260351E-2</v>
      </c>
      <c r="AA505">
        <v>135194</v>
      </c>
      <c r="AB505">
        <v>24918</v>
      </c>
      <c r="AD505" t="s">
        <v>4</v>
      </c>
      <c r="AE505">
        <v>24</v>
      </c>
      <c r="AF505">
        <v>15</v>
      </c>
      <c r="AH505" t="s">
        <v>4284</v>
      </c>
      <c r="AI505" t="s">
        <v>4283</v>
      </c>
      <c r="AJ505" t="s">
        <v>2886</v>
      </c>
      <c r="AK505" t="s">
        <v>4282</v>
      </c>
      <c r="AL505">
        <v>7</v>
      </c>
      <c r="AM505" s="5">
        <f t="shared" si="66"/>
        <v>0.20588235294117646</v>
      </c>
      <c r="AN505" s="4">
        <f t="shared" si="63"/>
        <v>3.1182484353074817E-4</v>
      </c>
      <c r="AO505" s="3"/>
      <c r="AP505">
        <v>0</v>
      </c>
      <c r="AR505" t="s">
        <v>0</v>
      </c>
      <c r="AT505" s="2">
        <v>1.3140000000000001</v>
      </c>
      <c r="AU505" s="1">
        <f t="shared" si="67"/>
        <v>0.71008350321414704</v>
      </c>
      <c r="AV505" s="1">
        <f t="shared" si="68"/>
        <v>0.51611178353955489</v>
      </c>
      <c r="AW505" s="1">
        <f t="shared" si="69"/>
        <v>0.32214006386496291</v>
      </c>
    </row>
    <row r="506" spans="1:49" x14ac:dyDescent="0.2">
      <c r="A506">
        <v>504</v>
      </c>
      <c r="B506" t="s">
        <v>4281</v>
      </c>
      <c r="C506" t="s">
        <v>4280</v>
      </c>
      <c r="F506" t="s">
        <v>4279</v>
      </c>
      <c r="G506" t="s">
        <v>15</v>
      </c>
      <c r="H506" t="s">
        <v>14</v>
      </c>
      <c r="I506" t="s">
        <v>4278</v>
      </c>
      <c r="N506">
        <v>1</v>
      </c>
      <c r="O506" t="s">
        <v>4277</v>
      </c>
      <c r="P506">
        <v>7401445778</v>
      </c>
      <c r="R506" s="7">
        <v>32143</v>
      </c>
      <c r="S506" s="8">
        <f t="shared" si="64"/>
        <v>1988</v>
      </c>
      <c r="T506" s="8">
        <v>1988</v>
      </c>
      <c r="U506" s="8">
        <f t="shared" si="65"/>
        <v>34</v>
      </c>
      <c r="V506" s="7" t="s">
        <v>4251</v>
      </c>
      <c r="W506" t="s">
        <v>1307</v>
      </c>
      <c r="X506" s="2">
        <v>0.371</v>
      </c>
      <c r="Y506" s="6">
        <f t="shared" si="62"/>
        <v>9.9036331117695747E-3</v>
      </c>
      <c r="AA506">
        <v>486604</v>
      </c>
      <c r="AB506">
        <v>28580</v>
      </c>
      <c r="AC506" t="s">
        <v>1306</v>
      </c>
      <c r="AD506" t="s">
        <v>4</v>
      </c>
      <c r="AE506">
        <v>23</v>
      </c>
      <c r="AF506">
        <v>4</v>
      </c>
      <c r="AH506" t="s">
        <v>4276</v>
      </c>
      <c r="AI506" t="s">
        <v>4275</v>
      </c>
      <c r="AK506" t="s">
        <v>4274</v>
      </c>
      <c r="AL506">
        <v>35</v>
      </c>
      <c r="AM506" s="5">
        <f t="shared" si="66"/>
        <v>1.0294117647058822</v>
      </c>
      <c r="AN506" s="4">
        <f t="shared" si="63"/>
        <v>1.5591242176537406E-3</v>
      </c>
      <c r="AO506" s="3"/>
      <c r="AP506">
        <v>0</v>
      </c>
      <c r="AR506" t="s">
        <v>0</v>
      </c>
      <c r="AT506" s="2">
        <v>1.431</v>
      </c>
      <c r="AU506" s="1">
        <f t="shared" si="67"/>
        <v>0.74002804435348235</v>
      </c>
      <c r="AV506" s="1">
        <f t="shared" si="68"/>
        <v>0.57313786647116582</v>
      </c>
      <c r="AW506" s="1">
        <f t="shared" si="69"/>
        <v>0.40624768858884908</v>
      </c>
    </row>
    <row r="507" spans="1:49" x14ac:dyDescent="0.2">
      <c r="A507">
        <v>505</v>
      </c>
      <c r="B507" t="s">
        <v>4273</v>
      </c>
      <c r="C507" t="s">
        <v>4272</v>
      </c>
      <c r="F507" t="s">
        <v>4271</v>
      </c>
      <c r="G507" t="s">
        <v>15</v>
      </c>
      <c r="H507" t="s">
        <v>14</v>
      </c>
      <c r="I507" t="s">
        <v>4270</v>
      </c>
      <c r="N507">
        <v>1</v>
      </c>
      <c r="O507" t="s">
        <v>4269</v>
      </c>
      <c r="P507">
        <v>7402489819</v>
      </c>
      <c r="R507" s="7">
        <v>32143</v>
      </c>
      <c r="S507" s="8">
        <f t="shared" si="64"/>
        <v>1988</v>
      </c>
      <c r="T507" s="8">
        <v>1988</v>
      </c>
      <c r="U507" s="8">
        <f t="shared" si="65"/>
        <v>34</v>
      </c>
      <c r="V507" s="7" t="s">
        <v>4251</v>
      </c>
      <c r="W507" t="s">
        <v>1307</v>
      </c>
      <c r="X507" s="2">
        <v>0.371</v>
      </c>
      <c r="Y507" s="6">
        <f t="shared" si="62"/>
        <v>9.9036331117695747E-3</v>
      </c>
      <c r="AA507">
        <v>486604</v>
      </c>
      <c r="AB507">
        <v>28580</v>
      </c>
      <c r="AC507" t="s">
        <v>1306</v>
      </c>
      <c r="AD507" t="s">
        <v>4</v>
      </c>
      <c r="AE507">
        <v>23</v>
      </c>
      <c r="AF507">
        <v>4</v>
      </c>
      <c r="AH507" t="s">
        <v>4268</v>
      </c>
      <c r="AI507" t="s">
        <v>4267</v>
      </c>
      <c r="AK507" t="s">
        <v>4266</v>
      </c>
      <c r="AL507">
        <v>0</v>
      </c>
      <c r="AM507" s="5">
        <f t="shared" si="66"/>
        <v>0</v>
      </c>
      <c r="AN507" s="4">
        <f t="shared" si="63"/>
        <v>0</v>
      </c>
      <c r="AO507" s="3"/>
      <c r="AP507">
        <v>0</v>
      </c>
      <c r="AR507" t="s">
        <v>0</v>
      </c>
      <c r="AT507" s="2">
        <v>1.431</v>
      </c>
      <c r="AU507" s="1">
        <f t="shared" si="67"/>
        <v>0.69325431782387015</v>
      </c>
      <c r="AV507" s="1">
        <f t="shared" si="68"/>
        <v>0.49518165558847871</v>
      </c>
      <c r="AW507" s="1">
        <f t="shared" si="69"/>
        <v>0.29710899335308727</v>
      </c>
    </row>
    <row r="508" spans="1:49" x14ac:dyDescent="0.2">
      <c r="A508">
        <v>506</v>
      </c>
      <c r="B508" t="s">
        <v>4265</v>
      </c>
      <c r="C508" t="s">
        <v>4264</v>
      </c>
      <c r="F508" t="s">
        <v>4263</v>
      </c>
      <c r="G508" t="s">
        <v>15</v>
      </c>
      <c r="H508" t="s">
        <v>14</v>
      </c>
      <c r="I508" t="s">
        <v>4262</v>
      </c>
      <c r="N508">
        <v>1</v>
      </c>
      <c r="O508" t="s">
        <v>4261</v>
      </c>
      <c r="P508">
        <v>55663947600</v>
      </c>
      <c r="R508" s="7">
        <v>32143</v>
      </c>
      <c r="S508" s="8">
        <f t="shared" si="64"/>
        <v>1988</v>
      </c>
      <c r="T508" s="8">
        <v>1988</v>
      </c>
      <c r="U508" s="8">
        <f t="shared" si="65"/>
        <v>34</v>
      </c>
      <c r="V508" s="7" t="s">
        <v>4251</v>
      </c>
      <c r="W508" t="s">
        <v>1307</v>
      </c>
      <c r="X508" s="2">
        <v>0.371</v>
      </c>
      <c r="Y508" s="6">
        <f t="shared" si="62"/>
        <v>9.9036331117695747E-3</v>
      </c>
      <c r="AA508">
        <v>486604</v>
      </c>
      <c r="AB508">
        <v>28580</v>
      </c>
      <c r="AC508" t="s">
        <v>1306</v>
      </c>
      <c r="AD508" t="s">
        <v>4</v>
      </c>
      <c r="AE508">
        <v>23</v>
      </c>
      <c r="AF508">
        <v>4</v>
      </c>
      <c r="AH508" t="s">
        <v>4260</v>
      </c>
      <c r="AI508" t="s">
        <v>4259</v>
      </c>
      <c r="AK508" t="s">
        <v>4258</v>
      </c>
      <c r="AL508">
        <v>2</v>
      </c>
      <c r="AM508" s="5">
        <f t="shared" si="66"/>
        <v>5.8823529411764705E-2</v>
      </c>
      <c r="AN508" s="4">
        <f t="shared" si="63"/>
        <v>8.9092812437356614E-5</v>
      </c>
      <c r="AO508" s="3"/>
      <c r="AP508">
        <v>0</v>
      </c>
      <c r="AR508" t="s">
        <v>0</v>
      </c>
      <c r="AT508" s="2">
        <v>1.431</v>
      </c>
      <c r="AU508" s="1">
        <f t="shared" si="67"/>
        <v>0.69592710219699094</v>
      </c>
      <c r="AV508" s="1">
        <f t="shared" si="68"/>
        <v>0.49963629621034655</v>
      </c>
      <c r="AW508" s="1">
        <f t="shared" si="69"/>
        <v>0.30334549022370222</v>
      </c>
    </row>
    <row r="509" spans="1:49" x14ac:dyDescent="0.2">
      <c r="A509">
        <v>507</v>
      </c>
      <c r="B509" t="s">
        <v>4257</v>
      </c>
      <c r="C509" t="s">
        <v>4256</v>
      </c>
      <c r="F509" t="s">
        <v>4255</v>
      </c>
      <c r="G509" t="s">
        <v>15</v>
      </c>
      <c r="H509" t="s">
        <v>14</v>
      </c>
      <c r="I509" t="s">
        <v>4254</v>
      </c>
      <c r="N509">
        <v>2</v>
      </c>
      <c r="O509" t="s">
        <v>4253</v>
      </c>
      <c r="P509" t="s">
        <v>4252</v>
      </c>
      <c r="Q509" t="s">
        <v>501</v>
      </c>
      <c r="R509" s="7">
        <v>32143</v>
      </c>
      <c r="S509" s="8">
        <f t="shared" si="64"/>
        <v>1988</v>
      </c>
      <c r="T509" s="8">
        <v>1988</v>
      </c>
      <c r="U509" s="8">
        <f t="shared" si="65"/>
        <v>34</v>
      </c>
      <c r="V509" s="7" t="s">
        <v>4251</v>
      </c>
      <c r="W509" t="s">
        <v>1307</v>
      </c>
      <c r="X509" s="2">
        <v>0.371</v>
      </c>
      <c r="Y509" s="6">
        <f t="shared" si="62"/>
        <v>9.9036331117695747E-3</v>
      </c>
      <c r="AA509">
        <v>486604</v>
      </c>
      <c r="AB509">
        <v>28580</v>
      </c>
      <c r="AC509" t="s">
        <v>1306</v>
      </c>
      <c r="AD509" t="s">
        <v>4</v>
      </c>
      <c r="AE509">
        <v>23</v>
      </c>
      <c r="AF509">
        <v>4</v>
      </c>
      <c r="AH509" t="s">
        <v>4250</v>
      </c>
      <c r="AI509" t="s">
        <v>4249</v>
      </c>
      <c r="AK509" t="s">
        <v>4248</v>
      </c>
      <c r="AL509">
        <v>1</v>
      </c>
      <c r="AM509" s="5">
        <f t="shared" si="66"/>
        <v>2.9411764705882353E-2</v>
      </c>
      <c r="AN509" s="4">
        <f t="shared" si="63"/>
        <v>4.4546406218678307E-5</v>
      </c>
      <c r="AO509" s="3"/>
      <c r="AP509">
        <v>0</v>
      </c>
      <c r="AR509" t="s">
        <v>0</v>
      </c>
      <c r="AT509" s="2">
        <v>1.431</v>
      </c>
      <c r="AU509" s="1">
        <f t="shared" si="67"/>
        <v>0.69459071001043049</v>
      </c>
      <c r="AV509" s="1">
        <f t="shared" si="68"/>
        <v>0.49740897589941263</v>
      </c>
      <c r="AW509" s="1">
        <f t="shared" si="69"/>
        <v>0.30022724178839472</v>
      </c>
    </row>
    <row r="510" spans="1:49" x14ac:dyDescent="0.2">
      <c r="A510">
        <v>508</v>
      </c>
      <c r="B510" t="s">
        <v>4247</v>
      </c>
      <c r="C510" t="s">
        <v>4246</v>
      </c>
      <c r="F510" t="s">
        <v>4245</v>
      </c>
      <c r="G510" t="s">
        <v>15</v>
      </c>
      <c r="H510" t="s">
        <v>14</v>
      </c>
      <c r="I510" t="s">
        <v>4244</v>
      </c>
      <c r="J510">
        <v>60019656</v>
      </c>
      <c r="K510" t="s">
        <v>4243</v>
      </c>
      <c r="L510" t="s">
        <v>1590</v>
      </c>
      <c r="M510" t="s">
        <v>1011</v>
      </c>
      <c r="N510">
        <v>2</v>
      </c>
      <c r="O510" t="s">
        <v>4242</v>
      </c>
      <c r="P510" t="s">
        <v>4241</v>
      </c>
      <c r="Q510" t="s">
        <v>4240</v>
      </c>
      <c r="R510" s="7">
        <v>32143</v>
      </c>
      <c r="S510" s="8">
        <f t="shared" si="64"/>
        <v>1988</v>
      </c>
      <c r="T510" s="8">
        <v>1988</v>
      </c>
      <c r="U510" s="8">
        <f t="shared" si="65"/>
        <v>34</v>
      </c>
      <c r="V510" s="7">
        <v>32325</v>
      </c>
      <c r="W510" t="s">
        <v>69</v>
      </c>
      <c r="X510" s="2">
        <v>1.6519999999999999</v>
      </c>
      <c r="Y510" s="6">
        <f t="shared" si="62"/>
        <v>4.409919649769093E-2</v>
      </c>
      <c r="AA510" t="s">
        <v>68</v>
      </c>
      <c r="AB510">
        <v>17337</v>
      </c>
      <c r="AC510">
        <v>15582221</v>
      </c>
      <c r="AD510" t="s">
        <v>4</v>
      </c>
      <c r="AE510">
        <v>36</v>
      </c>
      <c r="AF510">
        <v>7</v>
      </c>
      <c r="AH510" t="s">
        <v>4239</v>
      </c>
      <c r="AI510" t="s">
        <v>4238</v>
      </c>
      <c r="AK510" t="s">
        <v>4237</v>
      </c>
      <c r="AL510">
        <v>3</v>
      </c>
      <c r="AM510" s="5">
        <f t="shared" si="66"/>
        <v>8.8235294117647065E-2</v>
      </c>
      <c r="AN510" s="4">
        <f t="shared" si="63"/>
        <v>1.3363921865603494E-4</v>
      </c>
      <c r="AO510" s="3"/>
      <c r="AP510">
        <v>0</v>
      </c>
      <c r="AR510" t="s">
        <v>0</v>
      </c>
      <c r="AT510" s="2" t="s">
        <v>19</v>
      </c>
      <c r="AU510" s="1">
        <f t="shared" si="67"/>
        <v>3.0909529313980459</v>
      </c>
      <c r="AV510" s="1">
        <f t="shared" si="68"/>
        <v>2.2116417858173483</v>
      </c>
      <c r="AW510" s="1">
        <f t="shared" si="69"/>
        <v>1.3323306402366504</v>
      </c>
    </row>
    <row r="511" spans="1:49" x14ac:dyDescent="0.2">
      <c r="A511">
        <v>509</v>
      </c>
      <c r="B511" t="s">
        <v>4236</v>
      </c>
      <c r="C511" t="s">
        <v>4235</v>
      </c>
      <c r="F511" t="s">
        <v>4234</v>
      </c>
      <c r="G511" t="s">
        <v>15</v>
      </c>
      <c r="H511" t="s">
        <v>14</v>
      </c>
      <c r="I511" t="s">
        <v>4233</v>
      </c>
      <c r="J511">
        <v>60000305</v>
      </c>
      <c r="K511" t="s">
        <v>4232</v>
      </c>
      <c r="L511" t="s">
        <v>2892</v>
      </c>
      <c r="M511" t="s">
        <v>31</v>
      </c>
      <c r="N511">
        <v>1</v>
      </c>
      <c r="O511" t="s">
        <v>4231</v>
      </c>
      <c r="P511">
        <v>7007033594</v>
      </c>
      <c r="Q511">
        <v>60000305</v>
      </c>
      <c r="R511" s="7">
        <v>32143</v>
      </c>
      <c r="S511" s="8">
        <f t="shared" si="64"/>
        <v>1988</v>
      </c>
      <c r="T511" s="8">
        <v>1988</v>
      </c>
      <c r="U511" s="8">
        <f t="shared" si="65"/>
        <v>34</v>
      </c>
      <c r="V511" s="7">
        <v>32325</v>
      </c>
      <c r="W511" t="s">
        <v>69</v>
      </c>
      <c r="X511" s="2">
        <v>1.6519999999999999</v>
      </c>
      <c r="Y511" s="6">
        <f t="shared" si="62"/>
        <v>4.409919649769093E-2</v>
      </c>
      <c r="AA511" t="s">
        <v>68</v>
      </c>
      <c r="AB511">
        <v>17337</v>
      </c>
      <c r="AC511">
        <v>15582221</v>
      </c>
      <c r="AD511" t="s">
        <v>4</v>
      </c>
      <c r="AE511">
        <v>36</v>
      </c>
      <c r="AF511">
        <v>7</v>
      </c>
      <c r="AH511" t="s">
        <v>4230</v>
      </c>
      <c r="AL511">
        <v>0</v>
      </c>
      <c r="AM511" s="5">
        <f t="shared" si="66"/>
        <v>0</v>
      </c>
      <c r="AN511" s="4">
        <f t="shared" si="63"/>
        <v>0</v>
      </c>
      <c r="AO511" s="3"/>
      <c r="AP511">
        <v>0</v>
      </c>
      <c r="AR511" t="s">
        <v>0</v>
      </c>
      <c r="AT511" s="2" t="s">
        <v>19</v>
      </c>
      <c r="AU511" s="1">
        <f t="shared" si="67"/>
        <v>3.0869437548383649</v>
      </c>
      <c r="AV511" s="1">
        <f t="shared" si="68"/>
        <v>2.2049598248845466</v>
      </c>
      <c r="AW511" s="1">
        <f t="shared" si="69"/>
        <v>1.3229758949307278</v>
      </c>
    </row>
    <row r="512" spans="1:49" x14ac:dyDescent="0.2">
      <c r="A512">
        <v>510</v>
      </c>
      <c r="B512" t="s">
        <v>4229</v>
      </c>
      <c r="C512" t="s">
        <v>4228</v>
      </c>
      <c r="F512" t="s">
        <v>4227</v>
      </c>
      <c r="G512" t="s">
        <v>15</v>
      </c>
      <c r="H512" t="s">
        <v>14</v>
      </c>
      <c r="I512" t="s">
        <v>4226</v>
      </c>
      <c r="J512">
        <v>60027090</v>
      </c>
      <c r="K512" t="s">
        <v>4225</v>
      </c>
      <c r="L512" t="s">
        <v>4224</v>
      </c>
      <c r="M512" t="s">
        <v>31</v>
      </c>
      <c r="N512">
        <v>3</v>
      </c>
      <c r="O512" t="s">
        <v>4223</v>
      </c>
      <c r="P512" t="s">
        <v>4222</v>
      </c>
      <c r="Q512" t="s">
        <v>4221</v>
      </c>
      <c r="R512" s="7">
        <v>32143</v>
      </c>
      <c r="S512" s="8">
        <f t="shared" si="64"/>
        <v>1988</v>
      </c>
      <c r="T512" s="8">
        <v>1988</v>
      </c>
      <c r="U512" s="8">
        <f t="shared" si="65"/>
        <v>34</v>
      </c>
      <c r="V512" s="7">
        <v>32325</v>
      </c>
      <c r="W512" t="s">
        <v>69</v>
      </c>
      <c r="X512" s="2">
        <v>1.6519999999999999</v>
      </c>
      <c r="Y512" s="6">
        <f t="shared" si="62"/>
        <v>4.409919649769093E-2</v>
      </c>
      <c r="AA512" t="s">
        <v>68</v>
      </c>
      <c r="AB512">
        <v>17337</v>
      </c>
      <c r="AC512">
        <v>15582221</v>
      </c>
      <c r="AD512" t="s">
        <v>4</v>
      </c>
      <c r="AE512">
        <v>36</v>
      </c>
      <c r="AF512">
        <v>7</v>
      </c>
      <c r="AH512" t="s">
        <v>4220</v>
      </c>
      <c r="AI512" t="s">
        <v>4219</v>
      </c>
      <c r="AK512" t="s">
        <v>4218</v>
      </c>
      <c r="AL512">
        <v>4</v>
      </c>
      <c r="AM512" s="5">
        <f t="shared" si="66"/>
        <v>0.11764705882352941</v>
      </c>
      <c r="AN512" s="4">
        <f t="shared" si="63"/>
        <v>1.7818562487471323E-4</v>
      </c>
      <c r="AO512" s="3"/>
      <c r="AP512">
        <v>0</v>
      </c>
      <c r="AR512" t="s">
        <v>0</v>
      </c>
      <c r="AT512" s="2" t="s">
        <v>19</v>
      </c>
      <c r="AU512" s="1">
        <f t="shared" si="67"/>
        <v>3.0922893235846063</v>
      </c>
      <c r="AV512" s="1">
        <f t="shared" si="68"/>
        <v>2.213869106128282</v>
      </c>
      <c r="AW512" s="1">
        <f t="shared" si="69"/>
        <v>1.3354488886719578</v>
      </c>
    </row>
    <row r="513" spans="1:49" x14ac:dyDescent="0.2">
      <c r="A513">
        <v>511</v>
      </c>
      <c r="B513" t="s">
        <v>4217</v>
      </c>
      <c r="C513" t="s">
        <v>4216</v>
      </c>
      <c r="F513" t="s">
        <v>4215</v>
      </c>
      <c r="G513" t="s">
        <v>15</v>
      </c>
      <c r="H513" t="s">
        <v>14</v>
      </c>
      <c r="I513" t="s">
        <v>4214</v>
      </c>
      <c r="J513" t="s">
        <v>4209</v>
      </c>
      <c r="K513" t="s">
        <v>4213</v>
      </c>
      <c r="L513" t="s">
        <v>501</v>
      </c>
      <c r="M513" t="s">
        <v>4212</v>
      </c>
      <c r="N513">
        <v>2</v>
      </c>
      <c r="O513" t="s">
        <v>4211</v>
      </c>
      <c r="P513" t="s">
        <v>4210</v>
      </c>
      <c r="Q513" t="s">
        <v>4209</v>
      </c>
      <c r="R513" s="7">
        <v>32143</v>
      </c>
      <c r="S513" s="8">
        <f t="shared" si="64"/>
        <v>1988</v>
      </c>
      <c r="T513" s="8">
        <v>1988</v>
      </c>
      <c r="U513" s="8">
        <f t="shared" si="65"/>
        <v>34</v>
      </c>
      <c r="V513" s="7">
        <v>32325</v>
      </c>
      <c r="W513" t="s">
        <v>2392</v>
      </c>
      <c r="X513" s="2">
        <v>1.137</v>
      </c>
      <c r="Y513" s="6">
        <f t="shared" si="62"/>
        <v>3.0351565628253384E-2</v>
      </c>
      <c r="AA513">
        <v>189251</v>
      </c>
      <c r="AB513">
        <v>17336</v>
      </c>
      <c r="AD513" t="s">
        <v>4</v>
      </c>
      <c r="AE513">
        <v>24</v>
      </c>
      <c r="AF513">
        <v>4</v>
      </c>
      <c r="AH513" t="s">
        <v>4208</v>
      </c>
      <c r="AI513" t="s">
        <v>4207</v>
      </c>
      <c r="AK513" t="s">
        <v>4206</v>
      </c>
      <c r="AL513">
        <v>21</v>
      </c>
      <c r="AM513" s="5">
        <f t="shared" si="66"/>
        <v>0.61764705882352944</v>
      </c>
      <c r="AN513" s="4">
        <f t="shared" si="63"/>
        <v>9.3547453059224456E-4</v>
      </c>
      <c r="AO513" s="3"/>
      <c r="AP513">
        <v>0</v>
      </c>
      <c r="AR513" t="s">
        <v>0</v>
      </c>
      <c r="AT513" s="2" t="s">
        <v>19</v>
      </c>
      <c r="AU513" s="1">
        <f t="shared" si="67"/>
        <v>2.1526738298955039</v>
      </c>
      <c r="AV513" s="1">
        <f t="shared" si="68"/>
        <v>1.5643520079422812</v>
      </c>
      <c r="AW513" s="1">
        <f t="shared" si="69"/>
        <v>0.97603018598905866</v>
      </c>
    </row>
    <row r="514" spans="1:49" x14ac:dyDescent="0.2">
      <c r="A514">
        <v>512</v>
      </c>
      <c r="B514" t="s">
        <v>4205</v>
      </c>
      <c r="C514" t="s">
        <v>4204</v>
      </c>
      <c r="F514" t="s">
        <v>4203</v>
      </c>
      <c r="G514" t="s">
        <v>15</v>
      </c>
      <c r="H514" t="s">
        <v>14</v>
      </c>
      <c r="I514" t="s">
        <v>4202</v>
      </c>
      <c r="J514">
        <v>60009697</v>
      </c>
      <c r="K514" t="s">
        <v>1417</v>
      </c>
      <c r="L514" t="s">
        <v>1416</v>
      </c>
      <c r="M514" t="s">
        <v>481</v>
      </c>
      <c r="N514">
        <v>3</v>
      </c>
      <c r="O514" t="s">
        <v>4201</v>
      </c>
      <c r="P514" t="s">
        <v>4200</v>
      </c>
      <c r="Q514" t="s">
        <v>4199</v>
      </c>
      <c r="R514" s="7">
        <v>32143</v>
      </c>
      <c r="S514" s="8">
        <f t="shared" si="64"/>
        <v>1988</v>
      </c>
      <c r="T514" s="8">
        <v>1988</v>
      </c>
      <c r="U514" s="8">
        <f t="shared" si="65"/>
        <v>34</v>
      </c>
      <c r="V514" s="7" t="s">
        <v>4198</v>
      </c>
      <c r="W514" t="s">
        <v>1058</v>
      </c>
      <c r="X514" s="2" t="s">
        <v>19</v>
      </c>
      <c r="Y514" s="6" t="e">
        <f t="shared" ref="Y514:Y577" si="70">(X514-$Z$4)/($Z$3-$Z$4)</f>
        <v>#VALUE!</v>
      </c>
      <c r="AA514">
        <v>2671689</v>
      </c>
      <c r="AB514">
        <v>87645</v>
      </c>
      <c r="AD514" t="s">
        <v>4</v>
      </c>
      <c r="AE514">
        <v>58</v>
      </c>
      <c r="AF514">
        <v>5</v>
      </c>
      <c r="AH514" t="s">
        <v>4197</v>
      </c>
      <c r="AI514" t="s">
        <v>4196</v>
      </c>
      <c r="AK514" t="s">
        <v>4195</v>
      </c>
      <c r="AL514">
        <v>0</v>
      </c>
      <c r="AM514" s="5">
        <f t="shared" si="66"/>
        <v>0</v>
      </c>
      <c r="AN514" s="4">
        <f t="shared" ref="AN514:AN577" si="71">(AM514-$AO$4)/($AO$3-$AO$4)</f>
        <v>0</v>
      </c>
      <c r="AO514" s="3"/>
      <c r="AP514">
        <v>0</v>
      </c>
      <c r="AR514" t="s">
        <v>0</v>
      </c>
      <c r="AT514" s="2" t="s">
        <v>19</v>
      </c>
      <c r="AU514" s="1" t="e">
        <f t="shared" si="67"/>
        <v>#VALUE!</v>
      </c>
      <c r="AV514" s="1" t="e">
        <f t="shared" si="68"/>
        <v>#VALUE!</v>
      </c>
      <c r="AW514" s="1" t="e">
        <f t="shared" si="69"/>
        <v>#VALUE!</v>
      </c>
    </row>
    <row r="515" spans="1:49" x14ac:dyDescent="0.2">
      <c r="A515">
        <v>513</v>
      </c>
      <c r="B515" t="s">
        <v>4194</v>
      </c>
      <c r="C515" t="s">
        <v>4193</v>
      </c>
      <c r="F515" t="s">
        <v>4192</v>
      </c>
      <c r="G515" t="s">
        <v>15</v>
      </c>
      <c r="H515" t="s">
        <v>14</v>
      </c>
      <c r="I515" t="s">
        <v>4191</v>
      </c>
      <c r="J515" t="s">
        <v>4190</v>
      </c>
      <c r="K515" t="s">
        <v>4189</v>
      </c>
      <c r="L515" t="s">
        <v>4188</v>
      </c>
      <c r="M515" t="s">
        <v>352</v>
      </c>
      <c r="N515">
        <v>3</v>
      </c>
      <c r="O515" t="s">
        <v>4187</v>
      </c>
      <c r="P515" t="s">
        <v>4186</v>
      </c>
      <c r="Q515" t="s">
        <v>4185</v>
      </c>
      <c r="R515" s="7">
        <v>32143</v>
      </c>
      <c r="S515" s="8">
        <f t="shared" si="64"/>
        <v>1988</v>
      </c>
      <c r="T515" s="8">
        <v>1988</v>
      </c>
      <c r="U515" s="8">
        <f t="shared" si="65"/>
        <v>34</v>
      </c>
      <c r="V515" s="7">
        <v>32325</v>
      </c>
      <c r="W515" t="s">
        <v>69</v>
      </c>
      <c r="X515" s="2">
        <v>1.6519999999999999</v>
      </c>
      <c r="Y515" s="6">
        <f t="shared" si="70"/>
        <v>4.409919649769093E-2</v>
      </c>
      <c r="AA515" t="s">
        <v>68</v>
      </c>
      <c r="AB515">
        <v>17337</v>
      </c>
      <c r="AC515">
        <v>15582221</v>
      </c>
      <c r="AD515" t="s">
        <v>4</v>
      </c>
      <c r="AE515">
        <v>36</v>
      </c>
      <c r="AF515">
        <v>7</v>
      </c>
      <c r="AH515" t="s">
        <v>4184</v>
      </c>
      <c r="AI515" t="s">
        <v>4183</v>
      </c>
      <c r="AK515" t="s">
        <v>4182</v>
      </c>
      <c r="AL515">
        <v>9</v>
      </c>
      <c r="AM515" s="5">
        <f t="shared" si="66"/>
        <v>0.26470588235294118</v>
      </c>
      <c r="AN515" s="4">
        <f t="shared" si="71"/>
        <v>4.009176559681048E-4</v>
      </c>
      <c r="AO515" s="3"/>
      <c r="AP515">
        <v>0</v>
      </c>
      <c r="AR515" t="s">
        <v>0</v>
      </c>
      <c r="AT515" s="2" t="s">
        <v>19</v>
      </c>
      <c r="AU515" s="1">
        <f t="shared" si="67"/>
        <v>3.0989712845174084</v>
      </c>
      <c r="AV515" s="1">
        <f t="shared" si="68"/>
        <v>2.2250057076829517</v>
      </c>
      <c r="AW515" s="1">
        <f t="shared" si="69"/>
        <v>1.3510401308484952</v>
      </c>
    </row>
    <row r="516" spans="1:49" x14ac:dyDescent="0.2">
      <c r="A516">
        <v>514</v>
      </c>
      <c r="B516" t="s">
        <v>4181</v>
      </c>
      <c r="C516" t="s">
        <v>4180</v>
      </c>
      <c r="F516" t="s">
        <v>4179</v>
      </c>
      <c r="G516" t="s">
        <v>15</v>
      </c>
      <c r="H516" t="s">
        <v>14</v>
      </c>
      <c r="I516" t="s">
        <v>4178</v>
      </c>
      <c r="J516">
        <v>60024322</v>
      </c>
      <c r="K516" t="s">
        <v>4177</v>
      </c>
      <c r="L516" t="s">
        <v>4176</v>
      </c>
      <c r="M516" t="s">
        <v>211</v>
      </c>
      <c r="N516">
        <v>3</v>
      </c>
      <c r="O516" t="s">
        <v>4175</v>
      </c>
      <c r="P516" t="s">
        <v>4174</v>
      </c>
      <c r="Q516" t="s">
        <v>4173</v>
      </c>
      <c r="R516" s="7">
        <v>32143</v>
      </c>
      <c r="S516" s="8">
        <f t="shared" si="64"/>
        <v>1988</v>
      </c>
      <c r="T516" s="8">
        <v>1988</v>
      </c>
      <c r="U516" s="8">
        <f t="shared" si="65"/>
        <v>34</v>
      </c>
      <c r="V516" s="7">
        <v>32325</v>
      </c>
      <c r="W516" t="s">
        <v>69</v>
      </c>
      <c r="X516" s="2">
        <v>1.6519999999999999</v>
      </c>
      <c r="Y516" s="6">
        <f t="shared" si="70"/>
        <v>4.409919649769093E-2</v>
      </c>
      <c r="AA516" t="s">
        <v>68</v>
      </c>
      <c r="AB516">
        <v>17337</v>
      </c>
      <c r="AC516">
        <v>15582221</v>
      </c>
      <c r="AD516" t="s">
        <v>4</v>
      </c>
      <c r="AE516">
        <v>36</v>
      </c>
      <c r="AF516">
        <v>7</v>
      </c>
      <c r="AH516" t="s">
        <v>4172</v>
      </c>
      <c r="AL516">
        <v>51</v>
      </c>
      <c r="AM516" s="5">
        <f t="shared" si="66"/>
        <v>1.5</v>
      </c>
      <c r="AN516" s="4">
        <f t="shared" si="71"/>
        <v>2.2718667171525938E-3</v>
      </c>
      <c r="AO516" s="3"/>
      <c r="AP516">
        <v>0</v>
      </c>
      <c r="AR516" t="s">
        <v>0</v>
      </c>
      <c r="AS516" t="s">
        <v>4171</v>
      </c>
      <c r="AT516" s="2" t="s">
        <v>19</v>
      </c>
      <c r="AU516" s="1">
        <f t="shared" si="67"/>
        <v>3.1550997563529428</v>
      </c>
      <c r="AV516" s="1">
        <f t="shared" si="68"/>
        <v>2.3185531607421761</v>
      </c>
      <c r="AW516" s="1">
        <f t="shared" si="69"/>
        <v>1.4820065651314094</v>
      </c>
    </row>
    <row r="517" spans="1:49" x14ac:dyDescent="0.2">
      <c r="A517">
        <v>515</v>
      </c>
      <c r="B517" t="s">
        <v>4170</v>
      </c>
      <c r="C517" t="s">
        <v>4169</v>
      </c>
      <c r="F517" t="s">
        <v>4168</v>
      </c>
      <c r="G517" t="s">
        <v>15</v>
      </c>
      <c r="H517" t="s">
        <v>14</v>
      </c>
      <c r="I517" t="s">
        <v>4167</v>
      </c>
      <c r="J517">
        <v>60101699</v>
      </c>
      <c r="K517" t="s">
        <v>4166</v>
      </c>
      <c r="L517" t="s">
        <v>212</v>
      </c>
      <c r="M517" t="s">
        <v>211</v>
      </c>
      <c r="N517">
        <v>1</v>
      </c>
      <c r="O517" t="s">
        <v>4165</v>
      </c>
      <c r="P517">
        <v>36893899600</v>
      </c>
      <c r="Q517">
        <v>60101699</v>
      </c>
      <c r="R517" s="7">
        <v>32143</v>
      </c>
      <c r="S517" s="8">
        <f t="shared" si="64"/>
        <v>1988</v>
      </c>
      <c r="T517" s="8">
        <v>1988</v>
      </c>
      <c r="U517" s="8">
        <f t="shared" si="65"/>
        <v>34</v>
      </c>
      <c r="V517" s="7">
        <v>32325</v>
      </c>
      <c r="W517" t="s">
        <v>69</v>
      </c>
      <c r="X517" s="2">
        <v>1.6519999999999999</v>
      </c>
      <c r="Y517" s="6">
        <f t="shared" si="70"/>
        <v>4.409919649769093E-2</v>
      </c>
      <c r="AA517" t="s">
        <v>68</v>
      </c>
      <c r="AB517">
        <v>17337</v>
      </c>
      <c r="AC517">
        <v>15582221</v>
      </c>
      <c r="AD517" t="s">
        <v>4</v>
      </c>
      <c r="AE517">
        <v>36</v>
      </c>
      <c r="AF517">
        <v>7</v>
      </c>
      <c r="AH517" t="s">
        <v>4164</v>
      </c>
      <c r="AI517" t="s">
        <v>4163</v>
      </c>
      <c r="AK517" t="s">
        <v>4162</v>
      </c>
      <c r="AL517">
        <v>0</v>
      </c>
      <c r="AM517" s="5">
        <f t="shared" si="66"/>
        <v>0</v>
      </c>
      <c r="AN517" s="4">
        <f t="shared" si="71"/>
        <v>0</v>
      </c>
      <c r="AO517" s="3"/>
      <c r="AP517">
        <v>0</v>
      </c>
      <c r="AR517" t="s">
        <v>0</v>
      </c>
      <c r="AT517" s="2" t="s">
        <v>19</v>
      </c>
      <c r="AU517" s="1">
        <f t="shared" si="67"/>
        <v>3.0869437548383649</v>
      </c>
      <c r="AV517" s="1">
        <f t="shared" si="68"/>
        <v>2.2049598248845466</v>
      </c>
      <c r="AW517" s="1">
        <f t="shared" si="69"/>
        <v>1.3229758949307278</v>
      </c>
    </row>
    <row r="518" spans="1:49" x14ac:dyDescent="0.2">
      <c r="A518">
        <v>516</v>
      </c>
      <c r="B518" t="s">
        <v>4161</v>
      </c>
      <c r="C518" t="s">
        <v>4160</v>
      </c>
      <c r="F518" t="s">
        <v>4159</v>
      </c>
      <c r="G518" t="s">
        <v>15</v>
      </c>
      <c r="H518" t="s">
        <v>14</v>
      </c>
      <c r="I518" t="s">
        <v>4158</v>
      </c>
      <c r="J518" t="s">
        <v>4157</v>
      </c>
      <c r="K518" t="s">
        <v>4156</v>
      </c>
      <c r="L518" t="s">
        <v>4155</v>
      </c>
      <c r="M518" t="s">
        <v>4154</v>
      </c>
      <c r="N518">
        <v>7</v>
      </c>
      <c r="O518" t="s">
        <v>4153</v>
      </c>
      <c r="P518" t="s">
        <v>4152</v>
      </c>
      <c r="Q518" t="s">
        <v>4151</v>
      </c>
      <c r="R518" s="7">
        <v>32143</v>
      </c>
      <c r="S518" s="8">
        <f t="shared" si="64"/>
        <v>1988</v>
      </c>
      <c r="T518" s="8">
        <v>1988</v>
      </c>
      <c r="U518" s="8">
        <f t="shared" si="65"/>
        <v>34</v>
      </c>
      <c r="V518" s="7">
        <v>32325</v>
      </c>
      <c r="W518" t="s">
        <v>69</v>
      </c>
      <c r="X518" s="2">
        <v>1.6519999999999999</v>
      </c>
      <c r="Y518" s="6">
        <f t="shared" si="70"/>
        <v>4.409919649769093E-2</v>
      </c>
      <c r="AA518" t="s">
        <v>68</v>
      </c>
      <c r="AB518">
        <v>17337</v>
      </c>
      <c r="AC518">
        <v>15582221</v>
      </c>
      <c r="AD518" t="s">
        <v>4</v>
      </c>
      <c r="AE518">
        <v>36</v>
      </c>
      <c r="AF518">
        <v>7</v>
      </c>
      <c r="AH518" t="s">
        <v>4150</v>
      </c>
      <c r="AI518" t="s">
        <v>4149</v>
      </c>
      <c r="AK518" t="s">
        <v>4148</v>
      </c>
      <c r="AL518">
        <v>3</v>
      </c>
      <c r="AM518" s="5">
        <f t="shared" si="66"/>
        <v>8.8235294117647065E-2</v>
      </c>
      <c r="AN518" s="4">
        <f t="shared" si="71"/>
        <v>1.3363921865603494E-4</v>
      </c>
      <c r="AO518" s="3"/>
      <c r="AP518">
        <v>0</v>
      </c>
      <c r="AR518" t="s">
        <v>0</v>
      </c>
      <c r="AT518" s="2" t="s">
        <v>19</v>
      </c>
      <c r="AU518" s="1">
        <f t="shared" si="67"/>
        <v>3.0909529313980459</v>
      </c>
      <c r="AV518" s="1">
        <f t="shared" si="68"/>
        <v>2.2116417858173483</v>
      </c>
      <c r="AW518" s="1">
        <f t="shared" si="69"/>
        <v>1.3323306402366504</v>
      </c>
    </row>
    <row r="519" spans="1:49" x14ac:dyDescent="0.2">
      <c r="A519">
        <v>517</v>
      </c>
      <c r="B519" t="s">
        <v>4147</v>
      </c>
      <c r="C519" t="s">
        <v>4146</v>
      </c>
      <c r="F519" t="s">
        <v>4145</v>
      </c>
      <c r="G519" t="s">
        <v>15</v>
      </c>
      <c r="H519" t="s">
        <v>14</v>
      </c>
      <c r="I519" t="s">
        <v>3681</v>
      </c>
      <c r="J519">
        <v>113013627</v>
      </c>
      <c r="K519" t="s">
        <v>4144</v>
      </c>
      <c r="L519" t="s">
        <v>4143</v>
      </c>
      <c r="M519" t="s">
        <v>1725</v>
      </c>
      <c r="N519">
        <v>2</v>
      </c>
      <c r="O519" t="s">
        <v>4142</v>
      </c>
      <c r="P519" t="s">
        <v>4141</v>
      </c>
      <c r="Q519" t="s">
        <v>4140</v>
      </c>
      <c r="R519" s="7">
        <v>32143</v>
      </c>
      <c r="S519" s="8">
        <f t="shared" ref="S519:S582" si="72">YEAR(R519)</f>
        <v>1988</v>
      </c>
      <c r="T519" s="8">
        <v>1988</v>
      </c>
      <c r="U519" s="8">
        <f t="shared" ref="U519:U582" si="73">2022-T519</f>
        <v>34</v>
      </c>
      <c r="V519" s="7">
        <v>32325</v>
      </c>
      <c r="W519" t="s">
        <v>69</v>
      </c>
      <c r="X519" s="2">
        <v>1.6519999999999999</v>
      </c>
      <c r="Y519" s="6">
        <f t="shared" si="70"/>
        <v>4.409919649769093E-2</v>
      </c>
      <c r="AA519" t="s">
        <v>68</v>
      </c>
      <c r="AB519">
        <v>17337</v>
      </c>
      <c r="AC519">
        <v>15582221</v>
      </c>
      <c r="AD519" t="s">
        <v>4</v>
      </c>
      <c r="AE519">
        <v>36</v>
      </c>
      <c r="AF519">
        <v>7</v>
      </c>
      <c r="AH519" t="s">
        <v>4139</v>
      </c>
      <c r="AI519" t="s">
        <v>4138</v>
      </c>
      <c r="AK519" t="s">
        <v>4137</v>
      </c>
      <c r="AL519">
        <v>29</v>
      </c>
      <c r="AM519" s="5">
        <f t="shared" ref="AM519:AM582" si="74">AL519/U519</f>
        <v>0.8529411764705882</v>
      </c>
      <c r="AN519" s="4">
        <f t="shared" si="71"/>
        <v>1.2918457803416709E-3</v>
      </c>
      <c r="AO519" s="3"/>
      <c r="AP519">
        <v>0</v>
      </c>
      <c r="AR519" t="s">
        <v>0</v>
      </c>
      <c r="AT519" s="2" t="s">
        <v>19</v>
      </c>
      <c r="AU519" s="1">
        <f t="shared" ref="AU519:AU582" si="75">(Y519*0.7+AN519*0.3)*100</f>
        <v>3.1256991282486148</v>
      </c>
      <c r="AV519" s="1">
        <f t="shared" ref="AV519:AV582" si="76">(Y519*0.5+AN519*0.5)*100</f>
        <v>2.2695521139016304</v>
      </c>
      <c r="AW519" s="1">
        <f t="shared" ref="AW519:AW582" si="77">(Y519*0.3+AN519*0.7)*100</f>
        <v>1.4134050995546448</v>
      </c>
    </row>
    <row r="520" spans="1:49" x14ac:dyDescent="0.2">
      <c r="A520">
        <v>518</v>
      </c>
      <c r="B520" t="s">
        <v>4136</v>
      </c>
      <c r="C520" t="s">
        <v>4135</v>
      </c>
      <c r="F520" t="s">
        <v>4134</v>
      </c>
      <c r="G520" t="s">
        <v>15</v>
      </c>
      <c r="H520" t="s">
        <v>14</v>
      </c>
      <c r="I520" t="s">
        <v>4133</v>
      </c>
      <c r="J520">
        <v>60102562</v>
      </c>
      <c r="K520" t="s">
        <v>388</v>
      </c>
      <c r="L520" t="s">
        <v>387</v>
      </c>
      <c r="M520" t="s">
        <v>31</v>
      </c>
      <c r="N520">
        <v>3</v>
      </c>
      <c r="O520" t="s">
        <v>4132</v>
      </c>
      <c r="P520" t="s">
        <v>4131</v>
      </c>
      <c r="Q520" t="s">
        <v>4130</v>
      </c>
      <c r="R520" s="7">
        <v>32143</v>
      </c>
      <c r="S520" s="8">
        <f t="shared" si="72"/>
        <v>1988</v>
      </c>
      <c r="T520" s="8">
        <v>1988</v>
      </c>
      <c r="U520" s="8">
        <f t="shared" si="73"/>
        <v>34</v>
      </c>
      <c r="V520" s="7">
        <v>32325</v>
      </c>
      <c r="W520" t="s">
        <v>69</v>
      </c>
      <c r="X520" s="2">
        <v>1.6519999999999999</v>
      </c>
      <c r="Y520" s="6">
        <f t="shared" si="70"/>
        <v>4.409919649769093E-2</v>
      </c>
      <c r="AA520" t="s">
        <v>68</v>
      </c>
      <c r="AB520">
        <v>17337</v>
      </c>
      <c r="AC520">
        <v>15582221</v>
      </c>
      <c r="AD520" t="s">
        <v>4</v>
      </c>
      <c r="AE520">
        <v>36</v>
      </c>
      <c r="AF520">
        <v>7</v>
      </c>
      <c r="AH520" t="s">
        <v>4129</v>
      </c>
      <c r="AI520" t="s">
        <v>4128</v>
      </c>
      <c r="AK520" t="s">
        <v>4127</v>
      </c>
      <c r="AL520">
        <v>95</v>
      </c>
      <c r="AM520" s="5">
        <f t="shared" si="74"/>
        <v>2.7941176470588234</v>
      </c>
      <c r="AN520" s="4">
        <f t="shared" si="71"/>
        <v>4.2319085907744393E-3</v>
      </c>
      <c r="AO520" s="3"/>
      <c r="AP520">
        <v>0</v>
      </c>
      <c r="AR520" t="s">
        <v>0</v>
      </c>
      <c r="AT520" s="2" t="s">
        <v>19</v>
      </c>
      <c r="AU520" s="1">
        <f t="shared" si="75"/>
        <v>3.2139010125615988</v>
      </c>
      <c r="AV520" s="1">
        <f t="shared" si="76"/>
        <v>2.4165552544232685</v>
      </c>
      <c r="AW520" s="1">
        <f t="shared" si="77"/>
        <v>1.6192094962849384</v>
      </c>
    </row>
    <row r="521" spans="1:49" x14ac:dyDescent="0.2">
      <c r="A521">
        <v>519</v>
      </c>
      <c r="B521" t="s">
        <v>4126</v>
      </c>
      <c r="C521" t="s">
        <v>4125</v>
      </c>
      <c r="D521">
        <v>16236188900907</v>
      </c>
      <c r="F521" t="s">
        <v>4124</v>
      </c>
      <c r="G521" t="s">
        <v>15</v>
      </c>
      <c r="H521" t="s">
        <v>14</v>
      </c>
      <c r="I521" t="s">
        <v>4123</v>
      </c>
      <c r="J521" t="s">
        <v>4118</v>
      </c>
      <c r="K521" t="s">
        <v>4122</v>
      </c>
      <c r="L521" t="s">
        <v>4121</v>
      </c>
      <c r="M521" t="s">
        <v>9</v>
      </c>
      <c r="N521">
        <v>2</v>
      </c>
      <c r="O521" t="s">
        <v>4120</v>
      </c>
      <c r="P521" t="s">
        <v>4119</v>
      </c>
      <c r="Q521" t="s">
        <v>4118</v>
      </c>
      <c r="R521" s="7">
        <v>32143</v>
      </c>
      <c r="S521" s="8">
        <f t="shared" si="72"/>
        <v>1988</v>
      </c>
      <c r="T521" s="8">
        <v>1988</v>
      </c>
      <c r="U521" s="8">
        <f t="shared" si="73"/>
        <v>34</v>
      </c>
      <c r="V521" s="7">
        <v>32325</v>
      </c>
      <c r="W521" t="s">
        <v>4117</v>
      </c>
      <c r="X521" s="2">
        <v>1.56</v>
      </c>
      <c r="Y521" s="6">
        <f t="shared" si="70"/>
        <v>4.1643309041403065E-2</v>
      </c>
      <c r="AA521">
        <v>162361</v>
      </c>
      <c r="AB521">
        <v>16313</v>
      </c>
      <c r="AD521" t="s">
        <v>4</v>
      </c>
      <c r="AE521">
        <v>67</v>
      </c>
      <c r="AF521">
        <v>7</v>
      </c>
      <c r="AH521" t="s">
        <v>4116</v>
      </c>
      <c r="AI521" t="s">
        <v>4115</v>
      </c>
      <c r="AJ521" t="s">
        <v>4114</v>
      </c>
      <c r="AK521" t="s">
        <v>4113</v>
      </c>
      <c r="AL521">
        <v>6</v>
      </c>
      <c r="AM521" s="5">
        <f t="shared" si="74"/>
        <v>0.17647058823529413</v>
      </c>
      <c r="AN521" s="4">
        <f t="shared" si="71"/>
        <v>2.6727843731206988E-4</v>
      </c>
      <c r="AO521" s="3"/>
      <c r="AP521">
        <v>0</v>
      </c>
      <c r="AR521" t="s">
        <v>0</v>
      </c>
      <c r="AT521" s="2">
        <v>6.609</v>
      </c>
      <c r="AU521" s="1">
        <f t="shared" si="75"/>
        <v>2.9230499860175763</v>
      </c>
      <c r="AV521" s="1">
        <f t="shared" si="76"/>
        <v>2.095529373935757</v>
      </c>
      <c r="AW521" s="1">
        <f t="shared" si="77"/>
        <v>1.2680087618539366</v>
      </c>
    </row>
    <row r="522" spans="1:49" x14ac:dyDescent="0.2">
      <c r="A522">
        <v>520</v>
      </c>
      <c r="B522" t="s">
        <v>4112</v>
      </c>
      <c r="C522" t="s">
        <v>4111</v>
      </c>
      <c r="F522" t="s">
        <v>4110</v>
      </c>
      <c r="G522" t="s">
        <v>15</v>
      </c>
      <c r="H522" t="s">
        <v>14</v>
      </c>
      <c r="I522" t="s">
        <v>4109</v>
      </c>
      <c r="J522" t="s">
        <v>4108</v>
      </c>
      <c r="K522" t="s">
        <v>4107</v>
      </c>
      <c r="L522" t="s">
        <v>4106</v>
      </c>
      <c r="M522" t="s">
        <v>9</v>
      </c>
      <c r="N522">
        <v>2</v>
      </c>
      <c r="O522" t="s">
        <v>4105</v>
      </c>
      <c r="P522" t="s">
        <v>4104</v>
      </c>
      <c r="Q522" t="s">
        <v>4103</v>
      </c>
      <c r="R522" s="7">
        <v>32143</v>
      </c>
      <c r="S522" s="8">
        <f t="shared" si="72"/>
        <v>1988</v>
      </c>
      <c r="T522" s="8">
        <v>1988</v>
      </c>
      <c r="U522" s="8">
        <f t="shared" si="73"/>
        <v>34</v>
      </c>
      <c r="V522" s="7">
        <v>32325</v>
      </c>
      <c r="W522" t="s">
        <v>69</v>
      </c>
      <c r="X522" s="2">
        <v>1.6519999999999999</v>
      </c>
      <c r="Y522" s="6">
        <f t="shared" si="70"/>
        <v>4.409919649769093E-2</v>
      </c>
      <c r="AA522" t="s">
        <v>68</v>
      </c>
      <c r="AB522">
        <v>17337</v>
      </c>
      <c r="AC522">
        <v>15582221</v>
      </c>
      <c r="AD522" t="s">
        <v>4</v>
      </c>
      <c r="AE522">
        <v>36</v>
      </c>
      <c r="AF522">
        <v>7</v>
      </c>
      <c r="AH522" t="s">
        <v>4102</v>
      </c>
      <c r="AI522" t="s">
        <v>4101</v>
      </c>
      <c r="AK522" t="s">
        <v>4100</v>
      </c>
      <c r="AL522">
        <v>255</v>
      </c>
      <c r="AM522" s="5">
        <f t="shared" si="74"/>
        <v>7.5</v>
      </c>
      <c r="AN522" s="4">
        <f t="shared" si="71"/>
        <v>1.1359333585762969E-2</v>
      </c>
      <c r="AO522" s="3"/>
      <c r="AP522">
        <v>0</v>
      </c>
      <c r="AQ522" t="s">
        <v>1991</v>
      </c>
      <c r="AR522" t="s">
        <v>4099</v>
      </c>
      <c r="AS522" t="s">
        <v>1989</v>
      </c>
      <c r="AT522" s="2" t="s">
        <v>19</v>
      </c>
      <c r="AU522" s="1">
        <f t="shared" si="75"/>
        <v>3.427723762411254</v>
      </c>
      <c r="AV522" s="1">
        <f t="shared" si="76"/>
        <v>2.7729265041726952</v>
      </c>
      <c r="AW522" s="1">
        <f t="shared" si="77"/>
        <v>2.1181292459341354</v>
      </c>
    </row>
    <row r="523" spans="1:49" x14ac:dyDescent="0.2">
      <c r="A523">
        <v>521</v>
      </c>
      <c r="B523" t="s">
        <v>4098</v>
      </c>
      <c r="C523" t="s">
        <v>4097</v>
      </c>
      <c r="F523" t="s">
        <v>4096</v>
      </c>
      <c r="G523" t="s">
        <v>15</v>
      </c>
      <c r="H523" t="s">
        <v>14</v>
      </c>
      <c r="I523" t="s">
        <v>4095</v>
      </c>
      <c r="J523">
        <v>60014439</v>
      </c>
      <c r="K523" t="s">
        <v>4094</v>
      </c>
      <c r="L523" t="s">
        <v>4093</v>
      </c>
      <c r="M523" t="s">
        <v>31</v>
      </c>
      <c r="N523">
        <v>1</v>
      </c>
      <c r="O523" t="s">
        <v>4092</v>
      </c>
      <c r="P523">
        <v>7202841195</v>
      </c>
      <c r="Q523">
        <v>60014439</v>
      </c>
      <c r="R523" s="7">
        <v>32143</v>
      </c>
      <c r="S523" s="8">
        <f t="shared" si="72"/>
        <v>1988</v>
      </c>
      <c r="T523" s="8">
        <v>1988</v>
      </c>
      <c r="U523" s="8">
        <f t="shared" si="73"/>
        <v>34</v>
      </c>
      <c r="V523" s="7">
        <v>32325</v>
      </c>
      <c r="W523" t="s">
        <v>1983</v>
      </c>
      <c r="X523" s="2">
        <v>2.383</v>
      </c>
      <c r="Y523" s="6">
        <f t="shared" si="70"/>
        <v>6.3612824003630442E-2</v>
      </c>
      <c r="AA523">
        <v>189219</v>
      </c>
      <c r="AB523">
        <v>17915</v>
      </c>
      <c r="AC523">
        <v>15582256</v>
      </c>
      <c r="AD523" t="s">
        <v>4</v>
      </c>
      <c r="AE523">
        <v>76</v>
      </c>
      <c r="AF523">
        <v>7</v>
      </c>
      <c r="AH523" t="s">
        <v>4091</v>
      </c>
      <c r="AI523" t="s">
        <v>4090</v>
      </c>
      <c r="AK523" t="s">
        <v>4089</v>
      </c>
      <c r="AL523">
        <v>155</v>
      </c>
      <c r="AM523" s="5">
        <f t="shared" si="74"/>
        <v>4.5588235294117645</v>
      </c>
      <c r="AN523" s="4">
        <f t="shared" si="71"/>
        <v>6.9046929638951378E-3</v>
      </c>
      <c r="AO523" s="3"/>
      <c r="AP523">
        <v>0</v>
      </c>
      <c r="AQ523" t="s">
        <v>4088</v>
      </c>
      <c r="AR523" t="s">
        <v>0</v>
      </c>
      <c r="AS523" t="s">
        <v>4087</v>
      </c>
      <c r="AT523" s="2">
        <v>10.961</v>
      </c>
      <c r="AU523" s="1">
        <f t="shared" si="75"/>
        <v>4.6600384691709849</v>
      </c>
      <c r="AV523" s="1">
        <f t="shared" si="76"/>
        <v>3.5258758483762787</v>
      </c>
      <c r="AW523" s="1">
        <f t="shared" si="77"/>
        <v>2.3917132275815729</v>
      </c>
    </row>
    <row r="524" spans="1:49" x14ac:dyDescent="0.2">
      <c r="A524">
        <v>522</v>
      </c>
      <c r="B524" t="s">
        <v>4086</v>
      </c>
      <c r="C524" t="s">
        <v>4085</v>
      </c>
      <c r="F524" t="s">
        <v>4084</v>
      </c>
      <c r="G524" t="s">
        <v>15</v>
      </c>
      <c r="H524" t="s">
        <v>14</v>
      </c>
      <c r="I524" t="s">
        <v>4083</v>
      </c>
      <c r="J524">
        <v>60022109</v>
      </c>
      <c r="K524" t="s">
        <v>2096</v>
      </c>
      <c r="L524" t="s">
        <v>2095</v>
      </c>
      <c r="M524" t="s">
        <v>1011</v>
      </c>
      <c r="N524">
        <v>1</v>
      </c>
      <c r="O524" t="s">
        <v>4082</v>
      </c>
      <c r="P524">
        <v>7006827241</v>
      </c>
      <c r="Q524">
        <v>60022109</v>
      </c>
      <c r="R524" s="7">
        <v>32143</v>
      </c>
      <c r="S524" s="8">
        <f t="shared" si="72"/>
        <v>1988</v>
      </c>
      <c r="T524" s="8">
        <v>1988</v>
      </c>
      <c r="U524" s="8">
        <f t="shared" si="73"/>
        <v>34</v>
      </c>
      <c r="V524" s="7">
        <v>32325</v>
      </c>
      <c r="W524" t="s">
        <v>69</v>
      </c>
      <c r="X524" s="2">
        <v>1.6519999999999999</v>
      </c>
      <c r="Y524" s="6">
        <f t="shared" si="70"/>
        <v>4.409919649769093E-2</v>
      </c>
      <c r="AA524" t="s">
        <v>68</v>
      </c>
      <c r="AB524">
        <v>17337</v>
      </c>
      <c r="AC524">
        <v>15582221</v>
      </c>
      <c r="AD524" t="s">
        <v>4</v>
      </c>
      <c r="AE524">
        <v>36</v>
      </c>
      <c r="AF524">
        <v>7</v>
      </c>
      <c r="AH524" t="s">
        <v>4081</v>
      </c>
      <c r="AI524" t="s">
        <v>4080</v>
      </c>
      <c r="AK524" t="s">
        <v>4079</v>
      </c>
      <c r="AL524">
        <v>46</v>
      </c>
      <c r="AM524" s="5">
        <f t="shared" si="74"/>
        <v>1.3529411764705883</v>
      </c>
      <c r="AN524" s="4">
        <f t="shared" si="71"/>
        <v>2.0491346860592023E-3</v>
      </c>
      <c r="AO524" s="3"/>
      <c r="AP524">
        <v>0</v>
      </c>
      <c r="AR524" t="s">
        <v>0</v>
      </c>
      <c r="AT524" s="2" t="s">
        <v>19</v>
      </c>
      <c r="AU524" s="1">
        <f t="shared" si="75"/>
        <v>3.1484177954201416</v>
      </c>
      <c r="AV524" s="1">
        <f t="shared" si="76"/>
        <v>2.3074165591875069</v>
      </c>
      <c r="AW524" s="1">
        <f t="shared" si="77"/>
        <v>1.466415322954872</v>
      </c>
    </row>
    <row r="525" spans="1:49" x14ac:dyDescent="0.2">
      <c r="A525">
        <v>523</v>
      </c>
      <c r="B525" t="s">
        <v>4078</v>
      </c>
      <c r="C525" t="s">
        <v>4077</v>
      </c>
      <c r="F525" t="s">
        <v>4076</v>
      </c>
      <c r="G525" t="s">
        <v>15</v>
      </c>
      <c r="H525" t="s">
        <v>14</v>
      </c>
      <c r="R525" s="7">
        <v>32143</v>
      </c>
      <c r="S525" s="8">
        <f t="shared" si="72"/>
        <v>1988</v>
      </c>
      <c r="T525" s="8">
        <v>1988</v>
      </c>
      <c r="U525" s="8">
        <f t="shared" si="73"/>
        <v>34</v>
      </c>
      <c r="V525" s="7">
        <v>32295</v>
      </c>
      <c r="W525" t="s">
        <v>2441</v>
      </c>
      <c r="X525" s="2">
        <v>0.78200000000000003</v>
      </c>
      <c r="Y525" s="6">
        <f t="shared" si="70"/>
        <v>2.0875043378446919E-2</v>
      </c>
      <c r="AA525">
        <v>189316</v>
      </c>
      <c r="AB525">
        <v>19901</v>
      </c>
      <c r="AC525">
        <v>15579611</v>
      </c>
      <c r="AD525" t="s">
        <v>4</v>
      </c>
      <c r="AE525">
        <v>34</v>
      </c>
      <c r="AF525">
        <v>2</v>
      </c>
      <c r="AH525" t="s">
        <v>4075</v>
      </c>
      <c r="AL525">
        <v>3</v>
      </c>
      <c r="AM525" s="5">
        <f t="shared" si="74"/>
        <v>8.8235294117647065E-2</v>
      </c>
      <c r="AN525" s="4">
        <f t="shared" si="71"/>
        <v>1.3363921865603494E-4</v>
      </c>
      <c r="AO525" s="3"/>
      <c r="AP525">
        <v>0</v>
      </c>
      <c r="AR525" t="s">
        <v>0</v>
      </c>
      <c r="AT525" s="2">
        <v>3.863</v>
      </c>
      <c r="AU525" s="1">
        <f t="shared" si="75"/>
        <v>1.4652622130509652</v>
      </c>
      <c r="AV525" s="1">
        <f t="shared" si="76"/>
        <v>1.0504341298551478</v>
      </c>
      <c r="AW525" s="1">
        <f t="shared" si="77"/>
        <v>0.63560604665932996</v>
      </c>
    </row>
    <row r="526" spans="1:49" x14ac:dyDescent="0.2">
      <c r="A526">
        <v>524</v>
      </c>
      <c r="B526" t="s">
        <v>4074</v>
      </c>
      <c r="C526" t="s">
        <v>4073</v>
      </c>
      <c r="F526" t="s">
        <v>4072</v>
      </c>
      <c r="G526" t="s">
        <v>15</v>
      </c>
      <c r="H526" t="s">
        <v>14</v>
      </c>
      <c r="I526" t="s">
        <v>4071</v>
      </c>
      <c r="J526">
        <v>60019269</v>
      </c>
      <c r="K526" t="s">
        <v>4070</v>
      </c>
      <c r="L526" t="s">
        <v>4069</v>
      </c>
      <c r="M526" t="s">
        <v>127</v>
      </c>
      <c r="N526">
        <v>2</v>
      </c>
      <c r="O526" t="s">
        <v>4068</v>
      </c>
      <c r="P526" t="s">
        <v>4067</v>
      </c>
      <c r="Q526" t="s">
        <v>4066</v>
      </c>
      <c r="R526" s="7">
        <v>32143</v>
      </c>
      <c r="S526" s="8">
        <f t="shared" si="72"/>
        <v>1988</v>
      </c>
      <c r="T526" s="8">
        <v>1988</v>
      </c>
      <c r="U526" s="8">
        <f t="shared" si="73"/>
        <v>34</v>
      </c>
      <c r="V526" s="7">
        <v>32295</v>
      </c>
      <c r="W526" t="s">
        <v>2441</v>
      </c>
      <c r="X526" s="2">
        <v>0.78200000000000003</v>
      </c>
      <c r="Y526" s="6">
        <f t="shared" si="70"/>
        <v>2.0875043378446919E-2</v>
      </c>
      <c r="AA526">
        <v>189316</v>
      </c>
      <c r="AB526">
        <v>19901</v>
      </c>
      <c r="AC526">
        <v>15579611</v>
      </c>
      <c r="AD526" t="s">
        <v>4</v>
      </c>
      <c r="AE526">
        <v>34</v>
      </c>
      <c r="AF526">
        <v>2</v>
      </c>
      <c r="AH526" t="s">
        <v>4065</v>
      </c>
      <c r="AL526">
        <v>1</v>
      </c>
      <c r="AM526" s="5">
        <f t="shared" si="74"/>
        <v>2.9411764705882353E-2</v>
      </c>
      <c r="AN526" s="4">
        <f t="shared" si="71"/>
        <v>4.4546406218678307E-5</v>
      </c>
      <c r="AO526" s="3"/>
      <c r="AP526">
        <v>0</v>
      </c>
      <c r="AR526" t="s">
        <v>0</v>
      </c>
      <c r="AT526" s="2">
        <v>3.863</v>
      </c>
      <c r="AU526" s="1">
        <f t="shared" si="75"/>
        <v>1.4625894286778445</v>
      </c>
      <c r="AV526" s="1">
        <f t="shared" si="76"/>
        <v>1.0459794892332799</v>
      </c>
      <c r="AW526" s="1">
        <f t="shared" si="77"/>
        <v>0.62936954978871507</v>
      </c>
    </row>
    <row r="527" spans="1:49" x14ac:dyDescent="0.2">
      <c r="A527">
        <v>525</v>
      </c>
      <c r="B527" t="s">
        <v>4064</v>
      </c>
      <c r="C527" t="s">
        <v>4063</v>
      </c>
      <c r="F527" t="s">
        <v>4062</v>
      </c>
      <c r="G527" t="s">
        <v>15</v>
      </c>
      <c r="H527" t="s">
        <v>14</v>
      </c>
      <c r="I527" t="s">
        <v>4061</v>
      </c>
      <c r="N527">
        <v>1</v>
      </c>
      <c r="O527" t="s">
        <v>4060</v>
      </c>
      <c r="P527">
        <v>57209758123</v>
      </c>
      <c r="R527" s="7">
        <v>32143</v>
      </c>
      <c r="S527" s="8">
        <f t="shared" si="72"/>
        <v>1988</v>
      </c>
      <c r="T527" s="8">
        <v>1988</v>
      </c>
      <c r="U527" s="8">
        <f t="shared" si="73"/>
        <v>34</v>
      </c>
      <c r="V527" s="7">
        <v>32295</v>
      </c>
      <c r="W527" t="s">
        <v>2441</v>
      </c>
      <c r="X527" s="2">
        <v>0.78200000000000003</v>
      </c>
      <c r="Y527" s="6">
        <f t="shared" si="70"/>
        <v>2.0875043378446919E-2</v>
      </c>
      <c r="AA527">
        <v>189316</v>
      </c>
      <c r="AB527">
        <v>19901</v>
      </c>
      <c r="AC527">
        <v>15579611</v>
      </c>
      <c r="AD527" t="s">
        <v>4</v>
      </c>
      <c r="AE527">
        <v>34</v>
      </c>
      <c r="AF527">
        <v>2</v>
      </c>
      <c r="AH527" t="s">
        <v>4059</v>
      </c>
      <c r="AI527" t="s">
        <v>4058</v>
      </c>
      <c r="AK527" t="s">
        <v>4057</v>
      </c>
      <c r="AL527">
        <v>7</v>
      </c>
      <c r="AM527" s="5">
        <f t="shared" si="74"/>
        <v>0.20588235294117646</v>
      </c>
      <c r="AN527" s="4">
        <f t="shared" si="71"/>
        <v>3.1182484353074817E-4</v>
      </c>
      <c r="AO527" s="3"/>
      <c r="AP527">
        <v>0</v>
      </c>
      <c r="AR527" t="s">
        <v>0</v>
      </c>
      <c r="AT527" s="2">
        <v>3.863</v>
      </c>
      <c r="AU527" s="1">
        <f t="shared" si="75"/>
        <v>1.4706077817972067</v>
      </c>
      <c r="AV527" s="1">
        <f t="shared" si="76"/>
        <v>1.0593434110988833</v>
      </c>
      <c r="AW527" s="1">
        <f t="shared" si="77"/>
        <v>0.64807904040055986</v>
      </c>
    </row>
    <row r="528" spans="1:49" x14ac:dyDescent="0.2">
      <c r="A528">
        <v>526</v>
      </c>
      <c r="B528" t="s">
        <v>4056</v>
      </c>
      <c r="C528" t="s">
        <v>4055</v>
      </c>
      <c r="F528" t="s">
        <v>4054</v>
      </c>
      <c r="G528" t="s">
        <v>15</v>
      </c>
      <c r="H528" t="s">
        <v>14</v>
      </c>
      <c r="I528" t="s">
        <v>3375</v>
      </c>
      <c r="J528">
        <v>100540717</v>
      </c>
      <c r="K528" t="s">
        <v>4053</v>
      </c>
      <c r="M528" t="s">
        <v>481</v>
      </c>
      <c r="N528">
        <v>1</v>
      </c>
      <c r="O528" t="s">
        <v>3374</v>
      </c>
      <c r="P528">
        <v>57198890967</v>
      </c>
      <c r="Q528">
        <v>100540717</v>
      </c>
      <c r="R528" s="7">
        <v>32143</v>
      </c>
      <c r="S528" s="8">
        <f t="shared" si="72"/>
        <v>1988</v>
      </c>
      <c r="T528" s="8">
        <v>1988</v>
      </c>
      <c r="U528" s="8">
        <f t="shared" si="73"/>
        <v>34</v>
      </c>
      <c r="V528" s="7">
        <v>32295</v>
      </c>
      <c r="W528" t="s">
        <v>348</v>
      </c>
      <c r="X528" s="2">
        <v>0.251</v>
      </c>
      <c r="Y528" s="6">
        <f t="shared" si="70"/>
        <v>6.7003016470462617E-3</v>
      </c>
      <c r="AA528">
        <v>207217</v>
      </c>
      <c r="AB528">
        <v>26145</v>
      </c>
      <c r="AC528">
        <v>13623060</v>
      </c>
      <c r="AD528" t="s">
        <v>4</v>
      </c>
      <c r="AE528">
        <v>64</v>
      </c>
      <c r="AF528">
        <v>6</v>
      </c>
      <c r="AH528" t="s">
        <v>4052</v>
      </c>
      <c r="AI528" t="s">
        <v>4051</v>
      </c>
      <c r="AK528" t="s">
        <v>4050</v>
      </c>
      <c r="AL528">
        <v>1</v>
      </c>
      <c r="AM528" s="5">
        <f t="shared" si="74"/>
        <v>2.9411764705882353E-2</v>
      </c>
      <c r="AN528" s="4">
        <f t="shared" si="71"/>
        <v>4.4546406218678307E-5</v>
      </c>
      <c r="AO528" s="3"/>
      <c r="AP528">
        <v>0</v>
      </c>
      <c r="AR528" t="s">
        <v>0</v>
      </c>
      <c r="AT528" s="2">
        <v>1.3360000000000001</v>
      </c>
      <c r="AU528" s="1">
        <f t="shared" si="75"/>
        <v>0.4703575074797986</v>
      </c>
      <c r="AV528" s="1">
        <f t="shared" si="76"/>
        <v>0.33724240266324701</v>
      </c>
      <c r="AW528" s="1">
        <f t="shared" si="77"/>
        <v>0.20412729784669531</v>
      </c>
    </row>
    <row r="529" spans="1:49" x14ac:dyDescent="0.2">
      <c r="A529">
        <v>527</v>
      </c>
      <c r="B529" t="s">
        <v>4049</v>
      </c>
      <c r="C529" t="s">
        <v>4048</v>
      </c>
      <c r="D529" t="s">
        <v>4047</v>
      </c>
      <c r="F529" t="s">
        <v>4046</v>
      </c>
      <c r="G529" t="s">
        <v>15</v>
      </c>
      <c r="H529" t="s">
        <v>14</v>
      </c>
      <c r="I529" t="s">
        <v>4045</v>
      </c>
      <c r="J529">
        <v>60017161</v>
      </c>
      <c r="K529" t="s">
        <v>3171</v>
      </c>
      <c r="L529" t="s">
        <v>2928</v>
      </c>
      <c r="M529" t="s">
        <v>2927</v>
      </c>
      <c r="N529">
        <v>2</v>
      </c>
      <c r="O529" t="s">
        <v>4044</v>
      </c>
      <c r="P529" t="s">
        <v>4043</v>
      </c>
      <c r="Q529" t="s">
        <v>4042</v>
      </c>
      <c r="R529" s="7">
        <v>32143</v>
      </c>
      <c r="S529" s="8">
        <f t="shared" si="72"/>
        <v>1988</v>
      </c>
      <c r="T529" s="8">
        <v>1988</v>
      </c>
      <c r="U529" s="8">
        <f t="shared" si="73"/>
        <v>34</v>
      </c>
      <c r="V529" s="7">
        <v>32295</v>
      </c>
      <c r="W529" t="s">
        <v>4041</v>
      </c>
      <c r="X529" s="2">
        <v>0.90700000000000003</v>
      </c>
      <c r="Y529" s="6">
        <f t="shared" si="70"/>
        <v>2.4211846987533703E-2</v>
      </c>
      <c r="AA529">
        <v>1651684</v>
      </c>
      <c r="AB529">
        <v>25548</v>
      </c>
      <c r="AD529" t="s">
        <v>4</v>
      </c>
      <c r="AE529">
        <v>14</v>
      </c>
      <c r="AF529">
        <v>4</v>
      </c>
      <c r="AH529" t="s">
        <v>4040</v>
      </c>
      <c r="AI529" t="s">
        <v>4039</v>
      </c>
      <c r="AJ529" t="s">
        <v>4038</v>
      </c>
      <c r="AK529" t="s">
        <v>4037</v>
      </c>
      <c r="AL529">
        <v>14</v>
      </c>
      <c r="AM529" s="5">
        <f t="shared" si="74"/>
        <v>0.41176470588235292</v>
      </c>
      <c r="AN529" s="4">
        <f t="shared" si="71"/>
        <v>6.2364968706149634E-4</v>
      </c>
      <c r="AO529" s="3"/>
      <c r="AP529">
        <v>0</v>
      </c>
      <c r="AR529" t="s">
        <v>0</v>
      </c>
      <c r="AT529" s="2">
        <v>4.6619999999999999</v>
      </c>
      <c r="AU529" s="1">
        <f t="shared" si="75"/>
        <v>1.7135387797392039</v>
      </c>
      <c r="AV529" s="1">
        <f t="shared" si="76"/>
        <v>1.2417748337297598</v>
      </c>
      <c r="AW529" s="1">
        <f t="shared" si="77"/>
        <v>0.77001088772031578</v>
      </c>
    </row>
    <row r="530" spans="1:49" x14ac:dyDescent="0.2">
      <c r="A530">
        <v>528</v>
      </c>
      <c r="B530" t="s">
        <v>4036</v>
      </c>
      <c r="C530" t="s">
        <v>4035</v>
      </c>
      <c r="F530" t="s">
        <v>4034</v>
      </c>
      <c r="G530" t="s">
        <v>15</v>
      </c>
      <c r="H530" t="s">
        <v>14</v>
      </c>
      <c r="I530" t="s">
        <v>4033</v>
      </c>
      <c r="J530">
        <v>60000745</v>
      </c>
      <c r="K530" t="s">
        <v>3448</v>
      </c>
      <c r="L530" t="s">
        <v>3447</v>
      </c>
      <c r="M530" t="s">
        <v>31</v>
      </c>
      <c r="N530">
        <v>3</v>
      </c>
      <c r="O530" t="s">
        <v>4032</v>
      </c>
      <c r="P530" t="s">
        <v>4031</v>
      </c>
      <c r="Q530" t="s">
        <v>4030</v>
      </c>
      <c r="R530" s="7">
        <v>32143</v>
      </c>
      <c r="S530" s="8">
        <f t="shared" si="72"/>
        <v>1988</v>
      </c>
      <c r="T530" s="8">
        <v>1988</v>
      </c>
      <c r="U530" s="8">
        <f t="shared" si="73"/>
        <v>34</v>
      </c>
      <c r="V530" s="7" t="s">
        <v>3803</v>
      </c>
      <c r="W530" s="11" t="s">
        <v>1890</v>
      </c>
      <c r="X530" s="2">
        <v>2.383</v>
      </c>
      <c r="Y530" s="6">
        <f t="shared" si="70"/>
        <v>6.3612824003630442E-2</v>
      </c>
      <c r="AA530" t="s">
        <v>1889</v>
      </c>
      <c r="AB530">
        <v>101151</v>
      </c>
      <c r="AD530" t="s">
        <v>4</v>
      </c>
      <c r="AE530">
        <v>135</v>
      </c>
      <c r="AF530">
        <v>3</v>
      </c>
      <c r="AH530" t="s">
        <v>4029</v>
      </c>
      <c r="AI530" t="s">
        <v>4028</v>
      </c>
      <c r="AK530" t="s">
        <v>4027</v>
      </c>
      <c r="AL530">
        <v>29</v>
      </c>
      <c r="AM530" s="5">
        <f t="shared" si="74"/>
        <v>0.8529411764705882</v>
      </c>
      <c r="AN530" s="4">
        <f t="shared" si="71"/>
        <v>1.2918457803416709E-3</v>
      </c>
      <c r="AO530" s="3"/>
      <c r="AP530">
        <v>0</v>
      </c>
      <c r="AR530" t="s">
        <v>0</v>
      </c>
      <c r="AT530" s="2" t="s">
        <v>19</v>
      </c>
      <c r="AU530" s="1">
        <f t="shared" si="75"/>
        <v>4.4916530536643808</v>
      </c>
      <c r="AV530" s="1">
        <f t="shared" si="76"/>
        <v>3.2452334891986054</v>
      </c>
      <c r="AW530" s="1">
        <f t="shared" si="77"/>
        <v>1.9988139247328303</v>
      </c>
    </row>
    <row r="531" spans="1:49" x14ac:dyDescent="0.2">
      <c r="A531">
        <v>529</v>
      </c>
      <c r="B531" t="s">
        <v>4026</v>
      </c>
      <c r="C531" t="s">
        <v>4025</v>
      </c>
      <c r="F531" t="s">
        <v>4024</v>
      </c>
      <c r="G531" t="s">
        <v>15</v>
      </c>
      <c r="H531" t="s">
        <v>14</v>
      </c>
      <c r="I531" t="s">
        <v>4023</v>
      </c>
      <c r="J531">
        <v>101231771</v>
      </c>
      <c r="K531" t="s">
        <v>4022</v>
      </c>
      <c r="L531" t="s">
        <v>4021</v>
      </c>
      <c r="M531" t="s">
        <v>1011</v>
      </c>
      <c r="N531">
        <v>1</v>
      </c>
      <c r="O531" t="s">
        <v>4020</v>
      </c>
      <c r="P531">
        <v>7401560076</v>
      </c>
      <c r="Q531">
        <v>101231771</v>
      </c>
      <c r="R531" s="7">
        <v>32143</v>
      </c>
      <c r="S531" s="8">
        <f t="shared" si="72"/>
        <v>1988</v>
      </c>
      <c r="T531" s="8">
        <v>1988</v>
      </c>
      <c r="U531" s="8">
        <f t="shared" si="73"/>
        <v>34</v>
      </c>
      <c r="V531" s="7" t="s">
        <v>3803</v>
      </c>
      <c r="W531" s="11" t="s">
        <v>1890</v>
      </c>
      <c r="X531" s="2">
        <v>2.383</v>
      </c>
      <c r="Y531" s="6">
        <f t="shared" si="70"/>
        <v>6.3612824003630442E-2</v>
      </c>
      <c r="AA531" t="s">
        <v>1889</v>
      </c>
      <c r="AB531">
        <v>101151</v>
      </c>
      <c r="AD531" t="s">
        <v>4</v>
      </c>
      <c r="AE531">
        <v>135</v>
      </c>
      <c r="AF531">
        <v>3</v>
      </c>
      <c r="AH531" t="s">
        <v>4019</v>
      </c>
      <c r="AL531">
        <v>17</v>
      </c>
      <c r="AM531" s="5">
        <f t="shared" si="74"/>
        <v>0.5</v>
      </c>
      <c r="AN531" s="4">
        <f t="shared" si="71"/>
        <v>7.572889057175312E-4</v>
      </c>
      <c r="AO531" s="3"/>
      <c r="AP531">
        <v>0</v>
      </c>
      <c r="AR531" t="s">
        <v>0</v>
      </c>
      <c r="AT531" s="2" t="s">
        <v>19</v>
      </c>
      <c r="AU531" s="1">
        <f t="shared" si="75"/>
        <v>4.4756163474256567</v>
      </c>
      <c r="AV531" s="1">
        <f t="shared" si="76"/>
        <v>3.218505645467399</v>
      </c>
      <c r="AW531" s="1">
        <f t="shared" si="77"/>
        <v>1.9613949435091407</v>
      </c>
    </row>
    <row r="532" spans="1:49" x14ac:dyDescent="0.2">
      <c r="A532">
        <v>530</v>
      </c>
      <c r="B532" t="s">
        <v>4018</v>
      </c>
      <c r="C532" t="s">
        <v>4017</v>
      </c>
      <c r="F532" t="s">
        <v>4016</v>
      </c>
      <c r="G532" t="s">
        <v>15</v>
      </c>
      <c r="H532" t="s">
        <v>14</v>
      </c>
      <c r="I532" t="s">
        <v>4015</v>
      </c>
      <c r="J532">
        <v>60000461</v>
      </c>
      <c r="K532" t="s">
        <v>3914</v>
      </c>
      <c r="L532" t="s">
        <v>3913</v>
      </c>
      <c r="M532" t="s">
        <v>31</v>
      </c>
      <c r="N532">
        <v>3</v>
      </c>
      <c r="O532" t="s">
        <v>4014</v>
      </c>
      <c r="P532" t="s">
        <v>4013</v>
      </c>
      <c r="Q532" t="s">
        <v>4003</v>
      </c>
      <c r="R532" s="7">
        <v>32143</v>
      </c>
      <c r="S532" s="8">
        <f t="shared" si="72"/>
        <v>1988</v>
      </c>
      <c r="T532" s="8">
        <v>1988</v>
      </c>
      <c r="U532" s="8">
        <f t="shared" si="73"/>
        <v>34</v>
      </c>
      <c r="V532" s="7">
        <v>32295</v>
      </c>
      <c r="W532" t="s">
        <v>2441</v>
      </c>
      <c r="X532" s="2">
        <v>0.78200000000000003</v>
      </c>
      <c r="Y532" s="6">
        <f t="shared" si="70"/>
        <v>2.0875043378446919E-2</v>
      </c>
      <c r="AA532">
        <v>189316</v>
      </c>
      <c r="AB532">
        <v>19901</v>
      </c>
      <c r="AC532">
        <v>15579611</v>
      </c>
      <c r="AD532" t="s">
        <v>4</v>
      </c>
      <c r="AE532">
        <v>34</v>
      </c>
      <c r="AF532">
        <v>2</v>
      </c>
      <c r="AH532" t="s">
        <v>4012</v>
      </c>
      <c r="AI532" t="s">
        <v>4011</v>
      </c>
      <c r="AK532" t="s">
        <v>4010</v>
      </c>
      <c r="AL532">
        <v>1</v>
      </c>
      <c r="AM532" s="5">
        <f t="shared" si="74"/>
        <v>2.9411764705882353E-2</v>
      </c>
      <c r="AN532" s="4">
        <f t="shared" si="71"/>
        <v>4.4546406218678307E-5</v>
      </c>
      <c r="AO532" s="3"/>
      <c r="AP532">
        <v>0</v>
      </c>
      <c r="AR532" t="s">
        <v>0</v>
      </c>
      <c r="AT532" s="2">
        <v>3.863</v>
      </c>
      <c r="AU532" s="1">
        <f t="shared" si="75"/>
        <v>1.4625894286778445</v>
      </c>
      <c r="AV532" s="1">
        <f t="shared" si="76"/>
        <v>1.0459794892332799</v>
      </c>
      <c r="AW532" s="1">
        <f t="shared" si="77"/>
        <v>0.62936954978871507</v>
      </c>
    </row>
    <row r="533" spans="1:49" x14ac:dyDescent="0.2">
      <c r="A533">
        <v>531</v>
      </c>
      <c r="B533" t="s">
        <v>4009</v>
      </c>
      <c r="C533" t="s">
        <v>4008</v>
      </c>
      <c r="F533" t="s">
        <v>4007</v>
      </c>
      <c r="G533" t="s">
        <v>15</v>
      </c>
      <c r="H533" t="s">
        <v>14</v>
      </c>
      <c r="I533" t="s">
        <v>4006</v>
      </c>
      <c r="J533">
        <v>60000461</v>
      </c>
      <c r="K533" t="s">
        <v>3914</v>
      </c>
      <c r="L533" t="s">
        <v>3913</v>
      </c>
      <c r="M533" t="s">
        <v>31</v>
      </c>
      <c r="N533">
        <v>3</v>
      </c>
      <c r="O533" t="s">
        <v>4005</v>
      </c>
      <c r="P533" t="s">
        <v>4004</v>
      </c>
      <c r="Q533" t="s">
        <v>4003</v>
      </c>
      <c r="R533" s="7">
        <v>32143</v>
      </c>
      <c r="S533" s="8">
        <f t="shared" si="72"/>
        <v>1988</v>
      </c>
      <c r="T533" s="8">
        <v>1988</v>
      </c>
      <c r="U533" s="8">
        <f t="shared" si="73"/>
        <v>34</v>
      </c>
      <c r="V533" s="7">
        <v>32295</v>
      </c>
      <c r="W533" t="s">
        <v>2441</v>
      </c>
      <c r="X533" s="2">
        <v>0.78200000000000003</v>
      </c>
      <c r="Y533" s="6">
        <f t="shared" si="70"/>
        <v>2.0875043378446919E-2</v>
      </c>
      <c r="AA533">
        <v>189316</v>
      </c>
      <c r="AB533">
        <v>19901</v>
      </c>
      <c r="AC533">
        <v>15579611</v>
      </c>
      <c r="AD533" t="s">
        <v>4</v>
      </c>
      <c r="AE533">
        <v>34</v>
      </c>
      <c r="AF533">
        <v>2</v>
      </c>
      <c r="AH533" t="s">
        <v>3043</v>
      </c>
      <c r="AI533" t="s">
        <v>4002</v>
      </c>
      <c r="AK533" t="s">
        <v>4001</v>
      </c>
      <c r="AL533">
        <v>14</v>
      </c>
      <c r="AM533" s="5">
        <f t="shared" si="74"/>
        <v>0.41176470588235292</v>
      </c>
      <c r="AN533" s="4">
        <f t="shared" si="71"/>
        <v>6.2364968706149634E-4</v>
      </c>
      <c r="AO533" s="3"/>
      <c r="AP533">
        <v>0</v>
      </c>
      <c r="AR533" t="s">
        <v>0</v>
      </c>
      <c r="AT533" s="2">
        <v>3.863</v>
      </c>
      <c r="AU533" s="1">
        <f t="shared" si="75"/>
        <v>1.4799625271031289</v>
      </c>
      <c r="AV533" s="1">
        <f t="shared" si="76"/>
        <v>1.0749346532754207</v>
      </c>
      <c r="AW533" s="1">
        <f t="shared" si="77"/>
        <v>0.66990677944771237</v>
      </c>
    </row>
    <row r="534" spans="1:49" x14ac:dyDescent="0.2">
      <c r="A534">
        <v>532</v>
      </c>
      <c r="B534" t="s">
        <v>4000</v>
      </c>
      <c r="C534" t="s">
        <v>3999</v>
      </c>
      <c r="F534" t="s">
        <v>3998</v>
      </c>
      <c r="G534" t="s">
        <v>15</v>
      </c>
      <c r="H534" t="s">
        <v>14</v>
      </c>
      <c r="I534" t="s">
        <v>3997</v>
      </c>
      <c r="J534">
        <v>115668314</v>
      </c>
      <c r="K534" t="s">
        <v>3996</v>
      </c>
      <c r="M534" t="s">
        <v>31</v>
      </c>
      <c r="N534">
        <v>1</v>
      </c>
      <c r="O534" t="s">
        <v>3995</v>
      </c>
      <c r="P534">
        <v>6506380397</v>
      </c>
      <c r="Q534">
        <v>115668314</v>
      </c>
      <c r="R534" s="7">
        <v>32143</v>
      </c>
      <c r="S534" s="8">
        <f t="shared" si="72"/>
        <v>1988</v>
      </c>
      <c r="T534" s="8">
        <v>1988</v>
      </c>
      <c r="U534" s="8">
        <f t="shared" si="73"/>
        <v>34</v>
      </c>
      <c r="V534" s="7">
        <v>32295</v>
      </c>
      <c r="W534" t="s">
        <v>2441</v>
      </c>
      <c r="X534" s="2">
        <v>0.78200000000000003</v>
      </c>
      <c r="Y534" s="6">
        <f t="shared" si="70"/>
        <v>2.0875043378446919E-2</v>
      </c>
      <c r="AA534">
        <v>189316</v>
      </c>
      <c r="AB534">
        <v>19901</v>
      </c>
      <c r="AC534">
        <v>15579611</v>
      </c>
      <c r="AD534" t="s">
        <v>4</v>
      </c>
      <c r="AE534">
        <v>34</v>
      </c>
      <c r="AF534">
        <v>2</v>
      </c>
      <c r="AH534" t="s">
        <v>3994</v>
      </c>
      <c r="AL534">
        <v>0</v>
      </c>
      <c r="AM534" s="5">
        <f t="shared" si="74"/>
        <v>0</v>
      </c>
      <c r="AN534" s="4">
        <f t="shared" si="71"/>
        <v>0</v>
      </c>
      <c r="AO534" s="3"/>
      <c r="AP534">
        <v>0</v>
      </c>
      <c r="AR534" t="s">
        <v>0</v>
      </c>
      <c r="AT534" s="2">
        <v>3.863</v>
      </c>
      <c r="AU534" s="1">
        <f t="shared" si="75"/>
        <v>1.4612530364912841</v>
      </c>
      <c r="AV534" s="1">
        <f t="shared" si="76"/>
        <v>1.0437521689223459</v>
      </c>
      <c r="AW534" s="1">
        <f t="shared" si="77"/>
        <v>0.62625130135340756</v>
      </c>
    </row>
    <row r="535" spans="1:49" x14ac:dyDescent="0.2">
      <c r="A535">
        <v>533</v>
      </c>
      <c r="B535" t="s">
        <v>3993</v>
      </c>
      <c r="C535" t="s">
        <v>3992</v>
      </c>
      <c r="F535" t="s">
        <v>3991</v>
      </c>
      <c r="G535" t="s">
        <v>15</v>
      </c>
      <c r="H535" t="s">
        <v>14</v>
      </c>
      <c r="I535" t="s">
        <v>3990</v>
      </c>
      <c r="J535">
        <v>60022148</v>
      </c>
      <c r="K535" t="s">
        <v>3005</v>
      </c>
      <c r="L535" t="s">
        <v>2095</v>
      </c>
      <c r="M535" t="s">
        <v>1011</v>
      </c>
      <c r="N535">
        <v>2</v>
      </c>
      <c r="O535" t="s">
        <v>3989</v>
      </c>
      <c r="P535" t="s">
        <v>3988</v>
      </c>
      <c r="Q535" t="s">
        <v>3987</v>
      </c>
      <c r="R535" s="7">
        <v>32143</v>
      </c>
      <c r="S535" s="8">
        <f t="shared" si="72"/>
        <v>1988</v>
      </c>
      <c r="T535" s="8">
        <v>1988</v>
      </c>
      <c r="U535" s="8">
        <f t="shared" si="73"/>
        <v>34</v>
      </c>
      <c r="V535" s="7">
        <v>1988</v>
      </c>
      <c r="W535" t="s">
        <v>56</v>
      </c>
      <c r="X535" s="2">
        <v>0.375</v>
      </c>
      <c r="Y535" s="6">
        <f t="shared" si="70"/>
        <v>1.0010410827260351E-2</v>
      </c>
      <c r="AA535">
        <v>135194</v>
      </c>
      <c r="AB535">
        <v>24918</v>
      </c>
      <c r="AD535" t="s">
        <v>4</v>
      </c>
      <c r="AE535">
        <v>24</v>
      </c>
      <c r="AF535">
        <v>13</v>
      </c>
      <c r="AH535" t="s">
        <v>3986</v>
      </c>
      <c r="AI535" t="s">
        <v>3985</v>
      </c>
      <c r="AJ535" t="s">
        <v>3984</v>
      </c>
      <c r="AK535" t="s">
        <v>3983</v>
      </c>
      <c r="AL535">
        <v>2</v>
      </c>
      <c r="AM535" s="5">
        <f t="shared" si="74"/>
        <v>5.8823529411764705E-2</v>
      </c>
      <c r="AN535" s="4">
        <f t="shared" si="71"/>
        <v>8.9092812437356614E-5</v>
      </c>
      <c r="AO535" s="3"/>
      <c r="AP535">
        <v>0</v>
      </c>
      <c r="AR535" t="s">
        <v>0</v>
      </c>
      <c r="AT535" s="2">
        <v>1.3140000000000001</v>
      </c>
      <c r="AU535" s="1">
        <f t="shared" si="75"/>
        <v>0.70340154228134533</v>
      </c>
      <c r="AV535" s="1">
        <f t="shared" si="76"/>
        <v>0.50497518198488534</v>
      </c>
      <c r="AW535" s="1">
        <f t="shared" si="77"/>
        <v>0.30654882168842545</v>
      </c>
    </row>
    <row r="536" spans="1:49" x14ac:dyDescent="0.2">
      <c r="A536">
        <v>534</v>
      </c>
      <c r="B536" t="s">
        <v>3982</v>
      </c>
      <c r="C536" t="s">
        <v>3981</v>
      </c>
      <c r="F536" t="s">
        <v>3980</v>
      </c>
      <c r="G536" t="s">
        <v>15</v>
      </c>
      <c r="H536" t="s">
        <v>14</v>
      </c>
      <c r="I536" t="s">
        <v>3979</v>
      </c>
      <c r="J536">
        <v>60106849</v>
      </c>
      <c r="K536" t="s">
        <v>3978</v>
      </c>
      <c r="L536" t="s">
        <v>3977</v>
      </c>
      <c r="M536" t="s">
        <v>456</v>
      </c>
      <c r="N536">
        <v>2</v>
      </c>
      <c r="O536" t="s">
        <v>3976</v>
      </c>
      <c r="P536" t="s">
        <v>3975</v>
      </c>
      <c r="Q536" t="s">
        <v>3974</v>
      </c>
      <c r="R536" s="7">
        <v>32143</v>
      </c>
      <c r="S536" s="8">
        <f t="shared" si="72"/>
        <v>1988</v>
      </c>
      <c r="T536" s="8">
        <v>1988</v>
      </c>
      <c r="U536" s="8">
        <f t="shared" si="73"/>
        <v>34</v>
      </c>
      <c r="V536" s="7" t="s">
        <v>3803</v>
      </c>
      <c r="W536" s="11" t="s">
        <v>1890</v>
      </c>
      <c r="X536" s="2">
        <v>2.383</v>
      </c>
      <c r="Y536" s="6">
        <f t="shared" si="70"/>
        <v>6.3612824003630442E-2</v>
      </c>
      <c r="AA536" t="s">
        <v>1889</v>
      </c>
      <c r="AB536">
        <v>101151</v>
      </c>
      <c r="AD536" t="s">
        <v>4</v>
      </c>
      <c r="AE536">
        <v>135</v>
      </c>
      <c r="AF536">
        <v>3</v>
      </c>
      <c r="AH536" t="s">
        <v>3973</v>
      </c>
      <c r="AI536" t="s">
        <v>3972</v>
      </c>
      <c r="AK536" t="s">
        <v>3971</v>
      </c>
      <c r="AL536">
        <v>7</v>
      </c>
      <c r="AM536" s="5">
        <f t="shared" si="74"/>
        <v>0.20588235294117646</v>
      </c>
      <c r="AN536" s="4">
        <f t="shared" si="71"/>
        <v>3.1182484353074817E-4</v>
      </c>
      <c r="AO536" s="3"/>
      <c r="AP536">
        <v>0</v>
      </c>
      <c r="AR536" t="s">
        <v>0</v>
      </c>
      <c r="AT536" s="2" t="s">
        <v>19</v>
      </c>
      <c r="AU536" s="1">
        <f t="shared" si="75"/>
        <v>4.4622524255600533</v>
      </c>
      <c r="AV536" s="1">
        <f t="shared" si="76"/>
        <v>3.1962324423580593</v>
      </c>
      <c r="AW536" s="1">
        <f t="shared" si="77"/>
        <v>1.9302124591560654</v>
      </c>
    </row>
    <row r="537" spans="1:49" x14ac:dyDescent="0.2">
      <c r="A537">
        <v>535</v>
      </c>
      <c r="B537" t="s">
        <v>3970</v>
      </c>
      <c r="C537" t="s">
        <v>3969</v>
      </c>
      <c r="F537" t="s">
        <v>3968</v>
      </c>
      <c r="G537" t="s">
        <v>15</v>
      </c>
      <c r="H537" t="s">
        <v>14</v>
      </c>
      <c r="I537" t="s">
        <v>3967</v>
      </c>
      <c r="J537">
        <v>60028186</v>
      </c>
      <c r="K537" t="s">
        <v>3966</v>
      </c>
      <c r="L537" t="s">
        <v>3965</v>
      </c>
      <c r="M537" t="s">
        <v>3131</v>
      </c>
      <c r="N537">
        <v>1</v>
      </c>
      <c r="O537" t="s">
        <v>3964</v>
      </c>
      <c r="P537">
        <v>35609196900</v>
      </c>
      <c r="Q537">
        <v>60028186</v>
      </c>
      <c r="R537" s="7">
        <v>32143</v>
      </c>
      <c r="S537" s="8">
        <f t="shared" si="72"/>
        <v>1988</v>
      </c>
      <c r="T537" s="8">
        <v>1988</v>
      </c>
      <c r="U537" s="8">
        <f t="shared" si="73"/>
        <v>34</v>
      </c>
      <c r="V537" s="7" t="s">
        <v>3803</v>
      </c>
      <c r="W537" s="11" t="s">
        <v>1890</v>
      </c>
      <c r="X537" s="2">
        <v>2.383</v>
      </c>
      <c r="Y537" s="6">
        <f t="shared" si="70"/>
        <v>6.3612824003630442E-2</v>
      </c>
      <c r="AA537" t="s">
        <v>1889</v>
      </c>
      <c r="AB537">
        <v>101151</v>
      </c>
      <c r="AD537" t="s">
        <v>4</v>
      </c>
      <c r="AE537">
        <v>135</v>
      </c>
      <c r="AF537">
        <v>3</v>
      </c>
      <c r="AH537" t="s">
        <v>3963</v>
      </c>
      <c r="AI537" t="s">
        <v>3962</v>
      </c>
      <c r="AK537" t="s">
        <v>3961</v>
      </c>
      <c r="AL537">
        <v>4</v>
      </c>
      <c r="AM537" s="5">
        <f t="shared" si="74"/>
        <v>0.11764705882352941</v>
      </c>
      <c r="AN537" s="4">
        <f t="shared" si="71"/>
        <v>1.7818562487471323E-4</v>
      </c>
      <c r="AO537" s="3"/>
      <c r="AP537">
        <v>0</v>
      </c>
      <c r="AR537" t="s">
        <v>0</v>
      </c>
      <c r="AT537" s="2" t="s">
        <v>19</v>
      </c>
      <c r="AU537" s="1">
        <f t="shared" si="75"/>
        <v>4.4582432490003727</v>
      </c>
      <c r="AV537" s="1">
        <f t="shared" si="76"/>
        <v>3.189550481425258</v>
      </c>
      <c r="AW537" s="1">
        <f t="shared" si="77"/>
        <v>1.920857713850143</v>
      </c>
    </row>
    <row r="538" spans="1:49" x14ac:dyDescent="0.2">
      <c r="A538">
        <v>536</v>
      </c>
      <c r="B538" t="s">
        <v>3960</v>
      </c>
      <c r="C538" t="s">
        <v>3959</v>
      </c>
      <c r="F538" t="s">
        <v>3958</v>
      </c>
      <c r="G538" t="s">
        <v>15</v>
      </c>
      <c r="H538" t="s">
        <v>14</v>
      </c>
      <c r="I538" t="s">
        <v>3957</v>
      </c>
      <c r="N538">
        <v>3</v>
      </c>
      <c r="O538" t="s">
        <v>3956</v>
      </c>
      <c r="P538" t="s">
        <v>3955</v>
      </c>
      <c r="Q538" t="s">
        <v>532</v>
      </c>
      <c r="R538" s="7">
        <v>32143</v>
      </c>
      <c r="S538" s="8">
        <f t="shared" si="72"/>
        <v>1988</v>
      </c>
      <c r="T538" s="8">
        <v>1988</v>
      </c>
      <c r="U538" s="8">
        <f t="shared" si="73"/>
        <v>34</v>
      </c>
      <c r="V538" s="7">
        <v>32295</v>
      </c>
      <c r="W538" t="s">
        <v>2441</v>
      </c>
      <c r="X538" s="2">
        <v>0.78200000000000003</v>
      </c>
      <c r="Y538" s="6">
        <f t="shared" si="70"/>
        <v>2.0875043378446919E-2</v>
      </c>
      <c r="AA538">
        <v>189316</v>
      </c>
      <c r="AB538">
        <v>19901</v>
      </c>
      <c r="AC538">
        <v>15579611</v>
      </c>
      <c r="AD538" t="s">
        <v>4</v>
      </c>
      <c r="AE538">
        <v>34</v>
      </c>
      <c r="AF538">
        <v>2</v>
      </c>
      <c r="AH538" t="s">
        <v>3954</v>
      </c>
      <c r="AI538" t="s">
        <v>3953</v>
      </c>
      <c r="AK538" t="s">
        <v>3952</v>
      </c>
      <c r="AL538">
        <v>0</v>
      </c>
      <c r="AM538" s="5">
        <f t="shared" si="74"/>
        <v>0</v>
      </c>
      <c r="AN538" s="4">
        <f t="shared" si="71"/>
        <v>0</v>
      </c>
      <c r="AO538" s="3"/>
      <c r="AP538">
        <v>0</v>
      </c>
      <c r="AR538" t="s">
        <v>0</v>
      </c>
      <c r="AT538" s="2">
        <v>3.863</v>
      </c>
      <c r="AU538" s="1">
        <f t="shared" si="75"/>
        <v>1.4612530364912841</v>
      </c>
      <c r="AV538" s="1">
        <f t="shared" si="76"/>
        <v>1.0437521689223459</v>
      </c>
      <c r="AW538" s="1">
        <f t="shared" si="77"/>
        <v>0.62625130135340756</v>
      </c>
    </row>
    <row r="539" spans="1:49" x14ac:dyDescent="0.2">
      <c r="A539">
        <v>537</v>
      </c>
      <c r="B539" t="s">
        <v>3951</v>
      </c>
      <c r="C539" t="s">
        <v>3950</v>
      </c>
      <c r="F539" t="s">
        <v>3949</v>
      </c>
      <c r="G539" t="s">
        <v>15</v>
      </c>
      <c r="H539" t="s">
        <v>14</v>
      </c>
      <c r="I539" t="s">
        <v>3948</v>
      </c>
      <c r="J539">
        <v>115668284</v>
      </c>
      <c r="K539" t="s">
        <v>3947</v>
      </c>
      <c r="M539" t="s">
        <v>31</v>
      </c>
      <c r="N539">
        <v>3</v>
      </c>
      <c r="O539" t="s">
        <v>3946</v>
      </c>
      <c r="P539" t="s">
        <v>3945</v>
      </c>
      <c r="Q539" t="s">
        <v>3944</v>
      </c>
      <c r="R539" s="7">
        <v>32143</v>
      </c>
      <c r="S539" s="8">
        <f t="shared" si="72"/>
        <v>1988</v>
      </c>
      <c r="T539" s="8">
        <v>1988</v>
      </c>
      <c r="U539" s="8">
        <f t="shared" si="73"/>
        <v>34</v>
      </c>
      <c r="V539" s="7">
        <v>32295</v>
      </c>
      <c r="W539" t="s">
        <v>2441</v>
      </c>
      <c r="X539" s="2">
        <v>0.78200000000000003</v>
      </c>
      <c r="Y539" s="6">
        <f t="shared" si="70"/>
        <v>2.0875043378446919E-2</v>
      </c>
      <c r="AA539">
        <v>189316</v>
      </c>
      <c r="AB539">
        <v>19901</v>
      </c>
      <c r="AC539">
        <v>15579611</v>
      </c>
      <c r="AD539" t="s">
        <v>4</v>
      </c>
      <c r="AE539">
        <v>34</v>
      </c>
      <c r="AF539">
        <v>2</v>
      </c>
      <c r="AH539" t="s">
        <v>3943</v>
      </c>
      <c r="AI539" t="s">
        <v>3942</v>
      </c>
      <c r="AK539" t="s">
        <v>3941</v>
      </c>
      <c r="AL539">
        <v>1</v>
      </c>
      <c r="AM539" s="5">
        <f t="shared" si="74"/>
        <v>2.9411764705882353E-2</v>
      </c>
      <c r="AN539" s="4">
        <f t="shared" si="71"/>
        <v>4.4546406218678307E-5</v>
      </c>
      <c r="AO539" s="3"/>
      <c r="AP539">
        <v>0</v>
      </c>
      <c r="AR539" t="s">
        <v>0</v>
      </c>
      <c r="AT539" s="2">
        <v>3.863</v>
      </c>
      <c r="AU539" s="1">
        <f t="shared" si="75"/>
        <v>1.4625894286778445</v>
      </c>
      <c r="AV539" s="1">
        <f t="shared" si="76"/>
        <v>1.0459794892332799</v>
      </c>
      <c r="AW539" s="1">
        <f t="shared" si="77"/>
        <v>0.62936954978871507</v>
      </c>
    </row>
    <row r="540" spans="1:49" x14ac:dyDescent="0.2">
      <c r="A540">
        <v>538</v>
      </c>
      <c r="B540" t="s">
        <v>3940</v>
      </c>
      <c r="C540" t="s">
        <v>3939</v>
      </c>
      <c r="F540" t="s">
        <v>3938</v>
      </c>
      <c r="G540" t="s">
        <v>15</v>
      </c>
      <c r="H540" t="s">
        <v>14</v>
      </c>
      <c r="I540" t="s">
        <v>3937</v>
      </c>
      <c r="J540">
        <v>60009081</v>
      </c>
      <c r="K540" t="s">
        <v>3936</v>
      </c>
      <c r="L540" t="s">
        <v>3935</v>
      </c>
      <c r="M540" t="s">
        <v>3934</v>
      </c>
      <c r="N540">
        <v>1</v>
      </c>
      <c r="O540" t="s">
        <v>3933</v>
      </c>
      <c r="P540">
        <v>55301786100</v>
      </c>
      <c r="Q540">
        <v>60009081</v>
      </c>
      <c r="R540" s="7">
        <v>32143</v>
      </c>
      <c r="S540" s="8">
        <f t="shared" si="72"/>
        <v>1988</v>
      </c>
      <c r="T540" s="8">
        <v>1988</v>
      </c>
      <c r="U540" s="8">
        <f t="shared" si="73"/>
        <v>34</v>
      </c>
      <c r="V540" s="7" t="s">
        <v>3803</v>
      </c>
      <c r="W540" s="11" t="s">
        <v>1890</v>
      </c>
      <c r="X540" s="2">
        <v>2.383</v>
      </c>
      <c r="Y540" s="6">
        <f t="shared" si="70"/>
        <v>6.3612824003630442E-2</v>
      </c>
      <c r="AA540" t="s">
        <v>1889</v>
      </c>
      <c r="AB540">
        <v>101151</v>
      </c>
      <c r="AD540" t="s">
        <v>4</v>
      </c>
      <c r="AE540">
        <v>135</v>
      </c>
      <c r="AF540">
        <v>3</v>
      </c>
      <c r="AH540" t="s">
        <v>3932</v>
      </c>
      <c r="AI540" t="s">
        <v>3931</v>
      </c>
      <c r="AK540" t="s">
        <v>3930</v>
      </c>
      <c r="AL540">
        <v>4</v>
      </c>
      <c r="AM540" s="5">
        <f t="shared" si="74"/>
        <v>0.11764705882352941</v>
      </c>
      <c r="AN540" s="4">
        <f t="shared" si="71"/>
        <v>1.7818562487471323E-4</v>
      </c>
      <c r="AO540" s="3"/>
      <c r="AP540">
        <v>0</v>
      </c>
      <c r="AR540" t="s">
        <v>0</v>
      </c>
      <c r="AT540" s="2" t="s">
        <v>19</v>
      </c>
      <c r="AU540" s="1">
        <f t="shared" si="75"/>
        <v>4.4582432490003727</v>
      </c>
      <c r="AV540" s="1">
        <f t="shared" si="76"/>
        <v>3.189550481425258</v>
      </c>
      <c r="AW540" s="1">
        <f t="shared" si="77"/>
        <v>1.920857713850143</v>
      </c>
    </row>
    <row r="541" spans="1:49" x14ac:dyDescent="0.2">
      <c r="A541">
        <v>539</v>
      </c>
      <c r="B541" t="s">
        <v>3929</v>
      </c>
      <c r="C541" t="s">
        <v>3928</v>
      </c>
      <c r="F541" t="s">
        <v>3927</v>
      </c>
      <c r="G541" t="s">
        <v>15</v>
      </c>
      <c r="H541" t="s">
        <v>14</v>
      </c>
      <c r="I541" t="s">
        <v>3926</v>
      </c>
      <c r="J541">
        <v>60000461</v>
      </c>
      <c r="K541" t="s">
        <v>3914</v>
      </c>
      <c r="L541" t="s">
        <v>3913</v>
      </c>
      <c r="M541" t="s">
        <v>31</v>
      </c>
      <c r="N541">
        <v>4</v>
      </c>
      <c r="O541" t="s">
        <v>3925</v>
      </c>
      <c r="P541" t="s">
        <v>3924</v>
      </c>
      <c r="Q541" t="s">
        <v>3923</v>
      </c>
      <c r="R541" s="7">
        <v>32143</v>
      </c>
      <c r="S541" s="8">
        <f t="shared" si="72"/>
        <v>1988</v>
      </c>
      <c r="T541" s="8">
        <v>1988</v>
      </c>
      <c r="U541" s="8">
        <f t="shared" si="73"/>
        <v>34</v>
      </c>
      <c r="V541" s="7">
        <v>32295</v>
      </c>
      <c r="W541" t="s">
        <v>2441</v>
      </c>
      <c r="X541" s="2">
        <v>0.78200000000000003</v>
      </c>
      <c r="Y541" s="6">
        <f t="shared" si="70"/>
        <v>2.0875043378446919E-2</v>
      </c>
      <c r="AA541">
        <v>189316</v>
      </c>
      <c r="AB541">
        <v>19901</v>
      </c>
      <c r="AC541">
        <v>15579611</v>
      </c>
      <c r="AD541" t="s">
        <v>4</v>
      </c>
      <c r="AE541">
        <v>34</v>
      </c>
      <c r="AF541">
        <v>2</v>
      </c>
      <c r="AH541" t="s">
        <v>3922</v>
      </c>
      <c r="AI541" t="s">
        <v>3921</v>
      </c>
      <c r="AK541" t="s">
        <v>3920</v>
      </c>
      <c r="AL541">
        <v>3</v>
      </c>
      <c r="AM541" s="5">
        <f t="shared" si="74"/>
        <v>8.8235294117647065E-2</v>
      </c>
      <c r="AN541" s="4">
        <f t="shared" si="71"/>
        <v>1.3363921865603494E-4</v>
      </c>
      <c r="AO541" s="3"/>
      <c r="AP541">
        <v>0</v>
      </c>
      <c r="AQ541" t="s">
        <v>1533</v>
      </c>
      <c r="AR541" t="s">
        <v>3919</v>
      </c>
      <c r="AS541" t="s">
        <v>1531</v>
      </c>
      <c r="AT541" s="2">
        <v>3.863</v>
      </c>
      <c r="AU541" s="1">
        <f t="shared" si="75"/>
        <v>1.4652622130509652</v>
      </c>
      <c r="AV541" s="1">
        <f t="shared" si="76"/>
        <v>1.0504341298551478</v>
      </c>
      <c r="AW541" s="1">
        <f t="shared" si="77"/>
        <v>0.63560604665932996</v>
      </c>
    </row>
    <row r="542" spans="1:49" x14ac:dyDescent="0.2">
      <c r="A542">
        <v>540</v>
      </c>
      <c r="B542" t="s">
        <v>3918</v>
      </c>
      <c r="C542" t="s">
        <v>3917</v>
      </c>
      <c r="F542" t="s">
        <v>3916</v>
      </c>
      <c r="G542" t="s">
        <v>15</v>
      </c>
      <c r="H542" t="s">
        <v>14</v>
      </c>
      <c r="I542" t="s">
        <v>3915</v>
      </c>
      <c r="J542">
        <v>60000461</v>
      </c>
      <c r="K542" t="s">
        <v>3914</v>
      </c>
      <c r="L542" t="s">
        <v>3913</v>
      </c>
      <c r="M542" t="s">
        <v>31</v>
      </c>
      <c r="N542">
        <v>1</v>
      </c>
      <c r="O542" t="s">
        <v>3912</v>
      </c>
      <c r="P542">
        <v>7004120909</v>
      </c>
      <c r="Q542">
        <v>60000461</v>
      </c>
      <c r="R542" s="7">
        <v>32143</v>
      </c>
      <c r="S542" s="8">
        <f t="shared" si="72"/>
        <v>1988</v>
      </c>
      <c r="T542" s="8">
        <v>1988</v>
      </c>
      <c r="U542" s="8">
        <f t="shared" si="73"/>
        <v>34</v>
      </c>
      <c r="V542" s="7">
        <v>32295</v>
      </c>
      <c r="W542" t="s">
        <v>2441</v>
      </c>
      <c r="X542" s="2">
        <v>0.78200000000000003</v>
      </c>
      <c r="Y542" s="6">
        <f t="shared" si="70"/>
        <v>2.0875043378446919E-2</v>
      </c>
      <c r="AA542">
        <v>189316</v>
      </c>
      <c r="AB542">
        <v>19901</v>
      </c>
      <c r="AC542">
        <v>15579611</v>
      </c>
      <c r="AD542" t="s">
        <v>4</v>
      </c>
      <c r="AE542">
        <v>34</v>
      </c>
      <c r="AF542">
        <v>2</v>
      </c>
      <c r="AH542" t="s">
        <v>3911</v>
      </c>
      <c r="AI542" t="s">
        <v>3910</v>
      </c>
      <c r="AK542" t="s">
        <v>3909</v>
      </c>
      <c r="AL542">
        <v>2</v>
      </c>
      <c r="AM542" s="5">
        <f t="shared" si="74"/>
        <v>5.8823529411764705E-2</v>
      </c>
      <c r="AN542" s="4">
        <f t="shared" si="71"/>
        <v>8.9092812437356614E-5</v>
      </c>
      <c r="AO542" s="3"/>
      <c r="AP542">
        <v>0</v>
      </c>
      <c r="AR542" t="s">
        <v>0</v>
      </c>
      <c r="AT542" s="2">
        <v>3.863</v>
      </c>
      <c r="AU542" s="1">
        <f t="shared" si="75"/>
        <v>1.4639258208644048</v>
      </c>
      <c r="AV542" s="1">
        <f t="shared" si="76"/>
        <v>1.0482068095442139</v>
      </c>
      <c r="AW542" s="1">
        <f t="shared" si="77"/>
        <v>0.63248779822402257</v>
      </c>
    </row>
    <row r="543" spans="1:49" x14ac:dyDescent="0.2">
      <c r="A543">
        <v>541</v>
      </c>
      <c r="B543" t="s">
        <v>3908</v>
      </c>
      <c r="C543" t="s">
        <v>3907</v>
      </c>
      <c r="F543" t="s">
        <v>3906</v>
      </c>
      <c r="G543" t="s">
        <v>15</v>
      </c>
      <c r="H543" t="s">
        <v>14</v>
      </c>
      <c r="I543" t="s">
        <v>2238</v>
      </c>
      <c r="J543">
        <v>60018208</v>
      </c>
      <c r="K543" t="s">
        <v>2237</v>
      </c>
      <c r="L543" t="s">
        <v>2236</v>
      </c>
      <c r="M543" t="s">
        <v>31</v>
      </c>
      <c r="N543">
        <v>2</v>
      </c>
      <c r="O543" t="s">
        <v>3905</v>
      </c>
      <c r="P543" t="s">
        <v>3904</v>
      </c>
      <c r="Q543" t="s">
        <v>3903</v>
      </c>
      <c r="R543" s="7">
        <v>32143</v>
      </c>
      <c r="S543" s="8">
        <f t="shared" si="72"/>
        <v>1988</v>
      </c>
      <c r="T543" s="8">
        <v>1988</v>
      </c>
      <c r="U543" s="8">
        <f t="shared" si="73"/>
        <v>34</v>
      </c>
      <c r="V543" s="7">
        <v>32295</v>
      </c>
      <c r="W543" t="s">
        <v>2441</v>
      </c>
      <c r="X543" s="2">
        <v>0.78200000000000003</v>
      </c>
      <c r="Y543" s="6">
        <f t="shared" si="70"/>
        <v>2.0875043378446919E-2</v>
      </c>
      <c r="AA543">
        <v>189316</v>
      </c>
      <c r="AB543">
        <v>19901</v>
      </c>
      <c r="AC543">
        <v>15579611</v>
      </c>
      <c r="AD543" t="s">
        <v>4</v>
      </c>
      <c r="AE543">
        <v>34</v>
      </c>
      <c r="AF543">
        <v>2</v>
      </c>
      <c r="AH543" t="s">
        <v>3902</v>
      </c>
      <c r="AI543" t="s">
        <v>3901</v>
      </c>
      <c r="AK543" t="s">
        <v>3900</v>
      </c>
      <c r="AL543">
        <v>13</v>
      </c>
      <c r="AM543" s="5">
        <f t="shared" si="74"/>
        <v>0.38235294117647056</v>
      </c>
      <c r="AN543" s="4">
        <f t="shared" si="71"/>
        <v>5.7910328084281794E-4</v>
      </c>
      <c r="AO543" s="3"/>
      <c r="AP543">
        <v>0</v>
      </c>
      <c r="AR543" t="s">
        <v>0</v>
      </c>
      <c r="AT543" s="2">
        <v>3.863</v>
      </c>
      <c r="AU543" s="1">
        <f t="shared" si="75"/>
        <v>1.4786261349165686</v>
      </c>
      <c r="AV543" s="1">
        <f t="shared" si="76"/>
        <v>1.0727073329644869</v>
      </c>
      <c r="AW543" s="1">
        <f t="shared" si="77"/>
        <v>0.66678853101240476</v>
      </c>
    </row>
    <row r="544" spans="1:49" x14ac:dyDescent="0.2">
      <c r="A544">
        <v>542</v>
      </c>
      <c r="B544" t="s">
        <v>3899</v>
      </c>
      <c r="C544" t="s">
        <v>3898</v>
      </c>
      <c r="F544" t="s">
        <v>3897</v>
      </c>
      <c r="G544" t="s">
        <v>15</v>
      </c>
      <c r="H544" t="s">
        <v>14</v>
      </c>
      <c r="I544" t="s">
        <v>3896</v>
      </c>
      <c r="J544">
        <v>60076591</v>
      </c>
      <c r="K544" t="s">
        <v>3895</v>
      </c>
      <c r="L544" t="s">
        <v>3894</v>
      </c>
      <c r="M544" t="s">
        <v>31</v>
      </c>
      <c r="N544">
        <v>1</v>
      </c>
      <c r="O544" t="s">
        <v>3893</v>
      </c>
      <c r="P544">
        <v>7005692782</v>
      </c>
      <c r="Q544">
        <v>60076591</v>
      </c>
      <c r="R544" s="7">
        <v>32143</v>
      </c>
      <c r="S544" s="8">
        <f t="shared" si="72"/>
        <v>1988</v>
      </c>
      <c r="T544" s="8">
        <v>1988</v>
      </c>
      <c r="U544" s="8">
        <f t="shared" si="73"/>
        <v>34</v>
      </c>
      <c r="V544" s="7">
        <v>32295</v>
      </c>
      <c r="W544" t="s">
        <v>2441</v>
      </c>
      <c r="X544" s="2">
        <v>0.78200000000000003</v>
      </c>
      <c r="Y544" s="6">
        <f t="shared" si="70"/>
        <v>2.0875043378446919E-2</v>
      </c>
      <c r="AA544">
        <v>189316</v>
      </c>
      <c r="AB544">
        <v>19901</v>
      </c>
      <c r="AC544">
        <v>15579611</v>
      </c>
      <c r="AD544" t="s">
        <v>4</v>
      </c>
      <c r="AE544">
        <v>34</v>
      </c>
      <c r="AF544">
        <v>2</v>
      </c>
      <c r="AH544" t="s">
        <v>3892</v>
      </c>
      <c r="AI544" t="s">
        <v>3891</v>
      </c>
      <c r="AK544" t="s">
        <v>3890</v>
      </c>
      <c r="AL544">
        <v>4</v>
      </c>
      <c r="AM544" s="5">
        <f t="shared" si="74"/>
        <v>0.11764705882352941</v>
      </c>
      <c r="AN544" s="4">
        <f t="shared" si="71"/>
        <v>1.7818562487471323E-4</v>
      </c>
      <c r="AO544" s="3"/>
      <c r="AP544">
        <v>0</v>
      </c>
      <c r="AR544" t="s">
        <v>0</v>
      </c>
      <c r="AT544" s="2">
        <v>3.863</v>
      </c>
      <c r="AU544" s="1">
        <f t="shared" si="75"/>
        <v>1.4665986052375255</v>
      </c>
      <c r="AV544" s="1">
        <f t="shared" si="76"/>
        <v>1.0526614501660816</v>
      </c>
      <c r="AW544" s="1">
        <f t="shared" si="77"/>
        <v>0.63872429509463746</v>
      </c>
    </row>
    <row r="545" spans="1:49" x14ac:dyDescent="0.2">
      <c r="A545">
        <v>543</v>
      </c>
      <c r="B545" t="s">
        <v>3889</v>
      </c>
      <c r="C545" t="s">
        <v>3888</v>
      </c>
      <c r="F545" t="s">
        <v>3887</v>
      </c>
      <c r="G545" t="s">
        <v>15</v>
      </c>
      <c r="H545" t="s">
        <v>14</v>
      </c>
      <c r="I545" t="s">
        <v>3886</v>
      </c>
      <c r="J545" t="s">
        <v>3880</v>
      </c>
      <c r="K545" t="s">
        <v>3885</v>
      </c>
      <c r="L545" t="s">
        <v>3884</v>
      </c>
      <c r="M545" t="s">
        <v>3883</v>
      </c>
      <c r="N545">
        <v>2</v>
      </c>
      <c r="O545" t="s">
        <v>3882</v>
      </c>
      <c r="P545" t="s">
        <v>3881</v>
      </c>
      <c r="Q545" t="s">
        <v>3880</v>
      </c>
      <c r="R545" s="7">
        <v>32143</v>
      </c>
      <c r="S545" s="8">
        <f t="shared" si="72"/>
        <v>1988</v>
      </c>
      <c r="T545" s="8">
        <v>1988</v>
      </c>
      <c r="U545" s="8">
        <f t="shared" si="73"/>
        <v>34</v>
      </c>
      <c r="V545" s="7">
        <v>32295</v>
      </c>
      <c r="W545" t="s">
        <v>3879</v>
      </c>
      <c r="X545" s="2">
        <v>1.468</v>
      </c>
      <c r="Y545" s="6">
        <f t="shared" si="70"/>
        <v>3.9187421585115186E-2</v>
      </c>
      <c r="AA545">
        <v>906778</v>
      </c>
      <c r="AB545">
        <v>18931</v>
      </c>
      <c r="AD545" t="s">
        <v>4</v>
      </c>
      <c r="AE545">
        <v>36</v>
      </c>
      <c r="AF545">
        <v>6</v>
      </c>
      <c r="AH545" t="s">
        <v>3878</v>
      </c>
      <c r="AI545" t="s">
        <v>3877</v>
      </c>
      <c r="AK545" t="s">
        <v>3876</v>
      </c>
      <c r="AL545">
        <v>8</v>
      </c>
      <c r="AM545" s="5">
        <f t="shared" si="74"/>
        <v>0.23529411764705882</v>
      </c>
      <c r="AN545" s="4">
        <f t="shared" si="71"/>
        <v>3.5637124974942646E-4</v>
      </c>
      <c r="AO545" s="3"/>
      <c r="AP545">
        <v>0</v>
      </c>
      <c r="AR545" t="s">
        <v>0</v>
      </c>
      <c r="AT545" s="2">
        <v>5.0830000000000002</v>
      </c>
      <c r="AU545" s="1">
        <f t="shared" si="75"/>
        <v>2.7538106484505458</v>
      </c>
      <c r="AV545" s="1">
        <f t="shared" si="76"/>
        <v>1.9771896417432304</v>
      </c>
      <c r="AW545" s="1">
        <f t="shared" si="77"/>
        <v>1.2005686350359155</v>
      </c>
    </row>
    <row r="546" spans="1:49" x14ac:dyDescent="0.2">
      <c r="A546">
        <v>544</v>
      </c>
      <c r="B546" t="s">
        <v>3875</v>
      </c>
      <c r="C546" t="s">
        <v>3874</v>
      </c>
      <c r="F546" t="s">
        <v>3873</v>
      </c>
      <c r="G546" t="s">
        <v>15</v>
      </c>
      <c r="H546" t="s">
        <v>14</v>
      </c>
      <c r="I546" t="s">
        <v>3872</v>
      </c>
      <c r="J546">
        <v>60014313</v>
      </c>
      <c r="K546" t="s">
        <v>1243</v>
      </c>
      <c r="L546" t="s">
        <v>1242</v>
      </c>
      <c r="M546" t="s">
        <v>31</v>
      </c>
      <c r="N546">
        <v>4</v>
      </c>
      <c r="O546" t="s">
        <v>3871</v>
      </c>
      <c r="P546" t="s">
        <v>3870</v>
      </c>
      <c r="Q546" t="s">
        <v>3869</v>
      </c>
      <c r="R546" s="7">
        <v>32143</v>
      </c>
      <c r="S546" s="8">
        <f t="shared" si="72"/>
        <v>1988</v>
      </c>
      <c r="T546" s="8">
        <v>1988</v>
      </c>
      <c r="U546" s="8">
        <f t="shared" si="73"/>
        <v>34</v>
      </c>
      <c r="V546" s="7">
        <v>32295</v>
      </c>
      <c r="W546" t="s">
        <v>1073</v>
      </c>
      <c r="X546" s="2">
        <v>1.3720000000000001</v>
      </c>
      <c r="Y546" s="6">
        <f t="shared" si="70"/>
        <v>3.662475641333654E-2</v>
      </c>
      <c r="AA546">
        <v>189480</v>
      </c>
      <c r="AB546">
        <v>17366</v>
      </c>
      <c r="AC546">
        <v>15579670</v>
      </c>
      <c r="AD546" t="s">
        <v>4</v>
      </c>
      <c r="AE546">
        <v>36</v>
      </c>
      <c r="AF546">
        <v>6</v>
      </c>
      <c r="AH546" t="s">
        <v>3868</v>
      </c>
      <c r="AI546" t="s">
        <v>3867</v>
      </c>
      <c r="AK546" t="s">
        <v>3866</v>
      </c>
      <c r="AL546">
        <v>23</v>
      </c>
      <c r="AM546" s="5">
        <f t="shared" si="74"/>
        <v>0.67647058823529416</v>
      </c>
      <c r="AN546" s="4">
        <f t="shared" si="71"/>
        <v>1.0245673430296011E-3</v>
      </c>
      <c r="AO546" s="3"/>
      <c r="AP546">
        <v>0</v>
      </c>
      <c r="AR546" t="s">
        <v>3865</v>
      </c>
      <c r="AT546" s="2" t="s">
        <v>19</v>
      </c>
      <c r="AU546" s="1">
        <f t="shared" si="75"/>
        <v>2.5944699692244457</v>
      </c>
      <c r="AV546" s="1">
        <f t="shared" si="76"/>
        <v>1.8824661878183071</v>
      </c>
      <c r="AW546" s="1">
        <f t="shared" si="77"/>
        <v>1.1704624064121685</v>
      </c>
    </row>
    <row r="547" spans="1:49" x14ac:dyDescent="0.2">
      <c r="A547">
        <v>545</v>
      </c>
      <c r="B547" t="s">
        <v>3864</v>
      </c>
      <c r="C547" t="s">
        <v>3863</v>
      </c>
      <c r="F547" t="s">
        <v>3862</v>
      </c>
      <c r="G547" t="s">
        <v>15</v>
      </c>
      <c r="H547" t="s">
        <v>14</v>
      </c>
      <c r="I547" t="s">
        <v>3861</v>
      </c>
      <c r="J547" t="s">
        <v>3856</v>
      </c>
      <c r="K547" t="s">
        <v>3860</v>
      </c>
      <c r="L547" t="s">
        <v>3859</v>
      </c>
      <c r="M547" t="s">
        <v>9</v>
      </c>
      <c r="N547">
        <v>2</v>
      </c>
      <c r="O547" t="s">
        <v>3858</v>
      </c>
      <c r="P547" t="s">
        <v>3857</v>
      </c>
      <c r="Q547" t="s">
        <v>3856</v>
      </c>
      <c r="R547" s="7">
        <v>32143</v>
      </c>
      <c r="S547" s="8">
        <f t="shared" si="72"/>
        <v>1988</v>
      </c>
      <c r="T547" s="8">
        <v>1988</v>
      </c>
      <c r="U547" s="8">
        <f t="shared" si="73"/>
        <v>34</v>
      </c>
      <c r="V547" s="7">
        <v>32295</v>
      </c>
      <c r="W547" t="s">
        <v>2763</v>
      </c>
      <c r="X547" s="2">
        <v>1.774</v>
      </c>
      <c r="Y547" s="6">
        <f t="shared" si="70"/>
        <v>4.7355916820159633E-2</v>
      </c>
      <c r="AA547">
        <v>295515</v>
      </c>
      <c r="AB547">
        <v>29066</v>
      </c>
      <c r="AC547">
        <v>17414326</v>
      </c>
      <c r="AD547" t="s">
        <v>4</v>
      </c>
      <c r="AE547">
        <v>28</v>
      </c>
      <c r="AF547">
        <v>6</v>
      </c>
      <c r="AH547" t="s">
        <v>3855</v>
      </c>
      <c r="AI547" t="s">
        <v>3854</v>
      </c>
      <c r="AK547" t="s">
        <v>3853</v>
      </c>
      <c r="AL547">
        <v>3</v>
      </c>
      <c r="AM547" s="5">
        <f t="shared" si="74"/>
        <v>8.8235294117647065E-2</v>
      </c>
      <c r="AN547" s="4">
        <f t="shared" si="71"/>
        <v>1.3363921865603494E-4</v>
      </c>
      <c r="AO547" s="3"/>
      <c r="AP547">
        <v>0</v>
      </c>
      <c r="AR547" t="s">
        <v>0</v>
      </c>
      <c r="AT547" s="2">
        <v>3.1789999999999998</v>
      </c>
      <c r="AU547" s="1">
        <f t="shared" si="75"/>
        <v>3.3189233539708547</v>
      </c>
      <c r="AV547" s="1">
        <f t="shared" si="76"/>
        <v>2.3744778019407833</v>
      </c>
      <c r="AW547" s="1">
        <f t="shared" si="77"/>
        <v>1.4300322499107114</v>
      </c>
    </row>
    <row r="548" spans="1:49" x14ac:dyDescent="0.2">
      <c r="A548">
        <v>546</v>
      </c>
      <c r="B548" t="s">
        <v>3852</v>
      </c>
      <c r="C548" t="s">
        <v>3851</v>
      </c>
      <c r="F548" t="s">
        <v>3850</v>
      </c>
      <c r="G548" t="s">
        <v>15</v>
      </c>
      <c r="H548" t="s">
        <v>14</v>
      </c>
      <c r="I548" t="s">
        <v>2216</v>
      </c>
      <c r="J548">
        <v>60022109</v>
      </c>
      <c r="K548" t="s">
        <v>2096</v>
      </c>
      <c r="L548" t="s">
        <v>2095</v>
      </c>
      <c r="M548" t="s">
        <v>1011</v>
      </c>
      <c r="N548">
        <v>3</v>
      </c>
      <c r="O548" t="s">
        <v>3849</v>
      </c>
      <c r="P548" t="s">
        <v>3848</v>
      </c>
      <c r="Q548" t="s">
        <v>3847</v>
      </c>
      <c r="R548" s="7">
        <v>32143</v>
      </c>
      <c r="S548" s="8">
        <f t="shared" si="72"/>
        <v>1988</v>
      </c>
      <c r="T548" s="8">
        <v>1988</v>
      </c>
      <c r="U548" s="8">
        <f t="shared" si="73"/>
        <v>34</v>
      </c>
      <c r="V548" s="7" t="s">
        <v>3803</v>
      </c>
      <c r="W548" s="11" t="s">
        <v>1890</v>
      </c>
      <c r="X548" s="2">
        <v>2.383</v>
      </c>
      <c r="Y548" s="6">
        <f t="shared" si="70"/>
        <v>6.3612824003630442E-2</v>
      </c>
      <c r="AA548" t="s">
        <v>1889</v>
      </c>
      <c r="AB548">
        <v>101151</v>
      </c>
      <c r="AD548" t="s">
        <v>4</v>
      </c>
      <c r="AE548">
        <v>135</v>
      </c>
      <c r="AF548">
        <v>3</v>
      </c>
      <c r="AH548" t="s">
        <v>3846</v>
      </c>
      <c r="AI548" t="s">
        <v>3845</v>
      </c>
      <c r="AK548" t="s">
        <v>3844</v>
      </c>
      <c r="AL548">
        <v>21</v>
      </c>
      <c r="AM548" s="5">
        <f t="shared" si="74"/>
        <v>0.61764705882352944</v>
      </c>
      <c r="AN548" s="4">
        <f t="shared" si="71"/>
        <v>9.3547453059224456E-4</v>
      </c>
      <c r="AO548" s="3"/>
      <c r="AP548">
        <v>0</v>
      </c>
      <c r="AR548" t="s">
        <v>0</v>
      </c>
      <c r="AT548" s="2" t="s">
        <v>19</v>
      </c>
      <c r="AU548" s="1">
        <f t="shared" si="75"/>
        <v>4.4809619161718981</v>
      </c>
      <c r="AV548" s="1">
        <f t="shared" si="76"/>
        <v>3.2274149267111341</v>
      </c>
      <c r="AW548" s="1">
        <f t="shared" si="77"/>
        <v>1.9738679372503705</v>
      </c>
    </row>
    <row r="549" spans="1:49" x14ac:dyDescent="0.2">
      <c r="A549">
        <v>547</v>
      </c>
      <c r="B549" t="s">
        <v>3843</v>
      </c>
      <c r="C549" t="s">
        <v>3842</v>
      </c>
      <c r="F549" t="s">
        <v>3841</v>
      </c>
      <c r="G549" t="s">
        <v>15</v>
      </c>
      <c r="H549" t="s">
        <v>14</v>
      </c>
      <c r="I549" t="s">
        <v>3840</v>
      </c>
      <c r="N549">
        <v>1</v>
      </c>
      <c r="O549" t="s">
        <v>3839</v>
      </c>
      <c r="P549">
        <v>6507247065</v>
      </c>
      <c r="R549" s="7">
        <v>32143</v>
      </c>
      <c r="S549" s="8">
        <f t="shared" si="72"/>
        <v>1988</v>
      </c>
      <c r="T549" s="8">
        <v>1988</v>
      </c>
      <c r="U549" s="8">
        <f t="shared" si="73"/>
        <v>34</v>
      </c>
      <c r="V549" s="7">
        <v>32295</v>
      </c>
      <c r="W549" t="s">
        <v>2441</v>
      </c>
      <c r="X549" s="2">
        <v>0.78200000000000003</v>
      </c>
      <c r="Y549" s="6">
        <f t="shared" si="70"/>
        <v>2.0875043378446919E-2</v>
      </c>
      <c r="AA549">
        <v>189316</v>
      </c>
      <c r="AB549">
        <v>19901</v>
      </c>
      <c r="AC549">
        <v>15579611</v>
      </c>
      <c r="AD549" t="s">
        <v>4</v>
      </c>
      <c r="AE549">
        <v>34</v>
      </c>
      <c r="AF549">
        <v>2</v>
      </c>
      <c r="AH549" t="s">
        <v>3838</v>
      </c>
      <c r="AI549" t="s">
        <v>3837</v>
      </c>
      <c r="AK549" t="s">
        <v>3836</v>
      </c>
      <c r="AL549">
        <v>1</v>
      </c>
      <c r="AM549" s="5">
        <f t="shared" si="74"/>
        <v>2.9411764705882353E-2</v>
      </c>
      <c r="AN549" s="4">
        <f t="shared" si="71"/>
        <v>4.4546406218678307E-5</v>
      </c>
      <c r="AO549" s="3"/>
      <c r="AP549">
        <v>0</v>
      </c>
      <c r="AR549" t="s">
        <v>0</v>
      </c>
      <c r="AT549" s="2">
        <v>3.863</v>
      </c>
      <c r="AU549" s="1">
        <f t="shared" si="75"/>
        <v>1.4625894286778445</v>
      </c>
      <c r="AV549" s="1">
        <f t="shared" si="76"/>
        <v>1.0459794892332799</v>
      </c>
      <c r="AW549" s="1">
        <f t="shared" si="77"/>
        <v>0.62936954978871507</v>
      </c>
    </row>
    <row r="550" spans="1:49" x14ac:dyDescent="0.2">
      <c r="A550">
        <v>548</v>
      </c>
      <c r="B550" t="s">
        <v>3835</v>
      </c>
      <c r="C550" t="s">
        <v>3834</v>
      </c>
      <c r="F550" t="s">
        <v>3833</v>
      </c>
      <c r="G550" t="s">
        <v>15</v>
      </c>
      <c r="H550" t="s">
        <v>14</v>
      </c>
      <c r="I550" t="s">
        <v>3832</v>
      </c>
      <c r="J550">
        <v>60016724</v>
      </c>
      <c r="K550" t="s">
        <v>3831</v>
      </c>
      <c r="L550" t="s">
        <v>2286</v>
      </c>
      <c r="M550" t="s">
        <v>456</v>
      </c>
      <c r="N550">
        <v>1</v>
      </c>
      <c r="O550" t="s">
        <v>3830</v>
      </c>
      <c r="P550">
        <v>8241860200</v>
      </c>
      <c r="Q550">
        <v>60016724</v>
      </c>
      <c r="R550" s="7">
        <v>32143</v>
      </c>
      <c r="S550" s="8">
        <f t="shared" si="72"/>
        <v>1988</v>
      </c>
      <c r="T550" s="8">
        <v>1988</v>
      </c>
      <c r="U550" s="8">
        <f t="shared" si="73"/>
        <v>34</v>
      </c>
      <c r="V550" s="7">
        <v>32295</v>
      </c>
      <c r="W550" t="s">
        <v>3829</v>
      </c>
      <c r="X550" s="2">
        <v>0.73</v>
      </c>
      <c r="Y550" s="6">
        <f t="shared" si="70"/>
        <v>1.9486933077066816E-2</v>
      </c>
      <c r="AA550">
        <v>8906327</v>
      </c>
      <c r="AB550">
        <v>17960</v>
      </c>
      <c r="AC550">
        <v>10991115</v>
      </c>
      <c r="AD550" t="s">
        <v>4</v>
      </c>
      <c r="AE550">
        <v>2</v>
      </c>
      <c r="AF550">
        <v>2</v>
      </c>
      <c r="AH550" t="s">
        <v>3828</v>
      </c>
      <c r="AI550" t="s">
        <v>3827</v>
      </c>
      <c r="AJ550" t="s">
        <v>3826</v>
      </c>
      <c r="AK550" t="s">
        <v>3825</v>
      </c>
      <c r="AL550">
        <v>1</v>
      </c>
      <c r="AM550" s="5">
        <f t="shared" si="74"/>
        <v>2.9411764705882353E-2</v>
      </c>
      <c r="AN550" s="4">
        <f t="shared" si="71"/>
        <v>4.4546406218678307E-5</v>
      </c>
      <c r="AO550" s="3"/>
      <c r="AP550">
        <v>0</v>
      </c>
      <c r="AR550" t="s">
        <v>0</v>
      </c>
      <c r="AT550" s="2">
        <v>3.637</v>
      </c>
      <c r="AU550" s="1">
        <f t="shared" si="75"/>
        <v>1.3654217075812374</v>
      </c>
      <c r="AV550" s="1">
        <f t="shared" si="76"/>
        <v>0.97657397416427483</v>
      </c>
      <c r="AW550" s="1">
        <f t="shared" si="77"/>
        <v>0.58772624074731183</v>
      </c>
    </row>
    <row r="551" spans="1:49" x14ac:dyDescent="0.2">
      <c r="A551">
        <v>549</v>
      </c>
      <c r="B551" t="s">
        <v>3824</v>
      </c>
      <c r="C551" t="s">
        <v>3823</v>
      </c>
      <c r="F551" t="s">
        <v>3822</v>
      </c>
      <c r="G551" t="s">
        <v>15</v>
      </c>
      <c r="H551" t="s">
        <v>14</v>
      </c>
      <c r="I551" t="s">
        <v>3821</v>
      </c>
      <c r="J551" t="s">
        <v>3820</v>
      </c>
      <c r="K551" t="s">
        <v>3819</v>
      </c>
      <c r="L551" t="s">
        <v>3818</v>
      </c>
      <c r="M551" t="s">
        <v>9</v>
      </c>
      <c r="N551">
        <v>3</v>
      </c>
      <c r="O551" t="s">
        <v>3817</v>
      </c>
      <c r="P551" t="s">
        <v>3816</v>
      </c>
      <c r="Q551" t="s">
        <v>3815</v>
      </c>
      <c r="R551" s="7">
        <v>32143</v>
      </c>
      <c r="S551" s="8">
        <f t="shared" si="72"/>
        <v>1988</v>
      </c>
      <c r="T551" s="8">
        <v>1988</v>
      </c>
      <c r="U551" s="8">
        <f t="shared" si="73"/>
        <v>34</v>
      </c>
      <c r="V551" s="7">
        <v>32295</v>
      </c>
      <c r="W551" t="s">
        <v>3814</v>
      </c>
      <c r="X551" s="2">
        <v>1.6379999999999999</v>
      </c>
      <c r="Y551" s="6">
        <f t="shared" si="70"/>
        <v>4.3725474493473214E-2</v>
      </c>
      <c r="AA551">
        <v>963518</v>
      </c>
      <c r="AB551">
        <v>31560</v>
      </c>
      <c r="AD551" t="s">
        <v>4</v>
      </c>
      <c r="AE551">
        <v>36</v>
      </c>
      <c r="AF551">
        <v>6</v>
      </c>
      <c r="AH551" t="s">
        <v>3813</v>
      </c>
      <c r="AI551" t="s">
        <v>3812</v>
      </c>
      <c r="AK551" t="s">
        <v>3811</v>
      </c>
      <c r="AL551">
        <v>70</v>
      </c>
      <c r="AM551" s="5">
        <f t="shared" si="74"/>
        <v>2.0588235294117645</v>
      </c>
      <c r="AN551" s="4">
        <f t="shared" si="71"/>
        <v>3.1182484353074811E-3</v>
      </c>
      <c r="AO551" s="3"/>
      <c r="AP551">
        <v>0</v>
      </c>
      <c r="AQ551" t="s">
        <v>1636</v>
      </c>
      <c r="AR551" t="s">
        <v>3810</v>
      </c>
      <c r="AS551" t="s">
        <v>1634</v>
      </c>
      <c r="AT551" s="2" t="s">
        <v>19</v>
      </c>
      <c r="AU551" s="1">
        <f t="shared" si="75"/>
        <v>3.1543306676023493</v>
      </c>
      <c r="AV551" s="1">
        <f t="shared" si="76"/>
        <v>2.342186146439035</v>
      </c>
      <c r="AW551" s="1">
        <f t="shared" si="77"/>
        <v>1.5300416252757201</v>
      </c>
    </row>
    <row r="552" spans="1:49" x14ac:dyDescent="0.2">
      <c r="A552">
        <v>550</v>
      </c>
      <c r="B552" t="s">
        <v>3809</v>
      </c>
      <c r="C552" t="s">
        <v>3808</v>
      </c>
      <c r="F552" t="s">
        <v>3807</v>
      </c>
      <c r="G552" t="s">
        <v>15</v>
      </c>
      <c r="H552" t="s">
        <v>14</v>
      </c>
      <c r="I552" t="s">
        <v>3806</v>
      </c>
      <c r="J552">
        <v>60009658</v>
      </c>
      <c r="K552" t="s">
        <v>1013</v>
      </c>
      <c r="L552" t="s">
        <v>1012</v>
      </c>
      <c r="M552" t="s">
        <v>1011</v>
      </c>
      <c r="N552">
        <v>2</v>
      </c>
      <c r="O552" t="s">
        <v>3805</v>
      </c>
      <c r="P552" t="s">
        <v>3804</v>
      </c>
      <c r="Q552" t="s">
        <v>1008</v>
      </c>
      <c r="R552" s="7">
        <v>32143</v>
      </c>
      <c r="S552" s="8">
        <f t="shared" si="72"/>
        <v>1988</v>
      </c>
      <c r="T552" s="8">
        <v>1988</v>
      </c>
      <c r="U552" s="8">
        <f t="shared" si="73"/>
        <v>34</v>
      </c>
      <c r="V552" s="7" t="s">
        <v>3803</v>
      </c>
      <c r="W552" s="11" t="s">
        <v>1890</v>
      </c>
      <c r="X552" s="2">
        <v>2.383</v>
      </c>
      <c r="Y552" s="6">
        <f t="shared" si="70"/>
        <v>6.3612824003630442E-2</v>
      </c>
      <c r="AA552" t="s">
        <v>1889</v>
      </c>
      <c r="AB552">
        <v>101151</v>
      </c>
      <c r="AD552" t="s">
        <v>4</v>
      </c>
      <c r="AE552">
        <v>135</v>
      </c>
      <c r="AF552">
        <v>3</v>
      </c>
      <c r="AH552" t="s">
        <v>3802</v>
      </c>
      <c r="AI552" t="s">
        <v>3801</v>
      </c>
      <c r="AK552" t="s">
        <v>3800</v>
      </c>
      <c r="AL552">
        <v>109</v>
      </c>
      <c r="AM552" s="5">
        <f t="shared" si="74"/>
        <v>3.2058823529411766</v>
      </c>
      <c r="AN552" s="4">
        <f t="shared" si="71"/>
        <v>4.855558277835936E-3</v>
      </c>
      <c r="AO552" s="3"/>
      <c r="AP552">
        <v>0</v>
      </c>
      <c r="AR552" t="s">
        <v>0</v>
      </c>
      <c r="AT552" s="2" t="s">
        <v>19</v>
      </c>
      <c r="AU552" s="1">
        <f t="shared" si="75"/>
        <v>4.5985644285892091</v>
      </c>
      <c r="AV552" s="1">
        <f t="shared" si="76"/>
        <v>3.4234191140733188</v>
      </c>
      <c r="AW552" s="1">
        <f t="shared" si="77"/>
        <v>2.2482737995574289</v>
      </c>
    </row>
    <row r="553" spans="1:49" x14ac:dyDescent="0.2">
      <c r="A553">
        <v>551</v>
      </c>
      <c r="B553" t="s">
        <v>3799</v>
      </c>
      <c r="C553" t="s">
        <v>3798</v>
      </c>
      <c r="F553" t="s">
        <v>3797</v>
      </c>
      <c r="G553" t="s">
        <v>15</v>
      </c>
      <c r="H553" t="s">
        <v>14</v>
      </c>
      <c r="I553" t="s">
        <v>3796</v>
      </c>
      <c r="N553">
        <v>2</v>
      </c>
      <c r="O553" t="s">
        <v>3795</v>
      </c>
      <c r="P553" t="s">
        <v>3794</v>
      </c>
      <c r="Q553" t="s">
        <v>501</v>
      </c>
      <c r="R553" s="7">
        <v>32143</v>
      </c>
      <c r="S553" s="8">
        <f t="shared" si="72"/>
        <v>1988</v>
      </c>
      <c r="T553" s="8">
        <v>1988</v>
      </c>
      <c r="U553" s="8">
        <f t="shared" si="73"/>
        <v>34</v>
      </c>
      <c r="V553" s="7">
        <v>32295</v>
      </c>
      <c r="W553" t="s">
        <v>2441</v>
      </c>
      <c r="X553" s="2">
        <v>0.78200000000000003</v>
      </c>
      <c r="Y553" s="6">
        <f t="shared" si="70"/>
        <v>2.0875043378446919E-2</v>
      </c>
      <c r="AA553">
        <v>189316</v>
      </c>
      <c r="AB553">
        <v>19901</v>
      </c>
      <c r="AC553">
        <v>15579611</v>
      </c>
      <c r="AD553" t="s">
        <v>4</v>
      </c>
      <c r="AE553">
        <v>34</v>
      </c>
      <c r="AF553">
        <v>2</v>
      </c>
      <c r="AH553" t="s">
        <v>3793</v>
      </c>
      <c r="AI553" t="s">
        <v>3792</v>
      </c>
      <c r="AK553" t="s">
        <v>3791</v>
      </c>
      <c r="AL553">
        <v>0</v>
      </c>
      <c r="AM553" s="5">
        <f t="shared" si="74"/>
        <v>0</v>
      </c>
      <c r="AN553" s="4">
        <f t="shared" si="71"/>
        <v>0</v>
      </c>
      <c r="AO553" s="3"/>
      <c r="AP553">
        <v>0</v>
      </c>
      <c r="AR553" t="s">
        <v>0</v>
      </c>
      <c r="AT553" s="2">
        <v>3.863</v>
      </c>
      <c r="AU553" s="1">
        <f t="shared" si="75"/>
        <v>1.4612530364912841</v>
      </c>
      <c r="AV553" s="1">
        <f t="shared" si="76"/>
        <v>1.0437521689223459</v>
      </c>
      <c r="AW553" s="1">
        <f t="shared" si="77"/>
        <v>0.62625130135340756</v>
      </c>
    </row>
    <row r="554" spans="1:49" x14ac:dyDescent="0.2">
      <c r="A554">
        <v>552</v>
      </c>
      <c r="B554" t="s">
        <v>3790</v>
      </c>
      <c r="C554" t="s">
        <v>3789</v>
      </c>
      <c r="F554" t="s">
        <v>3788</v>
      </c>
      <c r="G554" t="s">
        <v>15</v>
      </c>
      <c r="H554" t="s">
        <v>14</v>
      </c>
      <c r="I554" t="s">
        <v>3787</v>
      </c>
      <c r="J554">
        <v>60019141</v>
      </c>
      <c r="K554" t="s">
        <v>3786</v>
      </c>
      <c r="L554" t="s">
        <v>482</v>
      </c>
      <c r="M554" t="s">
        <v>481</v>
      </c>
      <c r="N554">
        <v>3</v>
      </c>
      <c r="O554" t="s">
        <v>3785</v>
      </c>
      <c r="P554" t="s">
        <v>3784</v>
      </c>
      <c r="Q554" t="s">
        <v>3783</v>
      </c>
      <c r="R554" s="7">
        <v>32143</v>
      </c>
      <c r="S554" s="8">
        <f t="shared" si="72"/>
        <v>1988</v>
      </c>
      <c r="T554" s="8">
        <v>1988</v>
      </c>
      <c r="U554" s="8">
        <f t="shared" si="73"/>
        <v>34</v>
      </c>
      <c r="V554" s="7">
        <v>32295</v>
      </c>
      <c r="W554" t="s">
        <v>2773</v>
      </c>
      <c r="X554" s="2">
        <v>0.46</v>
      </c>
      <c r="Y554" s="6">
        <f t="shared" si="70"/>
        <v>1.2279437281439364E-2</v>
      </c>
      <c r="AA554">
        <v>933813</v>
      </c>
      <c r="AB554">
        <v>28031</v>
      </c>
      <c r="AC554">
        <v>19399375</v>
      </c>
      <c r="AD554" t="s">
        <v>4</v>
      </c>
      <c r="AE554">
        <v>16</v>
      </c>
      <c r="AF554">
        <v>3</v>
      </c>
      <c r="AH554" t="s">
        <v>3782</v>
      </c>
      <c r="AI554" t="s">
        <v>3781</v>
      </c>
      <c r="AK554" t="s">
        <v>3780</v>
      </c>
      <c r="AL554">
        <v>4</v>
      </c>
      <c r="AM554" s="5">
        <f t="shared" si="74"/>
        <v>0.11764705882352941</v>
      </c>
      <c r="AN554" s="4">
        <f t="shared" si="71"/>
        <v>1.7818562487471323E-4</v>
      </c>
      <c r="AO554" s="3"/>
      <c r="AP554">
        <v>0</v>
      </c>
      <c r="AR554" t="s">
        <v>0</v>
      </c>
      <c r="AT554" s="2">
        <v>1.222</v>
      </c>
      <c r="AU554" s="1">
        <f t="shared" si="75"/>
        <v>0.8649061784469968</v>
      </c>
      <c r="AV554" s="1">
        <f t="shared" si="76"/>
        <v>0.62288114531570382</v>
      </c>
      <c r="AW554" s="1">
        <f t="shared" si="77"/>
        <v>0.38085611218441084</v>
      </c>
    </row>
    <row r="555" spans="1:49" x14ac:dyDescent="0.2">
      <c r="A555">
        <v>553</v>
      </c>
      <c r="B555" t="s">
        <v>3779</v>
      </c>
      <c r="C555" t="s">
        <v>3778</v>
      </c>
      <c r="F555" t="s">
        <v>3777</v>
      </c>
      <c r="G555" t="s">
        <v>15</v>
      </c>
      <c r="H555" t="s">
        <v>14</v>
      </c>
      <c r="I555" t="s">
        <v>3776</v>
      </c>
      <c r="J555" t="s">
        <v>3775</v>
      </c>
      <c r="K555" t="s">
        <v>3774</v>
      </c>
      <c r="L555" t="s">
        <v>3773</v>
      </c>
      <c r="M555" t="s">
        <v>352</v>
      </c>
      <c r="N555">
        <v>2</v>
      </c>
      <c r="O555" t="s">
        <v>3772</v>
      </c>
      <c r="P555" t="s">
        <v>3771</v>
      </c>
      <c r="Q555" t="s">
        <v>3770</v>
      </c>
      <c r="R555" s="7">
        <v>32143</v>
      </c>
      <c r="S555" s="8">
        <f t="shared" si="72"/>
        <v>1988</v>
      </c>
      <c r="T555" s="8">
        <v>1988</v>
      </c>
      <c r="U555" s="8">
        <f t="shared" si="73"/>
        <v>34</v>
      </c>
      <c r="V555" s="7">
        <v>32295</v>
      </c>
      <c r="W555" t="s">
        <v>1073</v>
      </c>
      <c r="X555" s="2">
        <v>1.3720000000000001</v>
      </c>
      <c r="Y555" s="6">
        <f t="shared" si="70"/>
        <v>3.662475641333654E-2</v>
      </c>
      <c r="AA555">
        <v>189480</v>
      </c>
      <c r="AB555">
        <v>17366</v>
      </c>
      <c r="AC555">
        <v>15579670</v>
      </c>
      <c r="AD555" t="s">
        <v>4</v>
      </c>
      <c r="AE555">
        <v>36</v>
      </c>
      <c r="AF555">
        <v>6</v>
      </c>
      <c r="AH555" t="s">
        <v>3769</v>
      </c>
      <c r="AI555" t="s">
        <v>3768</v>
      </c>
      <c r="AK555" t="s">
        <v>3767</v>
      </c>
      <c r="AL555">
        <v>24</v>
      </c>
      <c r="AM555" s="5">
        <f t="shared" si="74"/>
        <v>0.70588235294117652</v>
      </c>
      <c r="AN555" s="4">
        <f t="shared" si="71"/>
        <v>1.0691137492482795E-3</v>
      </c>
      <c r="AO555" s="3"/>
      <c r="AP555">
        <v>0</v>
      </c>
      <c r="AR555" t="s">
        <v>0</v>
      </c>
      <c r="AT555" s="2" t="s">
        <v>19</v>
      </c>
      <c r="AU555" s="1">
        <f t="shared" si="75"/>
        <v>2.5958063614110061</v>
      </c>
      <c r="AV555" s="1">
        <f t="shared" si="76"/>
        <v>1.8846935081292409</v>
      </c>
      <c r="AW555" s="1">
        <f t="shared" si="77"/>
        <v>1.1735806548474759</v>
      </c>
    </row>
    <row r="556" spans="1:49" x14ac:dyDescent="0.2">
      <c r="A556">
        <v>554</v>
      </c>
      <c r="B556" t="s">
        <v>3766</v>
      </c>
      <c r="C556" t="s">
        <v>3765</v>
      </c>
      <c r="E556">
        <v>3286619</v>
      </c>
      <c r="F556" t="s">
        <v>3764</v>
      </c>
      <c r="G556" t="s">
        <v>15</v>
      </c>
      <c r="H556" t="s">
        <v>14</v>
      </c>
      <c r="I556" t="s">
        <v>3763</v>
      </c>
      <c r="J556">
        <v>60007257</v>
      </c>
      <c r="K556" t="s">
        <v>3762</v>
      </c>
      <c r="L556" t="s">
        <v>1668</v>
      </c>
      <c r="M556" t="s">
        <v>45</v>
      </c>
      <c r="N556">
        <v>4</v>
      </c>
      <c r="O556" t="s">
        <v>3761</v>
      </c>
      <c r="P556" t="s">
        <v>3760</v>
      </c>
      <c r="Q556" t="s">
        <v>3759</v>
      </c>
      <c r="R556" s="7">
        <v>32143</v>
      </c>
      <c r="S556" s="8">
        <f t="shared" si="72"/>
        <v>1988</v>
      </c>
      <c r="T556" s="8">
        <v>1988</v>
      </c>
      <c r="U556" s="8">
        <f t="shared" si="73"/>
        <v>34</v>
      </c>
      <c r="V556" s="7">
        <v>32295</v>
      </c>
      <c r="W556" t="s">
        <v>3758</v>
      </c>
      <c r="X556" s="2" t="s">
        <v>19</v>
      </c>
      <c r="Y556" s="6" t="e">
        <f t="shared" si="70"/>
        <v>#VALUE!</v>
      </c>
      <c r="AA556">
        <v>219193</v>
      </c>
      <c r="AB556">
        <v>20220</v>
      </c>
      <c r="AD556" t="s">
        <v>4</v>
      </c>
      <c r="AE556">
        <v>170</v>
      </c>
      <c r="AF556">
        <v>6</v>
      </c>
      <c r="AH556" t="s">
        <v>3757</v>
      </c>
      <c r="AI556" t="s">
        <v>3756</v>
      </c>
      <c r="AK556" t="s">
        <v>3755</v>
      </c>
      <c r="AL556">
        <v>9</v>
      </c>
      <c r="AM556" s="5">
        <f t="shared" si="74"/>
        <v>0.26470588235294118</v>
      </c>
      <c r="AN556" s="4">
        <f t="shared" si="71"/>
        <v>4.009176559681048E-4</v>
      </c>
      <c r="AO556" s="3"/>
      <c r="AP556">
        <v>1</v>
      </c>
      <c r="AR556" t="s">
        <v>0</v>
      </c>
      <c r="AT556" s="2">
        <v>3.49</v>
      </c>
      <c r="AU556" s="1" t="e">
        <f t="shared" si="75"/>
        <v>#VALUE!</v>
      </c>
      <c r="AV556" s="1" t="e">
        <f t="shared" si="76"/>
        <v>#VALUE!</v>
      </c>
      <c r="AW556" s="1" t="e">
        <f t="shared" si="77"/>
        <v>#VALUE!</v>
      </c>
    </row>
    <row r="557" spans="1:49" x14ac:dyDescent="0.2">
      <c r="A557">
        <v>555</v>
      </c>
      <c r="B557" t="s">
        <v>3754</v>
      </c>
      <c r="C557" t="s">
        <v>3753</v>
      </c>
      <c r="F557" t="s">
        <v>3752</v>
      </c>
      <c r="G557" t="s">
        <v>15</v>
      </c>
      <c r="H557" t="s">
        <v>14</v>
      </c>
      <c r="I557" t="s">
        <v>3751</v>
      </c>
      <c r="J557">
        <v>60015099</v>
      </c>
      <c r="K557" t="s">
        <v>3750</v>
      </c>
      <c r="L557" t="s">
        <v>3530</v>
      </c>
      <c r="M557" t="s">
        <v>31</v>
      </c>
      <c r="N557">
        <v>1</v>
      </c>
      <c r="O557" t="s">
        <v>3749</v>
      </c>
      <c r="P557">
        <v>57203558701</v>
      </c>
      <c r="Q557">
        <v>60015099</v>
      </c>
      <c r="R557" s="7">
        <v>32143</v>
      </c>
      <c r="S557" s="8">
        <f t="shared" si="72"/>
        <v>1988</v>
      </c>
      <c r="T557" s="8">
        <v>1988</v>
      </c>
      <c r="U557" s="8">
        <f t="shared" si="73"/>
        <v>34</v>
      </c>
      <c r="V557" s="7">
        <v>32295</v>
      </c>
      <c r="W557" t="s">
        <v>69</v>
      </c>
      <c r="X557" s="2">
        <v>1.6519999999999999</v>
      </c>
      <c r="Y557" s="6">
        <f t="shared" si="70"/>
        <v>4.409919649769093E-2</v>
      </c>
      <c r="AA557" t="s">
        <v>68</v>
      </c>
      <c r="AB557">
        <v>17337</v>
      </c>
      <c r="AC557">
        <v>15582221</v>
      </c>
      <c r="AD557" t="s">
        <v>4</v>
      </c>
      <c r="AE557">
        <v>36</v>
      </c>
      <c r="AF557">
        <v>6</v>
      </c>
      <c r="AH557" t="s">
        <v>3748</v>
      </c>
      <c r="AI557" t="s">
        <v>3747</v>
      </c>
      <c r="AK557" t="s">
        <v>3746</v>
      </c>
      <c r="AL557">
        <v>145</v>
      </c>
      <c r="AM557" s="5">
        <f t="shared" si="74"/>
        <v>4.2647058823529411</v>
      </c>
      <c r="AN557" s="4">
        <f t="shared" si="71"/>
        <v>6.4592289017083547E-3</v>
      </c>
      <c r="AO557" s="3"/>
      <c r="AP557">
        <v>0</v>
      </c>
      <c r="AR557" t="s">
        <v>0</v>
      </c>
      <c r="AT557" s="2" t="s">
        <v>19</v>
      </c>
      <c r="AU557" s="1">
        <f t="shared" si="75"/>
        <v>3.2807206218896159</v>
      </c>
      <c r="AV557" s="1">
        <f t="shared" si="76"/>
        <v>2.5279212699699642</v>
      </c>
      <c r="AW557" s="1">
        <f t="shared" si="77"/>
        <v>1.7751219180503126</v>
      </c>
    </row>
    <row r="558" spans="1:49" x14ac:dyDescent="0.2">
      <c r="A558">
        <v>556</v>
      </c>
      <c r="B558" t="s">
        <v>3745</v>
      </c>
      <c r="C558" t="s">
        <v>3744</v>
      </c>
      <c r="F558" t="s">
        <v>3743</v>
      </c>
      <c r="G558" t="s">
        <v>15</v>
      </c>
      <c r="H558" t="s">
        <v>14</v>
      </c>
      <c r="I558" t="s">
        <v>3742</v>
      </c>
      <c r="J558" t="s">
        <v>3741</v>
      </c>
      <c r="K558" t="s">
        <v>3740</v>
      </c>
      <c r="L558" t="s">
        <v>3739</v>
      </c>
      <c r="M558" t="s">
        <v>352</v>
      </c>
      <c r="N558">
        <v>2</v>
      </c>
      <c r="O558" t="s">
        <v>3738</v>
      </c>
      <c r="P558" t="s">
        <v>3737</v>
      </c>
      <c r="Q558" t="s">
        <v>3736</v>
      </c>
      <c r="R558" s="7">
        <v>32143</v>
      </c>
      <c r="S558" s="8">
        <f t="shared" si="72"/>
        <v>1988</v>
      </c>
      <c r="T558" s="8">
        <v>1988</v>
      </c>
      <c r="U558" s="8">
        <f t="shared" si="73"/>
        <v>34</v>
      </c>
      <c r="V558" s="7">
        <v>32295</v>
      </c>
      <c r="W558" t="s">
        <v>2579</v>
      </c>
      <c r="X558" s="2">
        <v>0.82</v>
      </c>
      <c r="Y558" s="6">
        <f t="shared" si="70"/>
        <v>2.1889431675609299E-2</v>
      </c>
      <c r="AA558">
        <v>189456</v>
      </c>
      <c r="AB558">
        <v>15361</v>
      </c>
      <c r="AC558">
        <v>15579662</v>
      </c>
      <c r="AD558" t="s">
        <v>4</v>
      </c>
      <c r="AE558">
        <v>37</v>
      </c>
      <c r="AF558">
        <v>2</v>
      </c>
      <c r="AH558" t="s">
        <v>3735</v>
      </c>
      <c r="AI558" t="s">
        <v>3734</v>
      </c>
      <c r="AK558" t="s">
        <v>3733</v>
      </c>
      <c r="AL558">
        <v>1</v>
      </c>
      <c r="AM558" s="5">
        <f t="shared" si="74"/>
        <v>2.9411764705882353E-2</v>
      </c>
      <c r="AN558" s="4">
        <f t="shared" si="71"/>
        <v>4.4546406218678307E-5</v>
      </c>
      <c r="AO558" s="3"/>
      <c r="AP558">
        <v>0</v>
      </c>
      <c r="AR558" t="s">
        <v>0</v>
      </c>
      <c r="AT558" s="2" t="s">
        <v>19</v>
      </c>
      <c r="AU558" s="1">
        <f t="shared" si="75"/>
        <v>1.5335966094792111</v>
      </c>
      <c r="AV558" s="1">
        <f t="shared" si="76"/>
        <v>1.0966989040913988</v>
      </c>
      <c r="AW558" s="1">
        <f t="shared" si="77"/>
        <v>0.65980119870358633</v>
      </c>
    </row>
    <row r="559" spans="1:49" x14ac:dyDescent="0.2">
      <c r="A559">
        <v>557</v>
      </c>
      <c r="B559" t="s">
        <v>3732</v>
      </c>
      <c r="C559" t="s">
        <v>3731</v>
      </c>
      <c r="F559" t="s">
        <v>3730</v>
      </c>
      <c r="G559" t="s">
        <v>15</v>
      </c>
      <c r="H559" t="s">
        <v>14</v>
      </c>
      <c r="I559" t="s">
        <v>3729</v>
      </c>
      <c r="J559" t="s">
        <v>3728</v>
      </c>
      <c r="K559" t="s">
        <v>3727</v>
      </c>
      <c r="L559" t="s">
        <v>3726</v>
      </c>
      <c r="M559" t="s">
        <v>3725</v>
      </c>
      <c r="N559">
        <v>2</v>
      </c>
      <c r="O559" t="s">
        <v>3724</v>
      </c>
      <c r="P559" t="s">
        <v>3723</v>
      </c>
      <c r="Q559" t="s">
        <v>3722</v>
      </c>
      <c r="R559" s="7">
        <v>32143</v>
      </c>
      <c r="S559" s="8">
        <f t="shared" si="72"/>
        <v>1988</v>
      </c>
      <c r="T559" s="8">
        <v>1988</v>
      </c>
      <c r="U559" s="8">
        <f t="shared" si="73"/>
        <v>34</v>
      </c>
      <c r="V559" s="7">
        <v>32295</v>
      </c>
      <c r="W559" t="s">
        <v>69</v>
      </c>
      <c r="X559" s="2">
        <v>1.6519999999999999</v>
      </c>
      <c r="Y559" s="6">
        <f t="shared" si="70"/>
        <v>4.409919649769093E-2</v>
      </c>
      <c r="AA559" t="s">
        <v>68</v>
      </c>
      <c r="AB559">
        <v>17337</v>
      </c>
      <c r="AC559">
        <v>15582221</v>
      </c>
      <c r="AD559" t="s">
        <v>4</v>
      </c>
      <c r="AE559">
        <v>36</v>
      </c>
      <c r="AF559">
        <v>6</v>
      </c>
      <c r="AH559" t="s">
        <v>3721</v>
      </c>
      <c r="AI559" t="s">
        <v>3720</v>
      </c>
      <c r="AK559" t="s">
        <v>3719</v>
      </c>
      <c r="AL559">
        <v>30</v>
      </c>
      <c r="AM559" s="5">
        <f t="shared" si="74"/>
        <v>0.88235294117647056</v>
      </c>
      <c r="AN559" s="4">
        <f t="shared" si="71"/>
        <v>1.3363921865603492E-3</v>
      </c>
      <c r="AO559" s="3"/>
      <c r="AP559">
        <v>0</v>
      </c>
      <c r="AQ559" t="s">
        <v>577</v>
      </c>
      <c r="AR559" t="s">
        <v>0</v>
      </c>
      <c r="AS559" t="s">
        <v>575</v>
      </c>
      <c r="AT559" s="2" t="s">
        <v>19</v>
      </c>
      <c r="AU559" s="1">
        <f t="shared" si="75"/>
        <v>3.1270355204351756</v>
      </c>
      <c r="AV559" s="1">
        <f t="shared" si="76"/>
        <v>2.2717794342125641</v>
      </c>
      <c r="AW559" s="1">
        <f t="shared" si="77"/>
        <v>1.4165233479899522</v>
      </c>
    </row>
    <row r="560" spans="1:49" x14ac:dyDescent="0.2">
      <c r="A560">
        <v>558</v>
      </c>
      <c r="B560" t="s">
        <v>3718</v>
      </c>
      <c r="C560" t="s">
        <v>3717</v>
      </c>
      <c r="F560" t="s">
        <v>3716</v>
      </c>
      <c r="G560" t="s">
        <v>15</v>
      </c>
      <c r="H560" t="s">
        <v>14</v>
      </c>
      <c r="I560" t="s">
        <v>3715</v>
      </c>
      <c r="J560" t="s">
        <v>3714</v>
      </c>
      <c r="K560" t="s">
        <v>3713</v>
      </c>
      <c r="L560" t="s">
        <v>3712</v>
      </c>
      <c r="M560" t="s">
        <v>3711</v>
      </c>
      <c r="N560">
        <v>2</v>
      </c>
      <c r="O560" t="s">
        <v>3710</v>
      </c>
      <c r="P560" t="s">
        <v>3709</v>
      </c>
      <c r="Q560" t="s">
        <v>3708</v>
      </c>
      <c r="R560" s="7">
        <v>32143</v>
      </c>
      <c r="S560" s="8">
        <f t="shared" si="72"/>
        <v>1988</v>
      </c>
      <c r="T560" s="8">
        <v>1988</v>
      </c>
      <c r="U560" s="8">
        <f t="shared" si="73"/>
        <v>34</v>
      </c>
      <c r="V560" s="7">
        <v>32295</v>
      </c>
      <c r="W560" t="s">
        <v>69</v>
      </c>
      <c r="X560" s="2">
        <v>1.6519999999999999</v>
      </c>
      <c r="Y560" s="6">
        <f t="shared" si="70"/>
        <v>4.409919649769093E-2</v>
      </c>
      <c r="AA560" t="s">
        <v>68</v>
      </c>
      <c r="AB560">
        <v>17337</v>
      </c>
      <c r="AC560">
        <v>15582221</v>
      </c>
      <c r="AD560" t="s">
        <v>4</v>
      </c>
      <c r="AE560">
        <v>36</v>
      </c>
      <c r="AF560">
        <v>6</v>
      </c>
      <c r="AH560" t="s">
        <v>3707</v>
      </c>
      <c r="AI560" t="s">
        <v>3706</v>
      </c>
      <c r="AK560" t="s">
        <v>3705</v>
      </c>
      <c r="AL560">
        <v>30</v>
      </c>
      <c r="AM560" s="5">
        <f t="shared" si="74"/>
        <v>0.88235294117647056</v>
      </c>
      <c r="AN560" s="4">
        <f t="shared" si="71"/>
        <v>1.3363921865603492E-3</v>
      </c>
      <c r="AO560" s="3"/>
      <c r="AP560">
        <v>0</v>
      </c>
      <c r="AQ560" t="s">
        <v>3704</v>
      </c>
      <c r="AR560" t="s">
        <v>0</v>
      </c>
      <c r="AS560" t="s">
        <v>3703</v>
      </c>
      <c r="AT560" s="2" t="s">
        <v>19</v>
      </c>
      <c r="AU560" s="1">
        <f t="shared" si="75"/>
        <v>3.1270355204351756</v>
      </c>
      <c r="AV560" s="1">
        <f t="shared" si="76"/>
        <v>2.2717794342125641</v>
      </c>
      <c r="AW560" s="1">
        <f t="shared" si="77"/>
        <v>1.4165233479899522</v>
      </c>
    </row>
    <row r="561" spans="1:49" x14ac:dyDescent="0.2">
      <c r="A561">
        <v>559</v>
      </c>
      <c r="B561" t="s">
        <v>3702</v>
      </c>
      <c r="C561" t="s">
        <v>3701</v>
      </c>
      <c r="F561" t="s">
        <v>3700</v>
      </c>
      <c r="G561" t="s">
        <v>15</v>
      </c>
      <c r="H561" t="s">
        <v>14</v>
      </c>
      <c r="I561" t="s">
        <v>3699</v>
      </c>
      <c r="J561">
        <v>60092258</v>
      </c>
      <c r="K561" t="s">
        <v>3698</v>
      </c>
      <c r="L561" t="s">
        <v>3697</v>
      </c>
      <c r="M561" t="s">
        <v>211</v>
      </c>
      <c r="N561">
        <v>4</v>
      </c>
      <c r="O561" t="s">
        <v>3696</v>
      </c>
      <c r="P561" t="s">
        <v>3695</v>
      </c>
      <c r="Q561" t="s">
        <v>3694</v>
      </c>
      <c r="R561" s="7">
        <v>32143</v>
      </c>
      <c r="S561" s="8">
        <f t="shared" si="72"/>
        <v>1988</v>
      </c>
      <c r="T561" s="8">
        <v>1988</v>
      </c>
      <c r="U561" s="8">
        <f t="shared" si="73"/>
        <v>34</v>
      </c>
      <c r="V561" s="7">
        <v>32295</v>
      </c>
      <c r="W561" t="s">
        <v>69</v>
      </c>
      <c r="X561" s="2">
        <v>1.6519999999999999</v>
      </c>
      <c r="Y561" s="6">
        <f t="shared" si="70"/>
        <v>4.409919649769093E-2</v>
      </c>
      <c r="AA561" t="s">
        <v>68</v>
      </c>
      <c r="AB561">
        <v>17337</v>
      </c>
      <c r="AC561">
        <v>15582221</v>
      </c>
      <c r="AD561" t="s">
        <v>4</v>
      </c>
      <c r="AE561">
        <v>36</v>
      </c>
      <c r="AF561">
        <v>6</v>
      </c>
      <c r="AH561" t="s">
        <v>3693</v>
      </c>
      <c r="AI561" t="s">
        <v>3692</v>
      </c>
      <c r="AK561" t="s">
        <v>3691</v>
      </c>
      <c r="AL561">
        <v>8</v>
      </c>
      <c r="AM561" s="5">
        <f t="shared" si="74"/>
        <v>0.23529411764705882</v>
      </c>
      <c r="AN561" s="4">
        <f t="shared" si="71"/>
        <v>3.5637124974942646E-4</v>
      </c>
      <c r="AO561" s="3"/>
      <c r="AP561">
        <v>0</v>
      </c>
      <c r="AR561" t="s">
        <v>0</v>
      </c>
      <c r="AT561" s="2" t="s">
        <v>19</v>
      </c>
      <c r="AU561" s="1">
        <f t="shared" si="75"/>
        <v>3.0976348923308481</v>
      </c>
      <c r="AV561" s="1">
        <f t="shared" si="76"/>
        <v>2.2227783873720175</v>
      </c>
      <c r="AW561" s="1">
        <f t="shared" si="77"/>
        <v>1.3479218824131878</v>
      </c>
    </row>
    <row r="562" spans="1:49" x14ac:dyDescent="0.2">
      <c r="A562">
        <v>560</v>
      </c>
      <c r="B562" t="s">
        <v>3690</v>
      </c>
      <c r="C562" t="s">
        <v>3689</v>
      </c>
      <c r="F562" t="s">
        <v>3688</v>
      </c>
      <c r="G562" t="s">
        <v>15</v>
      </c>
      <c r="H562" t="s">
        <v>14</v>
      </c>
      <c r="I562" t="s">
        <v>3532</v>
      </c>
      <c r="J562">
        <v>60021032</v>
      </c>
      <c r="K562" t="s">
        <v>3531</v>
      </c>
      <c r="L562" t="s">
        <v>3530</v>
      </c>
      <c r="M562" t="s">
        <v>31</v>
      </c>
      <c r="N562">
        <v>1</v>
      </c>
      <c r="O562" t="s">
        <v>3529</v>
      </c>
      <c r="P562">
        <v>7004378350</v>
      </c>
      <c r="Q562">
        <v>60021032</v>
      </c>
      <c r="R562" s="7">
        <v>32143</v>
      </c>
      <c r="S562" s="8">
        <f t="shared" si="72"/>
        <v>1988</v>
      </c>
      <c r="T562" s="8">
        <v>1988</v>
      </c>
      <c r="U562" s="8">
        <f t="shared" si="73"/>
        <v>34</v>
      </c>
      <c r="V562" s="7">
        <v>32295</v>
      </c>
      <c r="W562" t="s">
        <v>69</v>
      </c>
      <c r="X562" s="2">
        <v>1.6519999999999999</v>
      </c>
      <c r="Y562" s="6">
        <f t="shared" si="70"/>
        <v>4.409919649769093E-2</v>
      </c>
      <c r="AA562" t="s">
        <v>68</v>
      </c>
      <c r="AB562">
        <v>17337</v>
      </c>
      <c r="AC562">
        <v>15582221</v>
      </c>
      <c r="AD562" t="s">
        <v>4</v>
      </c>
      <c r="AE562">
        <v>36</v>
      </c>
      <c r="AF562">
        <v>6</v>
      </c>
      <c r="AH562" t="s">
        <v>3687</v>
      </c>
      <c r="AI562" t="s">
        <v>3686</v>
      </c>
      <c r="AK562" t="s">
        <v>3685</v>
      </c>
      <c r="AL562">
        <v>22</v>
      </c>
      <c r="AM562" s="5">
        <f t="shared" si="74"/>
        <v>0.6470588235294118</v>
      </c>
      <c r="AN562" s="4">
        <f t="shared" si="71"/>
        <v>9.8002093681092274E-4</v>
      </c>
      <c r="AO562" s="3"/>
      <c r="AP562">
        <v>0</v>
      </c>
      <c r="AR562" t="s">
        <v>0</v>
      </c>
      <c r="AT562" s="2" t="s">
        <v>19</v>
      </c>
      <c r="AU562" s="1">
        <f t="shared" si="75"/>
        <v>3.1163443829426929</v>
      </c>
      <c r="AV562" s="1">
        <f t="shared" si="76"/>
        <v>2.2539608717250927</v>
      </c>
      <c r="AW562" s="1">
        <f t="shared" si="77"/>
        <v>1.3915773605074924</v>
      </c>
    </row>
    <row r="563" spans="1:49" x14ac:dyDescent="0.2">
      <c r="A563">
        <v>561</v>
      </c>
      <c r="B563" t="s">
        <v>3684</v>
      </c>
      <c r="C563" t="s">
        <v>3683</v>
      </c>
      <c r="F563" t="s">
        <v>3682</v>
      </c>
      <c r="G563" t="s">
        <v>15</v>
      </c>
      <c r="H563" t="s">
        <v>14</v>
      </c>
      <c r="I563" t="s">
        <v>3681</v>
      </c>
      <c r="J563" t="s">
        <v>3680</v>
      </c>
      <c r="K563" t="s">
        <v>3679</v>
      </c>
      <c r="L563" t="s">
        <v>3678</v>
      </c>
      <c r="M563" t="s">
        <v>439</v>
      </c>
      <c r="N563">
        <v>2</v>
      </c>
      <c r="O563" t="s">
        <v>3677</v>
      </c>
      <c r="P563" t="s">
        <v>3676</v>
      </c>
      <c r="Q563" t="s">
        <v>3675</v>
      </c>
      <c r="R563" s="7">
        <v>32143</v>
      </c>
      <c r="S563" s="8">
        <f t="shared" si="72"/>
        <v>1988</v>
      </c>
      <c r="T563" s="8">
        <v>1988</v>
      </c>
      <c r="U563" s="8">
        <f t="shared" si="73"/>
        <v>34</v>
      </c>
      <c r="V563" s="7">
        <v>32295</v>
      </c>
      <c r="W563" t="s">
        <v>69</v>
      </c>
      <c r="X563" s="2">
        <v>1.6519999999999999</v>
      </c>
      <c r="Y563" s="6">
        <f t="shared" si="70"/>
        <v>4.409919649769093E-2</v>
      </c>
      <c r="AA563" t="s">
        <v>68</v>
      </c>
      <c r="AB563">
        <v>17337</v>
      </c>
      <c r="AC563">
        <v>15582221</v>
      </c>
      <c r="AD563" t="s">
        <v>4</v>
      </c>
      <c r="AE563">
        <v>36</v>
      </c>
      <c r="AF563">
        <v>6</v>
      </c>
      <c r="AH563" t="s">
        <v>3674</v>
      </c>
      <c r="AI563" t="s">
        <v>3673</v>
      </c>
      <c r="AK563" t="s">
        <v>3672</v>
      </c>
      <c r="AL563">
        <v>45</v>
      </c>
      <c r="AM563" s="5">
        <f t="shared" si="74"/>
        <v>1.3235294117647058</v>
      </c>
      <c r="AN563" s="4">
        <f t="shared" si="71"/>
        <v>2.0045882798405239E-3</v>
      </c>
      <c r="AO563" s="3"/>
      <c r="AP563">
        <v>0</v>
      </c>
      <c r="AQ563" t="s">
        <v>2999</v>
      </c>
      <c r="AR563" t="s">
        <v>3671</v>
      </c>
      <c r="AS563" t="s">
        <v>2997</v>
      </c>
      <c r="AT563" s="2" t="s">
        <v>19</v>
      </c>
      <c r="AU563" s="1">
        <f t="shared" si="75"/>
        <v>3.1470814032335808</v>
      </c>
      <c r="AV563" s="1">
        <f t="shared" si="76"/>
        <v>2.3051892388765727</v>
      </c>
      <c r="AW563" s="1">
        <f t="shared" si="77"/>
        <v>1.4632970745195646</v>
      </c>
    </row>
    <row r="564" spans="1:49" x14ac:dyDescent="0.2">
      <c r="A564">
        <v>562</v>
      </c>
      <c r="B564" t="s">
        <v>3670</v>
      </c>
      <c r="C564" t="s">
        <v>3669</v>
      </c>
      <c r="F564" t="s">
        <v>3668</v>
      </c>
      <c r="G564" t="s">
        <v>15</v>
      </c>
      <c r="H564" t="s">
        <v>14</v>
      </c>
      <c r="I564" t="s">
        <v>73</v>
      </c>
      <c r="J564">
        <v>60005304</v>
      </c>
      <c r="K564" t="s">
        <v>72</v>
      </c>
      <c r="L564" t="s">
        <v>71</v>
      </c>
      <c r="M564" t="s">
        <v>31</v>
      </c>
      <c r="N564">
        <v>4</v>
      </c>
      <c r="O564" t="s">
        <v>3667</v>
      </c>
      <c r="P564" t="s">
        <v>3666</v>
      </c>
      <c r="Q564" t="s">
        <v>3665</v>
      </c>
      <c r="R564" s="7">
        <v>32143</v>
      </c>
      <c r="S564" s="8">
        <f t="shared" si="72"/>
        <v>1988</v>
      </c>
      <c r="T564" s="8">
        <v>1988</v>
      </c>
      <c r="U564" s="8">
        <f t="shared" si="73"/>
        <v>34</v>
      </c>
      <c r="V564" s="7">
        <v>32295</v>
      </c>
      <c r="W564" t="s">
        <v>69</v>
      </c>
      <c r="X564" s="2">
        <v>1.6519999999999999</v>
      </c>
      <c r="Y564" s="6">
        <f t="shared" si="70"/>
        <v>4.409919649769093E-2</v>
      </c>
      <c r="AA564" t="s">
        <v>68</v>
      </c>
      <c r="AB564">
        <v>17337</v>
      </c>
      <c r="AC564">
        <v>15582221</v>
      </c>
      <c r="AD564" t="s">
        <v>4</v>
      </c>
      <c r="AE564">
        <v>36</v>
      </c>
      <c r="AF564">
        <v>6</v>
      </c>
      <c r="AH564" t="s">
        <v>3664</v>
      </c>
      <c r="AI564" t="s">
        <v>3663</v>
      </c>
      <c r="AK564" t="s">
        <v>3662</v>
      </c>
      <c r="AL564">
        <v>134</v>
      </c>
      <c r="AM564" s="5">
        <f t="shared" si="74"/>
        <v>3.9411764705882355</v>
      </c>
      <c r="AN564" s="4">
        <f t="shared" si="71"/>
        <v>5.9692184333028937E-3</v>
      </c>
      <c r="AO564" s="3"/>
      <c r="AP564">
        <v>0</v>
      </c>
      <c r="AR564" t="s">
        <v>0</v>
      </c>
      <c r="AT564" s="2" t="s">
        <v>19</v>
      </c>
      <c r="AU564" s="1">
        <f t="shared" si="75"/>
        <v>3.2660203078374521</v>
      </c>
      <c r="AV564" s="1">
        <f t="shared" si="76"/>
        <v>2.5034207465496912</v>
      </c>
      <c r="AW564" s="1">
        <f t="shared" si="77"/>
        <v>1.7408211852619302</v>
      </c>
    </row>
    <row r="565" spans="1:49" x14ac:dyDescent="0.2">
      <c r="A565">
        <v>563</v>
      </c>
      <c r="B565" t="s">
        <v>3661</v>
      </c>
      <c r="C565" t="s">
        <v>3660</v>
      </c>
      <c r="F565" t="s">
        <v>3659</v>
      </c>
      <c r="G565" t="s">
        <v>15</v>
      </c>
      <c r="H565" t="s">
        <v>14</v>
      </c>
      <c r="I565" t="s">
        <v>3658</v>
      </c>
      <c r="J565">
        <v>60023053</v>
      </c>
      <c r="K565" t="s">
        <v>1961</v>
      </c>
      <c r="L565" t="s">
        <v>1960</v>
      </c>
      <c r="M565" t="s">
        <v>31</v>
      </c>
      <c r="N565">
        <v>3</v>
      </c>
      <c r="O565" t="s">
        <v>3657</v>
      </c>
      <c r="P565" t="s">
        <v>3656</v>
      </c>
      <c r="Q565" t="s">
        <v>3637</v>
      </c>
      <c r="R565" s="7">
        <v>32143</v>
      </c>
      <c r="S565" s="8">
        <f t="shared" si="72"/>
        <v>1988</v>
      </c>
      <c r="T565" s="8">
        <v>1988</v>
      </c>
      <c r="U565" s="8">
        <f t="shared" si="73"/>
        <v>34</v>
      </c>
      <c r="V565" s="7">
        <v>32295</v>
      </c>
      <c r="W565" t="s">
        <v>69</v>
      </c>
      <c r="X565" s="2">
        <v>1.6519999999999999</v>
      </c>
      <c r="Y565" s="6">
        <f t="shared" si="70"/>
        <v>4.409919649769093E-2</v>
      </c>
      <c r="AA565" t="s">
        <v>68</v>
      </c>
      <c r="AB565">
        <v>17337</v>
      </c>
      <c r="AC565">
        <v>15582221</v>
      </c>
      <c r="AD565" t="s">
        <v>4</v>
      </c>
      <c r="AE565">
        <v>36</v>
      </c>
      <c r="AF565">
        <v>6</v>
      </c>
      <c r="AH565" t="s">
        <v>3655</v>
      </c>
      <c r="AI565" t="s">
        <v>3654</v>
      </c>
      <c r="AK565" t="s">
        <v>3653</v>
      </c>
      <c r="AL565">
        <v>20</v>
      </c>
      <c r="AM565" s="5">
        <f t="shared" si="74"/>
        <v>0.58823529411764708</v>
      </c>
      <c r="AN565" s="4">
        <f t="shared" si="71"/>
        <v>8.9092812437356617E-4</v>
      </c>
      <c r="AO565" s="3"/>
      <c r="AP565">
        <v>0</v>
      </c>
      <c r="AR565" t="s">
        <v>0</v>
      </c>
      <c r="AT565" s="2" t="s">
        <v>19</v>
      </c>
      <c r="AU565" s="1">
        <f t="shared" si="75"/>
        <v>3.1136715985695722</v>
      </c>
      <c r="AV565" s="1">
        <f t="shared" si="76"/>
        <v>2.2495062311032248</v>
      </c>
      <c r="AW565" s="1">
        <f t="shared" si="77"/>
        <v>1.3853408636368774</v>
      </c>
    </row>
    <row r="566" spans="1:49" x14ac:dyDescent="0.2">
      <c r="A566">
        <v>564</v>
      </c>
      <c r="B566" t="s">
        <v>3652</v>
      </c>
      <c r="C566" t="s">
        <v>3651</v>
      </c>
      <c r="F566" t="s">
        <v>3650</v>
      </c>
      <c r="G566" t="s">
        <v>15</v>
      </c>
      <c r="H566" t="s">
        <v>14</v>
      </c>
      <c r="I566" t="s">
        <v>3649</v>
      </c>
      <c r="J566">
        <v>60023053</v>
      </c>
      <c r="K566" t="s">
        <v>1961</v>
      </c>
      <c r="L566" t="s">
        <v>1960</v>
      </c>
      <c r="M566" t="s">
        <v>31</v>
      </c>
      <c r="N566">
        <v>2</v>
      </c>
      <c r="O566" t="s">
        <v>3648</v>
      </c>
      <c r="P566" t="s">
        <v>3647</v>
      </c>
      <c r="Q566" t="s">
        <v>3512</v>
      </c>
      <c r="R566" s="7">
        <v>32143</v>
      </c>
      <c r="S566" s="8">
        <f t="shared" si="72"/>
        <v>1988</v>
      </c>
      <c r="T566" s="8">
        <v>1988</v>
      </c>
      <c r="U566" s="8">
        <f t="shared" si="73"/>
        <v>34</v>
      </c>
      <c r="V566" s="7">
        <v>32295</v>
      </c>
      <c r="W566" t="s">
        <v>69</v>
      </c>
      <c r="X566" s="2">
        <v>1.6519999999999999</v>
      </c>
      <c r="Y566" s="6">
        <f t="shared" si="70"/>
        <v>4.409919649769093E-2</v>
      </c>
      <c r="AA566" t="s">
        <v>68</v>
      </c>
      <c r="AB566">
        <v>17337</v>
      </c>
      <c r="AC566">
        <v>15582221</v>
      </c>
      <c r="AD566" t="s">
        <v>4</v>
      </c>
      <c r="AE566">
        <v>36</v>
      </c>
      <c r="AF566">
        <v>6</v>
      </c>
      <c r="AH566" t="s">
        <v>3646</v>
      </c>
      <c r="AI566" t="s">
        <v>3645</v>
      </c>
      <c r="AK566" t="s">
        <v>3644</v>
      </c>
      <c r="AL566">
        <v>7</v>
      </c>
      <c r="AM566" s="5">
        <f t="shared" si="74"/>
        <v>0.20588235294117646</v>
      </c>
      <c r="AN566" s="4">
        <f t="shared" si="71"/>
        <v>3.1182484353074817E-4</v>
      </c>
      <c r="AO566" s="3"/>
      <c r="AP566">
        <v>0</v>
      </c>
      <c r="AR566" t="s">
        <v>0</v>
      </c>
      <c r="AT566" s="2" t="s">
        <v>19</v>
      </c>
      <c r="AU566" s="1">
        <f t="shared" si="75"/>
        <v>3.0962985001442878</v>
      </c>
      <c r="AV566" s="1">
        <f t="shared" si="76"/>
        <v>2.2205510670610837</v>
      </c>
      <c r="AW566" s="1">
        <f t="shared" si="77"/>
        <v>1.3448036339778802</v>
      </c>
    </row>
    <row r="567" spans="1:49" x14ac:dyDescent="0.2">
      <c r="A567">
        <v>565</v>
      </c>
      <c r="B567" t="s">
        <v>3643</v>
      </c>
      <c r="C567" t="s">
        <v>3642</v>
      </c>
      <c r="F567" t="s">
        <v>3641</v>
      </c>
      <c r="G567" t="s">
        <v>15</v>
      </c>
      <c r="H567" t="s">
        <v>14</v>
      </c>
      <c r="I567" t="s">
        <v>3640</v>
      </c>
      <c r="J567">
        <v>60023053</v>
      </c>
      <c r="K567" t="s">
        <v>1961</v>
      </c>
      <c r="L567" t="s">
        <v>1960</v>
      </c>
      <c r="M567" t="s">
        <v>31</v>
      </c>
      <c r="N567">
        <v>3</v>
      </c>
      <c r="O567" t="s">
        <v>3639</v>
      </c>
      <c r="P567" t="s">
        <v>3638</v>
      </c>
      <c r="Q567" t="s">
        <v>3637</v>
      </c>
      <c r="R567" s="7">
        <v>32143</v>
      </c>
      <c r="S567" s="8">
        <f t="shared" si="72"/>
        <v>1988</v>
      </c>
      <c r="T567" s="8">
        <v>1988</v>
      </c>
      <c r="U567" s="8">
        <f t="shared" si="73"/>
        <v>34</v>
      </c>
      <c r="V567" s="7">
        <v>32295</v>
      </c>
      <c r="W567" t="s">
        <v>69</v>
      </c>
      <c r="X567" s="2">
        <v>1.6519999999999999</v>
      </c>
      <c r="Y567" s="6">
        <f t="shared" si="70"/>
        <v>4.409919649769093E-2</v>
      </c>
      <c r="AA567" t="s">
        <v>68</v>
      </c>
      <c r="AB567">
        <v>17337</v>
      </c>
      <c r="AC567">
        <v>15582221</v>
      </c>
      <c r="AD567" t="s">
        <v>4</v>
      </c>
      <c r="AE567">
        <v>36</v>
      </c>
      <c r="AF567">
        <v>6</v>
      </c>
      <c r="AH567" t="s">
        <v>3636</v>
      </c>
      <c r="AI567" t="s">
        <v>3635</v>
      </c>
      <c r="AK567" t="s">
        <v>3634</v>
      </c>
      <c r="AL567">
        <v>24</v>
      </c>
      <c r="AM567" s="5">
        <f t="shared" si="74"/>
        <v>0.70588235294117652</v>
      </c>
      <c r="AN567" s="4">
        <f t="shared" si="71"/>
        <v>1.0691137492482795E-3</v>
      </c>
      <c r="AO567" s="3"/>
      <c r="AP567">
        <v>0</v>
      </c>
      <c r="AR567" t="s">
        <v>0</v>
      </c>
      <c r="AT567" s="2" t="s">
        <v>19</v>
      </c>
      <c r="AU567" s="1">
        <f t="shared" si="75"/>
        <v>3.1190171673158136</v>
      </c>
      <c r="AV567" s="1">
        <f t="shared" si="76"/>
        <v>2.2584155123469603</v>
      </c>
      <c r="AW567" s="1">
        <f t="shared" si="77"/>
        <v>1.3978138573781074</v>
      </c>
    </row>
    <row r="568" spans="1:49" x14ac:dyDescent="0.2">
      <c r="A568">
        <v>566</v>
      </c>
      <c r="B568" t="s">
        <v>3633</v>
      </c>
      <c r="C568" t="s">
        <v>3632</v>
      </c>
      <c r="F568" t="s">
        <v>3631</v>
      </c>
      <c r="G568" t="s">
        <v>15</v>
      </c>
      <c r="H568" t="s">
        <v>14</v>
      </c>
      <c r="I568" t="s">
        <v>3515</v>
      </c>
      <c r="J568">
        <v>60023053</v>
      </c>
      <c r="K568" t="s">
        <v>1961</v>
      </c>
      <c r="L568" t="s">
        <v>1960</v>
      </c>
      <c r="M568" t="s">
        <v>31</v>
      </c>
      <c r="N568">
        <v>1</v>
      </c>
      <c r="O568" t="s">
        <v>3522</v>
      </c>
      <c r="P568">
        <v>35389095700</v>
      </c>
      <c r="Q568">
        <v>60023053</v>
      </c>
      <c r="R568" s="7">
        <v>32143</v>
      </c>
      <c r="S568" s="8">
        <f t="shared" si="72"/>
        <v>1988</v>
      </c>
      <c r="T568" s="8">
        <v>1988</v>
      </c>
      <c r="U568" s="8">
        <f t="shared" si="73"/>
        <v>34</v>
      </c>
      <c r="V568" s="7">
        <v>32295</v>
      </c>
      <c r="W568" t="s">
        <v>69</v>
      </c>
      <c r="X568" s="2">
        <v>1.6519999999999999</v>
      </c>
      <c r="Y568" s="6">
        <f t="shared" si="70"/>
        <v>4.409919649769093E-2</v>
      </c>
      <c r="AA568" t="s">
        <v>68</v>
      </c>
      <c r="AB568">
        <v>17337</v>
      </c>
      <c r="AC568">
        <v>15582221</v>
      </c>
      <c r="AD568" t="s">
        <v>4</v>
      </c>
      <c r="AE568">
        <v>36</v>
      </c>
      <c r="AF568">
        <v>6</v>
      </c>
      <c r="AH568" t="s">
        <v>3630</v>
      </c>
      <c r="AI568" t="s">
        <v>3629</v>
      </c>
      <c r="AK568" t="s">
        <v>3628</v>
      </c>
      <c r="AL568">
        <v>230</v>
      </c>
      <c r="AM568" s="5">
        <f t="shared" si="74"/>
        <v>6.7647058823529411</v>
      </c>
      <c r="AN568" s="4">
        <f t="shared" si="71"/>
        <v>1.0245673430296011E-2</v>
      </c>
      <c r="AO568" s="3"/>
      <c r="AP568">
        <v>0</v>
      </c>
      <c r="AR568" t="s">
        <v>0</v>
      </c>
      <c r="AT568" s="2" t="s">
        <v>19</v>
      </c>
      <c r="AU568" s="1">
        <f t="shared" si="75"/>
        <v>3.3943139577472454</v>
      </c>
      <c r="AV568" s="1">
        <f t="shared" si="76"/>
        <v>2.7172434963993473</v>
      </c>
      <c r="AW568" s="1">
        <f t="shared" si="77"/>
        <v>2.0401730350514486</v>
      </c>
    </row>
    <row r="569" spans="1:49" x14ac:dyDescent="0.2">
      <c r="A569">
        <v>567</v>
      </c>
      <c r="B569" t="s">
        <v>3627</v>
      </c>
      <c r="C569" t="s">
        <v>3626</v>
      </c>
      <c r="F569" t="s">
        <v>3625</v>
      </c>
      <c r="G569" t="s">
        <v>15</v>
      </c>
      <c r="H569" t="s">
        <v>14</v>
      </c>
      <c r="I569" t="s">
        <v>3624</v>
      </c>
      <c r="J569">
        <v>115666243</v>
      </c>
      <c r="K569" t="s">
        <v>3623</v>
      </c>
      <c r="M569" t="s">
        <v>1725</v>
      </c>
      <c r="N569">
        <v>3</v>
      </c>
      <c r="O569" t="s">
        <v>3622</v>
      </c>
      <c r="P569" t="s">
        <v>3621</v>
      </c>
      <c r="Q569" t="s">
        <v>3620</v>
      </c>
      <c r="R569" s="7">
        <v>32143</v>
      </c>
      <c r="S569" s="8">
        <f t="shared" si="72"/>
        <v>1988</v>
      </c>
      <c r="T569" s="8">
        <v>1988</v>
      </c>
      <c r="U569" s="8">
        <f t="shared" si="73"/>
        <v>34</v>
      </c>
      <c r="V569" s="7">
        <v>32295</v>
      </c>
      <c r="W569" t="s">
        <v>2579</v>
      </c>
      <c r="X569" s="2">
        <v>0.82</v>
      </c>
      <c r="Y569" s="6">
        <f t="shared" si="70"/>
        <v>2.1889431675609299E-2</v>
      </c>
      <c r="AA569">
        <v>189456</v>
      </c>
      <c r="AB569">
        <v>15361</v>
      </c>
      <c r="AC569">
        <v>15579662</v>
      </c>
      <c r="AD569" t="s">
        <v>4</v>
      </c>
      <c r="AE569">
        <v>37</v>
      </c>
      <c r="AF569">
        <v>2</v>
      </c>
      <c r="AH569" t="s">
        <v>3619</v>
      </c>
      <c r="AI569" t="s">
        <v>3618</v>
      </c>
      <c r="AK569" t="s">
        <v>3617</v>
      </c>
      <c r="AL569">
        <v>7</v>
      </c>
      <c r="AM569" s="5">
        <f t="shared" si="74"/>
        <v>0.20588235294117646</v>
      </c>
      <c r="AN569" s="4">
        <f t="shared" si="71"/>
        <v>3.1182484353074817E-4</v>
      </c>
      <c r="AO569" s="3"/>
      <c r="AP569">
        <v>0</v>
      </c>
      <c r="AR569" t="s">
        <v>0</v>
      </c>
      <c r="AT569" s="2" t="s">
        <v>19</v>
      </c>
      <c r="AU569" s="1">
        <f t="shared" si="75"/>
        <v>1.5416149625985733</v>
      </c>
      <c r="AV569" s="1">
        <f t="shared" si="76"/>
        <v>1.1100628259570022</v>
      </c>
      <c r="AW569" s="1">
        <f t="shared" si="77"/>
        <v>0.67851068931543124</v>
      </c>
    </row>
    <row r="570" spans="1:49" x14ac:dyDescent="0.2">
      <c r="A570">
        <v>568</v>
      </c>
      <c r="B570" t="s">
        <v>3616</v>
      </c>
      <c r="C570" t="s">
        <v>3615</v>
      </c>
      <c r="F570" t="s">
        <v>3614</v>
      </c>
      <c r="G570" t="s">
        <v>15</v>
      </c>
      <c r="H570" t="s">
        <v>14</v>
      </c>
      <c r="I570" t="s">
        <v>1000</v>
      </c>
      <c r="J570">
        <v>60005304</v>
      </c>
      <c r="K570" t="s">
        <v>72</v>
      </c>
      <c r="L570" t="s">
        <v>71</v>
      </c>
      <c r="M570" t="s">
        <v>31</v>
      </c>
      <c r="N570">
        <v>1</v>
      </c>
      <c r="O570" t="s">
        <v>999</v>
      </c>
      <c r="P570">
        <v>7004942669</v>
      </c>
      <c r="Q570">
        <v>60005304</v>
      </c>
      <c r="R570" s="7">
        <v>32143</v>
      </c>
      <c r="S570" s="8">
        <f t="shared" si="72"/>
        <v>1988</v>
      </c>
      <c r="T570" s="8">
        <v>1988</v>
      </c>
      <c r="U570" s="8">
        <f t="shared" si="73"/>
        <v>34</v>
      </c>
      <c r="V570" s="7">
        <v>32295</v>
      </c>
      <c r="W570" t="s">
        <v>2579</v>
      </c>
      <c r="X570" s="2">
        <v>0.82</v>
      </c>
      <c r="Y570" s="6">
        <f t="shared" si="70"/>
        <v>2.1889431675609299E-2</v>
      </c>
      <c r="AA570">
        <v>189456</v>
      </c>
      <c r="AB570">
        <v>15361</v>
      </c>
      <c r="AC570">
        <v>15579662</v>
      </c>
      <c r="AD570" t="s">
        <v>4</v>
      </c>
      <c r="AE570">
        <v>37</v>
      </c>
      <c r="AF570">
        <v>2</v>
      </c>
      <c r="AH570" t="s">
        <v>3613</v>
      </c>
      <c r="AI570" t="s">
        <v>3612</v>
      </c>
      <c r="AK570" t="s">
        <v>3611</v>
      </c>
      <c r="AL570">
        <v>4</v>
      </c>
      <c r="AM570" s="5">
        <f t="shared" si="74"/>
        <v>0.11764705882352941</v>
      </c>
      <c r="AN570" s="4">
        <f t="shared" si="71"/>
        <v>1.7818562487471323E-4</v>
      </c>
      <c r="AO570" s="3"/>
      <c r="AP570">
        <v>0</v>
      </c>
      <c r="AR570" t="s">
        <v>0</v>
      </c>
      <c r="AT570" s="2" t="s">
        <v>19</v>
      </c>
      <c r="AU570" s="1">
        <f t="shared" si="75"/>
        <v>1.5376057860388921</v>
      </c>
      <c r="AV570" s="1">
        <f t="shared" si="76"/>
        <v>1.1033808650242005</v>
      </c>
      <c r="AW570" s="1">
        <f t="shared" si="77"/>
        <v>0.66915594400950884</v>
      </c>
    </row>
    <row r="571" spans="1:49" x14ac:dyDescent="0.2">
      <c r="A571">
        <v>569</v>
      </c>
      <c r="B571" t="s">
        <v>3610</v>
      </c>
      <c r="C571" t="s">
        <v>3609</v>
      </c>
      <c r="F571" t="s">
        <v>3608</v>
      </c>
      <c r="G571" t="s">
        <v>15</v>
      </c>
      <c r="H571" t="s">
        <v>14</v>
      </c>
      <c r="I571" t="s">
        <v>3607</v>
      </c>
      <c r="J571">
        <v>60015623</v>
      </c>
      <c r="K571" t="s">
        <v>3606</v>
      </c>
      <c r="L571" t="s">
        <v>3605</v>
      </c>
      <c r="M571" t="s">
        <v>31</v>
      </c>
      <c r="N571">
        <v>2</v>
      </c>
      <c r="O571" t="s">
        <v>3604</v>
      </c>
      <c r="P571" t="s">
        <v>3603</v>
      </c>
      <c r="Q571" t="s">
        <v>3602</v>
      </c>
      <c r="R571" s="7">
        <v>32143</v>
      </c>
      <c r="S571" s="8">
        <f t="shared" si="72"/>
        <v>1988</v>
      </c>
      <c r="T571" s="8">
        <v>1988</v>
      </c>
      <c r="U571" s="8">
        <f t="shared" si="73"/>
        <v>34</v>
      </c>
      <c r="V571" s="7">
        <v>32295</v>
      </c>
      <c r="W571" t="s">
        <v>69</v>
      </c>
      <c r="X571" s="2">
        <v>1.6519999999999999</v>
      </c>
      <c r="Y571" s="6">
        <f t="shared" si="70"/>
        <v>4.409919649769093E-2</v>
      </c>
      <c r="AA571" t="s">
        <v>68</v>
      </c>
      <c r="AB571">
        <v>17337</v>
      </c>
      <c r="AC571">
        <v>15582221</v>
      </c>
      <c r="AD571" t="s">
        <v>4</v>
      </c>
      <c r="AE571">
        <v>36</v>
      </c>
      <c r="AF571">
        <v>6</v>
      </c>
      <c r="AH571" t="s">
        <v>3601</v>
      </c>
      <c r="AI571" t="s">
        <v>3600</v>
      </c>
      <c r="AK571" t="s">
        <v>3599</v>
      </c>
      <c r="AL571">
        <v>13</v>
      </c>
      <c r="AM571" s="5">
        <f t="shared" si="74"/>
        <v>0.38235294117647056</v>
      </c>
      <c r="AN571" s="4">
        <f t="shared" si="71"/>
        <v>5.7910328084281794E-4</v>
      </c>
      <c r="AO571" s="3"/>
      <c r="AP571">
        <v>0</v>
      </c>
      <c r="AR571" t="s">
        <v>0</v>
      </c>
      <c r="AT571" s="2" t="s">
        <v>19</v>
      </c>
      <c r="AU571" s="1">
        <f t="shared" si="75"/>
        <v>3.1043168532636498</v>
      </c>
      <c r="AV571" s="1">
        <f t="shared" si="76"/>
        <v>2.2339149889266876</v>
      </c>
      <c r="AW571" s="1">
        <f t="shared" si="77"/>
        <v>1.363513124589725</v>
      </c>
    </row>
    <row r="572" spans="1:49" x14ac:dyDescent="0.2">
      <c r="A572">
        <v>570</v>
      </c>
      <c r="B572" t="s">
        <v>3598</v>
      </c>
      <c r="C572" t="s">
        <v>3597</v>
      </c>
      <c r="F572" t="s">
        <v>3596</v>
      </c>
      <c r="G572" t="s">
        <v>15</v>
      </c>
      <c r="H572" t="s">
        <v>14</v>
      </c>
      <c r="I572" t="s">
        <v>3515</v>
      </c>
      <c r="J572" t="s">
        <v>3595</v>
      </c>
      <c r="K572" t="s">
        <v>3594</v>
      </c>
      <c r="L572" t="s">
        <v>3593</v>
      </c>
      <c r="M572" t="s">
        <v>9</v>
      </c>
      <c r="N572">
        <v>3</v>
      </c>
      <c r="O572" t="s">
        <v>3592</v>
      </c>
      <c r="P572" t="s">
        <v>3591</v>
      </c>
      <c r="Q572" t="s">
        <v>3590</v>
      </c>
      <c r="R572" s="7">
        <v>32143</v>
      </c>
      <c r="S572" s="8">
        <f t="shared" si="72"/>
        <v>1988</v>
      </c>
      <c r="T572" s="8">
        <v>1988</v>
      </c>
      <c r="U572" s="8">
        <f t="shared" si="73"/>
        <v>34</v>
      </c>
      <c r="V572" s="7">
        <v>32295</v>
      </c>
      <c r="W572" t="s">
        <v>69</v>
      </c>
      <c r="X572" s="2">
        <v>1.6519999999999999</v>
      </c>
      <c r="Y572" s="6">
        <f t="shared" si="70"/>
        <v>4.409919649769093E-2</v>
      </c>
      <c r="AA572" t="s">
        <v>68</v>
      </c>
      <c r="AB572">
        <v>17337</v>
      </c>
      <c r="AC572">
        <v>15582221</v>
      </c>
      <c r="AD572" t="s">
        <v>4</v>
      </c>
      <c r="AE572">
        <v>36</v>
      </c>
      <c r="AF572">
        <v>6</v>
      </c>
      <c r="AH572" t="s">
        <v>3589</v>
      </c>
      <c r="AI572" t="s">
        <v>3588</v>
      </c>
      <c r="AK572" t="s">
        <v>3587</v>
      </c>
      <c r="AL572">
        <v>42</v>
      </c>
      <c r="AM572" s="5">
        <f t="shared" si="74"/>
        <v>1.2352941176470589</v>
      </c>
      <c r="AN572" s="4">
        <f t="shared" si="71"/>
        <v>1.8709490611844891E-3</v>
      </c>
      <c r="AO572" s="3"/>
      <c r="AP572">
        <v>0</v>
      </c>
      <c r="AR572" t="s">
        <v>0</v>
      </c>
      <c r="AT572" s="2" t="s">
        <v>19</v>
      </c>
      <c r="AU572" s="1">
        <f t="shared" si="75"/>
        <v>3.1430722266739002</v>
      </c>
      <c r="AV572" s="1">
        <f t="shared" si="76"/>
        <v>2.298507277943771</v>
      </c>
      <c r="AW572" s="1">
        <f t="shared" si="77"/>
        <v>1.453942329213642</v>
      </c>
    </row>
    <row r="573" spans="1:49" x14ac:dyDescent="0.2">
      <c r="A573">
        <v>571</v>
      </c>
      <c r="B573" t="s">
        <v>3586</v>
      </c>
      <c r="C573" t="s">
        <v>3585</v>
      </c>
      <c r="F573" t="s">
        <v>3584</v>
      </c>
      <c r="G573" t="s">
        <v>15</v>
      </c>
      <c r="H573" t="s">
        <v>14</v>
      </c>
      <c r="I573" t="s">
        <v>3583</v>
      </c>
      <c r="J573" t="s">
        <v>3582</v>
      </c>
      <c r="K573" t="s">
        <v>3581</v>
      </c>
      <c r="L573" t="s">
        <v>3580</v>
      </c>
      <c r="M573" t="s">
        <v>3579</v>
      </c>
      <c r="N573">
        <v>9</v>
      </c>
      <c r="O573" t="s">
        <v>3578</v>
      </c>
      <c r="P573" t="s">
        <v>3577</v>
      </c>
      <c r="Q573" t="s">
        <v>3576</v>
      </c>
      <c r="R573" s="7">
        <v>32143</v>
      </c>
      <c r="S573" s="8">
        <f t="shared" si="72"/>
        <v>1988</v>
      </c>
      <c r="T573" s="8">
        <v>1988</v>
      </c>
      <c r="U573" s="8">
        <f t="shared" si="73"/>
        <v>34</v>
      </c>
      <c r="V573" s="7">
        <v>32295</v>
      </c>
      <c r="W573" t="s">
        <v>69</v>
      </c>
      <c r="X573" s="2">
        <v>1.6519999999999999</v>
      </c>
      <c r="Y573" s="6">
        <f t="shared" si="70"/>
        <v>4.409919649769093E-2</v>
      </c>
      <c r="AA573" t="s">
        <v>68</v>
      </c>
      <c r="AB573">
        <v>17337</v>
      </c>
      <c r="AC573">
        <v>15582221</v>
      </c>
      <c r="AD573" t="s">
        <v>4</v>
      </c>
      <c r="AE573">
        <v>36</v>
      </c>
      <c r="AF573">
        <v>6</v>
      </c>
      <c r="AH573" t="s">
        <v>3575</v>
      </c>
      <c r="AI573" t="s">
        <v>3574</v>
      </c>
      <c r="AK573" t="s">
        <v>3573</v>
      </c>
      <c r="AL573">
        <v>70</v>
      </c>
      <c r="AM573" s="5">
        <f t="shared" si="74"/>
        <v>2.0588235294117645</v>
      </c>
      <c r="AN573" s="4">
        <f t="shared" si="71"/>
        <v>3.1182484353074811E-3</v>
      </c>
      <c r="AO573" s="3"/>
      <c r="AP573">
        <v>0</v>
      </c>
      <c r="AQ573" t="s">
        <v>3572</v>
      </c>
      <c r="AR573" t="s">
        <v>0</v>
      </c>
      <c r="AS573" t="s">
        <v>3571</v>
      </c>
      <c r="AT573" s="2" t="s">
        <v>19</v>
      </c>
      <c r="AU573" s="1">
        <f t="shared" si="75"/>
        <v>3.1804912078975893</v>
      </c>
      <c r="AV573" s="1">
        <f t="shared" si="76"/>
        <v>2.3608722466499206</v>
      </c>
      <c r="AW573" s="1">
        <f t="shared" si="77"/>
        <v>1.5412532854022516</v>
      </c>
    </row>
    <row r="574" spans="1:49" x14ac:dyDescent="0.2">
      <c r="A574">
        <v>572</v>
      </c>
      <c r="B574" t="s">
        <v>3570</v>
      </c>
      <c r="C574" t="s">
        <v>3569</v>
      </c>
      <c r="F574" t="s">
        <v>3568</v>
      </c>
      <c r="G574" t="s">
        <v>15</v>
      </c>
      <c r="H574" t="s">
        <v>14</v>
      </c>
      <c r="I574" t="s">
        <v>3567</v>
      </c>
      <c r="J574">
        <v>60009037</v>
      </c>
      <c r="K574" t="s">
        <v>400</v>
      </c>
      <c r="L574" t="s">
        <v>399</v>
      </c>
      <c r="M574" t="s">
        <v>31</v>
      </c>
      <c r="N574">
        <v>2</v>
      </c>
      <c r="O574" t="s">
        <v>3566</v>
      </c>
      <c r="P574" t="s">
        <v>3565</v>
      </c>
      <c r="Q574" t="s">
        <v>894</v>
      </c>
      <c r="R574" s="7">
        <v>32143</v>
      </c>
      <c r="S574" s="8">
        <f t="shared" si="72"/>
        <v>1988</v>
      </c>
      <c r="T574" s="8">
        <v>1988</v>
      </c>
      <c r="U574" s="8">
        <f t="shared" si="73"/>
        <v>34</v>
      </c>
      <c r="V574" s="7">
        <v>32295</v>
      </c>
      <c r="W574" t="s">
        <v>69</v>
      </c>
      <c r="X574" s="2">
        <v>1.6519999999999999</v>
      </c>
      <c r="Y574" s="6">
        <f t="shared" si="70"/>
        <v>4.409919649769093E-2</v>
      </c>
      <c r="AA574" t="s">
        <v>68</v>
      </c>
      <c r="AB574">
        <v>17337</v>
      </c>
      <c r="AC574">
        <v>15582221</v>
      </c>
      <c r="AD574" t="s">
        <v>4</v>
      </c>
      <c r="AE574">
        <v>36</v>
      </c>
      <c r="AF574">
        <v>6</v>
      </c>
      <c r="AH574" t="s">
        <v>3564</v>
      </c>
      <c r="AI574" t="s">
        <v>3563</v>
      </c>
      <c r="AK574" t="s">
        <v>3562</v>
      </c>
      <c r="AL574">
        <v>59</v>
      </c>
      <c r="AM574" s="5">
        <f t="shared" si="74"/>
        <v>1.7352941176470589</v>
      </c>
      <c r="AN574" s="4">
        <f t="shared" si="71"/>
        <v>2.6282379669020201E-3</v>
      </c>
      <c r="AO574" s="3"/>
      <c r="AP574">
        <v>0</v>
      </c>
      <c r="AQ574" t="s">
        <v>577</v>
      </c>
      <c r="AR574" t="s">
        <v>0</v>
      </c>
      <c r="AS574" t="s">
        <v>575</v>
      </c>
      <c r="AT574" s="2" t="s">
        <v>19</v>
      </c>
      <c r="AU574" s="1">
        <f t="shared" si="75"/>
        <v>3.1657908938454256</v>
      </c>
      <c r="AV574" s="1">
        <f t="shared" si="76"/>
        <v>2.3363717232296475</v>
      </c>
      <c r="AW574" s="1">
        <f t="shared" si="77"/>
        <v>1.5069525526138692</v>
      </c>
    </row>
    <row r="575" spans="1:49" x14ac:dyDescent="0.2">
      <c r="A575">
        <v>573</v>
      </c>
      <c r="B575" t="s">
        <v>3561</v>
      </c>
      <c r="C575" t="s">
        <v>3560</v>
      </c>
      <c r="F575" t="s">
        <v>3559</v>
      </c>
      <c r="G575" t="s">
        <v>15</v>
      </c>
      <c r="H575" t="s">
        <v>14</v>
      </c>
      <c r="I575" t="s">
        <v>3558</v>
      </c>
      <c r="J575">
        <v>100318818</v>
      </c>
      <c r="K575" t="s">
        <v>3557</v>
      </c>
      <c r="L575" t="s">
        <v>3556</v>
      </c>
      <c r="M575" t="s">
        <v>31</v>
      </c>
      <c r="N575">
        <v>2</v>
      </c>
      <c r="O575" t="s">
        <v>3555</v>
      </c>
      <c r="P575" t="s">
        <v>3554</v>
      </c>
      <c r="Q575" t="s">
        <v>3553</v>
      </c>
      <c r="R575" s="7">
        <v>32143</v>
      </c>
      <c r="S575" s="8">
        <f t="shared" si="72"/>
        <v>1988</v>
      </c>
      <c r="T575" s="8">
        <v>1988</v>
      </c>
      <c r="U575" s="8">
        <f t="shared" si="73"/>
        <v>34</v>
      </c>
      <c r="V575" s="7">
        <v>32295</v>
      </c>
      <c r="W575" t="s">
        <v>69</v>
      </c>
      <c r="X575" s="2">
        <v>1.6519999999999999</v>
      </c>
      <c r="Y575" s="6">
        <f t="shared" si="70"/>
        <v>4.409919649769093E-2</v>
      </c>
      <c r="AA575" t="s">
        <v>68</v>
      </c>
      <c r="AB575">
        <v>17337</v>
      </c>
      <c r="AC575">
        <v>15582221</v>
      </c>
      <c r="AD575" t="s">
        <v>4</v>
      </c>
      <c r="AE575">
        <v>36</v>
      </c>
      <c r="AF575">
        <v>6</v>
      </c>
      <c r="AH575" t="s">
        <v>3552</v>
      </c>
      <c r="AI575" t="s">
        <v>3551</v>
      </c>
      <c r="AK575" t="s">
        <v>3550</v>
      </c>
      <c r="AL575">
        <v>13</v>
      </c>
      <c r="AM575" s="5">
        <f t="shared" si="74"/>
        <v>0.38235294117647056</v>
      </c>
      <c r="AN575" s="4">
        <f t="shared" si="71"/>
        <v>5.7910328084281794E-4</v>
      </c>
      <c r="AO575" s="3"/>
      <c r="AP575">
        <v>0</v>
      </c>
      <c r="AQ575" t="s">
        <v>1636</v>
      </c>
      <c r="AR575" t="s">
        <v>3549</v>
      </c>
      <c r="AS575" t="s">
        <v>1634</v>
      </c>
      <c r="AT575" s="2" t="s">
        <v>19</v>
      </c>
      <c r="AU575" s="1">
        <f t="shared" si="75"/>
        <v>3.1043168532636498</v>
      </c>
      <c r="AV575" s="1">
        <f t="shared" si="76"/>
        <v>2.2339149889266876</v>
      </c>
      <c r="AW575" s="1">
        <f t="shared" si="77"/>
        <v>1.363513124589725</v>
      </c>
    </row>
    <row r="576" spans="1:49" x14ac:dyDescent="0.2">
      <c r="A576">
        <v>574</v>
      </c>
      <c r="B576" t="s">
        <v>3548</v>
      </c>
      <c r="C576" t="s">
        <v>3547</v>
      </c>
      <c r="F576" t="s">
        <v>3546</v>
      </c>
      <c r="G576" t="s">
        <v>15</v>
      </c>
      <c r="H576" t="s">
        <v>14</v>
      </c>
      <c r="I576" t="s">
        <v>3545</v>
      </c>
      <c r="J576">
        <v>60011373</v>
      </c>
      <c r="K576" t="s">
        <v>3544</v>
      </c>
      <c r="L576" t="s">
        <v>3543</v>
      </c>
      <c r="M576" t="s">
        <v>3542</v>
      </c>
      <c r="N576">
        <v>2</v>
      </c>
      <c r="O576" t="s">
        <v>3541</v>
      </c>
      <c r="P576" t="s">
        <v>3540</v>
      </c>
      <c r="Q576" t="s">
        <v>3539</v>
      </c>
      <c r="R576" s="7">
        <v>32143</v>
      </c>
      <c r="S576" s="8">
        <f t="shared" si="72"/>
        <v>1988</v>
      </c>
      <c r="T576" s="8">
        <v>1988</v>
      </c>
      <c r="U576" s="8">
        <f t="shared" si="73"/>
        <v>34</v>
      </c>
      <c r="V576" s="7">
        <v>32295</v>
      </c>
      <c r="W576" t="s">
        <v>69</v>
      </c>
      <c r="X576" s="2">
        <v>1.6519999999999999</v>
      </c>
      <c r="Y576" s="6">
        <f t="shared" si="70"/>
        <v>4.409919649769093E-2</v>
      </c>
      <c r="AA576" t="s">
        <v>68</v>
      </c>
      <c r="AB576">
        <v>17337</v>
      </c>
      <c r="AC576">
        <v>15582221</v>
      </c>
      <c r="AD576" t="s">
        <v>4</v>
      </c>
      <c r="AE576">
        <v>36</v>
      </c>
      <c r="AF576">
        <v>6</v>
      </c>
      <c r="AH576" t="s">
        <v>3538</v>
      </c>
      <c r="AI576" t="s">
        <v>3537</v>
      </c>
      <c r="AK576" t="s">
        <v>3536</v>
      </c>
      <c r="AL576">
        <v>4</v>
      </c>
      <c r="AM576" s="5">
        <f t="shared" si="74"/>
        <v>0.11764705882352941</v>
      </c>
      <c r="AN576" s="4">
        <f t="shared" si="71"/>
        <v>1.7818562487471323E-4</v>
      </c>
      <c r="AO576" s="3"/>
      <c r="AP576">
        <v>0</v>
      </c>
      <c r="AQ576" t="s">
        <v>2999</v>
      </c>
      <c r="AR576" t="s">
        <v>0</v>
      </c>
      <c r="AS576" t="s">
        <v>2997</v>
      </c>
      <c r="AT576" s="2" t="s">
        <v>19</v>
      </c>
      <c r="AU576" s="1">
        <f t="shared" si="75"/>
        <v>3.0922893235846063</v>
      </c>
      <c r="AV576" s="1">
        <f t="shared" si="76"/>
        <v>2.213869106128282</v>
      </c>
      <c r="AW576" s="1">
        <f t="shared" si="77"/>
        <v>1.3354488886719578</v>
      </c>
    </row>
    <row r="577" spans="1:49" x14ac:dyDescent="0.2">
      <c r="A577">
        <v>575</v>
      </c>
      <c r="B577" t="s">
        <v>3535</v>
      </c>
      <c r="C577" t="s">
        <v>3534</v>
      </c>
      <c r="F577" t="s">
        <v>3533</v>
      </c>
      <c r="G577" t="s">
        <v>15</v>
      </c>
      <c r="H577" t="s">
        <v>14</v>
      </c>
      <c r="I577" t="s">
        <v>3532</v>
      </c>
      <c r="J577">
        <v>60021032</v>
      </c>
      <c r="K577" t="s">
        <v>3531</v>
      </c>
      <c r="L577" t="s">
        <v>3530</v>
      </c>
      <c r="M577" t="s">
        <v>31</v>
      </c>
      <c r="N577">
        <v>1</v>
      </c>
      <c r="O577" t="s">
        <v>3529</v>
      </c>
      <c r="P577">
        <v>7004378350</v>
      </c>
      <c r="Q577">
        <v>60021032</v>
      </c>
      <c r="R577" s="7">
        <v>32143</v>
      </c>
      <c r="S577" s="8">
        <f t="shared" si="72"/>
        <v>1988</v>
      </c>
      <c r="T577" s="8">
        <v>1988</v>
      </c>
      <c r="U577" s="8">
        <f t="shared" si="73"/>
        <v>34</v>
      </c>
      <c r="V577" s="7">
        <v>32295</v>
      </c>
      <c r="W577" t="s">
        <v>69</v>
      </c>
      <c r="X577" s="2">
        <v>1.6519999999999999</v>
      </c>
      <c r="Y577" s="6">
        <f t="shared" si="70"/>
        <v>4.409919649769093E-2</v>
      </c>
      <c r="AA577" t="s">
        <v>68</v>
      </c>
      <c r="AB577">
        <v>17337</v>
      </c>
      <c r="AC577">
        <v>15582221</v>
      </c>
      <c r="AD577" t="s">
        <v>4</v>
      </c>
      <c r="AE577">
        <v>36</v>
      </c>
      <c r="AF577">
        <v>6</v>
      </c>
      <c r="AH577" t="s">
        <v>3528</v>
      </c>
      <c r="AI577" t="s">
        <v>3527</v>
      </c>
      <c r="AK577" t="s">
        <v>3526</v>
      </c>
      <c r="AL577">
        <v>9</v>
      </c>
      <c r="AM577" s="5">
        <f t="shared" si="74"/>
        <v>0.26470588235294118</v>
      </c>
      <c r="AN577" s="4">
        <f t="shared" si="71"/>
        <v>4.009176559681048E-4</v>
      </c>
      <c r="AO577" s="3"/>
      <c r="AP577">
        <v>0</v>
      </c>
      <c r="AR577" t="s">
        <v>0</v>
      </c>
      <c r="AT577" s="2" t="s">
        <v>19</v>
      </c>
      <c r="AU577" s="1">
        <f t="shared" si="75"/>
        <v>3.0989712845174084</v>
      </c>
      <c r="AV577" s="1">
        <f t="shared" si="76"/>
        <v>2.2250057076829517</v>
      </c>
      <c r="AW577" s="1">
        <f t="shared" si="77"/>
        <v>1.3510401308484952</v>
      </c>
    </row>
    <row r="578" spans="1:49" x14ac:dyDescent="0.2">
      <c r="A578">
        <v>576</v>
      </c>
      <c r="B578" t="s">
        <v>3525</v>
      </c>
      <c r="C578" t="s">
        <v>3524</v>
      </c>
      <c r="F578" t="s">
        <v>3523</v>
      </c>
      <c r="G578" t="s">
        <v>15</v>
      </c>
      <c r="H578" t="s">
        <v>14</v>
      </c>
      <c r="I578" t="s">
        <v>3515</v>
      </c>
      <c r="J578">
        <v>60023053</v>
      </c>
      <c r="K578" t="s">
        <v>1961</v>
      </c>
      <c r="L578" t="s">
        <v>1960</v>
      </c>
      <c r="M578" t="s">
        <v>31</v>
      </c>
      <c r="N578">
        <v>1</v>
      </c>
      <c r="O578" t="s">
        <v>3522</v>
      </c>
      <c r="P578">
        <v>35389095700</v>
      </c>
      <c r="Q578">
        <v>60023053</v>
      </c>
      <c r="R578" s="7">
        <v>32143</v>
      </c>
      <c r="S578" s="8">
        <f t="shared" si="72"/>
        <v>1988</v>
      </c>
      <c r="T578" s="8">
        <v>1988</v>
      </c>
      <c r="U578" s="8">
        <f t="shared" si="73"/>
        <v>34</v>
      </c>
      <c r="V578" s="7">
        <v>32295</v>
      </c>
      <c r="W578" t="s">
        <v>69</v>
      </c>
      <c r="X578" s="2">
        <v>1.6519999999999999</v>
      </c>
      <c r="Y578" s="6">
        <f t="shared" ref="Y578:Y641" si="78">(X578-$Z$4)/($Z$3-$Z$4)</f>
        <v>4.409919649769093E-2</v>
      </c>
      <c r="AA578" t="s">
        <v>68</v>
      </c>
      <c r="AB578">
        <v>17337</v>
      </c>
      <c r="AC578">
        <v>15582221</v>
      </c>
      <c r="AD578" t="s">
        <v>4</v>
      </c>
      <c r="AE578">
        <v>36</v>
      </c>
      <c r="AF578">
        <v>6</v>
      </c>
      <c r="AH578" t="s">
        <v>3521</v>
      </c>
      <c r="AI578" t="s">
        <v>3520</v>
      </c>
      <c r="AK578" t="s">
        <v>3519</v>
      </c>
      <c r="AL578">
        <v>15</v>
      </c>
      <c r="AM578" s="5">
        <f t="shared" si="74"/>
        <v>0.44117647058823528</v>
      </c>
      <c r="AN578" s="4">
        <f t="shared" ref="AN578:AN641" si="79">(AM578-$AO$4)/($AO$3-$AO$4)</f>
        <v>6.6819609328017462E-4</v>
      </c>
      <c r="AO578" s="3"/>
      <c r="AP578">
        <v>0</v>
      </c>
      <c r="AR578" t="s">
        <v>0</v>
      </c>
      <c r="AT578" s="2" t="s">
        <v>19</v>
      </c>
      <c r="AU578" s="1">
        <f t="shared" si="75"/>
        <v>3.1069896376367705</v>
      </c>
      <c r="AV578" s="1">
        <f t="shared" si="76"/>
        <v>2.2383696295485556</v>
      </c>
      <c r="AW578" s="1">
        <f t="shared" si="77"/>
        <v>1.3697496214603402</v>
      </c>
    </row>
    <row r="579" spans="1:49" x14ac:dyDescent="0.2">
      <c r="A579">
        <v>577</v>
      </c>
      <c r="B579" t="s">
        <v>3518</v>
      </c>
      <c r="C579" t="s">
        <v>3517</v>
      </c>
      <c r="F579" t="s">
        <v>3516</v>
      </c>
      <c r="G579" t="s">
        <v>15</v>
      </c>
      <c r="H579" t="s">
        <v>14</v>
      </c>
      <c r="I579" t="s">
        <v>3515</v>
      </c>
      <c r="J579">
        <v>60023053</v>
      </c>
      <c r="K579" t="s">
        <v>1961</v>
      </c>
      <c r="L579" t="s">
        <v>1960</v>
      </c>
      <c r="M579" t="s">
        <v>31</v>
      </c>
      <c r="N579">
        <v>2</v>
      </c>
      <c r="O579" t="s">
        <v>3514</v>
      </c>
      <c r="P579" t="s">
        <v>3513</v>
      </c>
      <c r="Q579" t="s">
        <v>3512</v>
      </c>
      <c r="R579" s="7">
        <v>32143</v>
      </c>
      <c r="S579" s="8">
        <f t="shared" si="72"/>
        <v>1988</v>
      </c>
      <c r="T579" s="8">
        <v>1988</v>
      </c>
      <c r="U579" s="8">
        <f t="shared" si="73"/>
        <v>34</v>
      </c>
      <c r="V579" s="7">
        <v>32295</v>
      </c>
      <c r="W579" t="s">
        <v>69</v>
      </c>
      <c r="X579" s="2">
        <v>1.6519999999999999</v>
      </c>
      <c r="Y579" s="6">
        <f t="shared" si="78"/>
        <v>4.409919649769093E-2</v>
      </c>
      <c r="AA579" t="s">
        <v>68</v>
      </c>
      <c r="AB579">
        <v>17337</v>
      </c>
      <c r="AC579">
        <v>15582221</v>
      </c>
      <c r="AD579" t="s">
        <v>4</v>
      </c>
      <c r="AE579">
        <v>36</v>
      </c>
      <c r="AF579">
        <v>6</v>
      </c>
      <c r="AH579" t="s">
        <v>3511</v>
      </c>
      <c r="AI579" t="s">
        <v>3510</v>
      </c>
      <c r="AK579" t="s">
        <v>3509</v>
      </c>
      <c r="AL579">
        <v>26</v>
      </c>
      <c r="AM579" s="5">
        <f t="shared" si="74"/>
        <v>0.76470588235294112</v>
      </c>
      <c r="AN579" s="4">
        <f t="shared" si="79"/>
        <v>1.1582065616856359E-3</v>
      </c>
      <c r="AO579" s="3"/>
      <c r="AP579">
        <v>0</v>
      </c>
      <c r="AR579" t="s">
        <v>0</v>
      </c>
      <c r="AT579" s="2" t="s">
        <v>19</v>
      </c>
      <c r="AU579" s="1">
        <f t="shared" si="75"/>
        <v>3.1216899516889338</v>
      </c>
      <c r="AV579" s="1">
        <f t="shared" si="76"/>
        <v>2.2628701529688282</v>
      </c>
      <c r="AW579" s="1">
        <f t="shared" si="77"/>
        <v>1.4040503542487224</v>
      </c>
    </row>
    <row r="580" spans="1:49" x14ac:dyDescent="0.2">
      <c r="A580">
        <v>578</v>
      </c>
      <c r="B580" t="s">
        <v>3508</v>
      </c>
      <c r="C580" t="s">
        <v>3507</v>
      </c>
      <c r="F580" t="s">
        <v>3506</v>
      </c>
      <c r="G580" t="s">
        <v>15</v>
      </c>
      <c r="H580" t="s">
        <v>14</v>
      </c>
      <c r="I580" t="s">
        <v>3505</v>
      </c>
      <c r="J580">
        <v>60014313</v>
      </c>
      <c r="K580" t="s">
        <v>1243</v>
      </c>
      <c r="L580" t="s">
        <v>1242</v>
      </c>
      <c r="M580" t="s">
        <v>31</v>
      </c>
      <c r="N580">
        <v>2</v>
      </c>
      <c r="O580" t="s">
        <v>3504</v>
      </c>
      <c r="P580" t="s">
        <v>3503</v>
      </c>
      <c r="Q580" t="s">
        <v>1239</v>
      </c>
      <c r="R580" s="7">
        <v>32143</v>
      </c>
      <c r="S580" s="8">
        <f t="shared" si="72"/>
        <v>1988</v>
      </c>
      <c r="T580" s="8">
        <v>1988</v>
      </c>
      <c r="U580" s="8">
        <f t="shared" si="73"/>
        <v>34</v>
      </c>
      <c r="V580" s="7">
        <v>32264</v>
      </c>
      <c r="W580" t="s">
        <v>1958</v>
      </c>
      <c r="X580" s="2">
        <v>0.65500000000000003</v>
      </c>
      <c r="Y580" s="6">
        <f t="shared" si="78"/>
        <v>1.7484850911614749E-2</v>
      </c>
      <c r="AA580">
        <v>189375</v>
      </c>
      <c r="AB580">
        <v>26051</v>
      </c>
      <c r="AC580" t="s">
        <v>1957</v>
      </c>
      <c r="AD580" t="s">
        <v>4</v>
      </c>
      <c r="AE580">
        <v>30</v>
      </c>
      <c r="AF580">
        <v>2</v>
      </c>
      <c r="AH580" t="s">
        <v>3502</v>
      </c>
      <c r="AI580" t="s">
        <v>3501</v>
      </c>
      <c r="AJ580" t="s">
        <v>3500</v>
      </c>
      <c r="AK580" t="s">
        <v>3499</v>
      </c>
      <c r="AL580">
        <v>3</v>
      </c>
      <c r="AM580" s="5">
        <f t="shared" si="74"/>
        <v>8.8235294117647065E-2</v>
      </c>
      <c r="AN580" s="4">
        <f t="shared" si="79"/>
        <v>1.3363921865603494E-4</v>
      </c>
      <c r="AO580" s="3"/>
      <c r="AP580">
        <v>0</v>
      </c>
      <c r="AQ580" t="s">
        <v>1991</v>
      </c>
      <c r="AR580" t="s">
        <v>3498</v>
      </c>
      <c r="AS580" t="s">
        <v>1989</v>
      </c>
      <c r="AT580" s="2" t="s">
        <v>19</v>
      </c>
      <c r="AU580" s="1">
        <f t="shared" si="75"/>
        <v>1.2279487403727134</v>
      </c>
      <c r="AV580" s="1">
        <f t="shared" si="76"/>
        <v>0.88092450651353926</v>
      </c>
      <c r="AW580" s="1">
        <f t="shared" si="77"/>
        <v>0.5339002726543649</v>
      </c>
    </row>
    <row r="581" spans="1:49" x14ac:dyDescent="0.2">
      <c r="A581">
        <v>579</v>
      </c>
      <c r="B581" t="s">
        <v>3497</v>
      </c>
      <c r="C581" t="s">
        <v>3496</v>
      </c>
      <c r="D581" t="s">
        <v>3495</v>
      </c>
      <c r="F581" t="s">
        <v>3494</v>
      </c>
      <c r="G581" t="s">
        <v>15</v>
      </c>
      <c r="H581" t="s">
        <v>14</v>
      </c>
      <c r="I581" t="s">
        <v>3493</v>
      </c>
      <c r="J581">
        <v>60086226</v>
      </c>
      <c r="K581" t="s">
        <v>3492</v>
      </c>
      <c r="L581" t="s">
        <v>284</v>
      </c>
      <c r="M581" t="s">
        <v>45</v>
      </c>
      <c r="N581">
        <v>4</v>
      </c>
      <c r="O581" t="s">
        <v>3491</v>
      </c>
      <c r="P581" t="s">
        <v>3490</v>
      </c>
      <c r="Q581" t="s">
        <v>3489</v>
      </c>
      <c r="R581" s="7">
        <v>32143</v>
      </c>
      <c r="S581" s="8">
        <f t="shared" si="72"/>
        <v>1988</v>
      </c>
      <c r="T581" s="8">
        <v>1988</v>
      </c>
      <c r="U581" s="8">
        <f t="shared" si="73"/>
        <v>34</v>
      </c>
      <c r="V581" s="7">
        <v>32264</v>
      </c>
      <c r="W581" t="s">
        <v>1047</v>
      </c>
      <c r="X581" s="2">
        <v>1.1339999999999999</v>
      </c>
      <c r="Y581" s="6">
        <f t="shared" si="78"/>
        <v>3.0271482341635299E-2</v>
      </c>
      <c r="AA581">
        <v>945765</v>
      </c>
      <c r="AB581">
        <v>12372</v>
      </c>
      <c r="AD581" t="s">
        <v>4</v>
      </c>
      <c r="AE581">
        <v>17</v>
      </c>
      <c r="AF581">
        <v>5</v>
      </c>
      <c r="AH581" t="s">
        <v>3488</v>
      </c>
      <c r="AI581" t="s">
        <v>3487</v>
      </c>
      <c r="AK581" t="s">
        <v>3486</v>
      </c>
      <c r="AL581">
        <v>0</v>
      </c>
      <c r="AM581" s="5">
        <f t="shared" si="74"/>
        <v>0</v>
      </c>
      <c r="AN581" s="4">
        <f t="shared" si="79"/>
        <v>0</v>
      </c>
      <c r="AO581" s="3"/>
      <c r="AP581">
        <v>0</v>
      </c>
      <c r="AR581" t="s">
        <v>0</v>
      </c>
      <c r="AT581" s="2">
        <v>2.4129999999999998</v>
      </c>
      <c r="AU581" s="1">
        <f t="shared" si="75"/>
        <v>2.119003763914471</v>
      </c>
      <c r="AV581" s="1">
        <f t="shared" si="76"/>
        <v>1.5135741170817649</v>
      </c>
      <c r="AW581" s="1">
        <f t="shared" si="77"/>
        <v>0.90814447024905898</v>
      </c>
    </row>
    <row r="582" spans="1:49" x14ac:dyDescent="0.2">
      <c r="A582">
        <v>580</v>
      </c>
      <c r="B582" t="s">
        <v>3485</v>
      </c>
      <c r="C582" t="s">
        <v>3484</v>
      </c>
      <c r="F582" t="s">
        <v>3483</v>
      </c>
      <c r="G582" t="s">
        <v>15</v>
      </c>
      <c r="H582" t="s">
        <v>14</v>
      </c>
      <c r="I582" t="s">
        <v>3482</v>
      </c>
      <c r="J582">
        <v>60025209</v>
      </c>
      <c r="K582" t="s">
        <v>2357</v>
      </c>
      <c r="L582" t="s">
        <v>751</v>
      </c>
      <c r="M582" t="s">
        <v>31</v>
      </c>
      <c r="N582">
        <v>1</v>
      </c>
      <c r="O582" t="s">
        <v>3481</v>
      </c>
      <c r="P582">
        <v>56796752200</v>
      </c>
      <c r="Q582">
        <v>60025209</v>
      </c>
      <c r="R582" s="7">
        <v>32143</v>
      </c>
      <c r="S582" s="8">
        <f t="shared" si="72"/>
        <v>1988</v>
      </c>
      <c r="T582" s="8">
        <v>1988</v>
      </c>
      <c r="U582" s="8">
        <f t="shared" si="73"/>
        <v>34</v>
      </c>
      <c r="V582" s="7">
        <v>32264</v>
      </c>
      <c r="W582" t="s">
        <v>2392</v>
      </c>
      <c r="X582" s="2">
        <v>1.137</v>
      </c>
      <c r="Y582" s="6">
        <f t="shared" si="78"/>
        <v>3.0351565628253384E-2</v>
      </c>
      <c r="AA582">
        <v>189251</v>
      </c>
      <c r="AB582">
        <v>17336</v>
      </c>
      <c r="AD582" t="s">
        <v>4</v>
      </c>
      <c r="AE582">
        <v>24</v>
      </c>
      <c r="AF582">
        <v>3</v>
      </c>
      <c r="AH582" t="s">
        <v>2675</v>
      </c>
      <c r="AI582" t="s">
        <v>3480</v>
      </c>
      <c r="AK582" t="s">
        <v>3479</v>
      </c>
      <c r="AL582">
        <v>7</v>
      </c>
      <c r="AM582" s="5">
        <f t="shared" si="74"/>
        <v>0.20588235294117646</v>
      </c>
      <c r="AN582" s="4">
        <f t="shared" si="79"/>
        <v>3.1182484353074817E-4</v>
      </c>
      <c r="AO582" s="3"/>
      <c r="AP582">
        <v>0</v>
      </c>
      <c r="AR582" t="s">
        <v>0</v>
      </c>
      <c r="AT582" s="2" t="s">
        <v>19</v>
      </c>
      <c r="AU582" s="1">
        <f t="shared" si="75"/>
        <v>2.1339643392836591</v>
      </c>
      <c r="AV582" s="1">
        <f t="shared" si="76"/>
        <v>1.5331695235892067</v>
      </c>
      <c r="AW582" s="1">
        <f t="shared" si="77"/>
        <v>0.93237470789475396</v>
      </c>
    </row>
    <row r="583" spans="1:49" x14ac:dyDescent="0.2">
      <c r="A583">
        <v>581</v>
      </c>
      <c r="B583" t="s">
        <v>3478</v>
      </c>
      <c r="C583" t="s">
        <v>3477</v>
      </c>
      <c r="F583" t="s">
        <v>3476</v>
      </c>
      <c r="G583" t="s">
        <v>15</v>
      </c>
      <c r="H583" t="s">
        <v>14</v>
      </c>
      <c r="I583" t="s">
        <v>3475</v>
      </c>
      <c r="J583">
        <v>100387882</v>
      </c>
      <c r="K583" t="s">
        <v>3474</v>
      </c>
      <c r="L583" t="s">
        <v>3473</v>
      </c>
      <c r="M583" t="s">
        <v>1011</v>
      </c>
      <c r="N583">
        <v>3</v>
      </c>
      <c r="O583" t="s">
        <v>3472</v>
      </c>
      <c r="P583" t="s">
        <v>3471</v>
      </c>
      <c r="Q583" t="s">
        <v>3470</v>
      </c>
      <c r="R583" s="7">
        <v>32143</v>
      </c>
      <c r="S583" s="8">
        <f t="shared" ref="S583:S646" si="80">YEAR(R583)</f>
        <v>1988</v>
      </c>
      <c r="T583" s="8">
        <v>1988</v>
      </c>
      <c r="U583" s="8">
        <f t="shared" ref="U583:U646" si="81">2022-T583</f>
        <v>34</v>
      </c>
      <c r="V583" s="7" t="s">
        <v>3104</v>
      </c>
      <c r="W583" t="s">
        <v>1058</v>
      </c>
      <c r="X583" s="2" t="s">
        <v>19</v>
      </c>
      <c r="Y583" s="6" t="e">
        <f t="shared" si="78"/>
        <v>#VALUE!</v>
      </c>
      <c r="AA583">
        <v>2671689</v>
      </c>
      <c r="AB583">
        <v>87645</v>
      </c>
      <c r="AD583" t="s">
        <v>4</v>
      </c>
      <c r="AE583">
        <v>58</v>
      </c>
      <c r="AF583">
        <v>3</v>
      </c>
      <c r="AH583" t="s">
        <v>3469</v>
      </c>
      <c r="AI583" t="s">
        <v>3468</v>
      </c>
      <c r="AK583" t="s">
        <v>3467</v>
      </c>
      <c r="AL583">
        <v>0</v>
      </c>
      <c r="AM583" s="5">
        <f t="shared" ref="AM583:AM646" si="82">AL583/U583</f>
        <v>0</v>
      </c>
      <c r="AN583" s="4">
        <f t="shared" si="79"/>
        <v>0</v>
      </c>
      <c r="AO583" s="3"/>
      <c r="AP583">
        <v>0</v>
      </c>
      <c r="AR583" t="s">
        <v>0</v>
      </c>
      <c r="AT583" s="2" t="s">
        <v>19</v>
      </c>
      <c r="AU583" s="1" t="e">
        <f t="shared" ref="AU583:AU646" si="83">(Y583*0.7+AN583*0.3)*100</f>
        <v>#VALUE!</v>
      </c>
      <c r="AV583" s="1" t="e">
        <f t="shared" ref="AV583:AV646" si="84">(Y583*0.5+AN583*0.5)*100</f>
        <v>#VALUE!</v>
      </c>
      <c r="AW583" s="1" t="e">
        <f t="shared" ref="AW583:AW646" si="85">(Y583*0.3+AN583*0.7)*100</f>
        <v>#VALUE!</v>
      </c>
    </row>
    <row r="584" spans="1:49" x14ac:dyDescent="0.2">
      <c r="A584">
        <v>582</v>
      </c>
      <c r="B584" t="s">
        <v>3466</v>
      </c>
      <c r="C584" t="s">
        <v>3465</v>
      </c>
      <c r="F584" t="s">
        <v>3464</v>
      </c>
      <c r="G584" t="s">
        <v>15</v>
      </c>
      <c r="H584" t="s">
        <v>14</v>
      </c>
      <c r="I584" t="s">
        <v>3463</v>
      </c>
      <c r="J584" t="s">
        <v>3462</v>
      </c>
      <c r="K584" t="s">
        <v>3461</v>
      </c>
      <c r="L584" t="s">
        <v>3460</v>
      </c>
      <c r="M584" t="s">
        <v>195</v>
      </c>
      <c r="N584">
        <v>3</v>
      </c>
      <c r="O584" t="s">
        <v>3459</v>
      </c>
      <c r="P584" t="s">
        <v>3458</v>
      </c>
      <c r="Q584" t="s">
        <v>3457</v>
      </c>
      <c r="R584" s="7">
        <v>32143</v>
      </c>
      <c r="S584" s="8">
        <f t="shared" si="80"/>
        <v>1988</v>
      </c>
      <c r="T584" s="8">
        <v>1988</v>
      </c>
      <c r="U584" s="8">
        <f t="shared" si="81"/>
        <v>34</v>
      </c>
      <c r="V584" s="7">
        <v>32264</v>
      </c>
      <c r="W584" t="s">
        <v>69</v>
      </c>
      <c r="X584" s="2">
        <v>1.6519999999999999</v>
      </c>
      <c r="Y584" s="6">
        <f t="shared" si="78"/>
        <v>4.409919649769093E-2</v>
      </c>
      <c r="AA584" t="s">
        <v>68</v>
      </c>
      <c r="AB584">
        <v>17337</v>
      </c>
      <c r="AC584">
        <v>15582221</v>
      </c>
      <c r="AD584" t="s">
        <v>4</v>
      </c>
      <c r="AE584">
        <v>36</v>
      </c>
      <c r="AF584">
        <v>5</v>
      </c>
      <c r="AH584" t="s">
        <v>3456</v>
      </c>
      <c r="AI584" t="s">
        <v>3455</v>
      </c>
      <c r="AK584" t="s">
        <v>3454</v>
      </c>
      <c r="AL584">
        <v>4</v>
      </c>
      <c r="AM584" s="5">
        <f t="shared" si="82"/>
        <v>0.11764705882352941</v>
      </c>
      <c r="AN584" s="4">
        <f t="shared" si="79"/>
        <v>1.7818562487471323E-4</v>
      </c>
      <c r="AO584" s="3"/>
      <c r="AP584">
        <v>0</v>
      </c>
      <c r="AQ584" t="s">
        <v>855</v>
      </c>
      <c r="AR584" t="s">
        <v>3453</v>
      </c>
      <c r="AS584" t="s">
        <v>854</v>
      </c>
      <c r="AT584" s="2" t="s">
        <v>19</v>
      </c>
      <c r="AU584" s="1">
        <f t="shared" si="83"/>
        <v>3.0922893235846063</v>
      </c>
      <c r="AV584" s="1">
        <f t="shared" si="84"/>
        <v>2.213869106128282</v>
      </c>
      <c r="AW584" s="1">
        <f t="shared" si="85"/>
        <v>1.3354488886719578</v>
      </c>
    </row>
    <row r="585" spans="1:49" x14ac:dyDescent="0.2">
      <c r="A585">
        <v>583</v>
      </c>
      <c r="B585" t="s">
        <v>3452</v>
      </c>
      <c r="C585" t="s">
        <v>3451</v>
      </c>
      <c r="F585" t="s">
        <v>3450</v>
      </c>
      <c r="G585" t="s">
        <v>15</v>
      </c>
      <c r="H585" t="s">
        <v>14</v>
      </c>
      <c r="I585" t="s">
        <v>3449</v>
      </c>
      <c r="J585">
        <v>60000745</v>
      </c>
      <c r="K585" t="s">
        <v>3448</v>
      </c>
      <c r="L585" t="s">
        <v>3447</v>
      </c>
      <c r="M585" t="s">
        <v>31</v>
      </c>
      <c r="N585">
        <v>2</v>
      </c>
      <c r="O585" t="s">
        <v>3446</v>
      </c>
      <c r="P585" t="s">
        <v>3445</v>
      </c>
      <c r="Q585" t="s">
        <v>3444</v>
      </c>
      <c r="R585" s="7">
        <v>32143</v>
      </c>
      <c r="S585" s="8">
        <f t="shared" si="80"/>
        <v>1988</v>
      </c>
      <c r="T585" s="8">
        <v>1988</v>
      </c>
      <c r="U585" s="8">
        <f t="shared" si="81"/>
        <v>34</v>
      </c>
      <c r="V585" s="7">
        <v>32264</v>
      </c>
      <c r="W585" t="s">
        <v>69</v>
      </c>
      <c r="X585" s="2">
        <v>1.6519999999999999</v>
      </c>
      <c r="Y585" s="6">
        <f t="shared" si="78"/>
        <v>4.409919649769093E-2</v>
      </c>
      <c r="AA585" t="s">
        <v>68</v>
      </c>
      <c r="AB585">
        <v>17337</v>
      </c>
      <c r="AC585">
        <v>15582221</v>
      </c>
      <c r="AD585" t="s">
        <v>4</v>
      </c>
      <c r="AE585">
        <v>36</v>
      </c>
      <c r="AF585">
        <v>5</v>
      </c>
      <c r="AH585" t="s">
        <v>3443</v>
      </c>
      <c r="AI585" t="s">
        <v>3442</v>
      </c>
      <c r="AK585" t="s">
        <v>3441</v>
      </c>
      <c r="AL585">
        <v>48</v>
      </c>
      <c r="AM585" s="5">
        <f t="shared" si="82"/>
        <v>1.411764705882353</v>
      </c>
      <c r="AN585" s="4">
        <f t="shared" si="79"/>
        <v>2.1382274984965591E-3</v>
      </c>
      <c r="AO585" s="3"/>
      <c r="AP585">
        <v>0</v>
      </c>
      <c r="AR585" t="s">
        <v>0</v>
      </c>
      <c r="AT585" s="2" t="s">
        <v>19</v>
      </c>
      <c r="AU585" s="1">
        <f t="shared" si="83"/>
        <v>3.1510905797932622</v>
      </c>
      <c r="AV585" s="1">
        <f t="shared" si="84"/>
        <v>2.3118711998093744</v>
      </c>
      <c r="AW585" s="1">
        <f t="shared" si="85"/>
        <v>1.472651819825487</v>
      </c>
    </row>
    <row r="586" spans="1:49" x14ac:dyDescent="0.2">
      <c r="A586">
        <v>584</v>
      </c>
      <c r="B586" t="s">
        <v>3440</v>
      </c>
      <c r="C586" t="s">
        <v>3439</v>
      </c>
      <c r="F586" t="s">
        <v>3438</v>
      </c>
      <c r="G586" t="s">
        <v>15</v>
      </c>
      <c r="H586" t="s">
        <v>14</v>
      </c>
      <c r="I586" t="s">
        <v>3437</v>
      </c>
      <c r="J586">
        <v>60014313</v>
      </c>
      <c r="K586" t="s">
        <v>1243</v>
      </c>
      <c r="L586" t="s">
        <v>1242</v>
      </c>
      <c r="M586" t="s">
        <v>31</v>
      </c>
      <c r="N586">
        <v>2</v>
      </c>
      <c r="O586" t="s">
        <v>3436</v>
      </c>
      <c r="P586" t="s">
        <v>3435</v>
      </c>
      <c r="Q586" t="s">
        <v>1239</v>
      </c>
      <c r="R586" s="7">
        <v>32143</v>
      </c>
      <c r="S586" s="8">
        <f t="shared" si="80"/>
        <v>1988</v>
      </c>
      <c r="T586" s="8">
        <v>1988</v>
      </c>
      <c r="U586" s="8">
        <f t="shared" si="81"/>
        <v>34</v>
      </c>
      <c r="V586" s="7">
        <v>32264</v>
      </c>
      <c r="W586" t="s">
        <v>1073</v>
      </c>
      <c r="X586" s="2">
        <v>1.3720000000000001</v>
      </c>
      <c r="Y586" s="6">
        <f t="shared" si="78"/>
        <v>3.662475641333654E-2</v>
      </c>
      <c r="AA586">
        <v>189480</v>
      </c>
      <c r="AB586">
        <v>17366</v>
      </c>
      <c r="AC586">
        <v>15579670</v>
      </c>
      <c r="AD586" t="s">
        <v>4</v>
      </c>
      <c r="AE586">
        <v>36</v>
      </c>
      <c r="AF586">
        <v>5</v>
      </c>
      <c r="AH586" t="s">
        <v>3434</v>
      </c>
      <c r="AI586" t="s">
        <v>3433</v>
      </c>
      <c r="AK586" t="s">
        <v>3432</v>
      </c>
      <c r="AL586">
        <v>33</v>
      </c>
      <c r="AM586" s="5">
        <f t="shared" si="82"/>
        <v>0.97058823529411764</v>
      </c>
      <c r="AN586" s="4">
        <f t="shared" si="79"/>
        <v>1.4700314052163842E-3</v>
      </c>
      <c r="AO586" s="3"/>
      <c r="AP586">
        <v>0</v>
      </c>
      <c r="AR586" t="s">
        <v>0</v>
      </c>
      <c r="AT586" s="2" t="s">
        <v>19</v>
      </c>
      <c r="AU586" s="1">
        <f t="shared" si="83"/>
        <v>2.6078338910900491</v>
      </c>
      <c r="AV586" s="1">
        <f t="shared" si="84"/>
        <v>1.9047393909276462</v>
      </c>
      <c r="AW586" s="1">
        <f t="shared" si="85"/>
        <v>1.2016448907652431</v>
      </c>
    </row>
    <row r="587" spans="1:49" x14ac:dyDescent="0.2">
      <c r="A587">
        <v>585</v>
      </c>
      <c r="B587" t="s">
        <v>3431</v>
      </c>
      <c r="C587" t="s">
        <v>3430</v>
      </c>
      <c r="F587" t="s">
        <v>3429</v>
      </c>
      <c r="G587" t="s">
        <v>15</v>
      </c>
      <c r="H587" t="s">
        <v>14</v>
      </c>
      <c r="I587" t="s">
        <v>3428</v>
      </c>
      <c r="J587">
        <v>60005304</v>
      </c>
      <c r="K587" t="s">
        <v>72</v>
      </c>
      <c r="L587" t="s">
        <v>71</v>
      </c>
      <c r="M587" t="s">
        <v>31</v>
      </c>
      <c r="N587">
        <v>1</v>
      </c>
      <c r="O587" t="s">
        <v>3427</v>
      </c>
      <c r="P587">
        <v>7004066834</v>
      </c>
      <c r="Q587">
        <v>60005304</v>
      </c>
      <c r="R587" s="7">
        <v>32143</v>
      </c>
      <c r="S587" s="8">
        <f t="shared" si="80"/>
        <v>1988</v>
      </c>
      <c r="T587" s="8">
        <v>1988</v>
      </c>
      <c r="U587" s="8">
        <f t="shared" si="81"/>
        <v>34</v>
      </c>
      <c r="V587" s="7">
        <v>32264</v>
      </c>
      <c r="W587" t="s">
        <v>1983</v>
      </c>
      <c r="X587" s="2">
        <v>2.383</v>
      </c>
      <c r="Y587" s="6">
        <f t="shared" si="78"/>
        <v>6.3612824003630442E-2</v>
      </c>
      <c r="AA587">
        <v>189219</v>
      </c>
      <c r="AB587">
        <v>17915</v>
      </c>
      <c r="AC587" t="s">
        <v>3415</v>
      </c>
      <c r="AD587" t="s">
        <v>4</v>
      </c>
      <c r="AE587">
        <v>76</v>
      </c>
      <c r="AF587">
        <v>5</v>
      </c>
      <c r="AH587" t="s">
        <v>3426</v>
      </c>
      <c r="AL587">
        <v>2</v>
      </c>
      <c r="AM587" s="5">
        <f t="shared" si="82"/>
        <v>5.8823529411764705E-2</v>
      </c>
      <c r="AN587" s="4">
        <f t="shared" si="79"/>
        <v>8.9092812437356614E-5</v>
      </c>
      <c r="AO587" s="3"/>
      <c r="AP587">
        <v>0</v>
      </c>
      <c r="AQ587" t="s">
        <v>2635</v>
      </c>
      <c r="AR587" t="s">
        <v>0</v>
      </c>
      <c r="AS587" t="s">
        <v>3425</v>
      </c>
      <c r="AT587" s="2">
        <v>10.961</v>
      </c>
      <c r="AU587" s="1">
        <f t="shared" si="83"/>
        <v>4.455570464627252</v>
      </c>
      <c r="AV587" s="1">
        <f t="shared" si="84"/>
        <v>3.1850958408033896</v>
      </c>
      <c r="AW587" s="1">
        <f t="shared" si="85"/>
        <v>1.914621216979528</v>
      </c>
    </row>
    <row r="588" spans="1:49" x14ac:dyDescent="0.2">
      <c r="A588">
        <v>586</v>
      </c>
      <c r="B588" t="s">
        <v>3424</v>
      </c>
      <c r="C588" t="s">
        <v>3423</v>
      </c>
      <c r="F588" t="s">
        <v>3422</v>
      </c>
      <c r="G588" t="s">
        <v>15</v>
      </c>
      <c r="H588" t="s">
        <v>14</v>
      </c>
      <c r="I588" t="s">
        <v>3421</v>
      </c>
      <c r="J588">
        <v>60020825</v>
      </c>
      <c r="K588" t="s">
        <v>3420</v>
      </c>
      <c r="L588" t="s">
        <v>3419</v>
      </c>
      <c r="M588" t="s">
        <v>300</v>
      </c>
      <c r="N588">
        <v>4</v>
      </c>
      <c r="O588" t="s">
        <v>3418</v>
      </c>
      <c r="P588" t="s">
        <v>3417</v>
      </c>
      <c r="Q588" t="s">
        <v>3416</v>
      </c>
      <c r="R588" s="7">
        <v>32143</v>
      </c>
      <c r="S588" s="8">
        <f t="shared" si="80"/>
        <v>1988</v>
      </c>
      <c r="T588" s="8">
        <v>1988</v>
      </c>
      <c r="U588" s="8">
        <f t="shared" si="81"/>
        <v>34</v>
      </c>
      <c r="V588" s="7">
        <v>32264</v>
      </c>
      <c r="W588" t="s">
        <v>1983</v>
      </c>
      <c r="X588" s="2">
        <v>2.383</v>
      </c>
      <c r="Y588" s="6">
        <f t="shared" si="78"/>
        <v>6.3612824003630442E-2</v>
      </c>
      <c r="AA588">
        <v>189219</v>
      </c>
      <c r="AB588">
        <v>17915</v>
      </c>
      <c r="AC588" t="s">
        <v>3415</v>
      </c>
      <c r="AD588" t="s">
        <v>4</v>
      </c>
      <c r="AE588">
        <v>76</v>
      </c>
      <c r="AF588">
        <v>5</v>
      </c>
      <c r="AH588" t="s">
        <v>3414</v>
      </c>
      <c r="AL588">
        <v>3</v>
      </c>
      <c r="AM588" s="5">
        <f t="shared" si="82"/>
        <v>8.8235294117647065E-2</v>
      </c>
      <c r="AN588" s="4">
        <f t="shared" si="79"/>
        <v>1.3363921865603494E-4</v>
      </c>
      <c r="AO588" s="3"/>
      <c r="AP588">
        <v>0</v>
      </c>
      <c r="AQ588" t="s">
        <v>2635</v>
      </c>
      <c r="AR588" t="s">
        <v>0</v>
      </c>
      <c r="AS588" t="s">
        <v>2634</v>
      </c>
      <c r="AT588" s="2">
        <v>10.961</v>
      </c>
      <c r="AU588" s="1">
        <f t="shared" si="83"/>
        <v>4.4569068568138119</v>
      </c>
      <c r="AV588" s="1">
        <f t="shared" si="84"/>
        <v>3.1873231611143233</v>
      </c>
      <c r="AW588" s="1">
        <f t="shared" si="85"/>
        <v>1.9177394654148356</v>
      </c>
    </row>
    <row r="589" spans="1:49" x14ac:dyDescent="0.2">
      <c r="A589">
        <v>587</v>
      </c>
      <c r="B589" t="s">
        <v>3413</v>
      </c>
      <c r="C589" t="s">
        <v>3412</v>
      </c>
      <c r="F589" t="s">
        <v>3411</v>
      </c>
      <c r="G589" t="s">
        <v>15</v>
      </c>
      <c r="H589" t="s">
        <v>14</v>
      </c>
      <c r="I589" t="s">
        <v>3410</v>
      </c>
      <c r="N589">
        <v>3</v>
      </c>
      <c r="O589" t="s">
        <v>3409</v>
      </c>
      <c r="P589" t="s">
        <v>3408</v>
      </c>
      <c r="Q589" t="s">
        <v>532</v>
      </c>
      <c r="R589" s="7">
        <v>32143</v>
      </c>
      <c r="S589" s="8">
        <f t="shared" si="80"/>
        <v>1988</v>
      </c>
      <c r="T589" s="8">
        <v>1988</v>
      </c>
      <c r="U589" s="8">
        <f t="shared" si="81"/>
        <v>34</v>
      </c>
      <c r="V589" s="7">
        <v>32264</v>
      </c>
      <c r="W589" t="s">
        <v>3407</v>
      </c>
      <c r="X589" s="2">
        <v>0.14899999999999999</v>
      </c>
      <c r="Y589" s="6">
        <f t="shared" si="78"/>
        <v>3.977469902031446E-3</v>
      </c>
      <c r="AA589">
        <v>281425</v>
      </c>
      <c r="AB589">
        <v>21100416801</v>
      </c>
      <c r="AC589">
        <v>15593584</v>
      </c>
      <c r="AD589" t="s">
        <v>4</v>
      </c>
      <c r="AE589">
        <v>100</v>
      </c>
      <c r="AF589">
        <v>3</v>
      </c>
      <c r="AH589" t="s">
        <v>3406</v>
      </c>
      <c r="AI589" t="s">
        <v>3405</v>
      </c>
      <c r="AK589" t="s">
        <v>3404</v>
      </c>
      <c r="AL589">
        <v>4</v>
      </c>
      <c r="AM589" s="5">
        <f t="shared" si="82"/>
        <v>0.11764705882352941</v>
      </c>
      <c r="AN589" s="4">
        <f t="shared" si="79"/>
        <v>1.7818562487471323E-4</v>
      </c>
      <c r="AO589" s="3"/>
      <c r="AP589">
        <v>0</v>
      </c>
      <c r="AR589" t="s">
        <v>0</v>
      </c>
      <c r="AT589" s="2">
        <v>0.24299999999999999</v>
      </c>
      <c r="AU589" s="1">
        <f t="shared" si="83"/>
        <v>0.28376846188844257</v>
      </c>
      <c r="AV589" s="1">
        <f t="shared" si="84"/>
        <v>0.20778277634530798</v>
      </c>
      <c r="AW589" s="1">
        <f t="shared" si="85"/>
        <v>0.13179709080217331</v>
      </c>
    </row>
    <row r="590" spans="1:49" x14ac:dyDescent="0.2">
      <c r="A590">
        <v>588</v>
      </c>
      <c r="B590" t="s">
        <v>3403</v>
      </c>
      <c r="C590" t="s">
        <v>3402</v>
      </c>
      <c r="F590" t="s">
        <v>3401</v>
      </c>
      <c r="G590" t="s">
        <v>15</v>
      </c>
      <c r="H590" t="s">
        <v>14</v>
      </c>
      <c r="I590" t="s">
        <v>3400</v>
      </c>
      <c r="J590">
        <v>100314754</v>
      </c>
      <c r="K590" t="s">
        <v>3399</v>
      </c>
      <c r="L590" t="s">
        <v>3398</v>
      </c>
      <c r="M590" t="s">
        <v>31</v>
      </c>
      <c r="N590">
        <v>3</v>
      </c>
      <c r="O590" t="s">
        <v>3397</v>
      </c>
      <c r="P590" t="s">
        <v>3396</v>
      </c>
      <c r="Q590" t="s">
        <v>3395</v>
      </c>
      <c r="R590" s="7">
        <v>32143</v>
      </c>
      <c r="S590" s="8">
        <f t="shared" si="80"/>
        <v>1988</v>
      </c>
      <c r="T590" s="8">
        <v>1988</v>
      </c>
      <c r="U590" s="8">
        <f t="shared" si="81"/>
        <v>34</v>
      </c>
      <c r="V590" s="7">
        <v>32264</v>
      </c>
      <c r="W590" t="s">
        <v>2450</v>
      </c>
      <c r="X590" s="2">
        <v>2.141</v>
      </c>
      <c r="Y590" s="6">
        <f t="shared" si="78"/>
        <v>5.7152772216438434E-2</v>
      </c>
      <c r="AA590">
        <v>1962892</v>
      </c>
      <c r="AB590">
        <v>17360</v>
      </c>
      <c r="AC590">
        <v>15580644</v>
      </c>
      <c r="AD590" t="s">
        <v>4</v>
      </c>
      <c r="AE590">
        <v>26</v>
      </c>
      <c r="AF590">
        <v>3</v>
      </c>
      <c r="AH590" t="s">
        <v>3394</v>
      </c>
      <c r="AI590" t="s">
        <v>3393</v>
      </c>
      <c r="AK590" t="s">
        <v>3392</v>
      </c>
      <c r="AL590">
        <v>2</v>
      </c>
      <c r="AM590" s="5">
        <f t="shared" si="82"/>
        <v>5.8823529411764705E-2</v>
      </c>
      <c r="AN590" s="4">
        <f t="shared" si="79"/>
        <v>8.9092812437356614E-5</v>
      </c>
      <c r="AO590" s="3"/>
      <c r="AP590">
        <v>0</v>
      </c>
      <c r="AR590" t="s">
        <v>0</v>
      </c>
      <c r="AT590" s="2" t="s">
        <v>19</v>
      </c>
      <c r="AU590" s="1">
        <f t="shared" si="83"/>
        <v>4.0033668395238111</v>
      </c>
      <c r="AV590" s="1">
        <f t="shared" si="84"/>
        <v>2.8620932514437896</v>
      </c>
      <c r="AW590" s="1">
        <f t="shared" si="85"/>
        <v>1.720819663363768</v>
      </c>
    </row>
    <row r="591" spans="1:49" x14ac:dyDescent="0.2">
      <c r="A591">
        <v>589</v>
      </c>
      <c r="B591" t="s">
        <v>3391</v>
      </c>
      <c r="C591" t="s">
        <v>3390</v>
      </c>
      <c r="F591" t="s">
        <v>3389</v>
      </c>
      <c r="G591" t="s">
        <v>15</v>
      </c>
      <c r="H591" t="s">
        <v>14</v>
      </c>
      <c r="I591" t="s">
        <v>3388</v>
      </c>
      <c r="J591">
        <v>60008997</v>
      </c>
      <c r="K591" t="s">
        <v>3387</v>
      </c>
      <c r="L591" t="s">
        <v>3386</v>
      </c>
      <c r="M591" t="s">
        <v>211</v>
      </c>
      <c r="N591">
        <v>4</v>
      </c>
      <c r="O591" t="s">
        <v>3385</v>
      </c>
      <c r="P591" t="s">
        <v>3384</v>
      </c>
      <c r="Q591" t="s">
        <v>3383</v>
      </c>
      <c r="R591" s="7">
        <v>32143</v>
      </c>
      <c r="S591" s="8">
        <f t="shared" si="80"/>
        <v>1988</v>
      </c>
      <c r="T591" s="8">
        <v>1988</v>
      </c>
      <c r="U591" s="8">
        <f t="shared" si="81"/>
        <v>34</v>
      </c>
      <c r="V591" s="7">
        <v>32264</v>
      </c>
      <c r="W591" t="s">
        <v>3382</v>
      </c>
      <c r="X591" s="2">
        <v>2.3929999999999998</v>
      </c>
      <c r="Y591" s="6">
        <f t="shared" si="78"/>
        <v>6.3879768292357378E-2</v>
      </c>
      <c r="AA591">
        <v>2780046</v>
      </c>
      <c r="AB591">
        <v>26053</v>
      </c>
      <c r="AC591">
        <v>15579948</v>
      </c>
      <c r="AD591" t="s">
        <v>4</v>
      </c>
      <c r="AE591">
        <v>35</v>
      </c>
      <c r="AF591">
        <v>2</v>
      </c>
      <c r="AH591" t="s">
        <v>3381</v>
      </c>
      <c r="AI591" t="s">
        <v>3380</v>
      </c>
      <c r="AK591" t="s">
        <v>3379</v>
      </c>
      <c r="AL591">
        <v>16</v>
      </c>
      <c r="AM591" s="5">
        <f t="shared" si="82"/>
        <v>0.47058823529411764</v>
      </c>
      <c r="AN591" s="4">
        <f t="shared" si="79"/>
        <v>7.1274249949885291E-4</v>
      </c>
      <c r="AO591" s="3"/>
      <c r="AP591">
        <v>0</v>
      </c>
      <c r="AR591" t="s">
        <v>0</v>
      </c>
      <c r="AT591" s="2" t="s">
        <v>19</v>
      </c>
      <c r="AU591" s="1">
        <f t="shared" si="83"/>
        <v>4.4929660554499815</v>
      </c>
      <c r="AV591" s="1">
        <f t="shared" si="84"/>
        <v>3.2296255395928113</v>
      </c>
      <c r="AW591" s="1">
        <f t="shared" si="85"/>
        <v>1.9662850237356411</v>
      </c>
    </row>
    <row r="592" spans="1:49" x14ac:dyDescent="0.2">
      <c r="A592">
        <v>590</v>
      </c>
      <c r="B592" t="s">
        <v>3378</v>
      </c>
      <c r="C592" t="s">
        <v>3377</v>
      </c>
      <c r="F592" t="s">
        <v>3376</v>
      </c>
      <c r="G592" t="s">
        <v>15</v>
      </c>
      <c r="H592" t="s">
        <v>14</v>
      </c>
      <c r="I592" t="s">
        <v>3375</v>
      </c>
      <c r="N592">
        <v>1</v>
      </c>
      <c r="O592" t="s">
        <v>3374</v>
      </c>
      <c r="P592">
        <v>57198890967</v>
      </c>
      <c r="R592" s="7">
        <v>32143</v>
      </c>
      <c r="S592" s="8">
        <f t="shared" si="80"/>
        <v>1988</v>
      </c>
      <c r="T592" s="8">
        <v>1988</v>
      </c>
      <c r="U592" s="8">
        <f t="shared" si="81"/>
        <v>34</v>
      </c>
      <c r="V592" s="7">
        <v>1988</v>
      </c>
      <c r="W592" t="s">
        <v>56</v>
      </c>
      <c r="X592" s="2">
        <v>0.375</v>
      </c>
      <c r="Y592" s="6">
        <f t="shared" si="78"/>
        <v>1.0010410827260351E-2</v>
      </c>
      <c r="AA592">
        <v>135194</v>
      </c>
      <c r="AB592">
        <v>24918</v>
      </c>
      <c r="AD592" t="s">
        <v>4</v>
      </c>
      <c r="AE592">
        <v>24</v>
      </c>
      <c r="AF592">
        <v>10</v>
      </c>
      <c r="AH592" t="s">
        <v>3373</v>
      </c>
      <c r="AI592" t="s">
        <v>3372</v>
      </c>
      <c r="AJ592" t="s">
        <v>3371</v>
      </c>
      <c r="AK592" t="s">
        <v>3370</v>
      </c>
      <c r="AL592">
        <v>0</v>
      </c>
      <c r="AM592" s="5">
        <f t="shared" si="82"/>
        <v>0</v>
      </c>
      <c r="AN592" s="4">
        <f t="shared" si="79"/>
        <v>0</v>
      </c>
      <c r="AO592" s="3"/>
      <c r="AP592">
        <v>0</v>
      </c>
      <c r="AR592" t="s">
        <v>0</v>
      </c>
      <c r="AT592" s="2">
        <v>1.3140000000000001</v>
      </c>
      <c r="AU592" s="1">
        <f t="shared" si="83"/>
        <v>0.70072875790822453</v>
      </c>
      <c r="AV592" s="1">
        <f t="shared" si="84"/>
        <v>0.5005205413630176</v>
      </c>
      <c r="AW592" s="1">
        <f t="shared" si="85"/>
        <v>0.30031232481781051</v>
      </c>
    </row>
    <row r="593" spans="1:49" x14ac:dyDescent="0.2">
      <c r="A593">
        <v>591</v>
      </c>
      <c r="B593" t="s">
        <v>3369</v>
      </c>
      <c r="C593" t="s">
        <v>3368</v>
      </c>
      <c r="F593" t="s">
        <v>3367</v>
      </c>
      <c r="G593" t="s">
        <v>15</v>
      </c>
      <c r="H593" t="s">
        <v>14</v>
      </c>
      <c r="I593" t="s">
        <v>3366</v>
      </c>
      <c r="J593">
        <v>60030443</v>
      </c>
      <c r="K593" t="s">
        <v>711</v>
      </c>
      <c r="L593" t="s">
        <v>710</v>
      </c>
      <c r="M593" t="s">
        <v>31</v>
      </c>
      <c r="N593">
        <v>5</v>
      </c>
      <c r="O593" t="s">
        <v>3365</v>
      </c>
      <c r="P593" t="s">
        <v>3364</v>
      </c>
      <c r="Q593" t="s">
        <v>3363</v>
      </c>
      <c r="R593" s="7">
        <v>32143</v>
      </c>
      <c r="S593" s="8">
        <f t="shared" si="80"/>
        <v>1988</v>
      </c>
      <c r="T593" s="8">
        <v>1988</v>
      </c>
      <c r="U593" s="8">
        <f t="shared" si="81"/>
        <v>34</v>
      </c>
      <c r="V593" s="7">
        <v>32264</v>
      </c>
      <c r="W593" t="s">
        <v>1073</v>
      </c>
      <c r="X593" s="2">
        <v>1.3720000000000001</v>
      </c>
      <c r="Y593" s="6">
        <f t="shared" si="78"/>
        <v>3.662475641333654E-2</v>
      </c>
      <c r="AA593">
        <v>189480</v>
      </c>
      <c r="AB593">
        <v>17366</v>
      </c>
      <c r="AC593">
        <v>15579670</v>
      </c>
      <c r="AD593" t="s">
        <v>4</v>
      </c>
      <c r="AE593">
        <v>36</v>
      </c>
      <c r="AF593">
        <v>5</v>
      </c>
      <c r="AH593" t="s">
        <v>3362</v>
      </c>
      <c r="AI593" t="s">
        <v>3361</v>
      </c>
      <c r="AK593" t="s">
        <v>3360</v>
      </c>
      <c r="AL593">
        <v>17</v>
      </c>
      <c r="AM593" s="5">
        <f t="shared" si="82"/>
        <v>0.5</v>
      </c>
      <c r="AN593" s="4">
        <f t="shared" si="79"/>
        <v>7.572889057175312E-4</v>
      </c>
      <c r="AO593" s="3"/>
      <c r="AP593">
        <v>0</v>
      </c>
      <c r="AQ593" t="s">
        <v>855</v>
      </c>
      <c r="AR593" t="s">
        <v>3359</v>
      </c>
      <c r="AS593" t="s">
        <v>854</v>
      </c>
      <c r="AT593" s="2" t="s">
        <v>19</v>
      </c>
      <c r="AU593" s="1">
        <f t="shared" si="83"/>
        <v>2.5864516161050837</v>
      </c>
      <c r="AV593" s="1">
        <f t="shared" si="84"/>
        <v>1.8691022659527035</v>
      </c>
      <c r="AW593" s="1">
        <f t="shared" si="85"/>
        <v>1.1517529158003235</v>
      </c>
    </row>
    <row r="594" spans="1:49" x14ac:dyDescent="0.2">
      <c r="A594">
        <v>592</v>
      </c>
      <c r="B594" t="s">
        <v>3358</v>
      </c>
      <c r="C594" t="s">
        <v>3357</v>
      </c>
      <c r="F594" t="s">
        <v>3356</v>
      </c>
      <c r="G594" t="s">
        <v>15</v>
      </c>
      <c r="H594" t="s">
        <v>14</v>
      </c>
      <c r="I594" t="s">
        <v>3355</v>
      </c>
      <c r="J594">
        <v>60005304</v>
      </c>
      <c r="K594" t="s">
        <v>72</v>
      </c>
      <c r="L594" t="s">
        <v>71</v>
      </c>
      <c r="M594" t="s">
        <v>31</v>
      </c>
      <c r="N594">
        <v>1</v>
      </c>
      <c r="O594" t="s">
        <v>3354</v>
      </c>
      <c r="P594">
        <v>56772060800</v>
      </c>
      <c r="Q594">
        <v>60005304</v>
      </c>
      <c r="R594" s="7">
        <v>32143</v>
      </c>
      <c r="S594" s="8">
        <f t="shared" si="80"/>
        <v>1988</v>
      </c>
      <c r="T594" s="8">
        <v>1988</v>
      </c>
      <c r="U594" s="8">
        <f t="shared" si="81"/>
        <v>34</v>
      </c>
      <c r="V594" s="7">
        <v>32264</v>
      </c>
      <c r="W594" t="s">
        <v>69</v>
      </c>
      <c r="X594" s="2">
        <v>1.6519999999999999</v>
      </c>
      <c r="Y594" s="6">
        <f t="shared" si="78"/>
        <v>4.409919649769093E-2</v>
      </c>
      <c r="AA594" t="s">
        <v>68</v>
      </c>
      <c r="AB594">
        <v>17337</v>
      </c>
      <c r="AC594">
        <v>15582221</v>
      </c>
      <c r="AD594" t="s">
        <v>4</v>
      </c>
      <c r="AE594">
        <v>36</v>
      </c>
      <c r="AF594">
        <v>5</v>
      </c>
      <c r="AH594" t="s">
        <v>3353</v>
      </c>
      <c r="AI594" t="s">
        <v>3352</v>
      </c>
      <c r="AK594" t="s">
        <v>3351</v>
      </c>
      <c r="AL594">
        <v>46</v>
      </c>
      <c r="AM594" s="5">
        <f t="shared" si="82"/>
        <v>1.3529411764705883</v>
      </c>
      <c r="AN594" s="4">
        <f t="shared" si="79"/>
        <v>2.0491346860592023E-3</v>
      </c>
      <c r="AO594" s="3"/>
      <c r="AP594">
        <v>0</v>
      </c>
      <c r="AR594" t="s">
        <v>0</v>
      </c>
      <c r="AT594" s="2" t="s">
        <v>19</v>
      </c>
      <c r="AU594" s="1">
        <f t="shared" si="83"/>
        <v>3.1484177954201416</v>
      </c>
      <c r="AV594" s="1">
        <f t="shared" si="84"/>
        <v>2.3074165591875069</v>
      </c>
      <c r="AW594" s="1">
        <f t="shared" si="85"/>
        <v>1.466415322954872</v>
      </c>
    </row>
    <row r="595" spans="1:49" x14ac:dyDescent="0.2">
      <c r="A595">
        <v>593</v>
      </c>
      <c r="B595" t="s">
        <v>3350</v>
      </c>
      <c r="C595" t="s">
        <v>3349</v>
      </c>
      <c r="F595" t="s">
        <v>3348</v>
      </c>
      <c r="G595" t="s">
        <v>15</v>
      </c>
      <c r="H595" t="s">
        <v>14</v>
      </c>
      <c r="I595" t="s">
        <v>3347</v>
      </c>
      <c r="J595">
        <v>60014256</v>
      </c>
      <c r="K595" t="s">
        <v>3346</v>
      </c>
      <c r="L595" t="s">
        <v>1612</v>
      </c>
      <c r="M595" t="s">
        <v>211</v>
      </c>
      <c r="N595">
        <v>10</v>
      </c>
      <c r="O595" t="s">
        <v>3345</v>
      </c>
      <c r="P595" t="s">
        <v>3344</v>
      </c>
      <c r="Q595" t="s">
        <v>3343</v>
      </c>
      <c r="R595" s="7">
        <v>32143</v>
      </c>
      <c r="S595" s="8">
        <f t="shared" si="80"/>
        <v>1988</v>
      </c>
      <c r="T595" s="8">
        <v>1988</v>
      </c>
      <c r="U595" s="8">
        <f t="shared" si="81"/>
        <v>34</v>
      </c>
      <c r="V595" s="7">
        <v>32264</v>
      </c>
      <c r="W595" t="s">
        <v>2763</v>
      </c>
      <c r="X595" s="2">
        <v>1.774</v>
      </c>
      <c r="Y595" s="6">
        <f t="shared" si="78"/>
        <v>4.7355916820159633E-2</v>
      </c>
      <c r="AA595">
        <v>295515</v>
      </c>
      <c r="AB595">
        <v>29066</v>
      </c>
      <c r="AC595">
        <v>17414326</v>
      </c>
      <c r="AD595" t="s">
        <v>4</v>
      </c>
      <c r="AE595">
        <v>28</v>
      </c>
      <c r="AF595">
        <v>5</v>
      </c>
      <c r="AH595" t="s">
        <v>3342</v>
      </c>
      <c r="AI595" t="s">
        <v>3341</v>
      </c>
      <c r="AK595" t="s">
        <v>3340</v>
      </c>
      <c r="AL595">
        <v>46</v>
      </c>
      <c r="AM595" s="5">
        <f t="shared" si="82"/>
        <v>1.3529411764705883</v>
      </c>
      <c r="AN595" s="4">
        <f t="shared" si="79"/>
        <v>2.0491346860592023E-3</v>
      </c>
      <c r="AO595" s="3"/>
      <c r="AP595">
        <v>0</v>
      </c>
      <c r="AR595" t="s">
        <v>0</v>
      </c>
      <c r="AT595" s="2">
        <v>3.1789999999999998</v>
      </c>
      <c r="AU595" s="1">
        <f t="shared" si="83"/>
        <v>3.3763882179929503</v>
      </c>
      <c r="AV595" s="1">
        <f t="shared" si="84"/>
        <v>2.4702525753109419</v>
      </c>
      <c r="AW595" s="1">
        <f t="shared" si="85"/>
        <v>1.5641169326289333</v>
      </c>
    </row>
    <row r="596" spans="1:49" x14ac:dyDescent="0.2">
      <c r="A596">
        <v>594</v>
      </c>
      <c r="B596" t="s">
        <v>3339</v>
      </c>
      <c r="C596" t="s">
        <v>3338</v>
      </c>
      <c r="F596" t="s">
        <v>3337</v>
      </c>
      <c r="G596" t="s">
        <v>15</v>
      </c>
      <c r="H596" t="s">
        <v>14</v>
      </c>
      <c r="I596" t="s">
        <v>3245</v>
      </c>
      <c r="J596">
        <v>60038812</v>
      </c>
      <c r="K596" t="s">
        <v>3244</v>
      </c>
      <c r="L596" t="s">
        <v>3243</v>
      </c>
      <c r="M596" t="s">
        <v>3242</v>
      </c>
      <c r="N596">
        <v>1</v>
      </c>
      <c r="O596" t="s">
        <v>3241</v>
      </c>
      <c r="P596">
        <v>56222659200</v>
      </c>
      <c r="Q596">
        <v>60038812</v>
      </c>
      <c r="R596" s="7">
        <v>32143</v>
      </c>
      <c r="S596" s="8">
        <f t="shared" si="80"/>
        <v>1988</v>
      </c>
      <c r="T596" s="8">
        <v>1988</v>
      </c>
      <c r="U596" s="8">
        <f t="shared" si="81"/>
        <v>34</v>
      </c>
      <c r="V596" s="7">
        <v>32264</v>
      </c>
      <c r="W596" t="s">
        <v>1958</v>
      </c>
      <c r="X596" s="2">
        <v>0.65500000000000003</v>
      </c>
      <c r="Y596" s="6">
        <f t="shared" si="78"/>
        <v>1.7484850911614749E-2</v>
      </c>
      <c r="AA596">
        <v>189375</v>
      </c>
      <c r="AB596">
        <v>26051</v>
      </c>
      <c r="AC596" t="s">
        <v>1957</v>
      </c>
      <c r="AD596" t="s">
        <v>4</v>
      </c>
      <c r="AE596">
        <v>30</v>
      </c>
      <c r="AF596">
        <v>2</v>
      </c>
      <c r="AH596" t="s">
        <v>3336</v>
      </c>
      <c r="AI596" t="s">
        <v>3335</v>
      </c>
      <c r="AK596" t="s">
        <v>3334</v>
      </c>
      <c r="AL596">
        <v>10</v>
      </c>
      <c r="AM596" s="5">
        <f t="shared" si="82"/>
        <v>0.29411764705882354</v>
      </c>
      <c r="AN596" s="4">
        <f t="shared" si="79"/>
        <v>4.4546406218678308E-4</v>
      </c>
      <c r="AO596" s="3"/>
      <c r="AP596">
        <v>0</v>
      </c>
      <c r="AQ596" t="s">
        <v>3302</v>
      </c>
      <c r="AR596" t="s">
        <v>3301</v>
      </c>
      <c r="AS596" t="s">
        <v>3244</v>
      </c>
      <c r="AT596" s="2" t="s">
        <v>19</v>
      </c>
      <c r="AU596" s="1">
        <f t="shared" si="83"/>
        <v>1.2373034856786358</v>
      </c>
      <c r="AV596" s="1">
        <f t="shared" si="84"/>
        <v>0.89651574869007655</v>
      </c>
      <c r="AW596" s="1">
        <f t="shared" si="85"/>
        <v>0.55572801170151731</v>
      </c>
    </row>
    <row r="597" spans="1:49" x14ac:dyDescent="0.2">
      <c r="A597">
        <v>595</v>
      </c>
      <c r="B597" t="s">
        <v>3333</v>
      </c>
      <c r="C597" t="s">
        <v>3332</v>
      </c>
      <c r="F597" t="s">
        <v>3331</v>
      </c>
      <c r="G597" t="s">
        <v>15</v>
      </c>
      <c r="H597" t="s">
        <v>14</v>
      </c>
      <c r="I597" t="s">
        <v>1484</v>
      </c>
      <c r="J597">
        <v>60033316</v>
      </c>
      <c r="K597" t="s">
        <v>1483</v>
      </c>
      <c r="L597" t="s">
        <v>1482</v>
      </c>
      <c r="M597" t="s">
        <v>1481</v>
      </c>
      <c r="N597">
        <v>2</v>
      </c>
      <c r="O597" t="s">
        <v>3330</v>
      </c>
      <c r="P597" t="s">
        <v>3329</v>
      </c>
      <c r="Q597" t="s">
        <v>3328</v>
      </c>
      <c r="R597" s="7">
        <v>32143</v>
      </c>
      <c r="S597" s="8">
        <f t="shared" si="80"/>
        <v>1988</v>
      </c>
      <c r="T597" s="8">
        <v>1988</v>
      </c>
      <c r="U597" s="8">
        <f t="shared" si="81"/>
        <v>34</v>
      </c>
      <c r="V597" s="7">
        <v>32264</v>
      </c>
      <c r="W597" t="s">
        <v>1073</v>
      </c>
      <c r="X597" s="2">
        <v>1.3720000000000001</v>
      </c>
      <c r="Y597" s="6">
        <f t="shared" si="78"/>
        <v>3.662475641333654E-2</v>
      </c>
      <c r="AA597">
        <v>189480</v>
      </c>
      <c r="AB597">
        <v>17366</v>
      </c>
      <c r="AC597">
        <v>15579670</v>
      </c>
      <c r="AD597" t="s">
        <v>4</v>
      </c>
      <c r="AE597">
        <v>36</v>
      </c>
      <c r="AF597">
        <v>5</v>
      </c>
      <c r="AH597" t="s">
        <v>3327</v>
      </c>
      <c r="AI597" t="s">
        <v>3326</v>
      </c>
      <c r="AK597" t="s">
        <v>3325</v>
      </c>
      <c r="AL597">
        <v>24</v>
      </c>
      <c r="AM597" s="5">
        <f t="shared" si="82"/>
        <v>0.70588235294117652</v>
      </c>
      <c r="AN597" s="4">
        <f t="shared" si="79"/>
        <v>1.0691137492482795E-3</v>
      </c>
      <c r="AO597" s="3"/>
      <c r="AP597">
        <v>0</v>
      </c>
      <c r="AR597" t="s">
        <v>0</v>
      </c>
      <c r="AT597" s="2" t="s">
        <v>19</v>
      </c>
      <c r="AU597" s="1">
        <f t="shared" si="83"/>
        <v>2.5958063614110061</v>
      </c>
      <c r="AV597" s="1">
        <f t="shared" si="84"/>
        <v>1.8846935081292409</v>
      </c>
      <c r="AW597" s="1">
        <f t="shared" si="85"/>
        <v>1.1735806548474759</v>
      </c>
    </row>
    <row r="598" spans="1:49" x14ac:dyDescent="0.2">
      <c r="A598">
        <v>596</v>
      </c>
      <c r="B598" t="s">
        <v>3324</v>
      </c>
      <c r="C598" t="s">
        <v>3323</v>
      </c>
      <c r="F598" t="s">
        <v>3322</v>
      </c>
      <c r="G598" t="s">
        <v>15</v>
      </c>
      <c r="H598" t="s">
        <v>14</v>
      </c>
      <c r="I598" t="s">
        <v>3321</v>
      </c>
      <c r="J598" t="s">
        <v>3320</v>
      </c>
      <c r="K598" t="s">
        <v>3319</v>
      </c>
      <c r="L598" t="s">
        <v>3318</v>
      </c>
      <c r="M598" t="s">
        <v>9</v>
      </c>
      <c r="N598">
        <v>4</v>
      </c>
      <c r="O598" t="s">
        <v>3317</v>
      </c>
      <c r="P598" t="s">
        <v>3316</v>
      </c>
      <c r="Q598" t="s">
        <v>3315</v>
      </c>
      <c r="R598" s="7">
        <v>32143</v>
      </c>
      <c r="S598" s="8">
        <f t="shared" si="80"/>
        <v>1988</v>
      </c>
      <c r="T598" s="8">
        <v>1988</v>
      </c>
      <c r="U598" s="8">
        <f t="shared" si="81"/>
        <v>34</v>
      </c>
      <c r="V598" s="7">
        <v>32264</v>
      </c>
      <c r="W598" t="s">
        <v>3314</v>
      </c>
      <c r="X598" s="2">
        <v>0.91600000000000004</v>
      </c>
      <c r="Y598" s="6">
        <f t="shared" si="78"/>
        <v>2.4452096847387951E-2</v>
      </c>
      <c r="AA598">
        <v>189359</v>
      </c>
      <c r="AB598">
        <v>17344</v>
      </c>
      <c r="AC598">
        <v>15579638</v>
      </c>
      <c r="AD598" t="s">
        <v>4</v>
      </c>
      <c r="AE598">
        <v>31</v>
      </c>
      <c r="AF598">
        <v>2</v>
      </c>
      <c r="AH598" t="s">
        <v>3313</v>
      </c>
      <c r="AI598" t="s">
        <v>3312</v>
      </c>
      <c r="AK598" t="s">
        <v>3311</v>
      </c>
      <c r="AL598">
        <v>20</v>
      </c>
      <c r="AM598" s="5">
        <f t="shared" si="82"/>
        <v>0.58823529411764708</v>
      </c>
      <c r="AN598" s="4">
        <f t="shared" si="79"/>
        <v>8.9092812437356617E-4</v>
      </c>
      <c r="AO598" s="3"/>
      <c r="AP598">
        <v>0</v>
      </c>
      <c r="AR598" t="s">
        <v>0</v>
      </c>
      <c r="AT598" s="2">
        <v>2.1160000000000001</v>
      </c>
      <c r="AU598" s="1">
        <f t="shared" si="83"/>
        <v>1.7383746230483634</v>
      </c>
      <c r="AV598" s="1">
        <f t="shared" si="84"/>
        <v>1.2671512485880758</v>
      </c>
      <c r="AW598" s="1">
        <f t="shared" si="85"/>
        <v>0.79592787412778809</v>
      </c>
    </row>
    <row r="599" spans="1:49" x14ac:dyDescent="0.2">
      <c r="A599">
        <v>597</v>
      </c>
      <c r="B599" t="s">
        <v>3310</v>
      </c>
      <c r="C599" t="s">
        <v>3309</v>
      </c>
      <c r="F599" t="s">
        <v>3308</v>
      </c>
      <c r="G599" t="s">
        <v>15</v>
      </c>
      <c r="H599" t="s">
        <v>14</v>
      </c>
      <c r="I599" t="s">
        <v>3307</v>
      </c>
      <c r="J599">
        <v>60038812</v>
      </c>
      <c r="K599" t="s">
        <v>3244</v>
      </c>
      <c r="L599" t="s">
        <v>3243</v>
      </c>
      <c r="M599" t="s">
        <v>3242</v>
      </c>
      <c r="N599">
        <v>1</v>
      </c>
      <c r="O599" t="s">
        <v>3241</v>
      </c>
      <c r="P599">
        <v>56222659200</v>
      </c>
      <c r="Q599">
        <v>60038812</v>
      </c>
      <c r="R599" s="7">
        <v>32143</v>
      </c>
      <c r="S599" s="8">
        <f t="shared" si="80"/>
        <v>1988</v>
      </c>
      <c r="T599" s="8">
        <v>1988</v>
      </c>
      <c r="U599" s="8">
        <f t="shared" si="81"/>
        <v>34</v>
      </c>
      <c r="V599" s="7">
        <v>32264</v>
      </c>
      <c r="W599" t="s">
        <v>1958</v>
      </c>
      <c r="X599" s="2">
        <v>0.65500000000000003</v>
      </c>
      <c r="Y599" s="6">
        <f t="shared" si="78"/>
        <v>1.7484850911614749E-2</v>
      </c>
      <c r="AA599">
        <v>189375</v>
      </c>
      <c r="AB599">
        <v>26051</v>
      </c>
      <c r="AC599" t="s">
        <v>1957</v>
      </c>
      <c r="AD599" t="s">
        <v>4</v>
      </c>
      <c r="AE599">
        <v>30</v>
      </c>
      <c r="AF599">
        <v>2</v>
      </c>
      <c r="AH599" t="s">
        <v>3306</v>
      </c>
      <c r="AI599" t="s">
        <v>3305</v>
      </c>
      <c r="AJ599" t="s">
        <v>3304</v>
      </c>
      <c r="AK599" t="s">
        <v>3303</v>
      </c>
      <c r="AL599">
        <v>2</v>
      </c>
      <c r="AM599" s="5">
        <f t="shared" si="82"/>
        <v>5.8823529411764705E-2</v>
      </c>
      <c r="AN599" s="4">
        <f t="shared" si="79"/>
        <v>8.9092812437356614E-5</v>
      </c>
      <c r="AO599" s="3"/>
      <c r="AP599">
        <v>0</v>
      </c>
      <c r="AQ599" t="s">
        <v>3302</v>
      </c>
      <c r="AR599" t="s">
        <v>3301</v>
      </c>
      <c r="AS599" t="s">
        <v>3244</v>
      </c>
      <c r="AT599" s="2" t="s">
        <v>19</v>
      </c>
      <c r="AU599" s="1">
        <f t="shared" si="83"/>
        <v>1.2266123481861531</v>
      </c>
      <c r="AV599" s="1">
        <f t="shared" si="84"/>
        <v>0.87869718620260517</v>
      </c>
      <c r="AW599" s="1">
        <f t="shared" si="85"/>
        <v>0.5307820242190574</v>
      </c>
    </row>
    <row r="600" spans="1:49" x14ac:dyDescent="0.2">
      <c r="A600">
        <v>598</v>
      </c>
      <c r="B600" t="s">
        <v>3300</v>
      </c>
      <c r="C600" t="s">
        <v>3299</v>
      </c>
      <c r="F600" t="s">
        <v>3298</v>
      </c>
      <c r="G600" t="s">
        <v>15</v>
      </c>
      <c r="H600" t="s">
        <v>14</v>
      </c>
      <c r="I600" t="s">
        <v>3297</v>
      </c>
      <c r="J600">
        <v>60025709</v>
      </c>
      <c r="K600" t="s">
        <v>3296</v>
      </c>
      <c r="L600" t="s">
        <v>3295</v>
      </c>
      <c r="M600" t="s">
        <v>1088</v>
      </c>
      <c r="N600">
        <v>2</v>
      </c>
      <c r="O600" t="s">
        <v>3294</v>
      </c>
      <c r="P600" t="s">
        <v>3293</v>
      </c>
      <c r="Q600" t="s">
        <v>3292</v>
      </c>
      <c r="R600" s="7">
        <v>32143</v>
      </c>
      <c r="S600" s="8">
        <f t="shared" si="80"/>
        <v>1988</v>
      </c>
      <c r="T600" s="8">
        <v>1988</v>
      </c>
      <c r="U600" s="8">
        <f t="shared" si="81"/>
        <v>34</v>
      </c>
      <c r="V600" s="7">
        <v>32264</v>
      </c>
      <c r="W600" t="s">
        <v>69</v>
      </c>
      <c r="X600" s="2">
        <v>1.6519999999999999</v>
      </c>
      <c r="Y600" s="6">
        <f t="shared" si="78"/>
        <v>4.409919649769093E-2</v>
      </c>
      <c r="AA600" t="s">
        <v>68</v>
      </c>
      <c r="AB600">
        <v>17337</v>
      </c>
      <c r="AC600">
        <v>15582221</v>
      </c>
      <c r="AD600" t="s">
        <v>4</v>
      </c>
      <c r="AE600">
        <v>36</v>
      </c>
      <c r="AF600">
        <v>5</v>
      </c>
      <c r="AH600" t="s">
        <v>3291</v>
      </c>
      <c r="AI600" t="s">
        <v>3290</v>
      </c>
      <c r="AK600" t="s">
        <v>3289</v>
      </c>
      <c r="AL600">
        <v>67</v>
      </c>
      <c r="AM600" s="5">
        <f t="shared" si="82"/>
        <v>1.9705882352941178</v>
      </c>
      <c r="AN600" s="4">
        <f t="shared" si="79"/>
        <v>2.9846092166514468E-3</v>
      </c>
      <c r="AO600" s="3"/>
      <c r="AP600">
        <v>0</v>
      </c>
      <c r="AR600" t="s">
        <v>0</v>
      </c>
      <c r="AT600" s="2" t="s">
        <v>19</v>
      </c>
      <c r="AU600" s="1">
        <f t="shared" si="83"/>
        <v>3.1764820313379087</v>
      </c>
      <c r="AV600" s="1">
        <f t="shared" si="84"/>
        <v>2.3541902857171189</v>
      </c>
      <c r="AW600" s="1">
        <f t="shared" si="85"/>
        <v>1.531898540096329</v>
      </c>
    </row>
    <row r="601" spans="1:49" x14ac:dyDescent="0.2">
      <c r="A601">
        <v>599</v>
      </c>
      <c r="B601" t="s">
        <v>3288</v>
      </c>
      <c r="C601" t="s">
        <v>3287</v>
      </c>
      <c r="F601" t="s">
        <v>3286</v>
      </c>
      <c r="G601" t="s">
        <v>15</v>
      </c>
      <c r="H601" t="s">
        <v>14</v>
      </c>
      <c r="I601" t="s">
        <v>3285</v>
      </c>
      <c r="J601">
        <v>60023053</v>
      </c>
      <c r="K601" t="s">
        <v>1961</v>
      </c>
      <c r="L601" t="s">
        <v>1960</v>
      </c>
      <c r="M601" t="s">
        <v>31</v>
      </c>
      <c r="N601">
        <v>1</v>
      </c>
      <c r="O601" t="s">
        <v>3284</v>
      </c>
      <c r="P601">
        <v>36928132800</v>
      </c>
      <c r="Q601">
        <v>60023053</v>
      </c>
      <c r="R601" s="7">
        <v>32143</v>
      </c>
      <c r="S601" s="8">
        <f t="shared" si="80"/>
        <v>1988</v>
      </c>
      <c r="T601" s="8">
        <v>1988</v>
      </c>
      <c r="U601" s="8">
        <f t="shared" si="81"/>
        <v>34</v>
      </c>
      <c r="V601" s="7">
        <v>32264</v>
      </c>
      <c r="W601" t="s">
        <v>69</v>
      </c>
      <c r="X601" s="2">
        <v>1.6519999999999999</v>
      </c>
      <c r="Y601" s="6">
        <f t="shared" si="78"/>
        <v>4.409919649769093E-2</v>
      </c>
      <c r="AA601" t="s">
        <v>68</v>
      </c>
      <c r="AB601">
        <v>17337</v>
      </c>
      <c r="AC601">
        <v>15582221</v>
      </c>
      <c r="AD601" t="s">
        <v>4</v>
      </c>
      <c r="AE601">
        <v>36</v>
      </c>
      <c r="AF601">
        <v>5</v>
      </c>
      <c r="AH601">
        <v>581</v>
      </c>
      <c r="AI601" t="s">
        <v>3283</v>
      </c>
      <c r="AK601" t="s">
        <v>3282</v>
      </c>
      <c r="AL601">
        <v>9</v>
      </c>
      <c r="AM601" s="5">
        <f t="shared" si="82"/>
        <v>0.26470588235294118</v>
      </c>
      <c r="AN601" s="4">
        <f t="shared" si="79"/>
        <v>4.009176559681048E-4</v>
      </c>
      <c r="AO601" s="3"/>
      <c r="AP601">
        <v>0</v>
      </c>
      <c r="AR601" t="s">
        <v>0</v>
      </c>
      <c r="AT601" s="2" t="s">
        <v>19</v>
      </c>
      <c r="AU601" s="1">
        <f t="shared" si="83"/>
        <v>3.0989712845174084</v>
      </c>
      <c r="AV601" s="1">
        <f t="shared" si="84"/>
        <v>2.2250057076829517</v>
      </c>
      <c r="AW601" s="1">
        <f t="shared" si="85"/>
        <v>1.3510401308484952</v>
      </c>
    </row>
    <row r="602" spans="1:49" x14ac:dyDescent="0.2">
      <c r="A602">
        <v>600</v>
      </c>
      <c r="B602" t="s">
        <v>3281</v>
      </c>
      <c r="C602" t="s">
        <v>3280</v>
      </c>
      <c r="F602" t="s">
        <v>3279</v>
      </c>
      <c r="G602" t="s">
        <v>15</v>
      </c>
      <c r="H602" t="s">
        <v>14</v>
      </c>
      <c r="I602" t="s">
        <v>3278</v>
      </c>
      <c r="J602">
        <v>60029570</v>
      </c>
      <c r="K602" t="s">
        <v>3277</v>
      </c>
      <c r="L602" t="s">
        <v>3276</v>
      </c>
      <c r="M602" t="s">
        <v>661</v>
      </c>
      <c r="N602">
        <v>2</v>
      </c>
      <c r="O602" t="s">
        <v>3275</v>
      </c>
      <c r="P602" t="s">
        <v>3274</v>
      </c>
      <c r="Q602" t="s">
        <v>3273</v>
      </c>
      <c r="R602" s="7">
        <v>32143</v>
      </c>
      <c r="S602" s="8">
        <f t="shared" si="80"/>
        <v>1988</v>
      </c>
      <c r="T602" s="8">
        <v>1988</v>
      </c>
      <c r="U602" s="8">
        <f t="shared" si="81"/>
        <v>34</v>
      </c>
      <c r="V602" s="7">
        <v>32264</v>
      </c>
      <c r="W602" t="s">
        <v>69</v>
      </c>
      <c r="X602" s="2">
        <v>1.6519999999999999</v>
      </c>
      <c r="Y602" s="6">
        <f t="shared" si="78"/>
        <v>4.409919649769093E-2</v>
      </c>
      <c r="AA602" t="s">
        <v>68</v>
      </c>
      <c r="AB602">
        <v>17337</v>
      </c>
      <c r="AC602">
        <v>15582221</v>
      </c>
      <c r="AD602" t="s">
        <v>4</v>
      </c>
      <c r="AE602">
        <v>36</v>
      </c>
      <c r="AF602">
        <v>5</v>
      </c>
      <c r="AH602" t="s">
        <v>3272</v>
      </c>
      <c r="AI602" t="s">
        <v>3271</v>
      </c>
      <c r="AK602" t="s">
        <v>3270</v>
      </c>
      <c r="AL602">
        <v>2</v>
      </c>
      <c r="AM602" s="5">
        <f t="shared" si="82"/>
        <v>5.8823529411764705E-2</v>
      </c>
      <c r="AN602" s="4">
        <f t="shared" si="79"/>
        <v>8.9092812437356614E-5</v>
      </c>
      <c r="AO602" s="3"/>
      <c r="AP602">
        <v>0</v>
      </c>
      <c r="AR602" t="s">
        <v>0</v>
      </c>
      <c r="AT602" s="2" t="s">
        <v>19</v>
      </c>
      <c r="AU602" s="1">
        <f t="shared" si="83"/>
        <v>3.0896165392114856</v>
      </c>
      <c r="AV602" s="1">
        <f t="shared" si="84"/>
        <v>2.2094144655064145</v>
      </c>
      <c r="AW602" s="1">
        <f t="shared" si="85"/>
        <v>1.3292123918013428</v>
      </c>
    </row>
    <row r="603" spans="1:49" x14ac:dyDescent="0.2">
      <c r="A603">
        <v>601</v>
      </c>
      <c r="B603" t="s">
        <v>3269</v>
      </c>
      <c r="C603" t="s">
        <v>3268</v>
      </c>
      <c r="F603" t="s">
        <v>3267</v>
      </c>
      <c r="G603" t="s">
        <v>15</v>
      </c>
      <c r="H603" t="s">
        <v>14</v>
      </c>
      <c r="I603" t="s">
        <v>3266</v>
      </c>
      <c r="J603">
        <v>60103680</v>
      </c>
      <c r="K603" t="s">
        <v>3265</v>
      </c>
      <c r="L603" t="s">
        <v>3264</v>
      </c>
      <c r="M603" t="s">
        <v>211</v>
      </c>
      <c r="N603">
        <v>2</v>
      </c>
      <c r="O603" t="s">
        <v>3263</v>
      </c>
      <c r="P603" t="s">
        <v>3262</v>
      </c>
      <c r="Q603" t="s">
        <v>3261</v>
      </c>
      <c r="R603" s="7">
        <v>32143</v>
      </c>
      <c r="S603" s="8">
        <f t="shared" si="80"/>
        <v>1988</v>
      </c>
      <c r="T603" s="8">
        <v>1988</v>
      </c>
      <c r="U603" s="8">
        <f t="shared" si="81"/>
        <v>34</v>
      </c>
      <c r="V603" s="7">
        <v>32264</v>
      </c>
      <c r="W603" t="s">
        <v>69</v>
      </c>
      <c r="X603" s="2">
        <v>1.6519999999999999</v>
      </c>
      <c r="Y603" s="6">
        <f t="shared" si="78"/>
        <v>4.409919649769093E-2</v>
      </c>
      <c r="AA603" t="s">
        <v>68</v>
      </c>
      <c r="AB603">
        <v>17337</v>
      </c>
      <c r="AC603">
        <v>15582221</v>
      </c>
      <c r="AD603" t="s">
        <v>4</v>
      </c>
      <c r="AE603">
        <v>36</v>
      </c>
      <c r="AF603">
        <v>5</v>
      </c>
      <c r="AH603" t="s">
        <v>3260</v>
      </c>
      <c r="AI603" t="s">
        <v>3259</v>
      </c>
      <c r="AK603" t="s">
        <v>3258</v>
      </c>
      <c r="AL603">
        <v>35</v>
      </c>
      <c r="AM603" s="5">
        <f t="shared" si="82"/>
        <v>1.0294117647058822</v>
      </c>
      <c r="AN603" s="4">
        <f t="shared" si="79"/>
        <v>1.5591242176537406E-3</v>
      </c>
      <c r="AO603" s="3"/>
      <c r="AP603">
        <v>0</v>
      </c>
      <c r="AR603" t="s">
        <v>0</v>
      </c>
      <c r="AT603" s="2" t="s">
        <v>19</v>
      </c>
      <c r="AU603" s="1">
        <f t="shared" si="83"/>
        <v>3.1337174813679773</v>
      </c>
      <c r="AV603" s="1">
        <f t="shared" si="84"/>
        <v>2.2829160357672333</v>
      </c>
      <c r="AW603" s="1">
        <f t="shared" si="85"/>
        <v>1.4321145901664896</v>
      </c>
    </row>
    <row r="604" spans="1:49" x14ac:dyDescent="0.2">
      <c r="A604">
        <v>602</v>
      </c>
      <c r="B604" t="s">
        <v>3257</v>
      </c>
      <c r="C604" t="s">
        <v>3256</v>
      </c>
      <c r="D604">
        <v>94576588901531</v>
      </c>
      <c r="F604" t="s">
        <v>3255</v>
      </c>
      <c r="G604" t="s">
        <v>15</v>
      </c>
      <c r="H604" t="s">
        <v>14</v>
      </c>
      <c r="I604" t="s">
        <v>3254</v>
      </c>
      <c r="J604">
        <v>60025555</v>
      </c>
      <c r="K604" t="s">
        <v>943</v>
      </c>
      <c r="L604" t="s">
        <v>212</v>
      </c>
      <c r="M604" t="s">
        <v>211</v>
      </c>
      <c r="N604">
        <v>3</v>
      </c>
      <c r="O604" t="s">
        <v>3253</v>
      </c>
      <c r="P604" t="s">
        <v>3252</v>
      </c>
      <c r="Q604" t="s">
        <v>940</v>
      </c>
      <c r="R604" s="7">
        <v>32143</v>
      </c>
      <c r="S604" s="8">
        <f t="shared" si="80"/>
        <v>1988</v>
      </c>
      <c r="T604" s="8">
        <v>1988</v>
      </c>
      <c r="U604" s="8">
        <f t="shared" si="81"/>
        <v>34</v>
      </c>
      <c r="V604" s="7">
        <v>32264</v>
      </c>
      <c r="W604" t="s">
        <v>1047</v>
      </c>
      <c r="X604" s="2">
        <v>1.1339999999999999</v>
      </c>
      <c r="Y604" s="6">
        <f t="shared" si="78"/>
        <v>3.0271482341635299E-2</v>
      </c>
      <c r="AA604">
        <v>945765</v>
      </c>
      <c r="AB604">
        <v>12372</v>
      </c>
      <c r="AD604" t="s">
        <v>4</v>
      </c>
      <c r="AE604">
        <v>17</v>
      </c>
      <c r="AF604">
        <v>5</v>
      </c>
      <c r="AH604" t="s">
        <v>3251</v>
      </c>
      <c r="AI604" t="s">
        <v>3250</v>
      </c>
      <c r="AK604" t="s">
        <v>3249</v>
      </c>
      <c r="AL604">
        <v>2</v>
      </c>
      <c r="AM604" s="5">
        <f t="shared" si="82"/>
        <v>5.8823529411764705E-2</v>
      </c>
      <c r="AN604" s="4">
        <f t="shared" si="79"/>
        <v>8.9092812437356614E-5</v>
      </c>
      <c r="AO604" s="3"/>
      <c r="AP604">
        <v>0</v>
      </c>
      <c r="AR604" t="s">
        <v>0</v>
      </c>
      <c r="AT604" s="2">
        <v>2.4129999999999998</v>
      </c>
      <c r="AU604" s="1">
        <f t="shared" si="83"/>
        <v>2.1216765482875917</v>
      </c>
      <c r="AV604" s="1">
        <f t="shared" si="84"/>
        <v>1.5180287577036327</v>
      </c>
      <c r="AW604" s="1">
        <f t="shared" si="85"/>
        <v>0.91438096711967376</v>
      </c>
    </row>
    <row r="605" spans="1:49" x14ac:dyDescent="0.2">
      <c r="A605">
        <v>603</v>
      </c>
      <c r="B605" t="s">
        <v>3248</v>
      </c>
      <c r="C605" t="s">
        <v>3247</v>
      </c>
      <c r="F605" t="s">
        <v>3246</v>
      </c>
      <c r="G605" t="s">
        <v>15</v>
      </c>
      <c r="H605" t="s">
        <v>14</v>
      </c>
      <c r="I605" t="s">
        <v>3245</v>
      </c>
      <c r="J605">
        <v>60038812</v>
      </c>
      <c r="K605" t="s">
        <v>3244</v>
      </c>
      <c r="L605" t="s">
        <v>3243</v>
      </c>
      <c r="M605" t="s">
        <v>3242</v>
      </c>
      <c r="N605">
        <v>1</v>
      </c>
      <c r="O605" t="s">
        <v>3241</v>
      </c>
      <c r="P605">
        <v>56222659200</v>
      </c>
      <c r="Q605">
        <v>60038812</v>
      </c>
      <c r="R605" s="7">
        <v>32143</v>
      </c>
      <c r="S605" s="8">
        <f t="shared" si="80"/>
        <v>1988</v>
      </c>
      <c r="T605" s="8">
        <v>1988</v>
      </c>
      <c r="U605" s="8">
        <f t="shared" si="81"/>
        <v>34</v>
      </c>
      <c r="V605" s="7">
        <v>32264</v>
      </c>
      <c r="W605" t="s">
        <v>1958</v>
      </c>
      <c r="X605" s="2">
        <v>0.65500000000000003</v>
      </c>
      <c r="Y605" s="6">
        <f t="shared" si="78"/>
        <v>1.7484850911614749E-2</v>
      </c>
      <c r="AA605">
        <v>189375</v>
      </c>
      <c r="AB605">
        <v>26051</v>
      </c>
      <c r="AC605" t="s">
        <v>1957</v>
      </c>
      <c r="AD605" t="s">
        <v>4</v>
      </c>
      <c r="AE605">
        <v>30</v>
      </c>
      <c r="AF605">
        <v>2</v>
      </c>
      <c r="AH605" t="s">
        <v>3240</v>
      </c>
      <c r="AI605" t="s">
        <v>3239</v>
      </c>
      <c r="AJ605" t="s">
        <v>3238</v>
      </c>
      <c r="AK605" t="s">
        <v>3237</v>
      </c>
      <c r="AL605">
        <v>6</v>
      </c>
      <c r="AM605" s="5">
        <f t="shared" si="82"/>
        <v>0.17647058823529413</v>
      </c>
      <c r="AN605" s="4">
        <f t="shared" si="79"/>
        <v>2.6727843731206988E-4</v>
      </c>
      <c r="AO605" s="3"/>
      <c r="AP605">
        <v>0</v>
      </c>
      <c r="AR605" t="s">
        <v>0</v>
      </c>
      <c r="AT605" s="2" t="s">
        <v>19</v>
      </c>
      <c r="AU605" s="1">
        <f t="shared" si="83"/>
        <v>1.2319579169323944</v>
      </c>
      <c r="AV605" s="1">
        <f t="shared" si="84"/>
        <v>0.88760646744634097</v>
      </c>
      <c r="AW605" s="1">
        <f t="shared" si="85"/>
        <v>0.54325501796028741</v>
      </c>
    </row>
    <row r="606" spans="1:49" x14ac:dyDescent="0.2">
      <c r="A606">
        <v>604</v>
      </c>
      <c r="B606" t="s">
        <v>3236</v>
      </c>
      <c r="C606" t="s">
        <v>3235</v>
      </c>
      <c r="F606" t="s">
        <v>3234</v>
      </c>
      <c r="G606" t="s">
        <v>15</v>
      </c>
      <c r="H606" t="s">
        <v>14</v>
      </c>
      <c r="I606" t="s">
        <v>3233</v>
      </c>
      <c r="J606">
        <v>60003500</v>
      </c>
      <c r="K606" t="s">
        <v>1514</v>
      </c>
      <c r="L606" t="s">
        <v>1513</v>
      </c>
      <c r="M606" t="s">
        <v>31</v>
      </c>
      <c r="N606">
        <v>1</v>
      </c>
      <c r="O606" t="s">
        <v>3232</v>
      </c>
      <c r="P606">
        <v>7201572254</v>
      </c>
      <c r="Q606">
        <v>60003500</v>
      </c>
      <c r="R606" s="7">
        <v>32143</v>
      </c>
      <c r="S606" s="8">
        <f t="shared" si="80"/>
        <v>1988</v>
      </c>
      <c r="T606" s="8">
        <v>1988</v>
      </c>
      <c r="U606" s="8">
        <f t="shared" si="81"/>
        <v>34</v>
      </c>
      <c r="V606" s="7">
        <v>32264</v>
      </c>
      <c r="W606" t="s">
        <v>1073</v>
      </c>
      <c r="X606" s="2">
        <v>1.3720000000000001</v>
      </c>
      <c r="Y606" s="6">
        <f t="shared" si="78"/>
        <v>3.662475641333654E-2</v>
      </c>
      <c r="AA606">
        <v>189480</v>
      </c>
      <c r="AB606">
        <v>17366</v>
      </c>
      <c r="AC606">
        <v>15579670</v>
      </c>
      <c r="AD606" t="s">
        <v>4</v>
      </c>
      <c r="AE606">
        <v>36</v>
      </c>
      <c r="AF606">
        <v>5</v>
      </c>
      <c r="AH606" t="s">
        <v>3231</v>
      </c>
      <c r="AI606" t="s">
        <v>3230</v>
      </c>
      <c r="AK606" t="s">
        <v>3229</v>
      </c>
      <c r="AL606">
        <v>8</v>
      </c>
      <c r="AM606" s="5">
        <f t="shared" si="82"/>
        <v>0.23529411764705882</v>
      </c>
      <c r="AN606" s="4">
        <f t="shared" si="79"/>
        <v>3.5637124974942646E-4</v>
      </c>
      <c r="AO606" s="3"/>
      <c r="AP606">
        <v>0</v>
      </c>
      <c r="AR606" t="s">
        <v>0</v>
      </c>
      <c r="AT606" s="2" t="s">
        <v>19</v>
      </c>
      <c r="AU606" s="1">
        <f t="shared" si="83"/>
        <v>2.5744240864260406</v>
      </c>
      <c r="AV606" s="1">
        <f t="shared" si="84"/>
        <v>1.8490563831542981</v>
      </c>
      <c r="AW606" s="1">
        <f t="shared" si="85"/>
        <v>1.1236886798825561</v>
      </c>
    </row>
    <row r="607" spans="1:49" x14ac:dyDescent="0.2">
      <c r="A607">
        <v>605</v>
      </c>
      <c r="B607" t="s">
        <v>3228</v>
      </c>
      <c r="C607" t="s">
        <v>3227</v>
      </c>
      <c r="F607" t="s">
        <v>3226</v>
      </c>
      <c r="G607" t="s">
        <v>15</v>
      </c>
      <c r="H607" t="s">
        <v>14</v>
      </c>
      <c r="I607" t="s">
        <v>3225</v>
      </c>
      <c r="J607">
        <v>60031514</v>
      </c>
      <c r="K607" t="s">
        <v>3224</v>
      </c>
      <c r="L607" t="s">
        <v>84</v>
      </c>
      <c r="M607" t="s">
        <v>45</v>
      </c>
      <c r="N607">
        <v>3</v>
      </c>
      <c r="O607" t="s">
        <v>3223</v>
      </c>
      <c r="P607" t="s">
        <v>3222</v>
      </c>
      <c r="Q607" t="s">
        <v>3221</v>
      </c>
      <c r="R607" s="7">
        <v>32143</v>
      </c>
      <c r="S607" s="8">
        <f t="shared" si="80"/>
        <v>1988</v>
      </c>
      <c r="T607" s="8">
        <v>1988</v>
      </c>
      <c r="U607" s="8">
        <f t="shared" si="81"/>
        <v>34</v>
      </c>
      <c r="V607" s="7">
        <v>32264</v>
      </c>
      <c r="W607" t="s">
        <v>3220</v>
      </c>
      <c r="X607" s="2">
        <v>0.71899999999999997</v>
      </c>
      <c r="Y607" s="6">
        <f t="shared" si="78"/>
        <v>1.9193294359467178E-2</v>
      </c>
      <c r="AA607">
        <v>1704214</v>
      </c>
      <c r="AB607">
        <v>24594</v>
      </c>
      <c r="AC607">
        <v>10991476</v>
      </c>
      <c r="AD607" t="s">
        <v>4</v>
      </c>
      <c r="AE607">
        <v>10</v>
      </c>
      <c r="AF607">
        <v>2</v>
      </c>
      <c r="AH607" t="s">
        <v>3219</v>
      </c>
      <c r="AI607" t="s">
        <v>3218</v>
      </c>
      <c r="AK607" t="s">
        <v>3217</v>
      </c>
      <c r="AL607">
        <v>9</v>
      </c>
      <c r="AM607" s="5">
        <f t="shared" si="82"/>
        <v>0.26470588235294118</v>
      </c>
      <c r="AN607" s="4">
        <f t="shared" si="79"/>
        <v>4.009176559681048E-4</v>
      </c>
      <c r="AO607" s="3"/>
      <c r="AP607">
        <v>0</v>
      </c>
      <c r="AR607" t="s">
        <v>0</v>
      </c>
      <c r="AT607" s="2" t="s">
        <v>19</v>
      </c>
      <c r="AU607" s="1">
        <f t="shared" si="83"/>
        <v>1.3555581348417456</v>
      </c>
      <c r="AV607" s="1">
        <f t="shared" si="84"/>
        <v>0.97971060077176408</v>
      </c>
      <c r="AW607" s="1">
        <f t="shared" si="85"/>
        <v>0.60386306670178258</v>
      </c>
    </row>
    <row r="608" spans="1:49" x14ac:dyDescent="0.2">
      <c r="A608">
        <v>606</v>
      </c>
      <c r="B608" t="s">
        <v>3216</v>
      </c>
      <c r="C608" t="s">
        <v>3215</v>
      </c>
      <c r="F608" t="s">
        <v>3214</v>
      </c>
      <c r="G608" t="s">
        <v>15</v>
      </c>
      <c r="H608" t="s">
        <v>14</v>
      </c>
      <c r="I608" t="s">
        <v>3213</v>
      </c>
      <c r="J608">
        <v>60004176</v>
      </c>
      <c r="K608" t="s">
        <v>3212</v>
      </c>
      <c r="L608" t="s">
        <v>3211</v>
      </c>
      <c r="M608" t="s">
        <v>211</v>
      </c>
      <c r="N608">
        <v>3</v>
      </c>
      <c r="O608" t="s">
        <v>3210</v>
      </c>
      <c r="P608" t="s">
        <v>3209</v>
      </c>
      <c r="Q608" t="s">
        <v>3208</v>
      </c>
      <c r="R608" s="7">
        <v>32143</v>
      </c>
      <c r="S608" s="8">
        <f t="shared" si="80"/>
        <v>1988</v>
      </c>
      <c r="T608" s="8">
        <v>1988</v>
      </c>
      <c r="U608" s="8">
        <f t="shared" si="81"/>
        <v>34</v>
      </c>
      <c r="V608" s="7">
        <v>32264</v>
      </c>
      <c r="W608" t="s">
        <v>3207</v>
      </c>
      <c r="X608" s="2">
        <v>0.371</v>
      </c>
      <c r="Y608" s="6">
        <f t="shared" si="78"/>
        <v>9.9036331117695747E-3</v>
      </c>
      <c r="AA608">
        <v>214922</v>
      </c>
      <c r="AB608">
        <v>130262</v>
      </c>
      <c r="AC608">
        <v>13474065</v>
      </c>
      <c r="AD608" t="s">
        <v>4</v>
      </c>
      <c r="AE608">
        <v>27</v>
      </c>
      <c r="AF608" t="s">
        <v>3206</v>
      </c>
      <c r="AH608" t="s">
        <v>3205</v>
      </c>
      <c r="AI608" t="s">
        <v>3204</v>
      </c>
      <c r="AJ608" t="s">
        <v>3203</v>
      </c>
      <c r="AK608" t="s">
        <v>3202</v>
      </c>
      <c r="AL608">
        <v>12</v>
      </c>
      <c r="AM608" s="5">
        <f t="shared" si="82"/>
        <v>0.35294117647058826</v>
      </c>
      <c r="AN608" s="4">
        <f t="shared" si="79"/>
        <v>5.3455687462413976E-4</v>
      </c>
      <c r="AO608" s="3"/>
      <c r="AP608">
        <v>0</v>
      </c>
      <c r="AR608" t="s">
        <v>0</v>
      </c>
      <c r="AT608" s="2">
        <v>1.48</v>
      </c>
      <c r="AU608" s="1">
        <f t="shared" si="83"/>
        <v>0.70929102406259437</v>
      </c>
      <c r="AV608" s="1">
        <f t="shared" si="84"/>
        <v>0.52190949931968567</v>
      </c>
      <c r="AW608" s="1">
        <f t="shared" si="85"/>
        <v>0.33452797457677708</v>
      </c>
    </row>
    <row r="609" spans="1:49" x14ac:dyDescent="0.2">
      <c r="A609">
        <v>607</v>
      </c>
      <c r="B609" t="s">
        <v>3201</v>
      </c>
      <c r="C609" t="s">
        <v>3200</v>
      </c>
      <c r="F609" t="s">
        <v>3199</v>
      </c>
      <c r="G609" t="s">
        <v>15</v>
      </c>
      <c r="H609" t="s">
        <v>14</v>
      </c>
      <c r="I609" t="s">
        <v>3198</v>
      </c>
      <c r="N609">
        <v>3</v>
      </c>
      <c r="O609" t="s">
        <v>3197</v>
      </c>
      <c r="P609" t="s">
        <v>3196</v>
      </c>
      <c r="Q609" t="s">
        <v>532</v>
      </c>
      <c r="R609" s="7">
        <v>32143</v>
      </c>
      <c r="S609" s="8">
        <f t="shared" si="80"/>
        <v>1988</v>
      </c>
      <c r="T609" s="8">
        <v>1988</v>
      </c>
      <c r="U609" s="8">
        <f t="shared" si="81"/>
        <v>34</v>
      </c>
      <c r="V609" s="7" t="s">
        <v>3188</v>
      </c>
      <c r="W609" t="s">
        <v>1307</v>
      </c>
      <c r="X609" s="2">
        <v>0.371</v>
      </c>
      <c r="Y609" s="6">
        <f t="shared" si="78"/>
        <v>9.9036331117695747E-3</v>
      </c>
      <c r="AA609">
        <v>486604</v>
      </c>
      <c r="AB609">
        <v>28580</v>
      </c>
      <c r="AC609" t="s">
        <v>1306</v>
      </c>
      <c r="AD609" t="s">
        <v>4</v>
      </c>
      <c r="AE609">
        <v>23</v>
      </c>
      <c r="AF609">
        <v>3</v>
      </c>
      <c r="AH609" t="s">
        <v>3195</v>
      </c>
      <c r="AI609" t="s">
        <v>3194</v>
      </c>
      <c r="AK609" t="s">
        <v>3193</v>
      </c>
      <c r="AL609">
        <v>4</v>
      </c>
      <c r="AM609" s="5">
        <f t="shared" si="82"/>
        <v>0.11764705882352941</v>
      </c>
      <c r="AN609" s="4">
        <f t="shared" si="79"/>
        <v>1.7818562487471323E-4</v>
      </c>
      <c r="AO609" s="3"/>
      <c r="AP609">
        <v>0</v>
      </c>
      <c r="AR609" t="s">
        <v>0</v>
      </c>
      <c r="AT609" s="2">
        <v>1.431</v>
      </c>
      <c r="AU609" s="1">
        <f t="shared" si="83"/>
        <v>0.69859988657011163</v>
      </c>
      <c r="AV609" s="1">
        <f t="shared" si="84"/>
        <v>0.5040909368322144</v>
      </c>
      <c r="AW609" s="1">
        <f t="shared" si="85"/>
        <v>0.30958198709431717</v>
      </c>
    </row>
    <row r="610" spans="1:49" x14ac:dyDescent="0.2">
      <c r="A610">
        <v>608</v>
      </c>
      <c r="B610" t="s">
        <v>3192</v>
      </c>
      <c r="C610" t="s">
        <v>3191</v>
      </c>
      <c r="F610" t="s">
        <v>3190</v>
      </c>
      <c r="G610" t="s">
        <v>15</v>
      </c>
      <c r="H610" t="s">
        <v>14</v>
      </c>
      <c r="I610" t="s">
        <v>1090</v>
      </c>
      <c r="N610">
        <v>1</v>
      </c>
      <c r="O610" t="s">
        <v>3189</v>
      </c>
      <c r="P610">
        <v>56310401100</v>
      </c>
      <c r="R610" s="7">
        <v>32143</v>
      </c>
      <c r="S610" s="8">
        <f t="shared" si="80"/>
        <v>1988</v>
      </c>
      <c r="T610" s="8">
        <v>1988</v>
      </c>
      <c r="U610" s="8">
        <f t="shared" si="81"/>
        <v>34</v>
      </c>
      <c r="V610" s="7" t="s">
        <v>3188</v>
      </c>
      <c r="W610" t="s">
        <v>1307</v>
      </c>
      <c r="X610" s="2">
        <v>0.371</v>
      </c>
      <c r="Y610" s="6">
        <f t="shared" si="78"/>
        <v>9.9036331117695747E-3</v>
      </c>
      <c r="AA610">
        <v>486604</v>
      </c>
      <c r="AB610">
        <v>28580</v>
      </c>
      <c r="AC610" t="s">
        <v>1306</v>
      </c>
      <c r="AD610" t="s">
        <v>4</v>
      </c>
      <c r="AE610">
        <v>23</v>
      </c>
      <c r="AF610">
        <v>3</v>
      </c>
      <c r="AH610" t="s">
        <v>3187</v>
      </c>
      <c r="AI610" t="s">
        <v>3186</v>
      </c>
      <c r="AK610" t="s">
        <v>3185</v>
      </c>
      <c r="AL610">
        <v>0</v>
      </c>
      <c r="AM610" s="5">
        <f t="shared" si="82"/>
        <v>0</v>
      </c>
      <c r="AN610" s="4">
        <f t="shared" si="79"/>
        <v>0</v>
      </c>
      <c r="AO610" s="3"/>
      <c r="AP610">
        <v>0</v>
      </c>
      <c r="AR610" t="s">
        <v>0</v>
      </c>
      <c r="AT610" s="2">
        <v>1.431</v>
      </c>
      <c r="AU610" s="1">
        <f t="shared" si="83"/>
        <v>0.69325431782387015</v>
      </c>
      <c r="AV610" s="1">
        <f t="shared" si="84"/>
        <v>0.49518165558847871</v>
      </c>
      <c r="AW610" s="1">
        <f t="shared" si="85"/>
        <v>0.29710899335308727</v>
      </c>
    </row>
    <row r="611" spans="1:49" x14ac:dyDescent="0.2">
      <c r="A611">
        <v>609</v>
      </c>
      <c r="B611" t="s">
        <v>3184</v>
      </c>
      <c r="C611" t="s">
        <v>3183</v>
      </c>
      <c r="F611" t="s">
        <v>3182</v>
      </c>
      <c r="G611" t="s">
        <v>15</v>
      </c>
      <c r="H611" t="s">
        <v>14</v>
      </c>
      <c r="I611" t="s">
        <v>3181</v>
      </c>
      <c r="J611">
        <v>60003480</v>
      </c>
      <c r="K611" t="s">
        <v>1591</v>
      </c>
      <c r="L611" t="s">
        <v>1590</v>
      </c>
      <c r="M611" t="s">
        <v>1088</v>
      </c>
      <c r="N611">
        <v>1</v>
      </c>
      <c r="O611" t="s">
        <v>3180</v>
      </c>
      <c r="P611">
        <v>7401810205</v>
      </c>
      <c r="Q611">
        <v>60003480</v>
      </c>
      <c r="R611" s="7">
        <v>32143</v>
      </c>
      <c r="S611" s="8">
        <f t="shared" si="80"/>
        <v>1988</v>
      </c>
      <c r="T611" s="8">
        <v>1988</v>
      </c>
      <c r="U611" s="8">
        <f t="shared" si="81"/>
        <v>34</v>
      </c>
      <c r="V611" s="7">
        <v>1988</v>
      </c>
      <c r="W611" t="s">
        <v>56</v>
      </c>
      <c r="X611" s="2">
        <v>0.375</v>
      </c>
      <c r="Y611" s="6">
        <f t="shared" si="78"/>
        <v>1.0010410827260351E-2</v>
      </c>
      <c r="AA611">
        <v>135194</v>
      </c>
      <c r="AB611">
        <v>24918</v>
      </c>
      <c r="AD611" t="s">
        <v>4</v>
      </c>
      <c r="AE611">
        <v>24</v>
      </c>
      <c r="AF611">
        <v>11</v>
      </c>
      <c r="AH611" t="s">
        <v>3179</v>
      </c>
      <c r="AI611" t="s">
        <v>3178</v>
      </c>
      <c r="AJ611" t="s">
        <v>3177</v>
      </c>
      <c r="AK611" t="s">
        <v>3176</v>
      </c>
      <c r="AL611">
        <v>16</v>
      </c>
      <c r="AM611" s="5">
        <f t="shared" si="82"/>
        <v>0.47058823529411764</v>
      </c>
      <c r="AN611" s="4">
        <f t="shared" si="79"/>
        <v>7.1274249949885291E-4</v>
      </c>
      <c r="AO611" s="3"/>
      <c r="AP611">
        <v>0</v>
      </c>
      <c r="AR611" t="s">
        <v>0</v>
      </c>
      <c r="AT611" s="2">
        <v>1.3140000000000001</v>
      </c>
      <c r="AU611" s="1">
        <f t="shared" si="83"/>
        <v>0.72211103289319023</v>
      </c>
      <c r="AV611" s="1">
        <f t="shared" si="84"/>
        <v>0.53615766633796025</v>
      </c>
      <c r="AW611" s="1">
        <f t="shared" si="85"/>
        <v>0.35020429978273021</v>
      </c>
    </row>
    <row r="612" spans="1:49" x14ac:dyDescent="0.2">
      <c r="A612">
        <v>610</v>
      </c>
      <c r="B612" t="s">
        <v>3175</v>
      </c>
      <c r="C612" t="s">
        <v>3174</v>
      </c>
      <c r="F612" t="s">
        <v>3173</v>
      </c>
      <c r="G612" t="s">
        <v>15</v>
      </c>
      <c r="H612" t="s">
        <v>14</v>
      </c>
      <c r="I612" t="s">
        <v>3172</v>
      </c>
      <c r="J612">
        <v>60017161</v>
      </c>
      <c r="K612" t="s">
        <v>3171</v>
      </c>
      <c r="L612" t="s">
        <v>2928</v>
      </c>
      <c r="M612" t="s">
        <v>2927</v>
      </c>
      <c r="N612">
        <v>3</v>
      </c>
      <c r="O612" t="s">
        <v>3170</v>
      </c>
      <c r="P612" t="s">
        <v>3169</v>
      </c>
      <c r="Q612" t="s">
        <v>3168</v>
      </c>
      <c r="R612" s="7">
        <v>32143</v>
      </c>
      <c r="S612" s="8">
        <f t="shared" si="80"/>
        <v>1988</v>
      </c>
      <c r="T612" s="8">
        <v>1988</v>
      </c>
      <c r="U612" s="8">
        <f t="shared" si="81"/>
        <v>34</v>
      </c>
      <c r="V612" s="7">
        <v>1988</v>
      </c>
      <c r="W612" t="s">
        <v>56</v>
      </c>
      <c r="X612" s="2">
        <v>0.375</v>
      </c>
      <c r="Y612" s="6">
        <f t="shared" si="78"/>
        <v>1.0010410827260351E-2</v>
      </c>
      <c r="AA612">
        <v>135194</v>
      </c>
      <c r="AB612">
        <v>24918</v>
      </c>
      <c r="AD612" t="s">
        <v>4</v>
      </c>
      <c r="AE612">
        <v>24</v>
      </c>
      <c r="AF612">
        <v>11</v>
      </c>
      <c r="AH612" t="s">
        <v>3167</v>
      </c>
      <c r="AI612" t="s">
        <v>3166</v>
      </c>
      <c r="AJ612" t="s">
        <v>2613</v>
      </c>
      <c r="AK612" t="s">
        <v>3165</v>
      </c>
      <c r="AL612">
        <v>0</v>
      </c>
      <c r="AM612" s="5">
        <f t="shared" si="82"/>
        <v>0</v>
      </c>
      <c r="AN612" s="4">
        <f t="shared" si="79"/>
        <v>0</v>
      </c>
      <c r="AO612" s="3"/>
      <c r="AP612">
        <v>0</v>
      </c>
      <c r="AR612" t="s">
        <v>0</v>
      </c>
      <c r="AT612" s="2">
        <v>1.3140000000000001</v>
      </c>
      <c r="AU612" s="1">
        <f t="shared" si="83"/>
        <v>0.70072875790822453</v>
      </c>
      <c r="AV612" s="1">
        <f t="shared" si="84"/>
        <v>0.5005205413630176</v>
      </c>
      <c r="AW612" s="1">
        <f t="shared" si="85"/>
        <v>0.30031232481781051</v>
      </c>
    </row>
    <row r="613" spans="1:49" x14ac:dyDescent="0.2">
      <c r="A613">
        <v>611</v>
      </c>
      <c r="B613" t="s">
        <v>3164</v>
      </c>
      <c r="C613" t="s">
        <v>3163</v>
      </c>
      <c r="F613" t="s">
        <v>3162</v>
      </c>
      <c r="G613" t="s">
        <v>15</v>
      </c>
      <c r="H613" t="s">
        <v>14</v>
      </c>
      <c r="I613" t="s">
        <v>3161</v>
      </c>
      <c r="J613" t="s">
        <v>3160</v>
      </c>
      <c r="K613" t="s">
        <v>3159</v>
      </c>
      <c r="L613" t="s">
        <v>3158</v>
      </c>
      <c r="M613" t="s">
        <v>9</v>
      </c>
      <c r="N613">
        <v>2</v>
      </c>
      <c r="O613" t="s">
        <v>3157</v>
      </c>
      <c r="P613" t="s">
        <v>3156</v>
      </c>
      <c r="Q613" t="s">
        <v>3155</v>
      </c>
      <c r="R613" s="7">
        <v>32143</v>
      </c>
      <c r="S613" s="8">
        <f t="shared" si="80"/>
        <v>1988</v>
      </c>
      <c r="T613" s="8">
        <v>1988</v>
      </c>
      <c r="U613" s="8">
        <f t="shared" si="81"/>
        <v>34</v>
      </c>
      <c r="V613" s="7">
        <v>1988</v>
      </c>
      <c r="W613" t="s">
        <v>56</v>
      </c>
      <c r="X613" s="2">
        <v>0.375</v>
      </c>
      <c r="Y613" s="6">
        <f t="shared" si="78"/>
        <v>1.0010410827260351E-2</v>
      </c>
      <c r="AA613">
        <v>135194</v>
      </c>
      <c r="AB613">
        <v>24918</v>
      </c>
      <c r="AD613" t="s">
        <v>4</v>
      </c>
      <c r="AE613">
        <v>24</v>
      </c>
      <c r="AF613">
        <v>11</v>
      </c>
      <c r="AH613" t="s">
        <v>3154</v>
      </c>
      <c r="AI613" t="s">
        <v>3153</v>
      </c>
      <c r="AJ613" t="s">
        <v>3152</v>
      </c>
      <c r="AK613" t="s">
        <v>3151</v>
      </c>
      <c r="AL613">
        <v>37</v>
      </c>
      <c r="AM613" s="5">
        <f t="shared" si="82"/>
        <v>1.088235294117647</v>
      </c>
      <c r="AN613" s="4">
        <f t="shared" si="79"/>
        <v>1.6482170300910974E-3</v>
      </c>
      <c r="AO613" s="3"/>
      <c r="AP613">
        <v>0</v>
      </c>
      <c r="AR613" t="s">
        <v>0</v>
      </c>
      <c r="AT613" s="2">
        <v>1.3140000000000001</v>
      </c>
      <c r="AU613" s="1">
        <f t="shared" si="83"/>
        <v>0.75017526881095753</v>
      </c>
      <c r="AV613" s="1">
        <f t="shared" si="84"/>
        <v>0.58293139286757245</v>
      </c>
      <c r="AW613" s="1">
        <f t="shared" si="85"/>
        <v>0.41568751692418732</v>
      </c>
    </row>
    <row r="614" spans="1:49" x14ac:dyDescent="0.2">
      <c r="A614">
        <v>612</v>
      </c>
      <c r="B614" t="s">
        <v>3150</v>
      </c>
      <c r="C614" t="s">
        <v>3149</v>
      </c>
      <c r="D614" t="s">
        <v>3148</v>
      </c>
      <c r="E614">
        <v>3134059</v>
      </c>
      <c r="F614" t="s">
        <v>3147</v>
      </c>
      <c r="G614" t="s">
        <v>15</v>
      </c>
      <c r="H614" t="s">
        <v>14</v>
      </c>
      <c r="I614" t="s">
        <v>3146</v>
      </c>
      <c r="J614">
        <v>60029278</v>
      </c>
      <c r="K614" t="s">
        <v>1795</v>
      </c>
      <c r="L614" t="s">
        <v>339</v>
      </c>
      <c r="M614" t="s">
        <v>31</v>
      </c>
      <c r="N614">
        <v>5</v>
      </c>
      <c r="O614" t="s">
        <v>3145</v>
      </c>
      <c r="P614" t="s">
        <v>3144</v>
      </c>
      <c r="Q614" t="s">
        <v>3143</v>
      </c>
      <c r="R614" s="7">
        <v>32143</v>
      </c>
      <c r="S614" s="8">
        <f t="shared" si="80"/>
        <v>1988</v>
      </c>
      <c r="T614" s="8">
        <v>1988</v>
      </c>
      <c r="U614" s="8">
        <f t="shared" si="81"/>
        <v>34</v>
      </c>
      <c r="V614" s="7">
        <v>1988</v>
      </c>
      <c r="W614" t="s">
        <v>3142</v>
      </c>
      <c r="X614" s="2">
        <v>1.7130000000000001</v>
      </c>
      <c r="Y614" s="6">
        <f t="shared" si="78"/>
        <v>4.5727556658925285E-2</v>
      </c>
      <c r="AA614">
        <v>63495</v>
      </c>
      <c r="AB614">
        <v>14859</v>
      </c>
      <c r="AD614" t="s">
        <v>4</v>
      </c>
      <c r="AE614">
        <v>53</v>
      </c>
      <c r="AF614">
        <v>5</v>
      </c>
      <c r="AH614" t="s">
        <v>3141</v>
      </c>
      <c r="AI614" t="s">
        <v>3140</v>
      </c>
      <c r="AK614" t="s">
        <v>3139</v>
      </c>
      <c r="AL614">
        <v>61</v>
      </c>
      <c r="AM614" s="5">
        <f t="shared" si="82"/>
        <v>1.7941176470588236</v>
      </c>
      <c r="AN614" s="4">
        <f t="shared" si="79"/>
        <v>2.7173307793393769E-3</v>
      </c>
      <c r="AO614" s="3"/>
      <c r="AP614">
        <v>1</v>
      </c>
      <c r="AQ614" t="s">
        <v>855</v>
      </c>
      <c r="AR614" t="s">
        <v>3138</v>
      </c>
      <c r="AS614" t="s">
        <v>854</v>
      </c>
      <c r="AT614" s="2">
        <v>4.0330000000000004</v>
      </c>
      <c r="AU614" s="1">
        <f t="shared" si="83"/>
        <v>3.2824488895049511</v>
      </c>
      <c r="AV614" s="1">
        <f t="shared" si="84"/>
        <v>2.4222443719132332</v>
      </c>
      <c r="AW614" s="1">
        <f t="shared" si="85"/>
        <v>1.5620398543215148</v>
      </c>
    </row>
    <row r="615" spans="1:49" x14ac:dyDescent="0.2">
      <c r="A615">
        <v>613</v>
      </c>
      <c r="B615" t="s">
        <v>3137</v>
      </c>
      <c r="C615" t="s">
        <v>3136</v>
      </c>
      <c r="D615">
        <v>12160688901844</v>
      </c>
      <c r="E615">
        <v>3129325</v>
      </c>
      <c r="F615" t="s">
        <v>3135</v>
      </c>
      <c r="G615" t="s">
        <v>15</v>
      </c>
      <c r="H615" t="s">
        <v>14</v>
      </c>
      <c r="I615" t="s">
        <v>3134</v>
      </c>
      <c r="J615">
        <v>60024631</v>
      </c>
      <c r="K615" t="s">
        <v>3133</v>
      </c>
      <c r="L615" t="s">
        <v>3132</v>
      </c>
      <c r="M615" t="s">
        <v>3131</v>
      </c>
      <c r="N615">
        <v>2</v>
      </c>
      <c r="O615" t="s">
        <v>3130</v>
      </c>
      <c r="P615" t="s">
        <v>3129</v>
      </c>
      <c r="Q615" t="s">
        <v>3128</v>
      </c>
      <c r="R615" s="7">
        <v>32143</v>
      </c>
      <c r="S615" s="8">
        <f t="shared" si="80"/>
        <v>1988</v>
      </c>
      <c r="T615" s="8">
        <v>1988</v>
      </c>
      <c r="U615" s="8">
        <f t="shared" si="81"/>
        <v>34</v>
      </c>
      <c r="V615" s="7">
        <v>32264</v>
      </c>
      <c r="W615" t="s">
        <v>859</v>
      </c>
      <c r="X615" s="2">
        <v>1.77</v>
      </c>
      <c r="Y615" s="6">
        <f t="shared" si="78"/>
        <v>4.7249139104668859E-2</v>
      </c>
      <c r="AA615">
        <v>121606</v>
      </c>
      <c r="AB615">
        <v>14536</v>
      </c>
      <c r="AD615" t="s">
        <v>4</v>
      </c>
      <c r="AE615">
        <v>127</v>
      </c>
      <c r="AF615">
        <v>1</v>
      </c>
      <c r="AH615" s="10">
        <v>45627</v>
      </c>
      <c r="AI615" t="s">
        <v>3127</v>
      </c>
      <c r="AK615" t="s">
        <v>3126</v>
      </c>
      <c r="AL615">
        <v>45</v>
      </c>
      <c r="AM615" s="5">
        <f t="shared" si="82"/>
        <v>1.3235294117647058</v>
      </c>
      <c r="AN615" s="4">
        <f t="shared" si="79"/>
        <v>2.0045882798405239E-3</v>
      </c>
      <c r="AO615" s="3"/>
      <c r="AP615">
        <v>0</v>
      </c>
      <c r="AR615" t="s">
        <v>0</v>
      </c>
      <c r="AT615" s="2">
        <v>3.5819999999999999</v>
      </c>
      <c r="AU615" s="1">
        <f t="shared" si="83"/>
        <v>3.3675773857220355</v>
      </c>
      <c r="AV615" s="1">
        <f t="shared" si="84"/>
        <v>2.462686369225469</v>
      </c>
      <c r="AW615" s="1">
        <f t="shared" si="85"/>
        <v>1.5577953527289023</v>
      </c>
    </row>
    <row r="616" spans="1:49" x14ac:dyDescent="0.2">
      <c r="A616">
        <v>614</v>
      </c>
      <c r="B616" t="s">
        <v>3125</v>
      </c>
      <c r="C616" t="s">
        <v>3124</v>
      </c>
      <c r="F616" t="s">
        <v>3123</v>
      </c>
      <c r="G616" t="s">
        <v>15</v>
      </c>
      <c r="H616" t="s">
        <v>14</v>
      </c>
      <c r="I616" t="s">
        <v>3122</v>
      </c>
      <c r="J616">
        <v>60025555</v>
      </c>
      <c r="K616" t="s">
        <v>943</v>
      </c>
      <c r="L616" t="s">
        <v>212</v>
      </c>
      <c r="M616" t="s">
        <v>211</v>
      </c>
      <c r="N616">
        <v>3</v>
      </c>
      <c r="O616" t="s">
        <v>3121</v>
      </c>
      <c r="P616" t="s">
        <v>3120</v>
      </c>
      <c r="Q616" t="s">
        <v>940</v>
      </c>
      <c r="R616" s="7">
        <v>32143</v>
      </c>
      <c r="S616" s="8">
        <f t="shared" si="80"/>
        <v>1988</v>
      </c>
      <c r="T616" s="8">
        <v>1988</v>
      </c>
      <c r="U616" s="8">
        <f t="shared" si="81"/>
        <v>34</v>
      </c>
      <c r="V616" s="7">
        <v>32264</v>
      </c>
      <c r="W616" t="s">
        <v>1225</v>
      </c>
      <c r="X616" s="2">
        <v>0.111</v>
      </c>
      <c r="Y616" s="6">
        <f t="shared" si="78"/>
        <v>2.9630816048690639E-3</v>
      </c>
      <c r="AA616">
        <v>87566621</v>
      </c>
      <c r="AB616">
        <v>24890</v>
      </c>
      <c r="AC616">
        <v>15206424</v>
      </c>
      <c r="AD616" t="s">
        <v>4</v>
      </c>
      <c r="AE616">
        <v>71</v>
      </c>
      <c r="AF616">
        <v>5</v>
      </c>
      <c r="AH616" t="s">
        <v>3119</v>
      </c>
      <c r="AI616" t="s">
        <v>3118</v>
      </c>
      <c r="AK616" t="s">
        <v>3117</v>
      </c>
      <c r="AL616">
        <v>0</v>
      </c>
      <c r="AM616" s="5">
        <f t="shared" si="82"/>
        <v>0</v>
      </c>
      <c r="AN616" s="4">
        <f t="shared" si="79"/>
        <v>0</v>
      </c>
      <c r="AO616" s="3"/>
      <c r="AP616">
        <v>0</v>
      </c>
      <c r="AR616" t="s">
        <v>0</v>
      </c>
      <c r="AT616" s="2" t="s">
        <v>19</v>
      </c>
      <c r="AU616" s="1">
        <f t="shared" si="83"/>
        <v>0.20741571234083445</v>
      </c>
      <c r="AV616" s="1">
        <f t="shared" si="84"/>
        <v>0.1481540802434532</v>
      </c>
      <c r="AW616" s="1">
        <f t="shared" si="85"/>
        <v>8.8892448146071903E-2</v>
      </c>
    </row>
    <row r="617" spans="1:49" x14ac:dyDescent="0.2">
      <c r="A617">
        <v>615</v>
      </c>
      <c r="B617" t="s">
        <v>3116</v>
      </c>
      <c r="C617" t="s">
        <v>3115</v>
      </c>
      <c r="F617" t="s">
        <v>3114</v>
      </c>
      <c r="G617" t="s">
        <v>15</v>
      </c>
      <c r="H617" t="s">
        <v>14</v>
      </c>
      <c r="I617" t="s">
        <v>3107</v>
      </c>
      <c r="J617">
        <v>60009697</v>
      </c>
      <c r="K617" t="s">
        <v>1417</v>
      </c>
      <c r="L617" t="s">
        <v>1416</v>
      </c>
      <c r="M617" t="s">
        <v>481</v>
      </c>
      <c r="N617">
        <v>2</v>
      </c>
      <c r="O617" t="s">
        <v>3106</v>
      </c>
      <c r="P617" t="s">
        <v>3105</v>
      </c>
      <c r="Q617" t="s">
        <v>1413</v>
      </c>
      <c r="R617" s="7">
        <v>32143</v>
      </c>
      <c r="S617" s="8">
        <f t="shared" si="80"/>
        <v>1988</v>
      </c>
      <c r="T617" s="8">
        <v>1988</v>
      </c>
      <c r="U617" s="8">
        <f t="shared" si="81"/>
        <v>34</v>
      </c>
      <c r="V617" s="7" t="s">
        <v>3104</v>
      </c>
      <c r="W617" t="s">
        <v>3103</v>
      </c>
      <c r="X617" s="2" t="s">
        <v>19</v>
      </c>
      <c r="Y617" s="6" t="e">
        <f t="shared" si="78"/>
        <v>#VALUE!</v>
      </c>
      <c r="AA617">
        <v>84204</v>
      </c>
      <c r="AB617">
        <v>27420</v>
      </c>
      <c r="AD617" t="s">
        <v>4</v>
      </c>
      <c r="AE617">
        <v>66</v>
      </c>
      <c r="AF617">
        <v>5</v>
      </c>
      <c r="AH617" t="s">
        <v>3113</v>
      </c>
      <c r="AI617" t="s">
        <v>3112</v>
      </c>
      <c r="AK617" t="s">
        <v>3111</v>
      </c>
      <c r="AL617">
        <v>0</v>
      </c>
      <c r="AM617" s="5">
        <f t="shared" si="82"/>
        <v>0</v>
      </c>
      <c r="AN617" s="4">
        <f t="shared" si="79"/>
        <v>0</v>
      </c>
      <c r="AO617" s="3"/>
      <c r="AP617">
        <v>0</v>
      </c>
      <c r="AR617" t="s">
        <v>0</v>
      </c>
      <c r="AT617" s="2">
        <v>1.24</v>
      </c>
      <c r="AU617" s="1" t="e">
        <f t="shared" si="83"/>
        <v>#VALUE!</v>
      </c>
      <c r="AV617" s="1" t="e">
        <f t="shared" si="84"/>
        <v>#VALUE!</v>
      </c>
      <c r="AW617" s="1" t="e">
        <f t="shared" si="85"/>
        <v>#VALUE!</v>
      </c>
    </row>
    <row r="618" spans="1:49" x14ac:dyDescent="0.2">
      <c r="A618">
        <v>616</v>
      </c>
      <c r="B618" t="s">
        <v>3110</v>
      </c>
      <c r="C618" t="s">
        <v>3109</v>
      </c>
      <c r="F618" t="s">
        <v>3108</v>
      </c>
      <c r="G618" t="s">
        <v>15</v>
      </c>
      <c r="H618" t="s">
        <v>14</v>
      </c>
      <c r="I618" t="s">
        <v>3107</v>
      </c>
      <c r="J618">
        <v>60009697</v>
      </c>
      <c r="K618" t="s">
        <v>1417</v>
      </c>
      <c r="L618" t="s">
        <v>1416</v>
      </c>
      <c r="M618" t="s">
        <v>481</v>
      </c>
      <c r="N618">
        <v>2</v>
      </c>
      <c r="O618" t="s">
        <v>3106</v>
      </c>
      <c r="P618" t="s">
        <v>3105</v>
      </c>
      <c r="Q618" t="s">
        <v>1413</v>
      </c>
      <c r="R618" s="7">
        <v>32143</v>
      </c>
      <c r="S618" s="8">
        <f t="shared" si="80"/>
        <v>1988</v>
      </c>
      <c r="T618" s="8">
        <v>1988</v>
      </c>
      <c r="U618" s="8">
        <f t="shared" si="81"/>
        <v>34</v>
      </c>
      <c r="V618" s="7" t="s">
        <v>3104</v>
      </c>
      <c r="W618" t="s">
        <v>3103</v>
      </c>
      <c r="X618" s="2" t="s">
        <v>19</v>
      </c>
      <c r="Y618" s="6" t="e">
        <f t="shared" si="78"/>
        <v>#VALUE!</v>
      </c>
      <c r="AA618">
        <v>84204</v>
      </c>
      <c r="AB618">
        <v>27420</v>
      </c>
      <c r="AD618" t="s">
        <v>4</v>
      </c>
      <c r="AE618">
        <v>66</v>
      </c>
      <c r="AF618">
        <v>5</v>
      </c>
      <c r="AH618" t="s">
        <v>3102</v>
      </c>
      <c r="AI618" t="s">
        <v>3101</v>
      </c>
      <c r="AK618" t="s">
        <v>3100</v>
      </c>
      <c r="AL618">
        <v>0</v>
      </c>
      <c r="AM618" s="5">
        <f t="shared" si="82"/>
        <v>0</v>
      </c>
      <c r="AN618" s="4">
        <f t="shared" si="79"/>
        <v>0</v>
      </c>
      <c r="AO618" s="3"/>
      <c r="AP618">
        <v>0</v>
      </c>
      <c r="AR618" t="s">
        <v>0</v>
      </c>
      <c r="AT618" s="2">
        <v>1.24</v>
      </c>
      <c r="AU618" s="1" t="e">
        <f t="shared" si="83"/>
        <v>#VALUE!</v>
      </c>
      <c r="AV618" s="1" t="e">
        <f t="shared" si="84"/>
        <v>#VALUE!</v>
      </c>
      <c r="AW618" s="1" t="e">
        <f t="shared" si="85"/>
        <v>#VALUE!</v>
      </c>
    </row>
    <row r="619" spans="1:49" x14ac:dyDescent="0.2">
      <c r="A619">
        <v>617</v>
      </c>
      <c r="B619" t="s">
        <v>3099</v>
      </c>
      <c r="C619" t="s">
        <v>3098</v>
      </c>
      <c r="F619" t="s">
        <v>3097</v>
      </c>
      <c r="G619" t="s">
        <v>15</v>
      </c>
      <c r="H619" t="s">
        <v>14</v>
      </c>
      <c r="I619" t="s">
        <v>3096</v>
      </c>
      <c r="J619" t="s">
        <v>3095</v>
      </c>
      <c r="K619" t="s">
        <v>3094</v>
      </c>
      <c r="L619" t="s">
        <v>3093</v>
      </c>
      <c r="M619" t="s">
        <v>352</v>
      </c>
      <c r="N619">
        <v>4</v>
      </c>
      <c r="O619" t="s">
        <v>3092</v>
      </c>
      <c r="P619" t="s">
        <v>3091</v>
      </c>
      <c r="Q619" t="s">
        <v>3090</v>
      </c>
      <c r="R619" s="7">
        <v>32143</v>
      </c>
      <c r="S619" s="8">
        <f t="shared" si="80"/>
        <v>1988</v>
      </c>
      <c r="T619" s="8">
        <v>1988</v>
      </c>
      <c r="U619" s="8">
        <f t="shared" si="81"/>
        <v>34</v>
      </c>
      <c r="V619" s="7">
        <v>32264</v>
      </c>
      <c r="W619" t="s">
        <v>1225</v>
      </c>
      <c r="X619" s="2">
        <v>0.111</v>
      </c>
      <c r="Y619" s="6">
        <f t="shared" si="78"/>
        <v>2.9630816048690639E-3</v>
      </c>
      <c r="AA619">
        <v>87566621</v>
      </c>
      <c r="AB619">
        <v>24890</v>
      </c>
      <c r="AC619">
        <v>15206424</v>
      </c>
      <c r="AD619" t="s">
        <v>4</v>
      </c>
      <c r="AE619">
        <v>71</v>
      </c>
      <c r="AF619">
        <v>5</v>
      </c>
      <c r="AH619" t="s">
        <v>3089</v>
      </c>
      <c r="AI619" t="s">
        <v>3088</v>
      </c>
      <c r="AK619" t="s">
        <v>3087</v>
      </c>
      <c r="AL619">
        <v>0</v>
      </c>
      <c r="AM619" s="5">
        <f t="shared" si="82"/>
        <v>0</v>
      </c>
      <c r="AN619" s="4">
        <f t="shared" si="79"/>
        <v>0</v>
      </c>
      <c r="AO619" s="3"/>
      <c r="AP619">
        <v>0</v>
      </c>
      <c r="AR619" t="s">
        <v>0</v>
      </c>
      <c r="AT619" s="2" t="s">
        <v>19</v>
      </c>
      <c r="AU619" s="1">
        <f t="shared" si="83"/>
        <v>0.20741571234083445</v>
      </c>
      <c r="AV619" s="1">
        <f t="shared" si="84"/>
        <v>0.1481540802434532</v>
      </c>
      <c r="AW619" s="1">
        <f t="shared" si="85"/>
        <v>8.8892448146071903E-2</v>
      </c>
    </row>
    <row r="620" spans="1:49" x14ac:dyDescent="0.2">
      <c r="A620">
        <v>618</v>
      </c>
      <c r="B620" t="s">
        <v>3086</v>
      </c>
      <c r="C620" t="s">
        <v>3085</v>
      </c>
      <c r="F620" t="s">
        <v>3084</v>
      </c>
      <c r="G620" t="s">
        <v>15</v>
      </c>
      <c r="H620" t="s">
        <v>14</v>
      </c>
      <c r="I620" t="s">
        <v>3083</v>
      </c>
      <c r="J620">
        <v>60031448</v>
      </c>
      <c r="K620" t="s">
        <v>3082</v>
      </c>
      <c r="L620" t="s">
        <v>3081</v>
      </c>
      <c r="M620" t="s">
        <v>211</v>
      </c>
      <c r="N620">
        <v>1</v>
      </c>
      <c r="O620" t="s">
        <v>3080</v>
      </c>
      <c r="P620">
        <v>7406342214</v>
      </c>
      <c r="Q620">
        <v>60031448</v>
      </c>
      <c r="R620" s="7">
        <v>32143</v>
      </c>
      <c r="S620" s="8">
        <f t="shared" si="80"/>
        <v>1988</v>
      </c>
      <c r="T620" s="8">
        <v>1988</v>
      </c>
      <c r="U620" s="8">
        <f t="shared" si="81"/>
        <v>34</v>
      </c>
      <c r="V620" s="7">
        <v>32264</v>
      </c>
      <c r="W620" t="s">
        <v>2085</v>
      </c>
      <c r="X620" s="2">
        <v>1.365</v>
      </c>
      <c r="Y620" s="6">
        <f t="shared" si="78"/>
        <v>3.6437895411227675E-2</v>
      </c>
      <c r="AA620">
        <v>189545</v>
      </c>
      <c r="AB620">
        <v>17393</v>
      </c>
      <c r="AC620">
        <v>19399359</v>
      </c>
      <c r="AD620" t="s">
        <v>4</v>
      </c>
      <c r="AE620">
        <v>37</v>
      </c>
      <c r="AF620">
        <v>2</v>
      </c>
      <c r="AH620" t="s">
        <v>3079</v>
      </c>
      <c r="AI620" t="s">
        <v>3078</v>
      </c>
      <c r="AK620" t="s">
        <v>3077</v>
      </c>
      <c r="AL620">
        <v>11</v>
      </c>
      <c r="AM620" s="5">
        <f t="shared" si="82"/>
        <v>0.3235294117647059</v>
      </c>
      <c r="AN620" s="4">
        <f t="shared" si="79"/>
        <v>4.9001046840546137E-4</v>
      </c>
      <c r="AO620" s="3"/>
      <c r="AP620">
        <v>0</v>
      </c>
      <c r="AR620" t="s">
        <v>0</v>
      </c>
      <c r="AT620" s="2" t="s">
        <v>19</v>
      </c>
      <c r="AU620" s="1">
        <f t="shared" si="83"/>
        <v>2.5653529928381009</v>
      </c>
      <c r="AV620" s="1">
        <f t="shared" si="84"/>
        <v>1.8463952939816568</v>
      </c>
      <c r="AW620" s="1">
        <f t="shared" si="85"/>
        <v>1.1274375951252125</v>
      </c>
    </row>
    <row r="621" spans="1:49" x14ac:dyDescent="0.2">
      <c r="A621">
        <v>619</v>
      </c>
      <c r="B621" t="s">
        <v>3076</v>
      </c>
      <c r="C621" t="s">
        <v>3075</v>
      </c>
      <c r="F621" t="s">
        <v>3074</v>
      </c>
      <c r="G621" t="s">
        <v>15</v>
      </c>
      <c r="H621" t="s">
        <v>14</v>
      </c>
      <c r="I621" t="s">
        <v>2736</v>
      </c>
      <c r="J621">
        <v>115937523</v>
      </c>
      <c r="K621" t="s">
        <v>3073</v>
      </c>
      <c r="L621" t="s">
        <v>1416</v>
      </c>
      <c r="M621" t="s">
        <v>481</v>
      </c>
      <c r="N621">
        <v>2</v>
      </c>
      <c r="O621" t="s">
        <v>2735</v>
      </c>
      <c r="P621" t="s">
        <v>2734</v>
      </c>
      <c r="Q621" t="s">
        <v>3072</v>
      </c>
      <c r="R621" s="7">
        <v>32143</v>
      </c>
      <c r="S621" s="8">
        <f t="shared" si="80"/>
        <v>1988</v>
      </c>
      <c r="T621" s="8">
        <v>1988</v>
      </c>
      <c r="U621" s="8">
        <f t="shared" si="81"/>
        <v>34</v>
      </c>
      <c r="V621" s="7">
        <v>32234</v>
      </c>
      <c r="W621" t="s">
        <v>348</v>
      </c>
      <c r="X621" s="2">
        <v>0.251</v>
      </c>
      <c r="Y621" s="6">
        <f t="shared" si="78"/>
        <v>6.7003016470462617E-3</v>
      </c>
      <c r="AA621">
        <v>207217</v>
      </c>
      <c r="AB621">
        <v>26145</v>
      </c>
      <c r="AC621">
        <v>13623060</v>
      </c>
      <c r="AD621" t="s">
        <v>4</v>
      </c>
      <c r="AE621">
        <v>64</v>
      </c>
      <c r="AF621">
        <v>4</v>
      </c>
      <c r="AH621" t="s">
        <v>3071</v>
      </c>
      <c r="AI621" t="s">
        <v>3070</v>
      </c>
      <c r="AK621" t="s">
        <v>3069</v>
      </c>
      <c r="AL621">
        <v>3</v>
      </c>
      <c r="AM621" s="5">
        <f t="shared" si="82"/>
        <v>8.8235294117647065E-2</v>
      </c>
      <c r="AN621" s="4">
        <f t="shared" si="79"/>
        <v>1.3363921865603494E-4</v>
      </c>
      <c r="AO621" s="3"/>
      <c r="AP621">
        <v>0</v>
      </c>
      <c r="AQ621" t="s">
        <v>3068</v>
      </c>
      <c r="AR621" t="s">
        <v>0</v>
      </c>
      <c r="AS621" t="s">
        <v>1417</v>
      </c>
      <c r="AT621" s="2">
        <v>1.3360000000000001</v>
      </c>
      <c r="AU621" s="1">
        <f t="shared" si="83"/>
        <v>0.47303029185291934</v>
      </c>
      <c r="AV621" s="1">
        <f t="shared" si="84"/>
        <v>0.3416970432851148</v>
      </c>
      <c r="AW621" s="1">
        <f t="shared" si="85"/>
        <v>0.21036379471731029</v>
      </c>
    </row>
    <row r="622" spans="1:49" x14ac:dyDescent="0.2">
      <c r="A622">
        <v>620</v>
      </c>
      <c r="B622" t="s">
        <v>3067</v>
      </c>
      <c r="C622" t="s">
        <v>3066</v>
      </c>
      <c r="D622">
        <v>250687488800490</v>
      </c>
      <c r="F622" t="s">
        <v>3065</v>
      </c>
      <c r="G622" t="s">
        <v>15</v>
      </c>
      <c r="H622" t="s">
        <v>14</v>
      </c>
      <c r="I622" t="s">
        <v>3064</v>
      </c>
      <c r="J622">
        <v>106640303</v>
      </c>
      <c r="K622" t="s">
        <v>3063</v>
      </c>
      <c r="L622" t="s">
        <v>3062</v>
      </c>
      <c r="M622" t="s">
        <v>127</v>
      </c>
      <c r="N622">
        <v>2</v>
      </c>
      <c r="O622" t="s">
        <v>3061</v>
      </c>
      <c r="P622" t="s">
        <v>3060</v>
      </c>
      <c r="Q622" t="s">
        <v>3059</v>
      </c>
      <c r="R622" s="7">
        <v>32143</v>
      </c>
      <c r="S622" s="8">
        <f t="shared" si="80"/>
        <v>1988</v>
      </c>
      <c r="T622" s="8">
        <v>1988</v>
      </c>
      <c r="U622" s="8">
        <f t="shared" si="81"/>
        <v>34</v>
      </c>
      <c r="V622" s="7">
        <v>32234</v>
      </c>
      <c r="W622" t="s">
        <v>3058</v>
      </c>
      <c r="X622" s="2" t="s">
        <v>19</v>
      </c>
      <c r="Y622" s="6" t="e">
        <f t="shared" si="78"/>
        <v>#VALUE!</v>
      </c>
      <c r="AA622">
        <v>2506874</v>
      </c>
      <c r="AB622">
        <v>32685</v>
      </c>
      <c r="AD622" t="s">
        <v>4</v>
      </c>
      <c r="AE622">
        <v>13</v>
      </c>
      <c r="AF622">
        <v>4</v>
      </c>
      <c r="AH622" t="s">
        <v>3057</v>
      </c>
      <c r="AI622" t="s">
        <v>3056</v>
      </c>
      <c r="AK622" t="s">
        <v>3055</v>
      </c>
      <c r="AL622">
        <v>0</v>
      </c>
      <c r="AM622" s="5">
        <f t="shared" si="82"/>
        <v>0</v>
      </c>
      <c r="AN622" s="4">
        <f t="shared" si="79"/>
        <v>0</v>
      </c>
      <c r="AO622" s="3"/>
      <c r="AP622">
        <v>0</v>
      </c>
      <c r="AQ622" t="s">
        <v>3054</v>
      </c>
      <c r="AR622" t="s">
        <v>0</v>
      </c>
      <c r="AS622" t="s">
        <v>3053</v>
      </c>
      <c r="AT622" s="2" t="s">
        <v>19</v>
      </c>
      <c r="AU622" s="1" t="e">
        <f t="shared" si="83"/>
        <v>#VALUE!</v>
      </c>
      <c r="AV622" s="1" t="e">
        <f t="shared" si="84"/>
        <v>#VALUE!</v>
      </c>
      <c r="AW622" s="1" t="e">
        <f t="shared" si="85"/>
        <v>#VALUE!</v>
      </c>
    </row>
    <row r="623" spans="1:49" x14ac:dyDescent="0.2">
      <c r="A623">
        <v>621</v>
      </c>
      <c r="B623" t="s">
        <v>3052</v>
      </c>
      <c r="C623" t="s">
        <v>3051</v>
      </c>
      <c r="D623">
        <v>165212588900376</v>
      </c>
      <c r="F623" t="s">
        <v>3050</v>
      </c>
      <c r="G623" t="s">
        <v>15</v>
      </c>
      <c r="H623" t="s">
        <v>14</v>
      </c>
      <c r="I623" t="s">
        <v>3049</v>
      </c>
      <c r="J623">
        <v>60022002</v>
      </c>
      <c r="K623" t="s">
        <v>3048</v>
      </c>
      <c r="L623" t="s">
        <v>3047</v>
      </c>
      <c r="M623" t="s">
        <v>3046</v>
      </c>
      <c r="N623">
        <v>1</v>
      </c>
      <c r="O623" t="s">
        <v>3045</v>
      </c>
      <c r="P623">
        <v>7006099581</v>
      </c>
      <c r="Q623">
        <v>60022002</v>
      </c>
      <c r="R623" s="7">
        <v>32143</v>
      </c>
      <c r="S623" s="8">
        <f t="shared" si="80"/>
        <v>1988</v>
      </c>
      <c r="T623" s="8">
        <v>1988</v>
      </c>
      <c r="U623" s="8">
        <f t="shared" si="81"/>
        <v>34</v>
      </c>
      <c r="V623" s="7">
        <v>32234</v>
      </c>
      <c r="W623" t="s">
        <v>3044</v>
      </c>
      <c r="X623" s="2">
        <v>0.53100000000000003</v>
      </c>
      <c r="Y623" s="6">
        <f t="shared" si="78"/>
        <v>1.4174741731400658E-2</v>
      </c>
      <c r="AA623">
        <v>1652125</v>
      </c>
      <c r="AB623">
        <v>12517</v>
      </c>
      <c r="AD623" t="s">
        <v>4</v>
      </c>
      <c r="AE623">
        <v>10</v>
      </c>
      <c r="AF623">
        <v>2</v>
      </c>
      <c r="AH623" t="s">
        <v>3043</v>
      </c>
      <c r="AI623" t="s">
        <v>3042</v>
      </c>
      <c r="AK623" t="s">
        <v>3041</v>
      </c>
      <c r="AL623">
        <v>2</v>
      </c>
      <c r="AM623" s="5">
        <f t="shared" si="82"/>
        <v>5.8823529411764705E-2</v>
      </c>
      <c r="AN623" s="4">
        <f t="shared" si="79"/>
        <v>8.9092812437356614E-5</v>
      </c>
      <c r="AO623" s="3"/>
      <c r="AP623">
        <v>0</v>
      </c>
      <c r="AR623" t="s">
        <v>0</v>
      </c>
      <c r="AT623" s="2">
        <v>2.02</v>
      </c>
      <c r="AU623" s="1">
        <f t="shared" si="83"/>
        <v>0.99490470557116673</v>
      </c>
      <c r="AV623" s="1">
        <f t="shared" si="84"/>
        <v>0.71319172719190072</v>
      </c>
      <c r="AW623" s="1">
        <f t="shared" si="85"/>
        <v>0.4314787488126347</v>
      </c>
    </row>
    <row r="624" spans="1:49" x14ac:dyDescent="0.2">
      <c r="A624">
        <v>622</v>
      </c>
      <c r="B624" t="s">
        <v>3040</v>
      </c>
      <c r="C624" t="s">
        <v>3039</v>
      </c>
      <c r="F624" t="s">
        <v>3038</v>
      </c>
      <c r="G624" t="s">
        <v>15</v>
      </c>
      <c r="H624" t="s">
        <v>14</v>
      </c>
      <c r="I624" t="s">
        <v>3037</v>
      </c>
      <c r="J624">
        <v>60028419</v>
      </c>
      <c r="K624" t="s">
        <v>3036</v>
      </c>
      <c r="L624" t="s">
        <v>3035</v>
      </c>
      <c r="M624" t="s">
        <v>3034</v>
      </c>
      <c r="N624">
        <v>2</v>
      </c>
      <c r="O624" t="s">
        <v>3033</v>
      </c>
      <c r="P624" t="s">
        <v>3032</v>
      </c>
      <c r="Q624" t="s">
        <v>3031</v>
      </c>
      <c r="R624" s="7">
        <v>32143</v>
      </c>
      <c r="S624" s="8">
        <f t="shared" si="80"/>
        <v>1988</v>
      </c>
      <c r="T624" s="8">
        <v>1988</v>
      </c>
      <c r="U624" s="8">
        <f t="shared" si="81"/>
        <v>34</v>
      </c>
      <c r="V624" s="7" t="s">
        <v>2713</v>
      </c>
      <c r="W624" s="11" t="s">
        <v>1890</v>
      </c>
      <c r="X624" s="2">
        <v>2.383</v>
      </c>
      <c r="Y624" s="6">
        <f t="shared" si="78"/>
        <v>6.3612824003630442E-2</v>
      </c>
      <c r="AA624" t="s">
        <v>1889</v>
      </c>
      <c r="AB624">
        <v>101151</v>
      </c>
      <c r="AD624" t="s">
        <v>4</v>
      </c>
      <c r="AE624">
        <v>135</v>
      </c>
      <c r="AF624">
        <v>2</v>
      </c>
      <c r="AH624" t="s">
        <v>3030</v>
      </c>
      <c r="AI624" t="s">
        <v>3029</v>
      </c>
      <c r="AK624" t="s">
        <v>3028</v>
      </c>
      <c r="AL624">
        <v>4</v>
      </c>
      <c r="AM624" s="5">
        <f t="shared" si="82"/>
        <v>0.11764705882352941</v>
      </c>
      <c r="AN624" s="4">
        <f t="shared" si="79"/>
        <v>1.7818562487471323E-4</v>
      </c>
      <c r="AO624" s="3"/>
      <c r="AP624">
        <v>0</v>
      </c>
      <c r="AR624" t="s">
        <v>0</v>
      </c>
      <c r="AT624" s="2" t="s">
        <v>19</v>
      </c>
      <c r="AU624" s="1">
        <f t="shared" si="83"/>
        <v>4.4582432490003727</v>
      </c>
      <c r="AV624" s="1">
        <f t="shared" si="84"/>
        <v>3.189550481425258</v>
      </c>
      <c r="AW624" s="1">
        <f t="shared" si="85"/>
        <v>1.920857713850143</v>
      </c>
    </row>
    <row r="625" spans="1:49" x14ac:dyDescent="0.2">
      <c r="A625">
        <v>623</v>
      </c>
      <c r="B625" t="s">
        <v>3027</v>
      </c>
      <c r="C625" t="s">
        <v>3026</v>
      </c>
      <c r="F625" t="s">
        <v>3025</v>
      </c>
      <c r="G625" t="s">
        <v>15</v>
      </c>
      <c r="H625" t="s">
        <v>14</v>
      </c>
      <c r="I625" t="s">
        <v>3024</v>
      </c>
      <c r="J625">
        <v>60005837</v>
      </c>
      <c r="K625" t="s">
        <v>2905</v>
      </c>
      <c r="L625" t="s">
        <v>2904</v>
      </c>
      <c r="M625" t="s">
        <v>31</v>
      </c>
      <c r="N625">
        <v>1</v>
      </c>
      <c r="O625" t="s">
        <v>3023</v>
      </c>
      <c r="P625">
        <v>57206406892</v>
      </c>
      <c r="Q625">
        <v>60005837</v>
      </c>
      <c r="R625" s="7">
        <v>32143</v>
      </c>
      <c r="S625" s="8">
        <f t="shared" si="80"/>
        <v>1988</v>
      </c>
      <c r="T625" s="8">
        <v>1988</v>
      </c>
      <c r="U625" s="8">
        <f t="shared" si="81"/>
        <v>34</v>
      </c>
      <c r="V625" s="7">
        <v>32234</v>
      </c>
      <c r="W625" t="s">
        <v>69</v>
      </c>
      <c r="X625" s="2">
        <v>1.6519999999999999</v>
      </c>
      <c r="Y625" s="6">
        <f t="shared" si="78"/>
        <v>4.409919649769093E-2</v>
      </c>
      <c r="AA625" t="s">
        <v>68</v>
      </c>
      <c r="AB625">
        <v>17337</v>
      </c>
      <c r="AC625">
        <v>15582221</v>
      </c>
      <c r="AD625" t="s">
        <v>4</v>
      </c>
      <c r="AE625">
        <v>36</v>
      </c>
      <c r="AF625">
        <v>4</v>
      </c>
      <c r="AH625" t="s">
        <v>3022</v>
      </c>
      <c r="AI625" t="s">
        <v>3021</v>
      </c>
      <c r="AK625" t="s">
        <v>3020</v>
      </c>
      <c r="AL625">
        <v>31</v>
      </c>
      <c r="AM625" s="5">
        <f t="shared" si="82"/>
        <v>0.91176470588235292</v>
      </c>
      <c r="AN625" s="4">
        <f t="shared" si="79"/>
        <v>1.3809385927790274E-3</v>
      </c>
      <c r="AO625" s="3"/>
      <c r="AP625">
        <v>0</v>
      </c>
      <c r="AQ625" t="s">
        <v>1991</v>
      </c>
      <c r="AR625" t="s">
        <v>2898</v>
      </c>
      <c r="AS625" t="s">
        <v>1989</v>
      </c>
      <c r="AT625" s="2" t="s">
        <v>19</v>
      </c>
      <c r="AU625" s="1">
        <f t="shared" si="83"/>
        <v>3.128371912621736</v>
      </c>
      <c r="AV625" s="1">
        <f t="shared" si="84"/>
        <v>2.2740067545234979</v>
      </c>
      <c r="AW625" s="1">
        <f t="shared" si="85"/>
        <v>1.4196415964252596</v>
      </c>
    </row>
    <row r="626" spans="1:49" x14ac:dyDescent="0.2">
      <c r="A626">
        <v>624</v>
      </c>
      <c r="B626" t="s">
        <v>3019</v>
      </c>
      <c r="C626" t="s">
        <v>3018</v>
      </c>
      <c r="F626" t="s">
        <v>3017</v>
      </c>
      <c r="G626" t="s">
        <v>15</v>
      </c>
      <c r="H626" t="s">
        <v>14</v>
      </c>
      <c r="I626" t="s">
        <v>3016</v>
      </c>
      <c r="J626" t="s">
        <v>2862</v>
      </c>
      <c r="K626" t="s">
        <v>2861</v>
      </c>
      <c r="L626" t="s">
        <v>2860</v>
      </c>
      <c r="M626" t="s">
        <v>2859</v>
      </c>
      <c r="N626">
        <v>3</v>
      </c>
      <c r="O626" t="s">
        <v>3015</v>
      </c>
      <c r="P626" t="s">
        <v>3014</v>
      </c>
      <c r="Q626" t="s">
        <v>3013</v>
      </c>
      <c r="R626" s="7">
        <v>32143</v>
      </c>
      <c r="S626" s="8">
        <f t="shared" si="80"/>
        <v>1988</v>
      </c>
      <c r="T626" s="8">
        <v>1988</v>
      </c>
      <c r="U626" s="8">
        <f t="shared" si="81"/>
        <v>34</v>
      </c>
      <c r="V626" s="7">
        <v>32234</v>
      </c>
      <c r="W626" t="s">
        <v>69</v>
      </c>
      <c r="X626" s="2">
        <v>1.6519999999999999</v>
      </c>
      <c r="Y626" s="6">
        <f t="shared" si="78"/>
        <v>4.409919649769093E-2</v>
      </c>
      <c r="AA626" t="s">
        <v>68</v>
      </c>
      <c r="AB626">
        <v>17337</v>
      </c>
      <c r="AC626">
        <v>15582221</v>
      </c>
      <c r="AD626" t="s">
        <v>4</v>
      </c>
      <c r="AE626">
        <v>36</v>
      </c>
      <c r="AF626">
        <v>4</v>
      </c>
      <c r="AH626" t="s">
        <v>3012</v>
      </c>
      <c r="AI626" t="s">
        <v>3011</v>
      </c>
      <c r="AK626" t="s">
        <v>3010</v>
      </c>
      <c r="AL626">
        <v>4</v>
      </c>
      <c r="AM626" s="5">
        <f t="shared" si="82"/>
        <v>0.11764705882352941</v>
      </c>
      <c r="AN626" s="4">
        <f t="shared" si="79"/>
        <v>1.7818562487471323E-4</v>
      </c>
      <c r="AO626" s="3"/>
      <c r="AP626">
        <v>0</v>
      </c>
      <c r="AR626" t="s">
        <v>0</v>
      </c>
      <c r="AT626" s="2" t="s">
        <v>19</v>
      </c>
      <c r="AU626" s="1">
        <f t="shared" si="83"/>
        <v>3.0922893235846063</v>
      </c>
      <c r="AV626" s="1">
        <f t="shared" si="84"/>
        <v>2.213869106128282</v>
      </c>
      <c r="AW626" s="1">
        <f t="shared" si="85"/>
        <v>1.3354488886719578</v>
      </c>
    </row>
    <row r="627" spans="1:49" x14ac:dyDescent="0.2">
      <c r="A627">
        <v>625</v>
      </c>
      <c r="B627" t="s">
        <v>3009</v>
      </c>
      <c r="C627" t="s">
        <v>3008</v>
      </c>
      <c r="F627" t="s">
        <v>3007</v>
      </c>
      <c r="G627" t="s">
        <v>15</v>
      </c>
      <c r="H627" t="s">
        <v>14</v>
      </c>
      <c r="I627" t="s">
        <v>3006</v>
      </c>
      <c r="J627">
        <v>60022148</v>
      </c>
      <c r="K627" t="s">
        <v>3005</v>
      </c>
      <c r="L627" t="s">
        <v>2095</v>
      </c>
      <c r="M627" t="s">
        <v>1011</v>
      </c>
      <c r="N627">
        <v>1</v>
      </c>
      <c r="O627" t="s">
        <v>3004</v>
      </c>
      <c r="P627">
        <v>7003514865</v>
      </c>
      <c r="Q627">
        <v>60022148</v>
      </c>
      <c r="R627" s="7">
        <v>32143</v>
      </c>
      <c r="S627" s="8">
        <f t="shared" si="80"/>
        <v>1988</v>
      </c>
      <c r="T627" s="8">
        <v>1988</v>
      </c>
      <c r="U627" s="8">
        <f t="shared" si="81"/>
        <v>34</v>
      </c>
      <c r="V627" s="7">
        <v>32234</v>
      </c>
      <c r="W627" t="s">
        <v>3003</v>
      </c>
      <c r="X627" s="2">
        <v>0.752</v>
      </c>
      <c r="Y627" s="6">
        <f t="shared" si="78"/>
        <v>2.0074210512266089E-2</v>
      </c>
      <c r="AA627">
        <v>3649059</v>
      </c>
      <c r="AB627">
        <v>17277</v>
      </c>
      <c r="AC627">
        <v>15581691</v>
      </c>
      <c r="AD627" t="s">
        <v>4</v>
      </c>
      <c r="AE627">
        <v>13</v>
      </c>
      <c r="AF627">
        <v>2</v>
      </c>
      <c r="AH627" t="s">
        <v>3002</v>
      </c>
      <c r="AI627" t="s">
        <v>3001</v>
      </c>
      <c r="AK627" t="s">
        <v>3000</v>
      </c>
      <c r="AL627">
        <v>2</v>
      </c>
      <c r="AM627" s="5">
        <f t="shared" si="82"/>
        <v>5.8823529411764705E-2</v>
      </c>
      <c r="AN627" s="4">
        <f t="shared" si="79"/>
        <v>8.9092812437356614E-5</v>
      </c>
      <c r="AO627" s="3"/>
      <c r="AP627">
        <v>0</v>
      </c>
      <c r="AQ627" t="s">
        <v>2999</v>
      </c>
      <c r="AR627" t="s">
        <v>2998</v>
      </c>
      <c r="AS627" t="s">
        <v>2997</v>
      </c>
      <c r="AT627" s="2">
        <v>3.5539999999999998</v>
      </c>
      <c r="AU627" s="1">
        <f t="shared" si="83"/>
        <v>1.407867520231747</v>
      </c>
      <c r="AV627" s="1">
        <f t="shared" si="84"/>
        <v>1.0081651662351723</v>
      </c>
      <c r="AW627" s="1">
        <f t="shared" si="85"/>
        <v>0.60846281223859766</v>
      </c>
    </row>
    <row r="628" spans="1:49" x14ac:dyDescent="0.2">
      <c r="A628">
        <v>626</v>
      </c>
      <c r="B628" t="s">
        <v>2996</v>
      </c>
      <c r="C628" t="s">
        <v>2995</v>
      </c>
      <c r="F628" t="s">
        <v>2994</v>
      </c>
      <c r="G628" t="s">
        <v>15</v>
      </c>
      <c r="H628" t="s">
        <v>14</v>
      </c>
      <c r="I628" t="s">
        <v>2993</v>
      </c>
      <c r="J628">
        <v>60068815</v>
      </c>
      <c r="K628" t="s">
        <v>1065</v>
      </c>
      <c r="L628" t="s">
        <v>1064</v>
      </c>
      <c r="M628" t="s">
        <v>1063</v>
      </c>
      <c r="N628">
        <v>1</v>
      </c>
      <c r="O628" t="s">
        <v>2992</v>
      </c>
      <c r="P628">
        <v>7006225695</v>
      </c>
      <c r="Q628">
        <v>60068815</v>
      </c>
      <c r="R628" s="7">
        <v>32143</v>
      </c>
      <c r="S628" s="8">
        <f t="shared" si="80"/>
        <v>1988</v>
      </c>
      <c r="T628" s="8">
        <v>1988</v>
      </c>
      <c r="U628" s="8">
        <f t="shared" si="81"/>
        <v>34</v>
      </c>
      <c r="V628" s="7" t="s">
        <v>2713</v>
      </c>
      <c r="W628" s="11" t="s">
        <v>1890</v>
      </c>
      <c r="X628" s="2">
        <v>2.383</v>
      </c>
      <c r="Y628" s="6">
        <f t="shared" si="78"/>
        <v>6.3612824003630442E-2</v>
      </c>
      <c r="AA628" t="s">
        <v>1889</v>
      </c>
      <c r="AB628">
        <v>101151</v>
      </c>
      <c r="AD628" t="s">
        <v>4</v>
      </c>
      <c r="AE628">
        <v>135</v>
      </c>
      <c r="AF628">
        <v>2</v>
      </c>
      <c r="AH628" t="s">
        <v>2991</v>
      </c>
      <c r="AI628" t="s">
        <v>2990</v>
      </c>
      <c r="AK628" t="s">
        <v>2989</v>
      </c>
      <c r="AL628">
        <v>1</v>
      </c>
      <c r="AM628" s="5">
        <f t="shared" si="82"/>
        <v>2.9411764705882353E-2</v>
      </c>
      <c r="AN628" s="4">
        <f t="shared" si="79"/>
        <v>4.4546406218678307E-5</v>
      </c>
      <c r="AO628" s="3"/>
      <c r="AP628">
        <v>0</v>
      </c>
      <c r="AR628" t="s">
        <v>0</v>
      </c>
      <c r="AT628" s="2" t="s">
        <v>19</v>
      </c>
      <c r="AU628" s="1">
        <f t="shared" si="83"/>
        <v>4.4542340724406912</v>
      </c>
      <c r="AV628" s="1">
        <f t="shared" si="84"/>
        <v>3.1828685204924558</v>
      </c>
      <c r="AW628" s="1">
        <f t="shared" si="85"/>
        <v>1.9115029685442209</v>
      </c>
    </row>
    <row r="629" spans="1:49" x14ac:dyDescent="0.2">
      <c r="A629">
        <v>627</v>
      </c>
      <c r="B629" t="s">
        <v>2988</v>
      </c>
      <c r="C629" t="s">
        <v>2987</v>
      </c>
      <c r="F629" t="s">
        <v>2986</v>
      </c>
      <c r="G629" t="s">
        <v>15</v>
      </c>
      <c r="H629" t="s">
        <v>14</v>
      </c>
      <c r="I629" t="s">
        <v>2815</v>
      </c>
      <c r="J629" t="s">
        <v>2814</v>
      </c>
      <c r="K629" t="s">
        <v>2813</v>
      </c>
      <c r="L629" t="s">
        <v>2812</v>
      </c>
      <c r="M629" t="s">
        <v>9</v>
      </c>
      <c r="N629">
        <v>2</v>
      </c>
      <c r="O629" t="s">
        <v>2811</v>
      </c>
      <c r="P629" t="s">
        <v>2810</v>
      </c>
      <c r="Q629" t="s">
        <v>2809</v>
      </c>
      <c r="R629" s="7">
        <v>32143</v>
      </c>
      <c r="S629" s="8">
        <f t="shared" si="80"/>
        <v>1988</v>
      </c>
      <c r="T629" s="8">
        <v>1988</v>
      </c>
      <c r="U629" s="8">
        <f t="shared" si="81"/>
        <v>34</v>
      </c>
      <c r="V629" s="7">
        <v>32234</v>
      </c>
      <c r="W629" t="s">
        <v>69</v>
      </c>
      <c r="X629" s="2">
        <v>1.6519999999999999</v>
      </c>
      <c r="Y629" s="6">
        <f t="shared" si="78"/>
        <v>4.409919649769093E-2</v>
      </c>
      <c r="AA629" t="s">
        <v>68</v>
      </c>
      <c r="AB629">
        <v>17337</v>
      </c>
      <c r="AC629">
        <v>15582221</v>
      </c>
      <c r="AD629" t="s">
        <v>4</v>
      </c>
      <c r="AE629">
        <v>36</v>
      </c>
      <c r="AF629">
        <v>4</v>
      </c>
      <c r="AH629" t="s">
        <v>2985</v>
      </c>
      <c r="AI629" t="s">
        <v>2984</v>
      </c>
      <c r="AK629" t="s">
        <v>2983</v>
      </c>
      <c r="AL629">
        <v>16</v>
      </c>
      <c r="AM629" s="5">
        <f t="shared" si="82"/>
        <v>0.47058823529411764</v>
      </c>
      <c r="AN629" s="4">
        <f t="shared" si="79"/>
        <v>7.1274249949885291E-4</v>
      </c>
      <c r="AO629" s="3"/>
      <c r="AP629">
        <v>0</v>
      </c>
      <c r="AR629" t="s">
        <v>2805</v>
      </c>
      <c r="AT629" s="2" t="s">
        <v>19</v>
      </c>
      <c r="AU629" s="1">
        <f t="shared" si="83"/>
        <v>3.1083260298233308</v>
      </c>
      <c r="AV629" s="1">
        <f t="shared" si="84"/>
        <v>2.2405969498594893</v>
      </c>
      <c r="AW629" s="1">
        <f t="shared" si="85"/>
        <v>1.3728678698956476</v>
      </c>
    </row>
    <row r="630" spans="1:49" x14ac:dyDescent="0.2">
      <c r="A630">
        <v>628</v>
      </c>
      <c r="B630" t="s">
        <v>2982</v>
      </c>
      <c r="C630" t="s">
        <v>2981</v>
      </c>
      <c r="F630" t="s">
        <v>2980</v>
      </c>
      <c r="G630" t="s">
        <v>15</v>
      </c>
      <c r="H630" t="s">
        <v>14</v>
      </c>
      <c r="I630" t="s">
        <v>2979</v>
      </c>
      <c r="J630" t="s">
        <v>2974</v>
      </c>
      <c r="K630" t="s">
        <v>2978</v>
      </c>
      <c r="L630" t="s">
        <v>2977</v>
      </c>
      <c r="M630" t="s">
        <v>9</v>
      </c>
      <c r="N630">
        <v>2</v>
      </c>
      <c r="O630" t="s">
        <v>2976</v>
      </c>
      <c r="P630" t="s">
        <v>2975</v>
      </c>
      <c r="Q630" t="s">
        <v>2974</v>
      </c>
      <c r="R630" s="7">
        <v>32143</v>
      </c>
      <c r="S630" s="8">
        <f t="shared" si="80"/>
        <v>1988</v>
      </c>
      <c r="T630" s="8">
        <v>1988</v>
      </c>
      <c r="U630" s="8">
        <f t="shared" si="81"/>
        <v>34</v>
      </c>
      <c r="V630" s="7">
        <v>32234</v>
      </c>
      <c r="W630" t="s">
        <v>69</v>
      </c>
      <c r="X630" s="2">
        <v>1.6519999999999999</v>
      </c>
      <c r="Y630" s="6">
        <f t="shared" si="78"/>
        <v>4.409919649769093E-2</v>
      </c>
      <c r="AA630" t="s">
        <v>68</v>
      </c>
      <c r="AB630">
        <v>17337</v>
      </c>
      <c r="AC630">
        <v>15582221</v>
      </c>
      <c r="AD630" t="s">
        <v>4</v>
      </c>
      <c r="AE630">
        <v>36</v>
      </c>
      <c r="AF630">
        <v>4</v>
      </c>
      <c r="AH630" t="s">
        <v>2973</v>
      </c>
      <c r="AI630" t="s">
        <v>2972</v>
      </c>
      <c r="AK630" t="s">
        <v>2971</v>
      </c>
      <c r="AL630">
        <v>39</v>
      </c>
      <c r="AM630" s="5">
        <f t="shared" si="82"/>
        <v>1.1470588235294117</v>
      </c>
      <c r="AN630" s="4">
        <f t="shared" si="79"/>
        <v>1.7373098425284539E-3</v>
      </c>
      <c r="AO630" s="3"/>
      <c r="AP630">
        <v>0</v>
      </c>
      <c r="AR630" t="s">
        <v>0</v>
      </c>
      <c r="AT630" s="2" t="s">
        <v>19</v>
      </c>
      <c r="AU630" s="1">
        <f t="shared" si="83"/>
        <v>3.1390630501142187</v>
      </c>
      <c r="AV630" s="1">
        <f t="shared" si="84"/>
        <v>2.2918253170109693</v>
      </c>
      <c r="AW630" s="1">
        <f t="shared" si="85"/>
        <v>1.4445875839077196</v>
      </c>
    </row>
    <row r="631" spans="1:49" x14ac:dyDescent="0.2">
      <c r="A631">
        <v>629</v>
      </c>
      <c r="B631" t="s">
        <v>2970</v>
      </c>
      <c r="C631" t="s">
        <v>2969</v>
      </c>
      <c r="F631" t="s">
        <v>2968</v>
      </c>
      <c r="G631" t="s">
        <v>15</v>
      </c>
      <c r="H631" t="s">
        <v>14</v>
      </c>
      <c r="I631" t="s">
        <v>2967</v>
      </c>
      <c r="J631" t="s">
        <v>2966</v>
      </c>
      <c r="K631" t="s">
        <v>2965</v>
      </c>
      <c r="L631" t="s">
        <v>2964</v>
      </c>
      <c r="M631" t="s">
        <v>9</v>
      </c>
      <c r="N631">
        <v>2</v>
      </c>
      <c r="O631" t="s">
        <v>2963</v>
      </c>
      <c r="P631" t="s">
        <v>2962</v>
      </c>
      <c r="Q631" t="s">
        <v>2961</v>
      </c>
      <c r="R631" s="7">
        <v>32143</v>
      </c>
      <c r="S631" s="8">
        <f t="shared" si="80"/>
        <v>1988</v>
      </c>
      <c r="T631" s="8">
        <v>1988</v>
      </c>
      <c r="U631" s="8">
        <f t="shared" si="81"/>
        <v>34</v>
      </c>
      <c r="V631" s="7">
        <v>32234</v>
      </c>
      <c r="W631" t="s">
        <v>69</v>
      </c>
      <c r="X631" s="2">
        <v>1.6519999999999999</v>
      </c>
      <c r="Y631" s="6">
        <f t="shared" si="78"/>
        <v>4.409919649769093E-2</v>
      </c>
      <c r="AA631" t="s">
        <v>68</v>
      </c>
      <c r="AB631">
        <v>17337</v>
      </c>
      <c r="AC631">
        <v>15582221</v>
      </c>
      <c r="AD631" t="s">
        <v>4</v>
      </c>
      <c r="AE631">
        <v>36</v>
      </c>
      <c r="AF631">
        <v>4</v>
      </c>
      <c r="AH631" t="s">
        <v>2960</v>
      </c>
      <c r="AI631" t="s">
        <v>2959</v>
      </c>
      <c r="AK631" t="s">
        <v>2958</v>
      </c>
      <c r="AL631">
        <v>378</v>
      </c>
      <c r="AM631" s="5">
        <f t="shared" si="82"/>
        <v>11.117647058823529</v>
      </c>
      <c r="AN631" s="4">
        <f t="shared" si="79"/>
        <v>1.6838541550660401E-2</v>
      </c>
      <c r="AO631" s="3"/>
      <c r="AP631">
        <v>0</v>
      </c>
      <c r="AR631" t="s">
        <v>0</v>
      </c>
      <c r="AT631" s="2" t="s">
        <v>19</v>
      </c>
      <c r="AU631" s="1">
        <f t="shared" si="83"/>
        <v>3.592100001358177</v>
      </c>
      <c r="AV631" s="1">
        <f t="shared" si="84"/>
        <v>3.0468869024175662</v>
      </c>
      <c r="AW631" s="1">
        <f t="shared" si="85"/>
        <v>2.5016738034769559</v>
      </c>
    </row>
    <row r="632" spans="1:49" x14ac:dyDescent="0.2">
      <c r="A632">
        <v>630</v>
      </c>
      <c r="B632" t="s">
        <v>2957</v>
      </c>
      <c r="C632" t="s">
        <v>2956</v>
      </c>
      <c r="F632" t="s">
        <v>2955</v>
      </c>
      <c r="G632" t="s">
        <v>15</v>
      </c>
      <c r="H632" t="s">
        <v>14</v>
      </c>
      <c r="I632" t="s">
        <v>2954</v>
      </c>
      <c r="J632" t="s">
        <v>2949</v>
      </c>
      <c r="K632" t="s">
        <v>2953</v>
      </c>
      <c r="L632" t="s">
        <v>2952</v>
      </c>
      <c r="M632" t="s">
        <v>9</v>
      </c>
      <c r="N632">
        <v>2</v>
      </c>
      <c r="O632" t="s">
        <v>2951</v>
      </c>
      <c r="P632" t="s">
        <v>2950</v>
      </c>
      <c r="Q632" t="s">
        <v>2949</v>
      </c>
      <c r="R632" s="7">
        <v>32143</v>
      </c>
      <c r="S632" s="8">
        <f t="shared" si="80"/>
        <v>1988</v>
      </c>
      <c r="T632" s="8">
        <v>1988</v>
      </c>
      <c r="U632" s="8">
        <f t="shared" si="81"/>
        <v>34</v>
      </c>
      <c r="V632" s="7">
        <v>32234</v>
      </c>
      <c r="W632" t="s">
        <v>69</v>
      </c>
      <c r="X632" s="2">
        <v>1.6519999999999999</v>
      </c>
      <c r="Y632" s="6">
        <f t="shared" si="78"/>
        <v>4.409919649769093E-2</v>
      </c>
      <c r="AA632" t="s">
        <v>68</v>
      </c>
      <c r="AB632">
        <v>17337</v>
      </c>
      <c r="AC632">
        <v>15582221</v>
      </c>
      <c r="AD632" t="s">
        <v>4</v>
      </c>
      <c r="AE632">
        <v>36</v>
      </c>
      <c r="AF632">
        <v>4</v>
      </c>
      <c r="AH632" t="s">
        <v>2948</v>
      </c>
      <c r="AI632" t="s">
        <v>2947</v>
      </c>
      <c r="AK632" t="s">
        <v>2946</v>
      </c>
      <c r="AL632">
        <v>4</v>
      </c>
      <c r="AM632" s="5">
        <f t="shared" si="82"/>
        <v>0.11764705882352941</v>
      </c>
      <c r="AN632" s="4">
        <f t="shared" si="79"/>
        <v>1.7818562487471323E-4</v>
      </c>
      <c r="AO632" s="3"/>
      <c r="AP632">
        <v>0</v>
      </c>
      <c r="AQ632" t="s">
        <v>577</v>
      </c>
      <c r="AR632" t="s">
        <v>2945</v>
      </c>
      <c r="AS632" t="s">
        <v>575</v>
      </c>
      <c r="AT632" s="2" t="s">
        <v>19</v>
      </c>
      <c r="AU632" s="1">
        <f t="shared" si="83"/>
        <v>3.0922893235846063</v>
      </c>
      <c r="AV632" s="1">
        <f t="shared" si="84"/>
        <v>2.213869106128282</v>
      </c>
      <c r="AW632" s="1">
        <f t="shared" si="85"/>
        <v>1.3354488886719578</v>
      </c>
    </row>
    <row r="633" spans="1:49" x14ac:dyDescent="0.2">
      <c r="A633">
        <v>631</v>
      </c>
      <c r="B633" t="s">
        <v>2944</v>
      </c>
      <c r="C633" t="s">
        <v>2943</v>
      </c>
      <c r="F633" t="s">
        <v>2942</v>
      </c>
      <c r="G633" t="s">
        <v>15</v>
      </c>
      <c r="H633" t="s">
        <v>14</v>
      </c>
      <c r="I633" t="s">
        <v>2941</v>
      </c>
      <c r="J633">
        <v>60003500</v>
      </c>
      <c r="K633" t="s">
        <v>1514</v>
      </c>
      <c r="L633" t="s">
        <v>1513</v>
      </c>
      <c r="M633" t="s">
        <v>31</v>
      </c>
      <c r="N633">
        <v>2</v>
      </c>
      <c r="O633" t="s">
        <v>2940</v>
      </c>
      <c r="P633" t="s">
        <v>2939</v>
      </c>
      <c r="Q633" t="s">
        <v>2938</v>
      </c>
      <c r="R633" s="7">
        <v>32143</v>
      </c>
      <c r="S633" s="8">
        <f t="shared" si="80"/>
        <v>1988</v>
      </c>
      <c r="T633" s="8">
        <v>1988</v>
      </c>
      <c r="U633" s="8">
        <f t="shared" si="81"/>
        <v>34</v>
      </c>
      <c r="V633" s="7">
        <v>32234</v>
      </c>
      <c r="W633" t="s">
        <v>69</v>
      </c>
      <c r="X633" s="2">
        <v>1.6519999999999999</v>
      </c>
      <c r="Y633" s="6">
        <f t="shared" si="78"/>
        <v>4.409919649769093E-2</v>
      </c>
      <c r="AA633" t="s">
        <v>68</v>
      </c>
      <c r="AB633">
        <v>17337</v>
      </c>
      <c r="AC633">
        <v>15582221</v>
      </c>
      <c r="AD633" t="s">
        <v>4</v>
      </c>
      <c r="AE633">
        <v>36</v>
      </c>
      <c r="AF633">
        <v>4</v>
      </c>
      <c r="AH633" t="s">
        <v>2937</v>
      </c>
      <c r="AI633" t="s">
        <v>2936</v>
      </c>
      <c r="AK633" t="s">
        <v>2935</v>
      </c>
      <c r="AL633">
        <v>11</v>
      </c>
      <c r="AM633" s="5">
        <f t="shared" si="82"/>
        <v>0.3235294117647059</v>
      </c>
      <c r="AN633" s="4">
        <f t="shared" si="79"/>
        <v>4.9001046840546137E-4</v>
      </c>
      <c r="AO633" s="3"/>
      <c r="AP633">
        <v>0</v>
      </c>
      <c r="AR633" t="s">
        <v>2934</v>
      </c>
      <c r="AT633" s="2" t="s">
        <v>19</v>
      </c>
      <c r="AU633" s="1">
        <f t="shared" si="83"/>
        <v>3.1016440688905291</v>
      </c>
      <c r="AV633" s="1">
        <f t="shared" si="84"/>
        <v>2.2294603483048197</v>
      </c>
      <c r="AW633" s="1">
        <f t="shared" si="85"/>
        <v>1.3572766277191102</v>
      </c>
    </row>
    <row r="634" spans="1:49" x14ac:dyDescent="0.2">
      <c r="A634">
        <v>632</v>
      </c>
      <c r="B634" t="s">
        <v>2933</v>
      </c>
      <c r="C634" t="s">
        <v>2932</v>
      </c>
      <c r="F634" t="s">
        <v>2931</v>
      </c>
      <c r="G634" t="s">
        <v>15</v>
      </c>
      <c r="H634" t="s">
        <v>14</v>
      </c>
      <c r="I634" t="s">
        <v>2930</v>
      </c>
      <c r="J634">
        <v>100669898</v>
      </c>
      <c r="K634" t="s">
        <v>2929</v>
      </c>
      <c r="L634" t="s">
        <v>2928</v>
      </c>
      <c r="M634" t="s">
        <v>2927</v>
      </c>
      <c r="N634">
        <v>2</v>
      </c>
      <c r="O634" t="s">
        <v>2926</v>
      </c>
      <c r="P634" t="s">
        <v>2925</v>
      </c>
      <c r="Q634" t="s">
        <v>2924</v>
      </c>
      <c r="R634" s="7">
        <v>32143</v>
      </c>
      <c r="S634" s="8">
        <f t="shared" si="80"/>
        <v>1988</v>
      </c>
      <c r="T634" s="8">
        <v>1988</v>
      </c>
      <c r="U634" s="8">
        <f t="shared" si="81"/>
        <v>34</v>
      </c>
      <c r="V634" s="7" t="s">
        <v>2713</v>
      </c>
      <c r="W634" s="11" t="s">
        <v>1890</v>
      </c>
      <c r="X634" s="2">
        <v>2.383</v>
      </c>
      <c r="Y634" s="6">
        <f t="shared" si="78"/>
        <v>6.3612824003630442E-2</v>
      </c>
      <c r="AA634" t="s">
        <v>1889</v>
      </c>
      <c r="AB634">
        <v>101151</v>
      </c>
      <c r="AD634" t="s">
        <v>4</v>
      </c>
      <c r="AE634">
        <v>135</v>
      </c>
      <c r="AF634">
        <v>2</v>
      </c>
      <c r="AH634" t="s">
        <v>2923</v>
      </c>
      <c r="AI634" t="s">
        <v>2922</v>
      </c>
      <c r="AK634" t="s">
        <v>2921</v>
      </c>
      <c r="AL634">
        <v>1</v>
      </c>
      <c r="AM634" s="5">
        <f t="shared" si="82"/>
        <v>2.9411764705882353E-2</v>
      </c>
      <c r="AN634" s="4">
        <f t="shared" si="79"/>
        <v>4.4546406218678307E-5</v>
      </c>
      <c r="AO634" s="3"/>
      <c r="AP634">
        <v>0</v>
      </c>
      <c r="AR634" t="s">
        <v>0</v>
      </c>
      <c r="AT634" s="2" t="s">
        <v>19</v>
      </c>
      <c r="AU634" s="1">
        <f t="shared" si="83"/>
        <v>4.4542340724406912</v>
      </c>
      <c r="AV634" s="1">
        <f t="shared" si="84"/>
        <v>3.1828685204924558</v>
      </c>
      <c r="AW634" s="1">
        <f t="shared" si="85"/>
        <v>1.9115029685442209</v>
      </c>
    </row>
    <row r="635" spans="1:49" x14ac:dyDescent="0.2">
      <c r="A635">
        <v>633</v>
      </c>
      <c r="B635" t="s">
        <v>2920</v>
      </c>
      <c r="C635" t="s">
        <v>2919</v>
      </c>
      <c r="F635" t="s">
        <v>2918</v>
      </c>
      <c r="G635" t="s">
        <v>15</v>
      </c>
      <c r="H635" t="s">
        <v>14</v>
      </c>
      <c r="I635" t="s">
        <v>2917</v>
      </c>
      <c r="J635">
        <v>60031101</v>
      </c>
      <c r="K635" t="s">
        <v>2916</v>
      </c>
      <c r="L635" t="s">
        <v>375</v>
      </c>
      <c r="M635" t="s">
        <v>1011</v>
      </c>
      <c r="N635">
        <v>3</v>
      </c>
      <c r="O635" t="s">
        <v>2915</v>
      </c>
      <c r="P635" t="s">
        <v>2914</v>
      </c>
      <c r="Q635" t="s">
        <v>2913</v>
      </c>
      <c r="R635" s="7">
        <v>32143</v>
      </c>
      <c r="S635" s="8">
        <f t="shared" si="80"/>
        <v>1988</v>
      </c>
      <c r="T635" s="8">
        <v>1988</v>
      </c>
      <c r="U635" s="8">
        <f t="shared" si="81"/>
        <v>34</v>
      </c>
      <c r="V635" s="7" t="s">
        <v>2713</v>
      </c>
      <c r="W635" s="11" t="s">
        <v>1890</v>
      </c>
      <c r="X635" s="2">
        <v>2.383</v>
      </c>
      <c r="Y635" s="6">
        <f t="shared" si="78"/>
        <v>6.3612824003630442E-2</v>
      </c>
      <c r="AA635" t="s">
        <v>1889</v>
      </c>
      <c r="AB635">
        <v>101151</v>
      </c>
      <c r="AD635" t="s">
        <v>4</v>
      </c>
      <c r="AE635">
        <v>135</v>
      </c>
      <c r="AF635">
        <v>2</v>
      </c>
      <c r="AH635" t="s">
        <v>2912</v>
      </c>
      <c r="AI635" t="s">
        <v>2911</v>
      </c>
      <c r="AK635" t="s">
        <v>2910</v>
      </c>
      <c r="AL635">
        <v>9</v>
      </c>
      <c r="AM635" s="5">
        <f t="shared" si="82"/>
        <v>0.26470588235294118</v>
      </c>
      <c r="AN635" s="4">
        <f t="shared" si="79"/>
        <v>4.009176559681048E-4</v>
      </c>
      <c r="AO635" s="3"/>
      <c r="AP635">
        <v>0</v>
      </c>
      <c r="AR635" t="s">
        <v>0</v>
      </c>
      <c r="AT635" s="2" t="s">
        <v>19</v>
      </c>
      <c r="AU635" s="1">
        <f t="shared" si="83"/>
        <v>4.464925209933174</v>
      </c>
      <c r="AV635" s="1">
        <f t="shared" si="84"/>
        <v>3.2006870829799272</v>
      </c>
      <c r="AW635" s="1">
        <f t="shared" si="85"/>
        <v>1.9364489560266807</v>
      </c>
    </row>
    <row r="636" spans="1:49" x14ac:dyDescent="0.2">
      <c r="A636">
        <v>634</v>
      </c>
      <c r="B636" t="s">
        <v>2909</v>
      </c>
      <c r="C636" t="s">
        <v>2908</v>
      </c>
      <c r="F636" t="s">
        <v>2907</v>
      </c>
      <c r="G636" t="s">
        <v>15</v>
      </c>
      <c r="H636" t="s">
        <v>14</v>
      </c>
      <c r="I636" t="s">
        <v>2906</v>
      </c>
      <c r="J636">
        <v>60005837</v>
      </c>
      <c r="K636" t="s">
        <v>2905</v>
      </c>
      <c r="L636" t="s">
        <v>2904</v>
      </c>
      <c r="M636" t="s">
        <v>31</v>
      </c>
      <c r="N636">
        <v>2</v>
      </c>
      <c r="O636" t="s">
        <v>2903</v>
      </c>
      <c r="P636" t="s">
        <v>2902</v>
      </c>
      <c r="Q636" t="s">
        <v>2901</v>
      </c>
      <c r="R636" s="7">
        <v>32143</v>
      </c>
      <c r="S636" s="8">
        <f t="shared" si="80"/>
        <v>1988</v>
      </c>
      <c r="T636" s="8">
        <v>1988</v>
      </c>
      <c r="U636" s="8">
        <f t="shared" si="81"/>
        <v>34</v>
      </c>
      <c r="V636" s="7">
        <v>32234</v>
      </c>
      <c r="W636" t="s">
        <v>69</v>
      </c>
      <c r="X636" s="2">
        <v>1.6519999999999999</v>
      </c>
      <c r="Y636" s="6">
        <f t="shared" si="78"/>
        <v>4.409919649769093E-2</v>
      </c>
      <c r="AA636" t="s">
        <v>68</v>
      </c>
      <c r="AB636">
        <v>17337</v>
      </c>
      <c r="AC636">
        <v>15582221</v>
      </c>
      <c r="AD636" t="s">
        <v>4</v>
      </c>
      <c r="AE636">
        <v>36</v>
      </c>
      <c r="AF636">
        <v>4</v>
      </c>
      <c r="AH636">
        <v>570</v>
      </c>
      <c r="AI636" t="s">
        <v>2900</v>
      </c>
      <c r="AK636" t="s">
        <v>2899</v>
      </c>
      <c r="AL636">
        <v>59</v>
      </c>
      <c r="AM636" s="5">
        <f t="shared" si="82"/>
        <v>1.7352941176470589</v>
      </c>
      <c r="AN636" s="4">
        <f t="shared" si="79"/>
        <v>2.6282379669020201E-3</v>
      </c>
      <c r="AO636" s="3"/>
      <c r="AP636">
        <v>0</v>
      </c>
      <c r="AR636" t="s">
        <v>2898</v>
      </c>
      <c r="AT636" s="2" t="s">
        <v>19</v>
      </c>
      <c r="AU636" s="1">
        <f t="shared" si="83"/>
        <v>3.1657908938454256</v>
      </c>
      <c r="AV636" s="1">
        <f t="shared" si="84"/>
        <v>2.3363717232296475</v>
      </c>
      <c r="AW636" s="1">
        <f t="shared" si="85"/>
        <v>1.5069525526138692</v>
      </c>
    </row>
    <row r="637" spans="1:49" x14ac:dyDescent="0.2">
      <c r="A637">
        <v>635</v>
      </c>
      <c r="B637" t="s">
        <v>2897</v>
      </c>
      <c r="C637" t="s">
        <v>2896</v>
      </c>
      <c r="F637" t="s">
        <v>2895</v>
      </c>
      <c r="G637" t="s">
        <v>15</v>
      </c>
      <c r="H637" t="s">
        <v>14</v>
      </c>
      <c r="I637" t="s">
        <v>2894</v>
      </c>
      <c r="J637">
        <v>60026717</v>
      </c>
      <c r="K637" t="s">
        <v>2893</v>
      </c>
      <c r="L637" t="s">
        <v>2892</v>
      </c>
      <c r="M637" t="s">
        <v>31</v>
      </c>
      <c r="N637">
        <v>2</v>
      </c>
      <c r="O637" t="s">
        <v>2891</v>
      </c>
      <c r="P637" t="s">
        <v>2890</v>
      </c>
      <c r="Q637" t="s">
        <v>2889</v>
      </c>
      <c r="R637" s="7">
        <v>32143</v>
      </c>
      <c r="S637" s="8">
        <f t="shared" si="80"/>
        <v>1988</v>
      </c>
      <c r="T637" s="8">
        <v>1988</v>
      </c>
      <c r="U637" s="8">
        <f t="shared" si="81"/>
        <v>34</v>
      </c>
      <c r="V637" s="7">
        <v>1988</v>
      </c>
      <c r="W637" t="s">
        <v>56</v>
      </c>
      <c r="X637" s="2">
        <v>0.375</v>
      </c>
      <c r="Y637" s="6">
        <f t="shared" si="78"/>
        <v>1.0010410827260351E-2</v>
      </c>
      <c r="AA637">
        <v>135194</v>
      </c>
      <c r="AB637">
        <v>24918</v>
      </c>
      <c r="AD637" t="s">
        <v>4</v>
      </c>
      <c r="AE637">
        <v>24</v>
      </c>
      <c r="AF637">
        <v>9</v>
      </c>
      <c r="AH637" t="s">
        <v>2888</v>
      </c>
      <c r="AI637" t="s">
        <v>2887</v>
      </c>
      <c r="AJ637" t="s">
        <v>2886</v>
      </c>
      <c r="AK637" t="s">
        <v>2885</v>
      </c>
      <c r="AL637">
        <v>9</v>
      </c>
      <c r="AM637" s="5">
        <f t="shared" si="82"/>
        <v>0.26470588235294118</v>
      </c>
      <c r="AN637" s="4">
        <f t="shared" si="79"/>
        <v>4.009176559681048E-4</v>
      </c>
      <c r="AO637" s="3"/>
      <c r="AP637">
        <v>0</v>
      </c>
      <c r="AR637" t="s">
        <v>0</v>
      </c>
      <c r="AT637" s="2">
        <v>1.3140000000000001</v>
      </c>
      <c r="AU637" s="1">
        <f t="shared" si="83"/>
        <v>0.71275628758726772</v>
      </c>
      <c r="AV637" s="1">
        <f t="shared" si="84"/>
        <v>0.52056642416142285</v>
      </c>
      <c r="AW637" s="1">
        <f t="shared" si="85"/>
        <v>0.32837656073557786</v>
      </c>
    </row>
    <row r="638" spans="1:49" x14ac:dyDescent="0.2">
      <c r="A638">
        <v>636</v>
      </c>
      <c r="B638" t="s">
        <v>2884</v>
      </c>
      <c r="C638" t="s">
        <v>2883</v>
      </c>
      <c r="D638" t="s">
        <v>2882</v>
      </c>
      <c r="F638" t="s">
        <v>2881</v>
      </c>
      <c r="G638" t="s">
        <v>15</v>
      </c>
      <c r="H638" t="s">
        <v>14</v>
      </c>
      <c r="I638" t="s">
        <v>2880</v>
      </c>
      <c r="J638" t="s">
        <v>2879</v>
      </c>
      <c r="K638" t="s">
        <v>2878</v>
      </c>
      <c r="L638" t="s">
        <v>2877</v>
      </c>
      <c r="M638" t="s">
        <v>2876</v>
      </c>
      <c r="N638">
        <v>4</v>
      </c>
      <c r="O638" t="s">
        <v>2875</v>
      </c>
      <c r="P638" t="s">
        <v>2874</v>
      </c>
      <c r="Q638" t="s">
        <v>2873</v>
      </c>
      <c r="R638" s="7">
        <v>32143</v>
      </c>
      <c r="S638" s="8">
        <f t="shared" si="80"/>
        <v>1988</v>
      </c>
      <c r="T638" s="8">
        <v>1988</v>
      </c>
      <c r="U638" s="8">
        <f t="shared" si="81"/>
        <v>34</v>
      </c>
      <c r="V638" s="7">
        <v>32234</v>
      </c>
      <c r="W638" t="s">
        <v>2872</v>
      </c>
      <c r="X638" s="2">
        <v>0.42899999999999999</v>
      </c>
      <c r="Y638" s="6">
        <f t="shared" si="78"/>
        <v>1.1451909986385841E-2</v>
      </c>
      <c r="AA638">
        <v>381098</v>
      </c>
      <c r="AB638">
        <v>29886</v>
      </c>
      <c r="AD638" t="s">
        <v>4</v>
      </c>
      <c r="AE638">
        <v>66</v>
      </c>
      <c r="AF638">
        <v>2</v>
      </c>
      <c r="AH638" t="s">
        <v>2871</v>
      </c>
      <c r="AI638" t="s">
        <v>2870</v>
      </c>
      <c r="AK638" t="s">
        <v>2869</v>
      </c>
      <c r="AL638">
        <v>8</v>
      </c>
      <c r="AM638" s="5">
        <f t="shared" si="82"/>
        <v>0.23529411764705882</v>
      </c>
      <c r="AN638" s="4">
        <f t="shared" si="79"/>
        <v>3.5637124974942646E-4</v>
      </c>
      <c r="AO638" s="3"/>
      <c r="AP638">
        <v>0</v>
      </c>
      <c r="AQ638" t="s">
        <v>2868</v>
      </c>
      <c r="AR638" t="s">
        <v>0</v>
      </c>
      <c r="AS638" t="s">
        <v>2867</v>
      </c>
      <c r="AT638" s="2">
        <v>1.804</v>
      </c>
      <c r="AU638" s="1">
        <f t="shared" si="83"/>
        <v>0.81232483653949172</v>
      </c>
      <c r="AV638" s="1">
        <f t="shared" si="84"/>
        <v>0.59041406180676337</v>
      </c>
      <c r="AW638" s="1">
        <f t="shared" si="85"/>
        <v>0.36850328707403507</v>
      </c>
    </row>
    <row r="639" spans="1:49" x14ac:dyDescent="0.2">
      <c r="A639">
        <v>637</v>
      </c>
      <c r="B639" t="s">
        <v>2866</v>
      </c>
      <c r="C639" t="s">
        <v>2865</v>
      </c>
      <c r="F639" t="s">
        <v>2864</v>
      </c>
      <c r="G639" t="s">
        <v>15</v>
      </c>
      <c r="H639" t="s">
        <v>14</v>
      </c>
      <c r="I639" t="s">
        <v>2863</v>
      </c>
      <c r="J639" t="s">
        <v>2862</v>
      </c>
      <c r="K639" t="s">
        <v>2861</v>
      </c>
      <c r="L639" t="s">
        <v>2860</v>
      </c>
      <c r="M639" t="s">
        <v>2859</v>
      </c>
      <c r="N639">
        <v>3</v>
      </c>
      <c r="O639" t="s">
        <v>2858</v>
      </c>
      <c r="P639" t="s">
        <v>2857</v>
      </c>
      <c r="Q639" t="s">
        <v>2856</v>
      </c>
      <c r="R639" s="7">
        <v>32143</v>
      </c>
      <c r="S639" s="8">
        <f t="shared" si="80"/>
        <v>1988</v>
      </c>
      <c r="T639" s="8">
        <v>1988</v>
      </c>
      <c r="U639" s="8">
        <f t="shared" si="81"/>
        <v>34</v>
      </c>
      <c r="V639" s="7">
        <v>32234</v>
      </c>
      <c r="W639" t="s">
        <v>69</v>
      </c>
      <c r="X639" s="2">
        <v>1.6519999999999999</v>
      </c>
      <c r="Y639" s="6">
        <f t="shared" si="78"/>
        <v>4.409919649769093E-2</v>
      </c>
      <c r="AA639" t="s">
        <v>68</v>
      </c>
      <c r="AB639">
        <v>17337</v>
      </c>
      <c r="AC639">
        <v>15582221</v>
      </c>
      <c r="AD639" t="s">
        <v>4</v>
      </c>
      <c r="AE639">
        <v>36</v>
      </c>
      <c r="AF639">
        <v>4</v>
      </c>
      <c r="AH639" t="s">
        <v>2855</v>
      </c>
      <c r="AI639" t="s">
        <v>2854</v>
      </c>
      <c r="AK639" t="s">
        <v>2853</v>
      </c>
      <c r="AL639">
        <v>18</v>
      </c>
      <c r="AM639" s="5">
        <f t="shared" si="82"/>
        <v>0.52941176470588236</v>
      </c>
      <c r="AN639" s="4">
        <f t="shared" si="79"/>
        <v>8.0183531193620959E-4</v>
      </c>
      <c r="AO639" s="3"/>
      <c r="AP639">
        <v>0</v>
      </c>
      <c r="AR639" t="s">
        <v>0</v>
      </c>
      <c r="AT639" s="2" t="s">
        <v>19</v>
      </c>
      <c r="AU639" s="1">
        <f t="shared" si="83"/>
        <v>3.1109988141964515</v>
      </c>
      <c r="AV639" s="1">
        <f t="shared" si="84"/>
        <v>2.2450515904813568</v>
      </c>
      <c r="AW639" s="1">
        <f t="shared" si="85"/>
        <v>1.3791043667662624</v>
      </c>
    </row>
    <row r="640" spans="1:49" x14ac:dyDescent="0.2">
      <c r="A640">
        <v>638</v>
      </c>
      <c r="B640" t="s">
        <v>2852</v>
      </c>
      <c r="C640" t="s">
        <v>2851</v>
      </c>
      <c r="F640" t="s">
        <v>2850</v>
      </c>
      <c r="G640" t="s">
        <v>15</v>
      </c>
      <c r="H640" t="s">
        <v>14</v>
      </c>
      <c r="I640" t="s">
        <v>2849</v>
      </c>
      <c r="J640">
        <v>60006037</v>
      </c>
      <c r="K640" t="s">
        <v>2848</v>
      </c>
      <c r="M640" t="s">
        <v>31</v>
      </c>
      <c r="N640">
        <v>2</v>
      </c>
      <c r="O640" t="s">
        <v>2847</v>
      </c>
      <c r="P640" t="s">
        <v>2846</v>
      </c>
      <c r="Q640" t="s">
        <v>2845</v>
      </c>
      <c r="R640" s="7">
        <v>32143</v>
      </c>
      <c r="S640" s="8">
        <f t="shared" si="80"/>
        <v>1988</v>
      </c>
      <c r="T640" s="8">
        <v>1988</v>
      </c>
      <c r="U640" s="8">
        <f t="shared" si="81"/>
        <v>34</v>
      </c>
      <c r="V640" s="7" t="s">
        <v>2713</v>
      </c>
      <c r="W640" s="11" t="s">
        <v>1890</v>
      </c>
      <c r="X640" s="2">
        <v>2.383</v>
      </c>
      <c r="Y640" s="6">
        <f t="shared" si="78"/>
        <v>6.3612824003630442E-2</v>
      </c>
      <c r="AA640" t="s">
        <v>1889</v>
      </c>
      <c r="AB640">
        <v>101151</v>
      </c>
      <c r="AD640" t="s">
        <v>4</v>
      </c>
      <c r="AE640">
        <v>135</v>
      </c>
      <c r="AF640">
        <v>2</v>
      </c>
      <c r="AH640" t="s">
        <v>2844</v>
      </c>
      <c r="AI640" t="s">
        <v>2843</v>
      </c>
      <c r="AK640" t="s">
        <v>2842</v>
      </c>
      <c r="AL640">
        <v>8</v>
      </c>
      <c r="AM640" s="5">
        <f t="shared" si="82"/>
        <v>0.23529411764705882</v>
      </c>
      <c r="AN640" s="4">
        <f t="shared" si="79"/>
        <v>3.5637124974942646E-4</v>
      </c>
      <c r="AO640" s="3"/>
      <c r="AP640">
        <v>0</v>
      </c>
      <c r="AR640" t="s">
        <v>0</v>
      </c>
      <c r="AT640" s="2" t="s">
        <v>19</v>
      </c>
      <c r="AU640" s="1">
        <f t="shared" si="83"/>
        <v>4.4635888177466141</v>
      </c>
      <c r="AV640" s="1">
        <f t="shared" si="84"/>
        <v>3.1984597626689935</v>
      </c>
      <c r="AW640" s="1">
        <f t="shared" si="85"/>
        <v>1.933330707591373</v>
      </c>
    </row>
    <row r="641" spans="1:49" x14ac:dyDescent="0.2">
      <c r="A641">
        <v>639</v>
      </c>
      <c r="B641" t="s">
        <v>2841</v>
      </c>
      <c r="C641" t="s">
        <v>2840</v>
      </c>
      <c r="F641" t="s">
        <v>2839</v>
      </c>
      <c r="G641" t="s">
        <v>15</v>
      </c>
      <c r="H641" t="s">
        <v>14</v>
      </c>
      <c r="I641" t="s">
        <v>2838</v>
      </c>
      <c r="J641" t="s">
        <v>2837</v>
      </c>
      <c r="K641" t="s">
        <v>2836</v>
      </c>
      <c r="L641" t="s">
        <v>2835</v>
      </c>
      <c r="M641" t="s">
        <v>2834</v>
      </c>
      <c r="N641">
        <v>2</v>
      </c>
      <c r="O641" t="s">
        <v>2833</v>
      </c>
      <c r="P641" t="s">
        <v>2832</v>
      </c>
      <c r="Q641" t="s">
        <v>2831</v>
      </c>
      <c r="R641" s="7">
        <v>32143</v>
      </c>
      <c r="S641" s="8">
        <f t="shared" si="80"/>
        <v>1988</v>
      </c>
      <c r="T641" s="8">
        <v>1988</v>
      </c>
      <c r="U641" s="8">
        <f t="shared" si="81"/>
        <v>34</v>
      </c>
      <c r="V641" s="7">
        <v>32234</v>
      </c>
      <c r="W641" t="s">
        <v>69</v>
      </c>
      <c r="X641" s="2">
        <v>1.6519999999999999</v>
      </c>
      <c r="Y641" s="6">
        <f t="shared" si="78"/>
        <v>4.409919649769093E-2</v>
      </c>
      <c r="AA641" t="s">
        <v>68</v>
      </c>
      <c r="AB641">
        <v>17337</v>
      </c>
      <c r="AC641">
        <v>15582221</v>
      </c>
      <c r="AD641" t="s">
        <v>4</v>
      </c>
      <c r="AE641">
        <v>36</v>
      </c>
      <c r="AF641">
        <v>4</v>
      </c>
      <c r="AH641" t="s">
        <v>2830</v>
      </c>
      <c r="AI641" t="s">
        <v>2829</v>
      </c>
      <c r="AK641" t="s">
        <v>2828</v>
      </c>
      <c r="AL641">
        <v>0</v>
      </c>
      <c r="AM641" s="5">
        <f t="shared" si="82"/>
        <v>0</v>
      </c>
      <c r="AN641" s="4">
        <f t="shared" si="79"/>
        <v>0</v>
      </c>
      <c r="AO641" s="3"/>
      <c r="AP641">
        <v>0</v>
      </c>
      <c r="AR641" t="s">
        <v>0</v>
      </c>
      <c r="AT641" s="2" t="s">
        <v>19</v>
      </c>
      <c r="AU641" s="1">
        <f t="shared" si="83"/>
        <v>3.0869437548383649</v>
      </c>
      <c r="AV641" s="1">
        <f t="shared" si="84"/>
        <v>2.2049598248845466</v>
      </c>
      <c r="AW641" s="1">
        <f t="shared" si="85"/>
        <v>1.3229758949307278</v>
      </c>
    </row>
    <row r="642" spans="1:49" x14ac:dyDescent="0.2">
      <c r="A642">
        <v>640</v>
      </c>
      <c r="B642" t="s">
        <v>2827</v>
      </c>
      <c r="C642" t="s">
        <v>2826</v>
      </c>
      <c r="F642" t="s">
        <v>2825</v>
      </c>
      <c r="G642" t="s">
        <v>15</v>
      </c>
      <c r="H642" t="s">
        <v>14</v>
      </c>
      <c r="I642" t="s">
        <v>2824</v>
      </c>
      <c r="J642">
        <v>60025555</v>
      </c>
      <c r="K642" t="s">
        <v>943</v>
      </c>
      <c r="L642" t="s">
        <v>212</v>
      </c>
      <c r="M642" t="s">
        <v>211</v>
      </c>
      <c r="N642">
        <v>3</v>
      </c>
      <c r="O642" t="s">
        <v>2823</v>
      </c>
      <c r="P642" t="s">
        <v>2822</v>
      </c>
      <c r="Q642" t="s">
        <v>940</v>
      </c>
      <c r="R642" s="7">
        <v>32143</v>
      </c>
      <c r="S642" s="8">
        <f t="shared" si="80"/>
        <v>1988</v>
      </c>
      <c r="T642" s="8">
        <v>1988</v>
      </c>
      <c r="U642" s="8">
        <f t="shared" si="81"/>
        <v>34</v>
      </c>
      <c r="V642" s="7">
        <v>32234</v>
      </c>
      <c r="W642" t="s">
        <v>1225</v>
      </c>
      <c r="X642" s="2">
        <v>0.111</v>
      </c>
      <c r="Y642" s="6">
        <f t="shared" ref="Y642:Y705" si="86">(X642-$Z$4)/($Z$3-$Z$4)</f>
        <v>2.9630816048690639E-3</v>
      </c>
      <c r="AA642">
        <v>87566621</v>
      </c>
      <c r="AB642">
        <v>24890</v>
      </c>
      <c r="AC642">
        <v>15206424</v>
      </c>
      <c r="AD642" t="s">
        <v>4</v>
      </c>
      <c r="AE642">
        <v>71</v>
      </c>
      <c r="AF642">
        <v>4</v>
      </c>
      <c r="AH642" t="s">
        <v>2821</v>
      </c>
      <c r="AI642" t="s">
        <v>2820</v>
      </c>
      <c r="AK642" t="s">
        <v>2819</v>
      </c>
      <c r="AL642">
        <v>0</v>
      </c>
      <c r="AM642" s="5">
        <f t="shared" si="82"/>
        <v>0</v>
      </c>
      <c r="AN642" s="4">
        <f t="shared" ref="AN642:AN705" si="87">(AM642-$AO$4)/($AO$3-$AO$4)</f>
        <v>0</v>
      </c>
      <c r="AO642" s="3"/>
      <c r="AP642">
        <v>0</v>
      </c>
      <c r="AR642" t="s">
        <v>0</v>
      </c>
      <c r="AT642" s="2" t="s">
        <v>19</v>
      </c>
      <c r="AU642" s="1">
        <f t="shared" si="83"/>
        <v>0.20741571234083445</v>
      </c>
      <c r="AV642" s="1">
        <f t="shared" si="84"/>
        <v>0.1481540802434532</v>
      </c>
      <c r="AW642" s="1">
        <f t="shared" si="85"/>
        <v>8.8892448146071903E-2</v>
      </c>
    </row>
    <row r="643" spans="1:49" x14ac:dyDescent="0.2">
      <c r="A643">
        <v>641</v>
      </c>
      <c r="B643" t="s">
        <v>2818</v>
      </c>
      <c r="C643" t="s">
        <v>2817</v>
      </c>
      <c r="F643" t="s">
        <v>2816</v>
      </c>
      <c r="G643" t="s">
        <v>15</v>
      </c>
      <c r="H643" t="s">
        <v>14</v>
      </c>
      <c r="I643" t="s">
        <v>2815</v>
      </c>
      <c r="J643" t="s">
        <v>2814</v>
      </c>
      <c r="K643" t="s">
        <v>2813</v>
      </c>
      <c r="L643" t="s">
        <v>2812</v>
      </c>
      <c r="M643" t="s">
        <v>9</v>
      </c>
      <c r="N643">
        <v>2</v>
      </c>
      <c r="O643" t="s">
        <v>2811</v>
      </c>
      <c r="P643" t="s">
        <v>2810</v>
      </c>
      <c r="Q643" t="s">
        <v>2809</v>
      </c>
      <c r="R643" s="7">
        <v>32143</v>
      </c>
      <c r="S643" s="8">
        <f t="shared" si="80"/>
        <v>1988</v>
      </c>
      <c r="T643" s="8">
        <v>1988</v>
      </c>
      <c r="U643" s="8">
        <f t="shared" si="81"/>
        <v>34</v>
      </c>
      <c r="V643" s="7">
        <v>32234</v>
      </c>
      <c r="W643" t="s">
        <v>69</v>
      </c>
      <c r="X643" s="2">
        <v>1.6519999999999999</v>
      </c>
      <c r="Y643" s="6">
        <f t="shared" si="86"/>
        <v>4.409919649769093E-2</v>
      </c>
      <c r="AA643" t="s">
        <v>68</v>
      </c>
      <c r="AB643">
        <v>17337</v>
      </c>
      <c r="AC643">
        <v>15582221</v>
      </c>
      <c r="AD643" t="s">
        <v>4</v>
      </c>
      <c r="AE643">
        <v>36</v>
      </c>
      <c r="AF643">
        <v>4</v>
      </c>
      <c r="AH643" t="s">
        <v>2808</v>
      </c>
      <c r="AI643" t="s">
        <v>2807</v>
      </c>
      <c r="AK643" t="s">
        <v>2806</v>
      </c>
      <c r="AL643">
        <v>7</v>
      </c>
      <c r="AM643" s="5">
        <f t="shared" si="82"/>
        <v>0.20588235294117646</v>
      </c>
      <c r="AN643" s="4">
        <f t="shared" si="87"/>
        <v>3.1182484353074817E-4</v>
      </c>
      <c r="AO643" s="3"/>
      <c r="AP643">
        <v>0</v>
      </c>
      <c r="AR643" t="s">
        <v>2805</v>
      </c>
      <c r="AT643" s="2" t="s">
        <v>19</v>
      </c>
      <c r="AU643" s="1">
        <f t="shared" si="83"/>
        <v>3.0962985001442878</v>
      </c>
      <c r="AV643" s="1">
        <f t="shared" si="84"/>
        <v>2.2205510670610837</v>
      </c>
      <c r="AW643" s="1">
        <f t="shared" si="85"/>
        <v>1.3448036339778802</v>
      </c>
    </row>
    <row r="644" spans="1:49" x14ac:dyDescent="0.2">
      <c r="A644">
        <v>642</v>
      </c>
      <c r="B644" t="s">
        <v>2804</v>
      </c>
      <c r="C644" t="s">
        <v>2803</v>
      </c>
      <c r="F644" t="s">
        <v>2802</v>
      </c>
      <c r="G644" t="s">
        <v>15</v>
      </c>
      <c r="H644" t="s">
        <v>14</v>
      </c>
      <c r="I644" t="s">
        <v>2801</v>
      </c>
      <c r="J644">
        <v>100315574</v>
      </c>
      <c r="K644" t="s">
        <v>2800</v>
      </c>
      <c r="L644" t="s">
        <v>2799</v>
      </c>
      <c r="M644" t="s">
        <v>1011</v>
      </c>
      <c r="N644">
        <v>1</v>
      </c>
      <c r="O644" t="s">
        <v>2798</v>
      </c>
      <c r="P644">
        <v>6603421739</v>
      </c>
      <c r="Q644">
        <v>100315574</v>
      </c>
      <c r="R644" s="7">
        <v>32143</v>
      </c>
      <c r="S644" s="8">
        <f t="shared" si="80"/>
        <v>1988</v>
      </c>
      <c r="T644" s="8">
        <v>1988</v>
      </c>
      <c r="U644" s="8">
        <f t="shared" si="81"/>
        <v>34</v>
      </c>
      <c r="V644" s="7" t="s">
        <v>2713</v>
      </c>
      <c r="W644" s="11" t="s">
        <v>1890</v>
      </c>
      <c r="X644" s="2">
        <v>2.383</v>
      </c>
      <c r="Y644" s="6">
        <f t="shared" si="86"/>
        <v>6.3612824003630442E-2</v>
      </c>
      <c r="AA644" t="s">
        <v>1889</v>
      </c>
      <c r="AB644">
        <v>101151</v>
      </c>
      <c r="AD644" t="s">
        <v>4</v>
      </c>
      <c r="AE644">
        <v>135</v>
      </c>
      <c r="AF644">
        <v>2</v>
      </c>
      <c r="AH644" t="s">
        <v>2797</v>
      </c>
      <c r="AI644" t="s">
        <v>2796</v>
      </c>
      <c r="AK644" t="s">
        <v>2795</v>
      </c>
      <c r="AL644">
        <v>18</v>
      </c>
      <c r="AM644" s="5">
        <f t="shared" si="82"/>
        <v>0.52941176470588236</v>
      </c>
      <c r="AN644" s="4">
        <f t="shared" si="87"/>
        <v>8.0183531193620959E-4</v>
      </c>
      <c r="AO644" s="3"/>
      <c r="AP644">
        <v>0</v>
      </c>
      <c r="AR644" t="s">
        <v>0</v>
      </c>
      <c r="AT644" s="2" t="s">
        <v>19</v>
      </c>
      <c r="AU644" s="1">
        <f t="shared" si="83"/>
        <v>4.4769527396122175</v>
      </c>
      <c r="AV644" s="1">
        <f t="shared" si="84"/>
        <v>3.2207329657783328</v>
      </c>
      <c r="AW644" s="1">
        <f t="shared" si="85"/>
        <v>1.9645131919444478</v>
      </c>
    </row>
    <row r="645" spans="1:49" x14ac:dyDescent="0.2">
      <c r="A645">
        <v>643</v>
      </c>
      <c r="B645" t="s">
        <v>2794</v>
      </c>
      <c r="C645" t="s">
        <v>2793</v>
      </c>
      <c r="F645" t="s">
        <v>2792</v>
      </c>
      <c r="G645" t="s">
        <v>15</v>
      </c>
      <c r="H645" t="s">
        <v>14</v>
      </c>
      <c r="I645" t="s">
        <v>2791</v>
      </c>
      <c r="J645">
        <v>60000264</v>
      </c>
      <c r="K645" t="s">
        <v>2790</v>
      </c>
      <c r="L645" t="s">
        <v>2789</v>
      </c>
      <c r="M645" t="s">
        <v>211</v>
      </c>
      <c r="N645">
        <v>28</v>
      </c>
      <c r="O645" t="s">
        <v>2788</v>
      </c>
      <c r="P645" t="s">
        <v>2787</v>
      </c>
      <c r="Q645" t="s">
        <v>2786</v>
      </c>
      <c r="R645" s="7">
        <v>32143</v>
      </c>
      <c r="S645" s="8">
        <f t="shared" si="80"/>
        <v>1988</v>
      </c>
      <c r="T645" s="8">
        <v>1988</v>
      </c>
      <c r="U645" s="8">
        <f t="shared" si="81"/>
        <v>34</v>
      </c>
      <c r="V645" s="7">
        <v>32234</v>
      </c>
      <c r="W645" t="s">
        <v>2763</v>
      </c>
      <c r="X645" s="2">
        <v>1.774</v>
      </c>
      <c r="Y645" s="6">
        <f t="shared" si="86"/>
        <v>4.7355916820159633E-2</v>
      </c>
      <c r="AA645">
        <v>295515</v>
      </c>
      <c r="AB645">
        <v>29066</v>
      </c>
      <c r="AC645">
        <v>17414326</v>
      </c>
      <c r="AD645" t="s">
        <v>4</v>
      </c>
      <c r="AE645">
        <v>28</v>
      </c>
      <c r="AF645">
        <v>4</v>
      </c>
      <c r="AH645" t="s">
        <v>2785</v>
      </c>
      <c r="AI645" t="s">
        <v>2784</v>
      </c>
      <c r="AK645" t="s">
        <v>2783</v>
      </c>
      <c r="AL645">
        <v>13</v>
      </c>
      <c r="AM645" s="5">
        <f t="shared" si="82"/>
        <v>0.38235294117647056</v>
      </c>
      <c r="AN645" s="4">
        <f t="shared" si="87"/>
        <v>5.7910328084281794E-4</v>
      </c>
      <c r="AO645" s="3"/>
      <c r="AP645">
        <v>0</v>
      </c>
      <c r="AR645" t="s">
        <v>0</v>
      </c>
      <c r="AT645" s="2">
        <v>3.1789999999999998</v>
      </c>
      <c r="AU645" s="1">
        <f t="shared" si="83"/>
        <v>3.3322872758364581</v>
      </c>
      <c r="AV645" s="1">
        <f t="shared" si="84"/>
        <v>2.3967510050501226</v>
      </c>
      <c r="AW645" s="1">
        <f t="shared" si="85"/>
        <v>1.4612147342637862</v>
      </c>
    </row>
    <row r="646" spans="1:49" x14ac:dyDescent="0.2">
      <c r="A646">
        <v>644</v>
      </c>
      <c r="B646" t="s">
        <v>2782</v>
      </c>
      <c r="C646" t="s">
        <v>2781</v>
      </c>
      <c r="F646" t="s">
        <v>2780</v>
      </c>
      <c r="G646" t="s">
        <v>15</v>
      </c>
      <c r="H646" t="s">
        <v>14</v>
      </c>
      <c r="I646" t="s">
        <v>2779</v>
      </c>
      <c r="J646">
        <v>60015919</v>
      </c>
      <c r="K646" t="s">
        <v>2778</v>
      </c>
      <c r="L646" t="s">
        <v>2777</v>
      </c>
      <c r="M646" t="s">
        <v>31</v>
      </c>
      <c r="N646">
        <v>5</v>
      </c>
      <c r="O646" t="s">
        <v>2776</v>
      </c>
      <c r="P646" t="s">
        <v>2775</v>
      </c>
      <c r="Q646" t="s">
        <v>2774</v>
      </c>
      <c r="R646" s="7">
        <v>32143</v>
      </c>
      <c r="S646" s="8">
        <f t="shared" si="80"/>
        <v>1988</v>
      </c>
      <c r="T646" s="8">
        <v>1988</v>
      </c>
      <c r="U646" s="8">
        <f t="shared" si="81"/>
        <v>34</v>
      </c>
      <c r="V646" s="7">
        <v>32234</v>
      </c>
      <c r="W646" t="s">
        <v>2773</v>
      </c>
      <c r="X646" s="2">
        <v>0.46</v>
      </c>
      <c r="Y646" s="6">
        <f t="shared" si="86"/>
        <v>1.2279437281439364E-2</v>
      </c>
      <c r="AA646">
        <v>933813</v>
      </c>
      <c r="AB646">
        <v>28031</v>
      </c>
      <c r="AC646">
        <v>19399375</v>
      </c>
      <c r="AD646" t="s">
        <v>4</v>
      </c>
      <c r="AE646">
        <v>16</v>
      </c>
      <c r="AF646">
        <v>2</v>
      </c>
      <c r="AH646" t="s">
        <v>2772</v>
      </c>
      <c r="AI646" t="s">
        <v>2771</v>
      </c>
      <c r="AK646" t="s">
        <v>2770</v>
      </c>
      <c r="AL646">
        <v>21</v>
      </c>
      <c r="AM646" s="5">
        <f t="shared" si="82"/>
        <v>0.61764705882352944</v>
      </c>
      <c r="AN646" s="4">
        <f t="shared" si="87"/>
        <v>9.3547453059224456E-4</v>
      </c>
      <c r="AO646" s="3"/>
      <c r="AP646">
        <v>0</v>
      </c>
      <c r="AR646" t="s">
        <v>0</v>
      </c>
      <c r="AT646" s="2">
        <v>1.222</v>
      </c>
      <c r="AU646" s="1">
        <f t="shared" si="83"/>
        <v>0.88762484561852262</v>
      </c>
      <c r="AV646" s="1">
        <f t="shared" si="84"/>
        <v>0.66074559060158045</v>
      </c>
      <c r="AW646" s="1">
        <f t="shared" si="85"/>
        <v>0.43386633558463805</v>
      </c>
    </row>
    <row r="647" spans="1:49" x14ac:dyDescent="0.2">
      <c r="A647">
        <v>645</v>
      </c>
      <c r="B647" t="s">
        <v>2769</v>
      </c>
      <c r="C647" t="s">
        <v>2768</v>
      </c>
      <c r="F647" t="s">
        <v>2767</v>
      </c>
      <c r="G647" t="s">
        <v>15</v>
      </c>
      <c r="H647" t="s">
        <v>14</v>
      </c>
      <c r="I647" t="s">
        <v>2766</v>
      </c>
      <c r="J647">
        <v>60026838</v>
      </c>
      <c r="K647" t="s">
        <v>2765</v>
      </c>
      <c r="L647" t="s">
        <v>46</v>
      </c>
      <c r="M647" t="s">
        <v>45</v>
      </c>
      <c r="N647">
        <v>1</v>
      </c>
      <c r="O647" t="s">
        <v>2764</v>
      </c>
      <c r="P647">
        <v>7005473290</v>
      </c>
      <c r="Q647">
        <v>60026838</v>
      </c>
      <c r="R647" s="7">
        <v>32143</v>
      </c>
      <c r="S647" s="8">
        <f t="shared" ref="S647:S710" si="88">YEAR(R647)</f>
        <v>1988</v>
      </c>
      <c r="T647" s="8">
        <v>1988</v>
      </c>
      <c r="U647" s="8">
        <f t="shared" ref="U647:U710" si="89">2022-T647</f>
        <v>34</v>
      </c>
      <c r="V647" s="7" t="s">
        <v>2713</v>
      </c>
      <c r="W647" t="s">
        <v>2763</v>
      </c>
      <c r="X647" s="2">
        <v>1.774</v>
      </c>
      <c r="Y647" s="6">
        <f t="shared" si="86"/>
        <v>4.7355916820159633E-2</v>
      </c>
      <c r="AA647">
        <v>295515</v>
      </c>
      <c r="AB647">
        <v>29066</v>
      </c>
      <c r="AD647" t="s">
        <v>4</v>
      </c>
      <c r="AE647">
        <v>28</v>
      </c>
      <c r="AF647">
        <v>4</v>
      </c>
      <c r="AH647" t="s">
        <v>2762</v>
      </c>
      <c r="AI647" t="s">
        <v>2761</v>
      </c>
      <c r="AK647" t="s">
        <v>2760</v>
      </c>
      <c r="AL647">
        <v>71</v>
      </c>
      <c r="AM647" s="5">
        <f t="shared" ref="AM647:AM710" si="90">AL647/U647</f>
        <v>2.0882352941176472</v>
      </c>
      <c r="AN647" s="4">
        <f t="shared" si="87"/>
        <v>3.16279484152616E-3</v>
      </c>
      <c r="AO647" s="3"/>
      <c r="AP647">
        <v>0</v>
      </c>
      <c r="AR647" t="s">
        <v>0</v>
      </c>
      <c r="AT647" s="2">
        <v>3.1789999999999998</v>
      </c>
      <c r="AU647" s="1">
        <f t="shared" ref="AU647:AU710" si="91">(Y647*0.7+AN647*0.3)*100</f>
        <v>3.4097980226569589</v>
      </c>
      <c r="AV647" s="1">
        <f t="shared" ref="AV647:AV710" si="92">(Y647*0.5+AN647*0.5)*100</f>
        <v>2.5259355830842893</v>
      </c>
      <c r="AW647" s="1">
        <f t="shared" ref="AW647:AW710" si="93">(Y647*0.3+AN647*0.7)*100</f>
        <v>1.64207314351162</v>
      </c>
    </row>
    <row r="648" spans="1:49" x14ac:dyDescent="0.2">
      <c r="A648">
        <v>646</v>
      </c>
      <c r="B648" t="s">
        <v>2759</v>
      </c>
      <c r="C648" t="s">
        <v>2758</v>
      </c>
      <c r="F648" t="s">
        <v>2757</v>
      </c>
      <c r="G648" t="s">
        <v>15</v>
      </c>
      <c r="H648" t="s">
        <v>14</v>
      </c>
      <c r="I648" t="s">
        <v>2756</v>
      </c>
      <c r="J648">
        <v>60004956</v>
      </c>
      <c r="K648" t="s">
        <v>2755</v>
      </c>
      <c r="L648" t="s">
        <v>2754</v>
      </c>
      <c r="M648" t="s">
        <v>2753</v>
      </c>
      <c r="N648">
        <v>1</v>
      </c>
      <c r="O648" t="s">
        <v>2752</v>
      </c>
      <c r="P648">
        <v>6701730449</v>
      </c>
      <c r="Q648">
        <v>60004956</v>
      </c>
      <c r="R648" s="7">
        <v>32143</v>
      </c>
      <c r="S648" s="8">
        <f t="shared" si="88"/>
        <v>1988</v>
      </c>
      <c r="T648" s="8">
        <v>1988</v>
      </c>
      <c r="U648" s="8">
        <f t="shared" si="89"/>
        <v>34</v>
      </c>
      <c r="V648" s="7" t="s">
        <v>2713</v>
      </c>
      <c r="W648" s="11" t="s">
        <v>1890</v>
      </c>
      <c r="X648" s="2">
        <v>2.383</v>
      </c>
      <c r="Y648" s="6">
        <f t="shared" si="86"/>
        <v>6.3612824003630442E-2</v>
      </c>
      <c r="AA648" t="s">
        <v>1889</v>
      </c>
      <c r="AB648">
        <v>101151</v>
      </c>
      <c r="AD648" t="s">
        <v>4</v>
      </c>
      <c r="AE648">
        <v>135</v>
      </c>
      <c r="AF648">
        <v>2</v>
      </c>
      <c r="AH648" t="s">
        <v>2751</v>
      </c>
      <c r="AI648" t="s">
        <v>2750</v>
      </c>
      <c r="AK648" t="s">
        <v>2749</v>
      </c>
      <c r="AL648">
        <v>32</v>
      </c>
      <c r="AM648" s="5">
        <f t="shared" si="90"/>
        <v>0.94117647058823528</v>
      </c>
      <c r="AN648" s="4">
        <f t="shared" si="87"/>
        <v>1.4254849989977058E-3</v>
      </c>
      <c r="AO648" s="3"/>
      <c r="AP648">
        <v>0</v>
      </c>
      <c r="AR648" t="s">
        <v>0</v>
      </c>
      <c r="AT648" s="2" t="s">
        <v>19</v>
      </c>
      <c r="AU648" s="1">
        <f t="shared" si="91"/>
        <v>4.4956622302240623</v>
      </c>
      <c r="AV648" s="1">
        <f t="shared" si="92"/>
        <v>3.2519154501314076</v>
      </c>
      <c r="AW648" s="1">
        <f t="shared" si="93"/>
        <v>2.0081686700387529</v>
      </c>
    </row>
    <row r="649" spans="1:49" x14ac:dyDescent="0.2">
      <c r="A649">
        <v>647</v>
      </c>
      <c r="B649" t="s">
        <v>2748</v>
      </c>
      <c r="C649" t="s">
        <v>2747</v>
      </c>
      <c r="F649" t="s">
        <v>2746</v>
      </c>
      <c r="G649" t="s">
        <v>15</v>
      </c>
      <c r="H649" t="s">
        <v>14</v>
      </c>
      <c r="I649" t="s">
        <v>2745</v>
      </c>
      <c r="J649">
        <v>60017563</v>
      </c>
      <c r="K649" t="s">
        <v>1895</v>
      </c>
      <c r="L649" t="s">
        <v>1894</v>
      </c>
      <c r="M649" t="s">
        <v>839</v>
      </c>
      <c r="N649">
        <v>3</v>
      </c>
      <c r="O649" t="s">
        <v>2744</v>
      </c>
      <c r="P649" t="s">
        <v>2743</v>
      </c>
      <c r="Q649" t="s">
        <v>1891</v>
      </c>
      <c r="R649" s="7">
        <v>32143</v>
      </c>
      <c r="S649" s="8">
        <f t="shared" si="88"/>
        <v>1988</v>
      </c>
      <c r="T649" s="8">
        <v>1988</v>
      </c>
      <c r="U649" s="8">
        <f t="shared" si="89"/>
        <v>34</v>
      </c>
      <c r="V649" s="7" t="s">
        <v>2713</v>
      </c>
      <c r="W649" s="11" t="s">
        <v>1890</v>
      </c>
      <c r="X649" s="2">
        <v>2.383</v>
      </c>
      <c r="Y649" s="6">
        <f t="shared" si="86"/>
        <v>6.3612824003630442E-2</v>
      </c>
      <c r="AA649" t="s">
        <v>1889</v>
      </c>
      <c r="AB649">
        <v>101151</v>
      </c>
      <c r="AD649" t="s">
        <v>4</v>
      </c>
      <c r="AE649">
        <v>135</v>
      </c>
      <c r="AF649">
        <v>2</v>
      </c>
      <c r="AH649" t="s">
        <v>2742</v>
      </c>
      <c r="AI649" t="s">
        <v>2741</v>
      </c>
      <c r="AK649" t="s">
        <v>2740</v>
      </c>
      <c r="AL649">
        <v>21</v>
      </c>
      <c r="AM649" s="5">
        <f t="shared" si="90"/>
        <v>0.61764705882352944</v>
      </c>
      <c r="AN649" s="4">
        <f t="shared" si="87"/>
        <v>9.3547453059224456E-4</v>
      </c>
      <c r="AO649" s="3"/>
      <c r="AP649">
        <v>0</v>
      </c>
      <c r="AR649" t="s">
        <v>0</v>
      </c>
      <c r="AT649" s="2" t="s">
        <v>19</v>
      </c>
      <c r="AU649" s="1">
        <f t="shared" si="91"/>
        <v>4.4809619161718981</v>
      </c>
      <c r="AV649" s="1">
        <f t="shared" si="92"/>
        <v>3.2274149267111341</v>
      </c>
      <c r="AW649" s="1">
        <f t="shared" si="93"/>
        <v>1.9738679372503705</v>
      </c>
    </row>
    <row r="650" spans="1:49" x14ac:dyDescent="0.2">
      <c r="A650">
        <v>648</v>
      </c>
      <c r="B650" t="s">
        <v>2739</v>
      </c>
      <c r="C650" t="s">
        <v>2738</v>
      </c>
      <c r="F650" t="s">
        <v>2737</v>
      </c>
      <c r="G650" t="s">
        <v>15</v>
      </c>
      <c r="H650" t="s">
        <v>14</v>
      </c>
      <c r="I650" t="s">
        <v>2736</v>
      </c>
      <c r="J650">
        <v>60009697</v>
      </c>
      <c r="K650" t="s">
        <v>1417</v>
      </c>
      <c r="L650" t="s">
        <v>1416</v>
      </c>
      <c r="M650" t="s">
        <v>481</v>
      </c>
      <c r="N650">
        <v>2</v>
      </c>
      <c r="O650" t="s">
        <v>2735</v>
      </c>
      <c r="P650" t="s">
        <v>2734</v>
      </c>
      <c r="Q650" t="s">
        <v>1413</v>
      </c>
      <c r="R650" s="7">
        <v>32143</v>
      </c>
      <c r="S650" s="8">
        <f t="shared" si="88"/>
        <v>1988</v>
      </c>
      <c r="T650" s="8">
        <v>1988</v>
      </c>
      <c r="U650" s="8">
        <f t="shared" si="89"/>
        <v>34</v>
      </c>
      <c r="V650" s="7" t="s">
        <v>2713</v>
      </c>
      <c r="W650" s="11" t="s">
        <v>1890</v>
      </c>
      <c r="X650" s="2">
        <v>2.383</v>
      </c>
      <c r="Y650" s="6">
        <f t="shared" si="86"/>
        <v>6.3612824003630442E-2</v>
      </c>
      <c r="AA650" t="s">
        <v>1889</v>
      </c>
      <c r="AB650">
        <v>101151</v>
      </c>
      <c r="AD650" t="s">
        <v>4</v>
      </c>
      <c r="AE650">
        <v>135</v>
      </c>
      <c r="AF650">
        <v>2</v>
      </c>
      <c r="AH650" t="s">
        <v>2733</v>
      </c>
      <c r="AI650" t="s">
        <v>2732</v>
      </c>
      <c r="AK650" t="s">
        <v>2731</v>
      </c>
      <c r="AL650">
        <v>1</v>
      </c>
      <c r="AM650" s="5">
        <f t="shared" si="90"/>
        <v>2.9411764705882353E-2</v>
      </c>
      <c r="AN650" s="4">
        <f t="shared" si="87"/>
        <v>4.4546406218678307E-5</v>
      </c>
      <c r="AO650" s="3"/>
      <c r="AP650">
        <v>0</v>
      </c>
      <c r="AR650" t="s">
        <v>0</v>
      </c>
      <c r="AT650" s="2" t="s">
        <v>19</v>
      </c>
      <c r="AU650" s="1">
        <f t="shared" si="91"/>
        <v>4.4542340724406912</v>
      </c>
      <c r="AV650" s="1">
        <f t="shared" si="92"/>
        <v>3.1828685204924558</v>
      </c>
      <c r="AW650" s="1">
        <f t="shared" si="93"/>
        <v>1.9115029685442209</v>
      </c>
    </row>
    <row r="651" spans="1:49" x14ac:dyDescent="0.2">
      <c r="A651">
        <v>649</v>
      </c>
      <c r="B651" t="s">
        <v>2730</v>
      </c>
      <c r="C651" t="s">
        <v>2729</v>
      </c>
      <c r="F651" t="s">
        <v>2728</v>
      </c>
      <c r="G651" t="s">
        <v>15</v>
      </c>
      <c r="H651" t="s">
        <v>14</v>
      </c>
      <c r="I651" t="s">
        <v>2727</v>
      </c>
      <c r="J651">
        <v>60026340</v>
      </c>
      <c r="K651" t="s">
        <v>2726</v>
      </c>
      <c r="L651" t="s">
        <v>1384</v>
      </c>
      <c r="M651" t="s">
        <v>839</v>
      </c>
      <c r="N651">
        <v>1</v>
      </c>
      <c r="O651" t="s">
        <v>2725</v>
      </c>
      <c r="P651">
        <v>56253100700</v>
      </c>
      <c r="Q651">
        <v>60026340</v>
      </c>
      <c r="R651" s="7">
        <v>32143</v>
      </c>
      <c r="S651" s="8">
        <f t="shared" si="88"/>
        <v>1988</v>
      </c>
      <c r="T651" s="8">
        <v>1988</v>
      </c>
      <c r="U651" s="8">
        <f t="shared" si="89"/>
        <v>34</v>
      </c>
      <c r="V651" s="7" t="s">
        <v>2713</v>
      </c>
      <c r="W651" s="11" t="s">
        <v>1890</v>
      </c>
      <c r="X651" s="2">
        <v>2.383</v>
      </c>
      <c r="Y651" s="6">
        <f t="shared" si="86"/>
        <v>6.3612824003630442E-2</v>
      </c>
      <c r="AA651" t="s">
        <v>1889</v>
      </c>
      <c r="AB651">
        <v>101151</v>
      </c>
      <c r="AD651" t="s">
        <v>4</v>
      </c>
      <c r="AE651">
        <v>135</v>
      </c>
      <c r="AF651">
        <v>2</v>
      </c>
      <c r="AH651" t="s">
        <v>2724</v>
      </c>
      <c r="AI651" t="s">
        <v>2723</v>
      </c>
      <c r="AK651" t="s">
        <v>2722</v>
      </c>
      <c r="AL651">
        <v>385</v>
      </c>
      <c r="AM651" s="5">
        <f t="shared" si="90"/>
        <v>11.323529411764707</v>
      </c>
      <c r="AN651" s="4">
        <f t="shared" si="87"/>
        <v>1.7150366394191149E-2</v>
      </c>
      <c r="AO651" s="3"/>
      <c r="AP651">
        <v>0</v>
      </c>
      <c r="AR651" t="s">
        <v>0</v>
      </c>
      <c r="AT651" s="2" t="s">
        <v>19</v>
      </c>
      <c r="AU651" s="1">
        <f t="shared" si="91"/>
        <v>4.9674086720798654</v>
      </c>
      <c r="AV651" s="1">
        <f t="shared" si="92"/>
        <v>4.0381595198910798</v>
      </c>
      <c r="AW651" s="1">
        <f t="shared" si="93"/>
        <v>3.1089103677022938</v>
      </c>
    </row>
    <row r="652" spans="1:49" x14ac:dyDescent="0.2">
      <c r="A652">
        <v>650</v>
      </c>
      <c r="B652" t="s">
        <v>2721</v>
      </c>
      <c r="C652" t="s">
        <v>2720</v>
      </c>
      <c r="F652" t="s">
        <v>2719</v>
      </c>
      <c r="G652" t="s">
        <v>15</v>
      </c>
      <c r="H652" t="s">
        <v>14</v>
      </c>
      <c r="I652" t="s">
        <v>2718</v>
      </c>
      <c r="J652">
        <v>60021199</v>
      </c>
      <c r="K652" t="s">
        <v>2717</v>
      </c>
      <c r="L652" t="s">
        <v>2153</v>
      </c>
      <c r="M652" t="s">
        <v>1725</v>
      </c>
      <c r="N652">
        <v>3</v>
      </c>
      <c r="O652" t="s">
        <v>2716</v>
      </c>
      <c r="P652" t="s">
        <v>2715</v>
      </c>
      <c r="Q652" t="s">
        <v>2714</v>
      </c>
      <c r="R652" s="7">
        <v>32143</v>
      </c>
      <c r="S652" s="8">
        <f t="shared" si="88"/>
        <v>1988</v>
      </c>
      <c r="T652" s="8">
        <v>1988</v>
      </c>
      <c r="U652" s="8">
        <f t="shared" si="89"/>
        <v>34</v>
      </c>
      <c r="V652" s="7" t="s">
        <v>2713</v>
      </c>
      <c r="W652" s="11" t="s">
        <v>1890</v>
      </c>
      <c r="X652" s="2">
        <v>2.383</v>
      </c>
      <c r="Y652" s="6">
        <f t="shared" si="86"/>
        <v>6.3612824003630442E-2</v>
      </c>
      <c r="AA652" t="s">
        <v>1889</v>
      </c>
      <c r="AB652">
        <v>101151</v>
      </c>
      <c r="AD652" t="s">
        <v>4</v>
      </c>
      <c r="AE652">
        <v>135</v>
      </c>
      <c r="AF652">
        <v>2</v>
      </c>
      <c r="AH652" t="s">
        <v>2712</v>
      </c>
      <c r="AI652" t="s">
        <v>2711</v>
      </c>
      <c r="AK652" t="s">
        <v>2710</v>
      </c>
      <c r="AL652">
        <v>22</v>
      </c>
      <c r="AM652" s="5">
        <f t="shared" si="90"/>
        <v>0.6470588235294118</v>
      </c>
      <c r="AN652" s="4">
        <f t="shared" si="87"/>
        <v>9.8002093681092274E-4</v>
      </c>
      <c r="AO652" s="3"/>
      <c r="AP652">
        <v>0</v>
      </c>
      <c r="AR652" t="s">
        <v>0</v>
      </c>
      <c r="AT652" s="2" t="s">
        <v>19</v>
      </c>
      <c r="AU652" s="1">
        <f t="shared" si="91"/>
        <v>4.4822983083584589</v>
      </c>
      <c r="AV652" s="1">
        <f t="shared" si="92"/>
        <v>3.2296422470220678</v>
      </c>
      <c r="AW652" s="1">
        <f t="shared" si="93"/>
        <v>1.9769861856856781</v>
      </c>
    </row>
    <row r="653" spans="1:49" x14ac:dyDescent="0.2">
      <c r="A653">
        <v>651</v>
      </c>
      <c r="B653" t="s">
        <v>2709</v>
      </c>
      <c r="C653" t="s">
        <v>2708</v>
      </c>
      <c r="F653" t="s">
        <v>2707</v>
      </c>
      <c r="G653" t="s">
        <v>15</v>
      </c>
      <c r="H653" t="s">
        <v>14</v>
      </c>
      <c r="I653" t="s">
        <v>2706</v>
      </c>
      <c r="N653">
        <v>2</v>
      </c>
      <c r="O653" t="s">
        <v>2705</v>
      </c>
      <c r="P653" t="s">
        <v>2704</v>
      </c>
      <c r="Q653" t="s">
        <v>501</v>
      </c>
      <c r="R653" s="7">
        <v>32143</v>
      </c>
      <c r="S653" s="8">
        <f t="shared" si="88"/>
        <v>1988</v>
      </c>
      <c r="T653" s="8">
        <v>1988</v>
      </c>
      <c r="U653" s="8">
        <f t="shared" si="89"/>
        <v>34</v>
      </c>
      <c r="V653" s="7">
        <v>32234</v>
      </c>
      <c r="W653" t="s">
        <v>2703</v>
      </c>
      <c r="X653" s="2">
        <v>2.085</v>
      </c>
      <c r="Y653" s="6">
        <f t="shared" si="86"/>
        <v>5.5657884199567555E-2</v>
      </c>
      <c r="AA653">
        <v>7407467</v>
      </c>
      <c r="AB653">
        <v>31514</v>
      </c>
      <c r="AD653" t="s">
        <v>4</v>
      </c>
      <c r="AE653">
        <v>5</v>
      </c>
      <c r="AF653">
        <v>2</v>
      </c>
      <c r="AH653" s="10">
        <v>45383</v>
      </c>
      <c r="AI653" t="s">
        <v>2702</v>
      </c>
      <c r="AK653" t="s">
        <v>2701</v>
      </c>
      <c r="AL653">
        <v>2531</v>
      </c>
      <c r="AM653" s="5">
        <f t="shared" si="90"/>
        <v>74.441176470588232</v>
      </c>
      <c r="AN653" s="4">
        <f t="shared" si="87"/>
        <v>0.11274695413947479</v>
      </c>
      <c r="AO653" s="3"/>
      <c r="AP653">
        <v>0</v>
      </c>
      <c r="AR653" t="s">
        <v>0</v>
      </c>
      <c r="AT653" s="2" t="s">
        <v>19</v>
      </c>
      <c r="AU653" s="1">
        <f t="shared" si="91"/>
        <v>7.278460518153973</v>
      </c>
      <c r="AV653" s="1">
        <f t="shared" si="92"/>
        <v>8.4202419169521168</v>
      </c>
      <c r="AW653" s="1">
        <f t="shared" si="93"/>
        <v>9.5620233157502614</v>
      </c>
    </row>
    <row r="654" spans="1:49" x14ac:dyDescent="0.2">
      <c r="A654">
        <v>652</v>
      </c>
      <c r="B654" t="s">
        <v>2700</v>
      </c>
      <c r="C654" t="s">
        <v>2699</v>
      </c>
      <c r="F654" t="s">
        <v>2698</v>
      </c>
      <c r="G654" t="s">
        <v>15</v>
      </c>
      <c r="H654" t="s">
        <v>14</v>
      </c>
      <c r="I654" t="s">
        <v>2697</v>
      </c>
      <c r="J654" t="s">
        <v>2696</v>
      </c>
      <c r="K654" t="s">
        <v>2695</v>
      </c>
      <c r="L654" t="s">
        <v>2694</v>
      </c>
      <c r="M654" t="s">
        <v>195</v>
      </c>
      <c r="N654">
        <v>3</v>
      </c>
      <c r="O654" t="s">
        <v>2693</v>
      </c>
      <c r="P654" t="s">
        <v>2692</v>
      </c>
      <c r="Q654" t="s">
        <v>2691</v>
      </c>
      <c r="R654" s="7">
        <v>32143</v>
      </c>
      <c r="S654" s="8">
        <f t="shared" si="88"/>
        <v>1988</v>
      </c>
      <c r="T654" s="8">
        <v>1988</v>
      </c>
      <c r="U654" s="8">
        <f t="shared" si="89"/>
        <v>34</v>
      </c>
      <c r="V654" s="7" t="s">
        <v>2664</v>
      </c>
      <c r="W654" t="s">
        <v>997</v>
      </c>
      <c r="X654" s="2">
        <v>0.33800000000000002</v>
      </c>
      <c r="Y654" s="6">
        <f t="shared" si="86"/>
        <v>9.0227169589706634E-3</v>
      </c>
      <c r="AA654">
        <v>7372884</v>
      </c>
      <c r="AB654">
        <v>70506</v>
      </c>
      <c r="AC654">
        <v>10991247</v>
      </c>
      <c r="AD654" t="s">
        <v>4</v>
      </c>
      <c r="AE654">
        <v>6</v>
      </c>
      <c r="AF654">
        <v>2</v>
      </c>
      <c r="AH654" t="s">
        <v>2690</v>
      </c>
      <c r="AI654" t="s">
        <v>2689</v>
      </c>
      <c r="AJ654" t="s">
        <v>2688</v>
      </c>
      <c r="AK654" t="s">
        <v>2687</v>
      </c>
      <c r="AL654">
        <v>3</v>
      </c>
      <c r="AM654" s="5">
        <f t="shared" si="90"/>
        <v>8.8235294117647065E-2</v>
      </c>
      <c r="AN654" s="4">
        <f t="shared" si="87"/>
        <v>1.3363921865603494E-4</v>
      </c>
      <c r="AO654" s="3"/>
      <c r="AP654">
        <v>0</v>
      </c>
      <c r="AR654" t="s">
        <v>0</v>
      </c>
      <c r="AT654" s="2" t="s">
        <v>19</v>
      </c>
      <c r="AU654" s="1">
        <f t="shared" si="91"/>
        <v>0.63559936368762748</v>
      </c>
      <c r="AV654" s="1">
        <f t="shared" si="92"/>
        <v>0.45781780888133494</v>
      </c>
      <c r="AW654" s="1">
        <f t="shared" si="93"/>
        <v>0.28003625407504235</v>
      </c>
    </row>
    <row r="655" spans="1:49" x14ac:dyDescent="0.2">
      <c r="A655">
        <v>653</v>
      </c>
      <c r="B655" t="s">
        <v>2686</v>
      </c>
      <c r="C655" t="s">
        <v>2685</v>
      </c>
      <c r="F655" t="s">
        <v>2684</v>
      </c>
      <c r="G655" t="s">
        <v>15</v>
      </c>
      <c r="H655" t="s">
        <v>14</v>
      </c>
      <c r="I655" t="s">
        <v>2683</v>
      </c>
      <c r="J655" t="s">
        <v>2682</v>
      </c>
      <c r="K655" t="s">
        <v>2681</v>
      </c>
      <c r="L655" t="s">
        <v>2680</v>
      </c>
      <c r="M655" t="s">
        <v>2679</v>
      </c>
      <c r="N655">
        <v>2</v>
      </c>
      <c r="O655" t="s">
        <v>2678</v>
      </c>
      <c r="P655" t="s">
        <v>2677</v>
      </c>
      <c r="Q655" t="s">
        <v>2676</v>
      </c>
      <c r="R655" s="7">
        <v>32143</v>
      </c>
      <c r="S655" s="8">
        <f t="shared" si="88"/>
        <v>1988</v>
      </c>
      <c r="T655" s="8">
        <v>1988</v>
      </c>
      <c r="U655" s="8">
        <f t="shared" si="89"/>
        <v>34</v>
      </c>
      <c r="V655" s="7" t="s">
        <v>2664</v>
      </c>
      <c r="W655" t="s">
        <v>997</v>
      </c>
      <c r="X655" s="2">
        <v>0.33800000000000002</v>
      </c>
      <c r="Y655" s="6">
        <f t="shared" si="86"/>
        <v>9.0227169589706634E-3</v>
      </c>
      <c r="AA655">
        <v>7372884</v>
      </c>
      <c r="AB655">
        <v>70506</v>
      </c>
      <c r="AC655">
        <v>10991247</v>
      </c>
      <c r="AD655" t="s">
        <v>4</v>
      </c>
      <c r="AE655">
        <v>6</v>
      </c>
      <c r="AF655">
        <v>2</v>
      </c>
      <c r="AH655" t="s">
        <v>2675</v>
      </c>
      <c r="AI655" t="s">
        <v>2674</v>
      </c>
      <c r="AJ655" t="s">
        <v>2673</v>
      </c>
      <c r="AK655" t="s">
        <v>2672</v>
      </c>
      <c r="AL655">
        <v>2</v>
      </c>
      <c r="AM655" s="5">
        <f t="shared" si="90"/>
        <v>5.8823529411764705E-2</v>
      </c>
      <c r="AN655" s="4">
        <f t="shared" si="87"/>
        <v>8.9092812437356614E-5</v>
      </c>
      <c r="AO655" s="3"/>
      <c r="AP655">
        <v>0</v>
      </c>
      <c r="AR655" t="s">
        <v>0</v>
      </c>
      <c r="AT655" s="2" t="s">
        <v>19</v>
      </c>
      <c r="AU655" s="1">
        <f t="shared" si="91"/>
        <v>0.63426297150106714</v>
      </c>
      <c r="AV655" s="1">
        <f t="shared" si="92"/>
        <v>0.45559048857040096</v>
      </c>
      <c r="AW655" s="1">
        <f t="shared" si="93"/>
        <v>0.27691800563973484</v>
      </c>
    </row>
    <row r="656" spans="1:49" x14ac:dyDescent="0.2">
      <c r="A656">
        <v>654</v>
      </c>
      <c r="B656" t="s">
        <v>2671</v>
      </c>
      <c r="C656" t="s">
        <v>2670</v>
      </c>
      <c r="F656" t="s">
        <v>2669</v>
      </c>
      <c r="G656" t="s">
        <v>15</v>
      </c>
      <c r="H656" t="s">
        <v>14</v>
      </c>
      <c r="I656" t="s">
        <v>2668</v>
      </c>
      <c r="J656">
        <v>116321585</v>
      </c>
      <c r="K656" t="s">
        <v>2667</v>
      </c>
      <c r="L656" t="s">
        <v>2666</v>
      </c>
      <c r="M656" t="s">
        <v>31</v>
      </c>
      <c r="N656">
        <v>1</v>
      </c>
      <c r="O656" t="s">
        <v>2665</v>
      </c>
      <c r="P656">
        <v>7401442286</v>
      </c>
      <c r="Q656">
        <v>116321585</v>
      </c>
      <c r="R656" s="7">
        <v>32143</v>
      </c>
      <c r="S656" s="8">
        <f t="shared" si="88"/>
        <v>1988</v>
      </c>
      <c r="T656" s="8">
        <v>1988</v>
      </c>
      <c r="U656" s="8">
        <f t="shared" si="89"/>
        <v>34</v>
      </c>
      <c r="V656" s="7" t="s">
        <v>2664</v>
      </c>
      <c r="W656" t="s">
        <v>997</v>
      </c>
      <c r="X656" s="2">
        <v>0.33800000000000002</v>
      </c>
      <c r="Y656" s="6">
        <f t="shared" si="86"/>
        <v>9.0227169589706634E-3</v>
      </c>
      <c r="AA656">
        <v>7372884</v>
      </c>
      <c r="AB656">
        <v>70506</v>
      </c>
      <c r="AC656">
        <v>10991247</v>
      </c>
      <c r="AD656" t="s">
        <v>4</v>
      </c>
      <c r="AE656">
        <v>6</v>
      </c>
      <c r="AF656">
        <v>2</v>
      </c>
      <c r="AH656" t="s">
        <v>2663</v>
      </c>
      <c r="AI656" t="s">
        <v>2662</v>
      </c>
      <c r="AJ656" t="s">
        <v>2661</v>
      </c>
      <c r="AK656" t="s">
        <v>2660</v>
      </c>
      <c r="AL656">
        <v>2</v>
      </c>
      <c r="AM656" s="5">
        <f t="shared" si="90"/>
        <v>5.8823529411764705E-2</v>
      </c>
      <c r="AN656" s="4">
        <f t="shared" si="87"/>
        <v>8.9092812437356614E-5</v>
      </c>
      <c r="AO656" s="3"/>
      <c r="AP656">
        <v>0</v>
      </c>
      <c r="AR656" t="s">
        <v>0</v>
      </c>
      <c r="AT656" s="2" t="s">
        <v>19</v>
      </c>
      <c r="AU656" s="1">
        <f t="shared" si="91"/>
        <v>0.63426297150106714</v>
      </c>
      <c r="AV656" s="1">
        <f t="shared" si="92"/>
        <v>0.45559048857040096</v>
      </c>
      <c r="AW656" s="1">
        <f t="shared" si="93"/>
        <v>0.27691800563973484</v>
      </c>
    </row>
    <row r="657" spans="1:49" x14ac:dyDescent="0.2">
      <c r="A657">
        <v>655</v>
      </c>
      <c r="B657" t="s">
        <v>2659</v>
      </c>
      <c r="C657" t="s">
        <v>2658</v>
      </c>
      <c r="E657">
        <v>3350545</v>
      </c>
      <c r="F657" t="s">
        <v>2657</v>
      </c>
      <c r="G657" t="s">
        <v>15</v>
      </c>
      <c r="H657" t="s">
        <v>14</v>
      </c>
      <c r="I657" t="s">
        <v>2656</v>
      </c>
      <c r="J657" t="s">
        <v>2655</v>
      </c>
      <c r="K657" t="s">
        <v>2654</v>
      </c>
      <c r="L657" t="s">
        <v>2653</v>
      </c>
      <c r="M657" t="s">
        <v>9</v>
      </c>
      <c r="N657">
        <v>5</v>
      </c>
      <c r="O657" t="s">
        <v>2652</v>
      </c>
      <c r="P657" t="s">
        <v>2651</v>
      </c>
      <c r="Q657" t="s">
        <v>2650</v>
      </c>
      <c r="R657" s="7">
        <v>32143</v>
      </c>
      <c r="S657" s="8">
        <f t="shared" si="88"/>
        <v>1988</v>
      </c>
      <c r="T657" s="8">
        <v>1988</v>
      </c>
      <c r="U657" s="8">
        <f t="shared" si="89"/>
        <v>34</v>
      </c>
      <c r="V657" s="7">
        <v>32203</v>
      </c>
      <c r="W657" t="s">
        <v>2649</v>
      </c>
      <c r="X657" s="2">
        <v>1.1479999999999999</v>
      </c>
      <c r="Y657" s="6">
        <f t="shared" si="86"/>
        <v>3.0645204345853019E-2</v>
      </c>
      <c r="AA657">
        <v>189294</v>
      </c>
      <c r="AB657">
        <v>16318</v>
      </c>
      <c r="AC657">
        <v>15582531</v>
      </c>
      <c r="AD657" t="s">
        <v>4</v>
      </c>
      <c r="AE657">
        <v>35</v>
      </c>
      <c r="AF657">
        <v>3</v>
      </c>
      <c r="AH657" t="s">
        <v>2648</v>
      </c>
      <c r="AI657" t="s">
        <v>2647</v>
      </c>
      <c r="AK657" t="s">
        <v>2646</v>
      </c>
      <c r="AL657">
        <v>14</v>
      </c>
      <c r="AM657" s="5">
        <f t="shared" si="90"/>
        <v>0.41176470588235292</v>
      </c>
      <c r="AN657" s="4">
        <f t="shared" si="87"/>
        <v>6.2364968706149634E-4</v>
      </c>
      <c r="AO657" s="3"/>
      <c r="AP657">
        <v>0</v>
      </c>
      <c r="AQ657" t="s">
        <v>815</v>
      </c>
      <c r="AR657" t="s">
        <v>2645</v>
      </c>
      <c r="AS657" t="s">
        <v>814</v>
      </c>
      <c r="AT657" s="2" t="s">
        <v>19</v>
      </c>
      <c r="AU657" s="1">
        <f t="shared" si="91"/>
        <v>2.1638737948215563</v>
      </c>
      <c r="AV657" s="1">
        <f t="shared" si="92"/>
        <v>1.5634427016457257</v>
      </c>
      <c r="AW657" s="1">
        <f t="shared" si="93"/>
        <v>0.9630116084698952</v>
      </c>
    </row>
    <row r="658" spans="1:49" x14ac:dyDescent="0.2">
      <c r="A658">
        <v>656</v>
      </c>
      <c r="B658" t="s">
        <v>2644</v>
      </c>
      <c r="C658" t="s">
        <v>2643</v>
      </c>
      <c r="F658" t="s">
        <v>2642</v>
      </c>
      <c r="G658" t="s">
        <v>15</v>
      </c>
      <c r="H658" t="s">
        <v>14</v>
      </c>
      <c r="I658" t="s">
        <v>484</v>
      </c>
      <c r="J658">
        <v>60033154</v>
      </c>
      <c r="K658" t="s">
        <v>483</v>
      </c>
      <c r="L658" t="s">
        <v>482</v>
      </c>
      <c r="M658" t="s">
        <v>481</v>
      </c>
      <c r="N658">
        <v>3</v>
      </c>
      <c r="O658" t="s">
        <v>2641</v>
      </c>
      <c r="P658" t="s">
        <v>2640</v>
      </c>
      <c r="Q658" t="s">
        <v>2639</v>
      </c>
      <c r="R658" s="7">
        <v>32143</v>
      </c>
      <c r="S658" s="8">
        <f t="shared" si="88"/>
        <v>1988</v>
      </c>
      <c r="T658" s="8">
        <v>1988</v>
      </c>
      <c r="U658" s="8">
        <f t="shared" si="89"/>
        <v>34</v>
      </c>
      <c r="V658" s="7">
        <v>32203</v>
      </c>
      <c r="W658" t="s">
        <v>2441</v>
      </c>
      <c r="X658" s="2">
        <v>0.78200000000000003</v>
      </c>
      <c r="Y658" s="6">
        <f t="shared" si="86"/>
        <v>2.0875043378446919E-2</v>
      </c>
      <c r="AA658">
        <v>189316</v>
      </c>
      <c r="AB658">
        <v>19901</v>
      </c>
      <c r="AC658">
        <v>15579611</v>
      </c>
      <c r="AD658" t="s">
        <v>4</v>
      </c>
      <c r="AE658">
        <v>34</v>
      </c>
      <c r="AF658">
        <v>1</v>
      </c>
      <c r="AH658" t="s">
        <v>2638</v>
      </c>
      <c r="AI658" t="s">
        <v>2637</v>
      </c>
      <c r="AK658" t="s">
        <v>2636</v>
      </c>
      <c r="AL658">
        <v>12</v>
      </c>
      <c r="AM658" s="5">
        <f t="shared" si="90"/>
        <v>0.35294117647058826</v>
      </c>
      <c r="AN658" s="4">
        <f t="shared" si="87"/>
        <v>5.3455687462413976E-4</v>
      </c>
      <c r="AO658" s="3"/>
      <c r="AP658">
        <v>0</v>
      </c>
      <c r="AQ658" t="s">
        <v>2635</v>
      </c>
      <c r="AR658" t="s">
        <v>0</v>
      </c>
      <c r="AS658" t="s">
        <v>2634</v>
      </c>
      <c r="AT658" s="2">
        <v>3.863</v>
      </c>
      <c r="AU658" s="1">
        <f t="shared" si="91"/>
        <v>1.4772897427300085</v>
      </c>
      <c r="AV658" s="1">
        <f t="shared" si="92"/>
        <v>1.070480012653553</v>
      </c>
      <c r="AW658" s="1">
        <f t="shared" si="93"/>
        <v>0.66367028257709737</v>
      </c>
    </row>
    <row r="659" spans="1:49" x14ac:dyDescent="0.2">
      <c r="A659">
        <v>657</v>
      </c>
      <c r="B659" t="s">
        <v>2633</v>
      </c>
      <c r="C659" t="s">
        <v>2632</v>
      </c>
      <c r="F659" t="s">
        <v>2631</v>
      </c>
      <c r="G659" t="s">
        <v>15</v>
      </c>
      <c r="H659" t="s">
        <v>14</v>
      </c>
      <c r="I659" t="s">
        <v>2630</v>
      </c>
      <c r="J659">
        <v>60019909</v>
      </c>
      <c r="K659" t="s">
        <v>2629</v>
      </c>
      <c r="L659" t="s">
        <v>2628</v>
      </c>
      <c r="M659" t="s">
        <v>31</v>
      </c>
      <c r="N659">
        <v>1</v>
      </c>
      <c r="O659" t="s">
        <v>2627</v>
      </c>
      <c r="P659">
        <v>7101629831</v>
      </c>
      <c r="Q659">
        <v>60019909</v>
      </c>
      <c r="R659" s="7">
        <v>32143</v>
      </c>
      <c r="S659" s="8">
        <f t="shared" si="88"/>
        <v>1988</v>
      </c>
      <c r="T659" s="8">
        <v>1988</v>
      </c>
      <c r="U659" s="8">
        <f t="shared" si="89"/>
        <v>34</v>
      </c>
      <c r="V659" s="7">
        <v>32203</v>
      </c>
      <c r="W659" t="s">
        <v>2579</v>
      </c>
      <c r="X659" s="2">
        <v>0.82</v>
      </c>
      <c r="Y659" s="6">
        <f t="shared" si="86"/>
        <v>2.1889431675609299E-2</v>
      </c>
      <c r="AA659">
        <v>189456</v>
      </c>
      <c r="AB659">
        <v>15361</v>
      </c>
      <c r="AC659">
        <v>15579662</v>
      </c>
      <c r="AD659" t="s">
        <v>4</v>
      </c>
      <c r="AE659">
        <v>37</v>
      </c>
      <c r="AF659">
        <v>1</v>
      </c>
      <c r="AH659" t="s">
        <v>2626</v>
      </c>
      <c r="AI659" t="s">
        <v>2625</v>
      </c>
      <c r="AK659" t="s">
        <v>2624</v>
      </c>
      <c r="AL659">
        <v>5</v>
      </c>
      <c r="AM659" s="5">
        <f t="shared" si="90"/>
        <v>0.14705882352941177</v>
      </c>
      <c r="AN659" s="4">
        <f t="shared" si="87"/>
        <v>2.2273203109339154E-4</v>
      </c>
      <c r="AO659" s="3"/>
      <c r="AP659">
        <v>0</v>
      </c>
      <c r="AR659" t="s">
        <v>0</v>
      </c>
      <c r="AT659" s="2" t="s">
        <v>19</v>
      </c>
      <c r="AU659" s="1">
        <f t="shared" si="91"/>
        <v>1.5389421782254527</v>
      </c>
      <c r="AV659" s="1">
        <f t="shared" si="92"/>
        <v>1.1056081853351345</v>
      </c>
      <c r="AW659" s="1">
        <f t="shared" si="93"/>
        <v>0.67227419244481634</v>
      </c>
    </row>
    <row r="660" spans="1:49" x14ac:dyDescent="0.2">
      <c r="A660">
        <v>658</v>
      </c>
      <c r="B660" t="s">
        <v>2623</v>
      </c>
      <c r="C660" t="s">
        <v>2622</v>
      </c>
      <c r="F660" t="s">
        <v>2621</v>
      </c>
      <c r="G660" t="s">
        <v>15</v>
      </c>
      <c r="H660" t="s">
        <v>14</v>
      </c>
      <c r="I660" t="s">
        <v>2620</v>
      </c>
      <c r="J660">
        <v>60030526</v>
      </c>
      <c r="K660" t="s">
        <v>2619</v>
      </c>
      <c r="L660" t="s">
        <v>212</v>
      </c>
      <c r="M660" t="s">
        <v>211</v>
      </c>
      <c r="N660">
        <v>3</v>
      </c>
      <c r="O660" t="s">
        <v>2618</v>
      </c>
      <c r="P660" t="s">
        <v>2617</v>
      </c>
      <c r="Q660" t="s">
        <v>2616</v>
      </c>
      <c r="R660" s="7">
        <v>32143</v>
      </c>
      <c r="S660" s="8">
        <f t="shared" si="88"/>
        <v>1988</v>
      </c>
      <c r="T660" s="8">
        <v>1988</v>
      </c>
      <c r="U660" s="8">
        <f t="shared" si="89"/>
        <v>34</v>
      </c>
      <c r="V660" s="7">
        <v>1988</v>
      </c>
      <c r="W660" t="s">
        <v>56</v>
      </c>
      <c r="X660" s="2">
        <v>0.375</v>
      </c>
      <c r="Y660" s="6">
        <f t="shared" si="86"/>
        <v>1.0010410827260351E-2</v>
      </c>
      <c r="AA660">
        <v>135194</v>
      </c>
      <c r="AB660">
        <v>24918</v>
      </c>
      <c r="AD660" t="s">
        <v>4</v>
      </c>
      <c r="AE660">
        <v>24</v>
      </c>
      <c r="AF660">
        <v>6</v>
      </c>
      <c r="AH660" t="s">
        <v>2615</v>
      </c>
      <c r="AI660" t="s">
        <v>2614</v>
      </c>
      <c r="AJ660" t="s">
        <v>2613</v>
      </c>
      <c r="AK660" t="s">
        <v>2612</v>
      </c>
      <c r="AL660">
        <v>2</v>
      </c>
      <c r="AM660" s="5">
        <f t="shared" si="90"/>
        <v>5.8823529411764705E-2</v>
      </c>
      <c r="AN660" s="4">
        <f t="shared" si="87"/>
        <v>8.9092812437356614E-5</v>
      </c>
      <c r="AO660" s="3"/>
      <c r="AP660">
        <v>0</v>
      </c>
      <c r="AR660" t="s">
        <v>0</v>
      </c>
      <c r="AT660" s="2">
        <v>1.3140000000000001</v>
      </c>
      <c r="AU660" s="1">
        <f t="shared" si="91"/>
        <v>0.70340154228134533</v>
      </c>
      <c r="AV660" s="1">
        <f t="shared" si="92"/>
        <v>0.50497518198488534</v>
      </c>
      <c r="AW660" s="1">
        <f t="shared" si="93"/>
        <v>0.30654882168842545</v>
      </c>
    </row>
    <row r="661" spans="1:49" x14ac:dyDescent="0.2">
      <c r="A661">
        <v>659</v>
      </c>
      <c r="B661" t="s">
        <v>2611</v>
      </c>
      <c r="C661" t="s">
        <v>2610</v>
      </c>
      <c r="F661" t="s">
        <v>2609</v>
      </c>
      <c r="G661" t="s">
        <v>15</v>
      </c>
      <c r="H661" t="s">
        <v>14</v>
      </c>
      <c r="I661" t="s">
        <v>2608</v>
      </c>
      <c r="J661">
        <v>60075697</v>
      </c>
      <c r="K661" t="s">
        <v>2607</v>
      </c>
      <c r="L661" t="s">
        <v>2606</v>
      </c>
      <c r="M661" t="s">
        <v>45</v>
      </c>
      <c r="N661">
        <v>2</v>
      </c>
      <c r="O661" t="s">
        <v>2605</v>
      </c>
      <c r="P661" t="s">
        <v>2604</v>
      </c>
      <c r="Q661" t="s">
        <v>2603</v>
      </c>
      <c r="R661" s="7">
        <v>32143</v>
      </c>
      <c r="S661" s="8">
        <f t="shared" si="88"/>
        <v>1988</v>
      </c>
      <c r="T661" s="8">
        <v>1988</v>
      </c>
      <c r="U661" s="8">
        <f t="shared" si="89"/>
        <v>34</v>
      </c>
      <c r="V661" s="7">
        <v>1988</v>
      </c>
      <c r="W661" t="s">
        <v>56</v>
      </c>
      <c r="X661" s="2">
        <v>0.375</v>
      </c>
      <c r="Y661" s="6">
        <f t="shared" si="86"/>
        <v>1.0010410827260351E-2</v>
      </c>
      <c r="AA661">
        <v>135194</v>
      </c>
      <c r="AB661">
        <v>24918</v>
      </c>
      <c r="AD661" t="s">
        <v>4</v>
      </c>
      <c r="AE661">
        <v>24</v>
      </c>
      <c r="AF661">
        <v>6</v>
      </c>
      <c r="AH661" t="s">
        <v>2602</v>
      </c>
      <c r="AI661" t="s">
        <v>2601</v>
      </c>
      <c r="AJ661" t="s">
        <v>2600</v>
      </c>
      <c r="AK661" t="s">
        <v>2599</v>
      </c>
      <c r="AL661">
        <v>40</v>
      </c>
      <c r="AM661" s="5">
        <f t="shared" si="90"/>
        <v>1.1764705882352942</v>
      </c>
      <c r="AN661" s="4">
        <f t="shared" si="87"/>
        <v>1.7818562487471323E-3</v>
      </c>
      <c r="AO661" s="3"/>
      <c r="AP661">
        <v>0</v>
      </c>
      <c r="AR661" t="s">
        <v>0</v>
      </c>
      <c r="AT661" s="2">
        <v>1.3140000000000001</v>
      </c>
      <c r="AU661" s="1">
        <f t="shared" si="91"/>
        <v>0.75418444537063856</v>
      </c>
      <c r="AV661" s="1">
        <f t="shared" si="92"/>
        <v>0.58961335380037416</v>
      </c>
      <c r="AW661" s="1">
        <f t="shared" si="93"/>
        <v>0.42504226223010982</v>
      </c>
    </row>
    <row r="662" spans="1:49" x14ac:dyDescent="0.2">
      <c r="A662">
        <v>660</v>
      </c>
      <c r="B662" t="s">
        <v>2598</v>
      </c>
      <c r="C662" t="s">
        <v>2597</v>
      </c>
      <c r="D662" t="s">
        <v>2596</v>
      </c>
      <c r="E662">
        <v>3075499</v>
      </c>
      <c r="F662" t="s">
        <v>2595</v>
      </c>
      <c r="G662" t="s">
        <v>15</v>
      </c>
      <c r="H662" t="s">
        <v>14</v>
      </c>
      <c r="I662" t="s">
        <v>2594</v>
      </c>
      <c r="J662" t="s">
        <v>2593</v>
      </c>
      <c r="K662" t="s">
        <v>2592</v>
      </c>
      <c r="L662" t="s">
        <v>2591</v>
      </c>
      <c r="M662" t="s">
        <v>9</v>
      </c>
      <c r="N662">
        <v>7</v>
      </c>
      <c r="O662" t="s">
        <v>2590</v>
      </c>
      <c r="P662" t="s">
        <v>2589</v>
      </c>
      <c r="Q662" t="s">
        <v>2588</v>
      </c>
      <c r="R662" s="7">
        <v>32143</v>
      </c>
      <c r="S662" s="8">
        <f t="shared" si="88"/>
        <v>1988</v>
      </c>
      <c r="T662" s="8">
        <v>1988</v>
      </c>
      <c r="U662" s="8">
        <f t="shared" si="89"/>
        <v>34</v>
      </c>
      <c r="V662" s="7">
        <v>1988</v>
      </c>
      <c r="W662" t="s">
        <v>2587</v>
      </c>
      <c r="X662" s="2">
        <v>0.54800000000000004</v>
      </c>
      <c r="Y662" s="6">
        <f t="shared" si="86"/>
        <v>1.4628547022236461E-2</v>
      </c>
      <c r="AA662">
        <v>9583947</v>
      </c>
      <c r="AB662">
        <v>17270</v>
      </c>
      <c r="AD662" t="s">
        <v>4</v>
      </c>
      <c r="AE662">
        <v>13</v>
      </c>
      <c r="AF662">
        <v>1</v>
      </c>
      <c r="AH662" t="s">
        <v>2586</v>
      </c>
      <c r="AI662" t="s">
        <v>2585</v>
      </c>
      <c r="AJ662" t="s">
        <v>2584</v>
      </c>
      <c r="AK662" t="s">
        <v>2583</v>
      </c>
      <c r="AL662">
        <v>10</v>
      </c>
      <c r="AM662" s="5">
        <f t="shared" si="90"/>
        <v>0.29411764705882354</v>
      </c>
      <c r="AN662" s="4">
        <f t="shared" si="87"/>
        <v>4.4546406218678308E-4</v>
      </c>
      <c r="AO662" s="3"/>
      <c r="AP662">
        <v>0</v>
      </c>
      <c r="AR662" t="s">
        <v>0</v>
      </c>
      <c r="AT662" s="2">
        <v>1.482</v>
      </c>
      <c r="AU662" s="1">
        <f t="shared" si="91"/>
        <v>1.0373622134221558</v>
      </c>
      <c r="AV662" s="1">
        <f t="shared" si="92"/>
        <v>0.75370055422116222</v>
      </c>
      <c r="AW662" s="1">
        <f t="shared" si="93"/>
        <v>0.4700388950201686</v>
      </c>
    </row>
    <row r="663" spans="1:49" x14ac:dyDescent="0.2">
      <c r="A663">
        <v>661</v>
      </c>
      <c r="B663" t="s">
        <v>2582</v>
      </c>
      <c r="C663" t="s">
        <v>2581</v>
      </c>
      <c r="F663" t="s">
        <v>2580</v>
      </c>
      <c r="G663" t="s">
        <v>15</v>
      </c>
      <c r="H663" t="s">
        <v>14</v>
      </c>
      <c r="I663" t="s">
        <v>2442</v>
      </c>
      <c r="J663">
        <v>60005304</v>
      </c>
      <c r="K663" t="s">
        <v>72</v>
      </c>
      <c r="L663" t="s">
        <v>71</v>
      </c>
      <c r="M663" t="s">
        <v>31</v>
      </c>
      <c r="N663">
        <v>1</v>
      </c>
      <c r="O663" t="s">
        <v>999</v>
      </c>
      <c r="P663">
        <v>7004942669</v>
      </c>
      <c r="Q663">
        <v>60005304</v>
      </c>
      <c r="R663" s="7">
        <v>32143</v>
      </c>
      <c r="S663" s="8">
        <f t="shared" si="88"/>
        <v>1988</v>
      </c>
      <c r="T663" s="8">
        <v>1988</v>
      </c>
      <c r="U663" s="8">
        <f t="shared" si="89"/>
        <v>34</v>
      </c>
      <c r="V663" s="7">
        <v>32203</v>
      </c>
      <c r="W663" t="s">
        <v>2579</v>
      </c>
      <c r="X663" s="2">
        <v>0.82</v>
      </c>
      <c r="Y663" s="6">
        <f t="shared" si="86"/>
        <v>2.1889431675609299E-2</v>
      </c>
      <c r="AA663">
        <v>189456</v>
      </c>
      <c r="AB663">
        <v>15361</v>
      </c>
      <c r="AC663">
        <v>15579662</v>
      </c>
      <c r="AD663" t="s">
        <v>4</v>
      </c>
      <c r="AE663">
        <v>37</v>
      </c>
      <c r="AF663">
        <v>1</v>
      </c>
      <c r="AH663" t="s">
        <v>2578</v>
      </c>
      <c r="AI663" t="s">
        <v>2577</v>
      </c>
      <c r="AK663" t="s">
        <v>2576</v>
      </c>
      <c r="AL663">
        <v>2</v>
      </c>
      <c r="AM663" s="5">
        <f t="shared" si="90"/>
        <v>5.8823529411764705E-2</v>
      </c>
      <c r="AN663" s="4">
        <f t="shared" si="87"/>
        <v>8.9092812437356614E-5</v>
      </c>
      <c r="AO663" s="3"/>
      <c r="AP663">
        <v>0</v>
      </c>
      <c r="AR663" t="s">
        <v>0</v>
      </c>
      <c r="AT663" s="2" t="s">
        <v>19</v>
      </c>
      <c r="AU663" s="1">
        <f t="shared" si="91"/>
        <v>1.5349330016657714</v>
      </c>
      <c r="AV663" s="1">
        <f t="shared" si="92"/>
        <v>1.0989262244023328</v>
      </c>
      <c r="AW663" s="1">
        <f t="shared" si="93"/>
        <v>0.66291944713889384</v>
      </c>
    </row>
    <row r="664" spans="1:49" x14ac:dyDescent="0.2">
      <c r="A664">
        <v>662</v>
      </c>
      <c r="B664" t="s">
        <v>2575</v>
      </c>
      <c r="C664" t="s">
        <v>2574</v>
      </c>
      <c r="F664" t="s">
        <v>2573</v>
      </c>
      <c r="G664" t="s">
        <v>15</v>
      </c>
      <c r="H664" t="s">
        <v>14</v>
      </c>
      <c r="I664" t="s">
        <v>484</v>
      </c>
      <c r="J664">
        <v>60033154</v>
      </c>
      <c r="K664" t="s">
        <v>483</v>
      </c>
      <c r="L664" t="s">
        <v>482</v>
      </c>
      <c r="M664" t="s">
        <v>481</v>
      </c>
      <c r="N664">
        <v>1</v>
      </c>
      <c r="O664" t="s">
        <v>2572</v>
      </c>
      <c r="P664">
        <v>7006097946</v>
      </c>
      <c r="Q664">
        <v>60033154</v>
      </c>
      <c r="R664" s="7">
        <v>32143</v>
      </c>
      <c r="S664" s="8">
        <f t="shared" si="88"/>
        <v>1988</v>
      </c>
      <c r="T664" s="8">
        <v>1988</v>
      </c>
      <c r="U664" s="8">
        <f t="shared" si="89"/>
        <v>34</v>
      </c>
      <c r="V664" s="7">
        <v>32203</v>
      </c>
      <c r="W664" t="s">
        <v>2441</v>
      </c>
      <c r="X664" s="2">
        <v>0.78200000000000003</v>
      </c>
      <c r="Y664" s="6">
        <f t="shared" si="86"/>
        <v>2.0875043378446919E-2</v>
      </c>
      <c r="AA664">
        <v>189316</v>
      </c>
      <c r="AB664">
        <v>19901</v>
      </c>
      <c r="AC664">
        <v>15579611</v>
      </c>
      <c r="AD664" t="s">
        <v>4</v>
      </c>
      <c r="AE664">
        <v>34</v>
      </c>
      <c r="AF664">
        <v>1</v>
      </c>
      <c r="AH664" t="s">
        <v>2571</v>
      </c>
      <c r="AI664" t="s">
        <v>2570</v>
      </c>
      <c r="AK664" t="s">
        <v>2569</v>
      </c>
      <c r="AL664">
        <v>8</v>
      </c>
      <c r="AM664" s="5">
        <f t="shared" si="90"/>
        <v>0.23529411764705882</v>
      </c>
      <c r="AN664" s="4">
        <f t="shared" si="87"/>
        <v>3.5637124974942646E-4</v>
      </c>
      <c r="AO664" s="3"/>
      <c r="AP664">
        <v>0</v>
      </c>
      <c r="AR664" t="s">
        <v>0</v>
      </c>
      <c r="AT664" s="2">
        <v>3.863</v>
      </c>
      <c r="AU664" s="1">
        <f t="shared" si="91"/>
        <v>1.4719441739837671</v>
      </c>
      <c r="AV664" s="1">
        <f t="shared" si="92"/>
        <v>1.0615707314098173</v>
      </c>
      <c r="AW664" s="1">
        <f t="shared" si="93"/>
        <v>0.65119728883586747</v>
      </c>
    </row>
    <row r="665" spans="1:49" x14ac:dyDescent="0.2">
      <c r="A665">
        <v>663</v>
      </c>
      <c r="B665" t="s">
        <v>2568</v>
      </c>
      <c r="C665" t="s">
        <v>2567</v>
      </c>
      <c r="F665" t="s">
        <v>2566</v>
      </c>
      <c r="G665" t="s">
        <v>15</v>
      </c>
      <c r="H665" t="s">
        <v>14</v>
      </c>
      <c r="I665" t="s">
        <v>2565</v>
      </c>
      <c r="J665">
        <v>60030480</v>
      </c>
      <c r="K665" t="s">
        <v>2564</v>
      </c>
      <c r="L665" t="s">
        <v>2563</v>
      </c>
      <c r="M665" t="s">
        <v>1011</v>
      </c>
      <c r="N665">
        <v>2</v>
      </c>
      <c r="O665" t="s">
        <v>2562</v>
      </c>
      <c r="P665" t="s">
        <v>2561</v>
      </c>
      <c r="Q665" t="s">
        <v>2560</v>
      </c>
      <c r="R665" s="7">
        <v>32143</v>
      </c>
      <c r="S665" s="8">
        <f t="shared" si="88"/>
        <v>1988</v>
      </c>
      <c r="T665" s="8">
        <v>1988</v>
      </c>
      <c r="U665" s="8">
        <f t="shared" si="89"/>
        <v>34</v>
      </c>
      <c r="V665" s="7">
        <v>32203</v>
      </c>
      <c r="W665" t="s">
        <v>1073</v>
      </c>
      <c r="X665" s="2">
        <v>1.3720000000000001</v>
      </c>
      <c r="Y665" s="6">
        <f t="shared" si="86"/>
        <v>3.662475641333654E-2</v>
      </c>
      <c r="AA665">
        <v>189480</v>
      </c>
      <c r="AB665">
        <v>17366</v>
      </c>
      <c r="AC665">
        <v>15579670</v>
      </c>
      <c r="AD665" t="s">
        <v>4</v>
      </c>
      <c r="AE665">
        <v>36</v>
      </c>
      <c r="AF665">
        <v>3</v>
      </c>
      <c r="AH665" t="s">
        <v>2559</v>
      </c>
      <c r="AI665" t="s">
        <v>2558</v>
      </c>
      <c r="AK665" t="s">
        <v>2557</v>
      </c>
      <c r="AL665">
        <v>12</v>
      </c>
      <c r="AM665" s="5">
        <f t="shared" si="90"/>
        <v>0.35294117647058826</v>
      </c>
      <c r="AN665" s="4">
        <f t="shared" si="87"/>
        <v>5.3455687462413976E-4</v>
      </c>
      <c r="AO665" s="3"/>
      <c r="AP665">
        <v>0</v>
      </c>
      <c r="AR665" t="s">
        <v>0</v>
      </c>
      <c r="AS665" t="s">
        <v>2556</v>
      </c>
      <c r="AT665" s="2" t="s">
        <v>19</v>
      </c>
      <c r="AU665" s="1">
        <f t="shared" si="91"/>
        <v>2.579769655172282</v>
      </c>
      <c r="AV665" s="1">
        <f t="shared" si="92"/>
        <v>1.857965664398034</v>
      </c>
      <c r="AW665" s="1">
        <f t="shared" si="93"/>
        <v>1.1361616736237861</v>
      </c>
    </row>
    <row r="666" spans="1:49" x14ac:dyDescent="0.2">
      <c r="A666">
        <v>664</v>
      </c>
      <c r="B666" t="s">
        <v>2555</v>
      </c>
      <c r="C666" t="s">
        <v>2554</v>
      </c>
      <c r="F666" t="s">
        <v>2553</v>
      </c>
      <c r="G666" t="s">
        <v>15</v>
      </c>
      <c r="H666" t="s">
        <v>14</v>
      </c>
      <c r="I666" t="s">
        <v>2552</v>
      </c>
      <c r="N666">
        <v>1</v>
      </c>
      <c r="O666" t="s">
        <v>2551</v>
      </c>
      <c r="P666">
        <v>6505969060</v>
      </c>
      <c r="R666" s="7">
        <v>32143</v>
      </c>
      <c r="S666" s="8">
        <f t="shared" si="88"/>
        <v>1988</v>
      </c>
      <c r="T666" s="8">
        <v>1988</v>
      </c>
      <c r="U666" s="8">
        <f t="shared" si="89"/>
        <v>34</v>
      </c>
      <c r="V666" s="7">
        <v>32203</v>
      </c>
      <c r="W666" t="s">
        <v>2441</v>
      </c>
      <c r="X666" s="2">
        <v>0.78200000000000003</v>
      </c>
      <c r="Y666" s="6">
        <f t="shared" si="86"/>
        <v>2.0875043378446919E-2</v>
      </c>
      <c r="AA666">
        <v>189316</v>
      </c>
      <c r="AB666">
        <v>19901</v>
      </c>
      <c r="AC666">
        <v>15579611</v>
      </c>
      <c r="AD666" t="s">
        <v>4</v>
      </c>
      <c r="AE666">
        <v>34</v>
      </c>
      <c r="AF666">
        <v>1</v>
      </c>
      <c r="AH666" t="s">
        <v>2550</v>
      </c>
      <c r="AI666" t="s">
        <v>2549</v>
      </c>
      <c r="AK666" t="s">
        <v>2548</v>
      </c>
      <c r="AL666">
        <v>0</v>
      </c>
      <c r="AM666" s="5">
        <f t="shared" si="90"/>
        <v>0</v>
      </c>
      <c r="AN666" s="4">
        <f t="shared" si="87"/>
        <v>0</v>
      </c>
      <c r="AO666" s="3"/>
      <c r="AP666">
        <v>0</v>
      </c>
      <c r="AR666" t="s">
        <v>0</v>
      </c>
      <c r="AT666" s="2">
        <v>3.863</v>
      </c>
      <c r="AU666" s="1">
        <f t="shared" si="91"/>
        <v>1.4612530364912841</v>
      </c>
      <c r="AV666" s="1">
        <f t="shared" si="92"/>
        <v>1.0437521689223459</v>
      </c>
      <c r="AW666" s="1">
        <f t="shared" si="93"/>
        <v>0.62625130135340756</v>
      </c>
    </row>
    <row r="667" spans="1:49" x14ac:dyDescent="0.2">
      <c r="A667">
        <v>665</v>
      </c>
      <c r="B667" t="s">
        <v>2547</v>
      </c>
      <c r="C667" t="s">
        <v>2546</v>
      </c>
      <c r="D667" t="s">
        <v>2545</v>
      </c>
      <c r="F667" t="s">
        <v>2544</v>
      </c>
      <c r="G667" t="s">
        <v>15</v>
      </c>
      <c r="H667" t="s">
        <v>14</v>
      </c>
      <c r="I667" t="s">
        <v>2543</v>
      </c>
      <c r="J667" t="s">
        <v>2542</v>
      </c>
      <c r="K667" t="s">
        <v>2541</v>
      </c>
      <c r="L667" t="s">
        <v>2540</v>
      </c>
      <c r="M667" t="s">
        <v>1742</v>
      </c>
      <c r="N667">
        <v>3</v>
      </c>
      <c r="O667" t="s">
        <v>2539</v>
      </c>
      <c r="P667" t="s">
        <v>2538</v>
      </c>
      <c r="Q667" t="s">
        <v>2537</v>
      </c>
      <c r="R667" s="7">
        <v>32143</v>
      </c>
      <c r="S667" s="8">
        <f t="shared" si="88"/>
        <v>1988</v>
      </c>
      <c r="T667" s="8">
        <v>1988</v>
      </c>
      <c r="U667" s="8">
        <f t="shared" si="89"/>
        <v>34</v>
      </c>
      <c r="V667" s="7">
        <v>32203</v>
      </c>
      <c r="W667" t="s">
        <v>2536</v>
      </c>
      <c r="X667" s="2" t="s">
        <v>19</v>
      </c>
      <c r="Y667" s="6" t="e">
        <f t="shared" si="86"/>
        <v>#VALUE!</v>
      </c>
      <c r="AA667">
        <v>1679031</v>
      </c>
      <c r="AB667">
        <v>36554</v>
      </c>
      <c r="AD667" t="s">
        <v>4</v>
      </c>
      <c r="AE667">
        <v>6</v>
      </c>
      <c r="AF667">
        <v>3</v>
      </c>
      <c r="AH667" t="s">
        <v>2535</v>
      </c>
      <c r="AI667" t="s">
        <v>2534</v>
      </c>
      <c r="AK667" t="s">
        <v>2533</v>
      </c>
      <c r="AL667">
        <v>0</v>
      </c>
      <c r="AM667" s="5">
        <f t="shared" si="90"/>
        <v>0</v>
      </c>
      <c r="AN667" s="4">
        <f t="shared" si="87"/>
        <v>0</v>
      </c>
      <c r="AO667" s="3"/>
      <c r="AP667">
        <v>0</v>
      </c>
      <c r="AR667" t="s">
        <v>0</v>
      </c>
      <c r="AT667" s="2" t="s">
        <v>19</v>
      </c>
      <c r="AU667" s="1" t="e">
        <f t="shared" si="91"/>
        <v>#VALUE!</v>
      </c>
      <c r="AV667" s="1" t="e">
        <f t="shared" si="92"/>
        <v>#VALUE!</v>
      </c>
      <c r="AW667" s="1" t="e">
        <f t="shared" si="93"/>
        <v>#VALUE!</v>
      </c>
    </row>
    <row r="668" spans="1:49" x14ac:dyDescent="0.2">
      <c r="A668">
        <v>666</v>
      </c>
      <c r="B668" t="s">
        <v>2532</v>
      </c>
      <c r="C668" t="s">
        <v>2531</v>
      </c>
      <c r="F668" t="s">
        <v>2530</v>
      </c>
      <c r="G668" t="s">
        <v>15</v>
      </c>
      <c r="H668" t="s">
        <v>14</v>
      </c>
      <c r="I668" t="s">
        <v>2529</v>
      </c>
      <c r="J668">
        <v>60020547</v>
      </c>
      <c r="K668" t="s">
        <v>2383</v>
      </c>
      <c r="L668" t="s">
        <v>2382</v>
      </c>
      <c r="M668" t="s">
        <v>31</v>
      </c>
      <c r="N668">
        <v>2</v>
      </c>
      <c r="O668" t="s">
        <v>2528</v>
      </c>
      <c r="P668" t="s">
        <v>2527</v>
      </c>
      <c r="Q668" t="s">
        <v>2526</v>
      </c>
      <c r="R668" s="7">
        <v>32143</v>
      </c>
      <c r="S668" s="8">
        <f t="shared" si="88"/>
        <v>1988</v>
      </c>
      <c r="T668" s="8">
        <v>1988</v>
      </c>
      <c r="U668" s="8">
        <f t="shared" si="89"/>
        <v>34</v>
      </c>
      <c r="V668" s="7">
        <v>32203</v>
      </c>
      <c r="W668" t="s">
        <v>1073</v>
      </c>
      <c r="X668" s="2">
        <v>1.3720000000000001</v>
      </c>
      <c r="Y668" s="6">
        <f t="shared" si="86"/>
        <v>3.662475641333654E-2</v>
      </c>
      <c r="AA668">
        <v>189480</v>
      </c>
      <c r="AB668">
        <v>17366</v>
      </c>
      <c r="AC668">
        <v>15579670</v>
      </c>
      <c r="AD668" t="s">
        <v>4</v>
      </c>
      <c r="AE668">
        <v>36</v>
      </c>
      <c r="AF668">
        <v>3</v>
      </c>
      <c r="AH668" t="s">
        <v>2525</v>
      </c>
      <c r="AI668" t="s">
        <v>2524</v>
      </c>
      <c r="AK668" t="s">
        <v>2523</v>
      </c>
      <c r="AL668">
        <v>13</v>
      </c>
      <c r="AM668" s="5">
        <f t="shared" si="90"/>
        <v>0.38235294117647056</v>
      </c>
      <c r="AN668" s="4">
        <f t="shared" si="87"/>
        <v>5.7910328084281794E-4</v>
      </c>
      <c r="AO668" s="3"/>
      <c r="AP668">
        <v>0</v>
      </c>
      <c r="AR668" t="s">
        <v>0</v>
      </c>
      <c r="AT668" s="2" t="s">
        <v>19</v>
      </c>
      <c r="AU668" s="1">
        <f t="shared" si="91"/>
        <v>2.5811060473588423</v>
      </c>
      <c r="AV668" s="1">
        <f t="shared" si="92"/>
        <v>1.860192984708968</v>
      </c>
      <c r="AW668" s="1">
        <f t="shared" si="93"/>
        <v>1.1392799220590935</v>
      </c>
    </row>
    <row r="669" spans="1:49" x14ac:dyDescent="0.2">
      <c r="A669">
        <v>667</v>
      </c>
      <c r="B669" t="s">
        <v>2522</v>
      </c>
      <c r="C669" t="s">
        <v>2521</v>
      </c>
      <c r="F669" t="s">
        <v>2520</v>
      </c>
      <c r="G669" t="s">
        <v>15</v>
      </c>
      <c r="H669" t="s">
        <v>14</v>
      </c>
      <c r="I669" t="s">
        <v>2519</v>
      </c>
      <c r="J669">
        <v>60009037</v>
      </c>
      <c r="K669" t="s">
        <v>400</v>
      </c>
      <c r="L669" t="s">
        <v>399</v>
      </c>
      <c r="M669" t="s">
        <v>31</v>
      </c>
      <c r="N669">
        <v>2</v>
      </c>
      <c r="O669" t="s">
        <v>2518</v>
      </c>
      <c r="P669" t="s">
        <v>2517</v>
      </c>
      <c r="Q669" t="s">
        <v>894</v>
      </c>
      <c r="R669" s="7">
        <v>32143</v>
      </c>
      <c r="S669" s="8">
        <f t="shared" si="88"/>
        <v>1988</v>
      </c>
      <c r="T669" s="8">
        <v>1988</v>
      </c>
      <c r="U669" s="8">
        <f t="shared" si="89"/>
        <v>34</v>
      </c>
      <c r="V669" s="7">
        <v>32203</v>
      </c>
      <c r="W669" t="s">
        <v>2450</v>
      </c>
      <c r="X669" s="2">
        <v>2.141</v>
      </c>
      <c r="Y669" s="6">
        <f t="shared" si="86"/>
        <v>5.7152772216438434E-2</v>
      </c>
      <c r="AA669">
        <v>1962892</v>
      </c>
      <c r="AB669">
        <v>17360</v>
      </c>
      <c r="AC669">
        <v>15580644</v>
      </c>
      <c r="AD669" t="s">
        <v>4</v>
      </c>
      <c r="AE669">
        <v>26</v>
      </c>
      <c r="AF669">
        <v>2</v>
      </c>
      <c r="AH669" t="s">
        <v>2516</v>
      </c>
      <c r="AI669" t="s">
        <v>2515</v>
      </c>
      <c r="AK669" t="s">
        <v>2514</v>
      </c>
      <c r="AL669">
        <v>60</v>
      </c>
      <c r="AM669" s="5">
        <f t="shared" si="90"/>
        <v>1.7647058823529411</v>
      </c>
      <c r="AN669" s="4">
        <f t="shared" si="87"/>
        <v>2.6727843731206985E-3</v>
      </c>
      <c r="AO669" s="3"/>
      <c r="AP669">
        <v>0</v>
      </c>
      <c r="AQ669" t="s">
        <v>577</v>
      </c>
      <c r="AR669" t="s">
        <v>0</v>
      </c>
      <c r="AS669" t="s">
        <v>575</v>
      </c>
      <c r="AT669" s="2" t="s">
        <v>19</v>
      </c>
      <c r="AU669" s="1">
        <f t="shared" si="91"/>
        <v>4.080877586344311</v>
      </c>
      <c r="AV669" s="1">
        <f t="shared" si="92"/>
        <v>2.9912778294779567</v>
      </c>
      <c r="AW669" s="1">
        <f t="shared" si="93"/>
        <v>1.9016780726116018</v>
      </c>
    </row>
    <row r="670" spans="1:49" x14ac:dyDescent="0.2">
      <c r="A670">
        <v>668</v>
      </c>
      <c r="B670" t="s">
        <v>2513</v>
      </c>
      <c r="C670" t="s">
        <v>2512</v>
      </c>
      <c r="F670" t="s">
        <v>2511</v>
      </c>
      <c r="G670" t="s">
        <v>15</v>
      </c>
      <c r="H670" t="s">
        <v>14</v>
      </c>
      <c r="I670" t="s">
        <v>2510</v>
      </c>
      <c r="J670">
        <v>60029622</v>
      </c>
      <c r="K670" t="s">
        <v>2509</v>
      </c>
      <c r="L670" t="s">
        <v>2508</v>
      </c>
      <c r="M670" t="s">
        <v>58</v>
      </c>
      <c r="N670">
        <v>1</v>
      </c>
      <c r="O670" t="s">
        <v>2507</v>
      </c>
      <c r="P670">
        <v>56838354200</v>
      </c>
      <c r="Q670">
        <v>60029622</v>
      </c>
      <c r="R670" s="7">
        <v>32143</v>
      </c>
      <c r="S670" s="8">
        <f t="shared" si="88"/>
        <v>1988</v>
      </c>
      <c r="T670" s="8">
        <v>1988</v>
      </c>
      <c r="U670" s="8">
        <f t="shared" si="89"/>
        <v>34</v>
      </c>
      <c r="V670" s="7">
        <v>32203</v>
      </c>
      <c r="W670" t="s">
        <v>1175</v>
      </c>
      <c r="X670" s="2">
        <v>1.218</v>
      </c>
      <c r="Y670" s="6">
        <f t="shared" si="86"/>
        <v>3.2513814366941618E-2</v>
      </c>
      <c r="AA670">
        <v>189448</v>
      </c>
      <c r="AB670">
        <v>15107</v>
      </c>
      <c r="AC670">
        <v>15579654</v>
      </c>
      <c r="AD670" t="s">
        <v>4</v>
      </c>
      <c r="AE670">
        <v>34</v>
      </c>
      <c r="AF670">
        <v>2</v>
      </c>
      <c r="AH670" t="s">
        <v>2506</v>
      </c>
      <c r="AI670" t="s">
        <v>2505</v>
      </c>
      <c r="AK670" t="s">
        <v>2504</v>
      </c>
      <c r="AL670">
        <v>18</v>
      </c>
      <c r="AM670" s="5">
        <f t="shared" si="90"/>
        <v>0.52941176470588236</v>
      </c>
      <c r="AN670" s="4">
        <f t="shared" si="87"/>
        <v>8.0183531193620959E-4</v>
      </c>
      <c r="AO670" s="3"/>
      <c r="AP670">
        <v>0</v>
      </c>
      <c r="AR670" t="s">
        <v>0</v>
      </c>
      <c r="AT670" s="2" t="s">
        <v>19</v>
      </c>
      <c r="AU670" s="1">
        <f t="shared" si="91"/>
        <v>2.3000220650439998</v>
      </c>
      <c r="AV670" s="1">
        <f t="shared" si="92"/>
        <v>1.6657824839438913</v>
      </c>
      <c r="AW670" s="1">
        <f t="shared" si="93"/>
        <v>1.031542902843783</v>
      </c>
    </row>
    <row r="671" spans="1:49" x14ac:dyDescent="0.2">
      <c r="A671">
        <v>669</v>
      </c>
      <c r="B671" t="s">
        <v>2503</v>
      </c>
      <c r="C671" t="s">
        <v>2502</v>
      </c>
      <c r="F671" t="s">
        <v>2501</v>
      </c>
      <c r="G671" t="s">
        <v>15</v>
      </c>
      <c r="H671" t="s">
        <v>14</v>
      </c>
      <c r="I671" t="s">
        <v>2500</v>
      </c>
      <c r="J671" t="s">
        <v>2499</v>
      </c>
      <c r="K671" t="s">
        <v>2498</v>
      </c>
      <c r="L671" t="s">
        <v>2497</v>
      </c>
      <c r="M671" t="s">
        <v>9</v>
      </c>
      <c r="N671">
        <v>2</v>
      </c>
      <c r="O671" t="s">
        <v>2496</v>
      </c>
      <c r="P671" t="s">
        <v>2495</v>
      </c>
      <c r="Q671" t="s">
        <v>2494</v>
      </c>
      <c r="R671" s="7">
        <v>32143</v>
      </c>
      <c r="S671" s="8">
        <f t="shared" si="88"/>
        <v>1988</v>
      </c>
      <c r="T671" s="8">
        <v>1988</v>
      </c>
      <c r="U671" s="8">
        <f t="shared" si="89"/>
        <v>34</v>
      </c>
      <c r="V671" s="7">
        <v>32203</v>
      </c>
      <c r="W671" t="s">
        <v>2392</v>
      </c>
      <c r="X671" s="2">
        <v>1.137</v>
      </c>
      <c r="Y671" s="6">
        <f t="shared" si="86"/>
        <v>3.0351565628253384E-2</v>
      </c>
      <c r="AA671">
        <v>189251</v>
      </c>
      <c r="AB671">
        <v>17336</v>
      </c>
      <c r="AD671" t="s">
        <v>4</v>
      </c>
      <c r="AE671">
        <v>24</v>
      </c>
      <c r="AF671">
        <v>2</v>
      </c>
      <c r="AH671" t="s">
        <v>2493</v>
      </c>
      <c r="AI671" t="s">
        <v>2492</v>
      </c>
      <c r="AK671" t="s">
        <v>2491</v>
      </c>
      <c r="AL671">
        <v>16</v>
      </c>
      <c r="AM671" s="5">
        <f t="shared" si="90"/>
        <v>0.47058823529411764</v>
      </c>
      <c r="AN671" s="4">
        <f t="shared" si="87"/>
        <v>7.1274249949885291E-4</v>
      </c>
      <c r="AO671" s="3"/>
      <c r="AP671">
        <v>0</v>
      </c>
      <c r="AR671" t="s">
        <v>2490</v>
      </c>
      <c r="AT671" s="2" t="s">
        <v>19</v>
      </c>
      <c r="AU671" s="1">
        <f t="shared" si="91"/>
        <v>2.1459918689627022</v>
      </c>
      <c r="AV671" s="1">
        <f t="shared" si="92"/>
        <v>1.5532154063876118</v>
      </c>
      <c r="AW671" s="1">
        <f t="shared" si="93"/>
        <v>0.96043894381252126</v>
      </c>
    </row>
    <row r="672" spans="1:49" x14ac:dyDescent="0.2">
      <c r="A672">
        <v>670</v>
      </c>
      <c r="B672" t="s">
        <v>2489</v>
      </c>
      <c r="C672" t="s">
        <v>2488</v>
      </c>
      <c r="F672" t="s">
        <v>2487</v>
      </c>
      <c r="G672" t="s">
        <v>15</v>
      </c>
      <c r="H672" t="s">
        <v>14</v>
      </c>
      <c r="I672" t="s">
        <v>2486</v>
      </c>
      <c r="N672">
        <v>1</v>
      </c>
      <c r="O672" t="s">
        <v>2485</v>
      </c>
      <c r="P672">
        <v>57197213196</v>
      </c>
      <c r="R672" s="7">
        <v>32143</v>
      </c>
      <c r="S672" s="8">
        <f t="shared" si="88"/>
        <v>1988</v>
      </c>
      <c r="T672" s="8">
        <v>1988</v>
      </c>
      <c r="U672" s="8">
        <f t="shared" si="89"/>
        <v>34</v>
      </c>
      <c r="V672" s="7">
        <v>32325</v>
      </c>
      <c r="W672" t="s">
        <v>2003</v>
      </c>
      <c r="X672" s="2">
        <v>2.823</v>
      </c>
      <c r="Y672" s="6">
        <f t="shared" si="86"/>
        <v>7.5358372707615917E-2</v>
      </c>
      <c r="AA672">
        <v>1636804</v>
      </c>
      <c r="AB672">
        <v>17249</v>
      </c>
      <c r="AD672" t="s">
        <v>4</v>
      </c>
      <c r="AE672">
        <v>26</v>
      </c>
      <c r="AF672">
        <v>3</v>
      </c>
      <c r="AH672" t="s">
        <v>2484</v>
      </c>
      <c r="AL672">
        <v>1</v>
      </c>
      <c r="AM672" s="5">
        <f t="shared" si="90"/>
        <v>2.9411764705882353E-2</v>
      </c>
      <c r="AN672" s="4">
        <f t="shared" si="87"/>
        <v>4.4546406218678307E-5</v>
      </c>
      <c r="AO672" s="3"/>
      <c r="AP672">
        <v>0</v>
      </c>
      <c r="AR672" t="s">
        <v>0</v>
      </c>
      <c r="AT672" s="2">
        <v>9.6189999999999998</v>
      </c>
      <c r="AU672" s="1">
        <f t="shared" si="91"/>
        <v>5.2764224817196741</v>
      </c>
      <c r="AV672" s="1">
        <f t="shared" si="92"/>
        <v>3.7701459556917296</v>
      </c>
      <c r="AW672" s="1">
        <f t="shared" si="93"/>
        <v>2.2638694296637851</v>
      </c>
    </row>
    <row r="673" spans="1:49" x14ac:dyDescent="0.2">
      <c r="A673">
        <v>671</v>
      </c>
      <c r="B673" t="s">
        <v>2483</v>
      </c>
      <c r="C673" t="s">
        <v>2482</v>
      </c>
      <c r="F673" t="s">
        <v>2481</v>
      </c>
      <c r="G673" t="s">
        <v>15</v>
      </c>
      <c r="H673" t="s">
        <v>14</v>
      </c>
      <c r="I673" t="s">
        <v>2480</v>
      </c>
      <c r="J673" t="s">
        <v>2479</v>
      </c>
      <c r="K673" t="s">
        <v>2478</v>
      </c>
      <c r="L673" t="s">
        <v>2477</v>
      </c>
      <c r="M673" t="s">
        <v>2476</v>
      </c>
      <c r="N673">
        <v>5</v>
      </c>
      <c r="O673" t="s">
        <v>2475</v>
      </c>
      <c r="P673" t="s">
        <v>2474</v>
      </c>
      <c r="Q673" t="s">
        <v>2473</v>
      </c>
      <c r="R673" s="7">
        <v>32143</v>
      </c>
      <c r="S673" s="8">
        <f t="shared" si="88"/>
        <v>1988</v>
      </c>
      <c r="T673" s="8">
        <v>1988</v>
      </c>
      <c r="U673" s="8">
        <f t="shared" si="89"/>
        <v>34</v>
      </c>
      <c r="V673" s="7">
        <v>32203</v>
      </c>
      <c r="W673" t="s">
        <v>2441</v>
      </c>
      <c r="X673" s="2">
        <v>0.78200000000000003</v>
      </c>
      <c r="Y673" s="6">
        <f t="shared" si="86"/>
        <v>2.0875043378446919E-2</v>
      </c>
      <c r="AA673">
        <v>189316</v>
      </c>
      <c r="AB673">
        <v>19901</v>
      </c>
      <c r="AC673">
        <v>15579611</v>
      </c>
      <c r="AD673" t="s">
        <v>4</v>
      </c>
      <c r="AE673">
        <v>34</v>
      </c>
      <c r="AF673">
        <v>1</v>
      </c>
      <c r="AH673" t="s">
        <v>2472</v>
      </c>
      <c r="AI673" t="s">
        <v>2471</v>
      </c>
      <c r="AK673" t="s">
        <v>2470</v>
      </c>
      <c r="AL673">
        <v>5</v>
      </c>
      <c r="AM673" s="5">
        <f t="shared" si="90"/>
        <v>0.14705882352941177</v>
      </c>
      <c r="AN673" s="4">
        <f t="shared" si="87"/>
        <v>2.2273203109339154E-4</v>
      </c>
      <c r="AO673" s="3"/>
      <c r="AP673">
        <v>0</v>
      </c>
      <c r="AR673" t="s">
        <v>0</v>
      </c>
      <c r="AT673" s="2">
        <v>3.863</v>
      </c>
      <c r="AU673" s="1">
        <f t="shared" si="91"/>
        <v>1.4679349974240858</v>
      </c>
      <c r="AV673" s="1">
        <f t="shared" si="92"/>
        <v>1.0548887704770156</v>
      </c>
      <c r="AW673" s="1">
        <f t="shared" si="93"/>
        <v>0.64184254352994496</v>
      </c>
    </row>
    <row r="674" spans="1:49" x14ac:dyDescent="0.2">
      <c r="A674">
        <v>672</v>
      </c>
      <c r="B674" t="s">
        <v>2469</v>
      </c>
      <c r="C674" t="s">
        <v>2468</v>
      </c>
      <c r="F674" t="s">
        <v>2467</v>
      </c>
      <c r="G674" t="s">
        <v>15</v>
      </c>
      <c r="H674" t="s">
        <v>14</v>
      </c>
      <c r="I674" t="s">
        <v>2466</v>
      </c>
      <c r="J674">
        <v>60027509</v>
      </c>
      <c r="K674" t="s">
        <v>2154</v>
      </c>
      <c r="L674" t="s">
        <v>2153</v>
      </c>
      <c r="M674" t="s">
        <v>1725</v>
      </c>
      <c r="N674">
        <v>3</v>
      </c>
      <c r="O674" t="s">
        <v>2465</v>
      </c>
      <c r="P674" t="s">
        <v>2464</v>
      </c>
      <c r="Q674" t="s">
        <v>2150</v>
      </c>
      <c r="R674" s="7">
        <v>32143</v>
      </c>
      <c r="S674" s="8">
        <f t="shared" si="88"/>
        <v>1988</v>
      </c>
      <c r="T674" s="8">
        <v>1988</v>
      </c>
      <c r="U674" s="8">
        <f t="shared" si="89"/>
        <v>34</v>
      </c>
      <c r="V674" s="7">
        <v>32203</v>
      </c>
      <c r="W674" t="s">
        <v>2463</v>
      </c>
      <c r="X674" s="2">
        <v>0.249</v>
      </c>
      <c r="Y674" s="6">
        <f t="shared" si="86"/>
        <v>6.6469127893008734E-3</v>
      </c>
      <c r="AA674">
        <v>8943370</v>
      </c>
      <c r="AB674">
        <v>18200</v>
      </c>
      <c r="AC674">
        <v>10991204</v>
      </c>
      <c r="AD674" t="s">
        <v>4</v>
      </c>
      <c r="AE674">
        <v>1</v>
      </c>
      <c r="AF674">
        <v>1</v>
      </c>
      <c r="AH674" t="s">
        <v>2462</v>
      </c>
      <c r="AI674" t="s">
        <v>2461</v>
      </c>
      <c r="AK674" t="s">
        <v>2460</v>
      </c>
      <c r="AL674">
        <v>9</v>
      </c>
      <c r="AM674" s="5">
        <f t="shared" si="90"/>
        <v>0.26470588235294118</v>
      </c>
      <c r="AN674" s="4">
        <f t="shared" si="87"/>
        <v>4.009176559681048E-4</v>
      </c>
      <c r="AO674" s="3"/>
      <c r="AP674">
        <v>0</v>
      </c>
      <c r="AR674" t="s">
        <v>0</v>
      </c>
      <c r="AT674" s="2" t="s">
        <v>19</v>
      </c>
      <c r="AU674" s="1">
        <f t="shared" si="91"/>
        <v>0.47731142493010426</v>
      </c>
      <c r="AV674" s="1">
        <f t="shared" si="92"/>
        <v>0.35239152226344894</v>
      </c>
      <c r="AW674" s="1">
        <f t="shared" si="93"/>
        <v>0.22747161959679355</v>
      </c>
    </row>
    <row r="675" spans="1:49" x14ac:dyDescent="0.2">
      <c r="A675">
        <v>673</v>
      </c>
      <c r="B675" t="s">
        <v>2459</v>
      </c>
      <c r="C675" t="s">
        <v>2458</v>
      </c>
      <c r="F675" t="s">
        <v>2457</v>
      </c>
      <c r="G675" t="s">
        <v>15</v>
      </c>
      <c r="H675" t="s">
        <v>14</v>
      </c>
      <c r="I675" t="s">
        <v>2456</v>
      </c>
      <c r="J675">
        <v>60011832</v>
      </c>
      <c r="K675" t="s">
        <v>2455</v>
      </c>
      <c r="L675" t="s">
        <v>2454</v>
      </c>
      <c r="M675" t="s">
        <v>481</v>
      </c>
      <c r="N675">
        <v>3</v>
      </c>
      <c r="O675" t="s">
        <v>2453</v>
      </c>
      <c r="P675" t="s">
        <v>2452</v>
      </c>
      <c r="Q675" t="s">
        <v>2451</v>
      </c>
      <c r="R675" s="7">
        <v>32143</v>
      </c>
      <c r="S675" s="8">
        <f t="shared" si="88"/>
        <v>1988</v>
      </c>
      <c r="T675" s="8">
        <v>1988</v>
      </c>
      <c r="U675" s="8">
        <f t="shared" si="89"/>
        <v>34</v>
      </c>
      <c r="V675" s="7">
        <v>32203</v>
      </c>
      <c r="W675" t="s">
        <v>2450</v>
      </c>
      <c r="X675" s="2">
        <v>2.141</v>
      </c>
      <c r="Y675" s="6">
        <f t="shared" si="86"/>
        <v>5.7152772216438434E-2</v>
      </c>
      <c r="AA675">
        <v>1962892</v>
      </c>
      <c r="AB675">
        <v>17360</v>
      </c>
      <c r="AC675">
        <v>15580644</v>
      </c>
      <c r="AD675" t="s">
        <v>4</v>
      </c>
      <c r="AE675">
        <v>26</v>
      </c>
      <c r="AF675">
        <v>2</v>
      </c>
      <c r="AH675" t="s">
        <v>2449</v>
      </c>
      <c r="AI675" t="s">
        <v>2448</v>
      </c>
      <c r="AK675" t="s">
        <v>2447</v>
      </c>
      <c r="AL675">
        <v>39</v>
      </c>
      <c r="AM675" s="5">
        <f t="shared" si="90"/>
        <v>1.1470588235294117</v>
      </c>
      <c r="AN675" s="4">
        <f t="shared" si="87"/>
        <v>1.7373098425284539E-3</v>
      </c>
      <c r="AO675" s="3"/>
      <c r="AP675">
        <v>0</v>
      </c>
      <c r="AQ675" t="s">
        <v>2054</v>
      </c>
      <c r="AR675" t="s">
        <v>2446</v>
      </c>
      <c r="AS675" t="s">
        <v>2053</v>
      </c>
      <c r="AT675" s="2" t="s">
        <v>19</v>
      </c>
      <c r="AU675" s="1">
        <f t="shared" si="91"/>
        <v>4.0528133504265433</v>
      </c>
      <c r="AV675" s="1">
        <f t="shared" si="92"/>
        <v>2.9445041029483443</v>
      </c>
      <c r="AW675" s="1">
        <f t="shared" si="93"/>
        <v>1.8361948554701448</v>
      </c>
    </row>
    <row r="676" spans="1:49" x14ac:dyDescent="0.2">
      <c r="A676">
        <v>674</v>
      </c>
      <c r="B676" t="s">
        <v>2445</v>
      </c>
      <c r="C676" t="s">
        <v>2444</v>
      </c>
      <c r="F676" t="s">
        <v>2443</v>
      </c>
      <c r="G676" t="s">
        <v>15</v>
      </c>
      <c r="H676" t="s">
        <v>14</v>
      </c>
      <c r="I676" t="s">
        <v>2442</v>
      </c>
      <c r="J676">
        <v>60005304</v>
      </c>
      <c r="K676" t="s">
        <v>72</v>
      </c>
      <c r="L676" t="s">
        <v>71</v>
      </c>
      <c r="M676" t="s">
        <v>31</v>
      </c>
      <c r="N676">
        <v>1</v>
      </c>
      <c r="O676" t="s">
        <v>999</v>
      </c>
      <c r="P676">
        <v>7004942669</v>
      </c>
      <c r="Q676">
        <v>60005304</v>
      </c>
      <c r="R676" s="7">
        <v>32143</v>
      </c>
      <c r="S676" s="8">
        <f t="shared" si="88"/>
        <v>1988</v>
      </c>
      <c r="T676" s="8">
        <v>1988</v>
      </c>
      <c r="U676" s="8">
        <f t="shared" si="89"/>
        <v>34</v>
      </c>
      <c r="V676" s="7">
        <v>32203</v>
      </c>
      <c r="W676" t="s">
        <v>2441</v>
      </c>
      <c r="X676" s="2">
        <v>0.78200000000000003</v>
      </c>
      <c r="Y676" s="6">
        <f t="shared" si="86"/>
        <v>2.0875043378446919E-2</v>
      </c>
      <c r="AA676">
        <v>189316</v>
      </c>
      <c r="AB676">
        <v>19901</v>
      </c>
      <c r="AC676">
        <v>15579611</v>
      </c>
      <c r="AD676" t="s">
        <v>4</v>
      </c>
      <c r="AE676">
        <v>34</v>
      </c>
      <c r="AF676">
        <v>1</v>
      </c>
      <c r="AH676" t="s">
        <v>2440</v>
      </c>
      <c r="AI676" t="s">
        <v>2439</v>
      </c>
      <c r="AK676" t="s">
        <v>2438</v>
      </c>
      <c r="AL676">
        <v>0</v>
      </c>
      <c r="AM676" s="5">
        <f t="shared" si="90"/>
        <v>0</v>
      </c>
      <c r="AN676" s="4">
        <f t="shared" si="87"/>
        <v>0</v>
      </c>
      <c r="AO676" s="3"/>
      <c r="AP676">
        <v>0</v>
      </c>
      <c r="AR676" t="s">
        <v>0</v>
      </c>
      <c r="AT676" s="2">
        <v>3.863</v>
      </c>
      <c r="AU676" s="1">
        <f t="shared" si="91"/>
        <v>1.4612530364912841</v>
      </c>
      <c r="AV676" s="1">
        <f t="shared" si="92"/>
        <v>1.0437521689223459</v>
      </c>
      <c r="AW676" s="1">
        <f t="shared" si="93"/>
        <v>0.62625130135340756</v>
      </c>
    </row>
    <row r="677" spans="1:49" x14ac:dyDescent="0.2">
      <c r="A677">
        <v>675</v>
      </c>
      <c r="B677" t="s">
        <v>2437</v>
      </c>
      <c r="C677" t="s">
        <v>2436</v>
      </c>
      <c r="F677" t="s">
        <v>2435</v>
      </c>
      <c r="G677" t="s">
        <v>15</v>
      </c>
      <c r="H677" t="s">
        <v>14</v>
      </c>
      <c r="I677" t="s">
        <v>2434</v>
      </c>
      <c r="J677" t="s">
        <v>2428</v>
      </c>
      <c r="K677" t="s">
        <v>2433</v>
      </c>
      <c r="L677" t="s">
        <v>2432</v>
      </c>
      <c r="M677" t="s">
        <v>2431</v>
      </c>
      <c r="N677">
        <v>2</v>
      </c>
      <c r="O677" t="s">
        <v>2430</v>
      </c>
      <c r="P677" t="s">
        <v>2429</v>
      </c>
      <c r="Q677" t="s">
        <v>2428</v>
      </c>
      <c r="R677" s="7">
        <v>32143</v>
      </c>
      <c r="S677" s="8">
        <f t="shared" si="88"/>
        <v>1988</v>
      </c>
      <c r="T677" s="8">
        <v>1988</v>
      </c>
      <c r="U677" s="8">
        <f t="shared" si="89"/>
        <v>34</v>
      </c>
      <c r="V677" s="7">
        <v>32203</v>
      </c>
      <c r="W677" t="s">
        <v>348</v>
      </c>
      <c r="X677" s="2">
        <v>0.251</v>
      </c>
      <c r="Y677" s="6">
        <f t="shared" si="86"/>
        <v>6.7003016470462617E-3</v>
      </c>
      <c r="AA677">
        <v>207217</v>
      </c>
      <c r="AB677">
        <v>26145</v>
      </c>
      <c r="AC677">
        <v>13623060</v>
      </c>
      <c r="AD677" t="s">
        <v>4</v>
      </c>
      <c r="AE677">
        <v>64</v>
      </c>
      <c r="AF677">
        <v>3</v>
      </c>
      <c r="AH677" t="s">
        <v>2427</v>
      </c>
      <c r="AI677" t="s">
        <v>2426</v>
      </c>
      <c r="AK677" t="s">
        <v>2425</v>
      </c>
      <c r="AL677">
        <v>6</v>
      </c>
      <c r="AM677" s="5">
        <f t="shared" si="90"/>
        <v>0.17647058823529413</v>
      </c>
      <c r="AN677" s="4">
        <f t="shared" si="87"/>
        <v>2.6727843731206988E-4</v>
      </c>
      <c r="AO677" s="3"/>
      <c r="AP677">
        <v>0</v>
      </c>
      <c r="AR677" t="s">
        <v>0</v>
      </c>
      <c r="AT677" s="2">
        <v>1.3360000000000001</v>
      </c>
      <c r="AU677" s="1">
        <f t="shared" si="91"/>
        <v>0.47703946841260042</v>
      </c>
      <c r="AV677" s="1">
        <f t="shared" si="92"/>
        <v>0.34837900421791657</v>
      </c>
      <c r="AW677" s="1">
        <f t="shared" si="93"/>
        <v>0.21971854002323271</v>
      </c>
    </row>
    <row r="678" spans="1:49" x14ac:dyDescent="0.2">
      <c r="A678">
        <v>676</v>
      </c>
      <c r="B678" t="s">
        <v>2424</v>
      </c>
      <c r="C678" t="s">
        <v>2423</v>
      </c>
      <c r="D678" t="s">
        <v>2422</v>
      </c>
      <c r="F678" t="s">
        <v>2421</v>
      </c>
      <c r="G678" t="s">
        <v>15</v>
      </c>
      <c r="H678" t="s">
        <v>14</v>
      </c>
      <c r="I678" t="s">
        <v>2420</v>
      </c>
      <c r="J678">
        <v>60009037</v>
      </c>
      <c r="K678" t="s">
        <v>400</v>
      </c>
      <c r="L678" t="s">
        <v>399</v>
      </c>
      <c r="M678" t="s">
        <v>31</v>
      </c>
      <c r="N678">
        <v>5</v>
      </c>
      <c r="O678" t="s">
        <v>2419</v>
      </c>
      <c r="P678" t="s">
        <v>2418</v>
      </c>
      <c r="Q678" t="s">
        <v>2417</v>
      </c>
      <c r="R678" s="7">
        <v>32143</v>
      </c>
      <c r="S678" s="8">
        <f t="shared" si="88"/>
        <v>1988</v>
      </c>
      <c r="T678" s="8">
        <v>1988</v>
      </c>
      <c r="U678" s="8">
        <f t="shared" si="89"/>
        <v>34</v>
      </c>
      <c r="V678" s="7">
        <v>32203</v>
      </c>
      <c r="W678" t="s">
        <v>1047</v>
      </c>
      <c r="X678" s="2">
        <v>1.1339999999999999</v>
      </c>
      <c r="Y678" s="6">
        <f t="shared" si="86"/>
        <v>3.0271482341635299E-2</v>
      </c>
      <c r="AA678">
        <v>945765</v>
      </c>
      <c r="AB678">
        <v>12372</v>
      </c>
      <c r="AD678" t="s">
        <v>4</v>
      </c>
      <c r="AE678">
        <v>17</v>
      </c>
      <c r="AF678">
        <v>3</v>
      </c>
      <c r="AH678" t="s">
        <v>2416</v>
      </c>
      <c r="AI678" t="s">
        <v>2415</v>
      </c>
      <c r="AK678" t="s">
        <v>2414</v>
      </c>
      <c r="AL678">
        <v>5</v>
      </c>
      <c r="AM678" s="5">
        <f t="shared" si="90"/>
        <v>0.14705882352941177</v>
      </c>
      <c r="AN678" s="4">
        <f t="shared" si="87"/>
        <v>2.2273203109339154E-4</v>
      </c>
      <c r="AO678" s="3"/>
      <c r="AP678">
        <v>0</v>
      </c>
      <c r="AR678" t="s">
        <v>0</v>
      </c>
      <c r="AT678" s="2">
        <v>2.4129999999999998</v>
      </c>
      <c r="AU678" s="1">
        <f t="shared" si="91"/>
        <v>2.1256857248472727</v>
      </c>
      <c r="AV678" s="1">
        <f t="shared" si="92"/>
        <v>1.5247107186364346</v>
      </c>
      <c r="AW678" s="1">
        <f t="shared" si="93"/>
        <v>0.92373571242559627</v>
      </c>
    </row>
    <row r="679" spans="1:49" x14ac:dyDescent="0.2">
      <c r="A679">
        <v>677</v>
      </c>
      <c r="B679" t="s">
        <v>2413</v>
      </c>
      <c r="C679" t="s">
        <v>2412</v>
      </c>
      <c r="F679" t="s">
        <v>2411</v>
      </c>
      <c r="G679" t="s">
        <v>15</v>
      </c>
      <c r="H679" t="s">
        <v>14</v>
      </c>
      <c r="I679" t="s">
        <v>2410</v>
      </c>
      <c r="J679" t="s">
        <v>2404</v>
      </c>
      <c r="K679" t="s">
        <v>2409</v>
      </c>
      <c r="L679" t="s">
        <v>2408</v>
      </c>
      <c r="M679" t="s">
        <v>2407</v>
      </c>
      <c r="N679">
        <v>2</v>
      </c>
      <c r="O679" t="s">
        <v>2406</v>
      </c>
      <c r="P679" t="s">
        <v>2405</v>
      </c>
      <c r="Q679" t="s">
        <v>2404</v>
      </c>
      <c r="R679" s="7">
        <v>32143</v>
      </c>
      <c r="S679" s="8">
        <f t="shared" si="88"/>
        <v>1988</v>
      </c>
      <c r="T679" s="8">
        <v>1988</v>
      </c>
      <c r="U679" s="8">
        <f t="shared" si="89"/>
        <v>34</v>
      </c>
      <c r="V679" s="7">
        <v>1988</v>
      </c>
      <c r="W679" t="s">
        <v>56</v>
      </c>
      <c r="X679" s="2">
        <v>0.375</v>
      </c>
      <c r="Y679" s="6">
        <f t="shared" si="86"/>
        <v>1.0010410827260351E-2</v>
      </c>
      <c r="AA679">
        <v>135194</v>
      </c>
      <c r="AB679">
        <v>24918</v>
      </c>
      <c r="AD679" t="s">
        <v>4</v>
      </c>
      <c r="AE679">
        <v>24</v>
      </c>
      <c r="AF679">
        <v>6</v>
      </c>
      <c r="AH679" t="s">
        <v>2403</v>
      </c>
      <c r="AI679" t="s">
        <v>2402</v>
      </c>
      <c r="AJ679" t="s">
        <v>2401</v>
      </c>
      <c r="AK679" t="s">
        <v>2400</v>
      </c>
      <c r="AL679">
        <v>60</v>
      </c>
      <c r="AM679" s="5">
        <f t="shared" si="90"/>
        <v>1.7647058823529411</v>
      </c>
      <c r="AN679" s="4">
        <f t="shared" si="87"/>
        <v>2.6727843731206985E-3</v>
      </c>
      <c r="AO679" s="3"/>
      <c r="AP679">
        <v>0</v>
      </c>
      <c r="AR679" t="s">
        <v>0</v>
      </c>
      <c r="AT679" s="2">
        <v>1.3140000000000001</v>
      </c>
      <c r="AU679" s="1">
        <f t="shared" si="91"/>
        <v>0.78091228910184551</v>
      </c>
      <c r="AV679" s="1">
        <f t="shared" si="92"/>
        <v>0.6341597600190525</v>
      </c>
      <c r="AW679" s="1">
        <f t="shared" si="93"/>
        <v>0.48740723093625937</v>
      </c>
    </row>
    <row r="680" spans="1:49" x14ac:dyDescent="0.2">
      <c r="A680">
        <v>678</v>
      </c>
      <c r="B680" t="s">
        <v>2399</v>
      </c>
      <c r="C680" t="s">
        <v>2398</v>
      </c>
      <c r="F680" t="s">
        <v>2397</v>
      </c>
      <c r="G680" t="s">
        <v>15</v>
      </c>
      <c r="H680" t="s">
        <v>14</v>
      </c>
      <c r="I680" t="s">
        <v>2396</v>
      </c>
      <c r="J680">
        <v>60012564</v>
      </c>
      <c r="K680" t="s">
        <v>2395</v>
      </c>
      <c r="L680" t="s">
        <v>2394</v>
      </c>
      <c r="M680" t="s">
        <v>31</v>
      </c>
      <c r="N680">
        <v>1</v>
      </c>
      <c r="O680" t="s">
        <v>2393</v>
      </c>
      <c r="P680">
        <v>56782490300</v>
      </c>
      <c r="Q680">
        <v>60012564</v>
      </c>
      <c r="R680" s="7">
        <v>32143</v>
      </c>
      <c r="S680" s="8">
        <f t="shared" si="88"/>
        <v>1988</v>
      </c>
      <c r="T680" s="8">
        <v>1988</v>
      </c>
      <c r="U680" s="8">
        <f t="shared" si="89"/>
        <v>34</v>
      </c>
      <c r="V680" s="7">
        <v>32203</v>
      </c>
      <c r="W680" t="s">
        <v>2392</v>
      </c>
      <c r="X680" s="2">
        <v>1.137</v>
      </c>
      <c r="Y680" s="6">
        <f t="shared" si="86"/>
        <v>3.0351565628253384E-2</v>
      </c>
      <c r="AA680">
        <v>189251</v>
      </c>
      <c r="AB680">
        <v>17336</v>
      </c>
      <c r="AD680" t="s">
        <v>4</v>
      </c>
      <c r="AE680">
        <v>24</v>
      </c>
      <c r="AF680">
        <v>2</v>
      </c>
      <c r="AH680" t="s">
        <v>2391</v>
      </c>
      <c r="AI680" t="s">
        <v>2390</v>
      </c>
      <c r="AK680" t="s">
        <v>2389</v>
      </c>
      <c r="AL680">
        <v>2</v>
      </c>
      <c r="AM680" s="5">
        <f t="shared" si="90"/>
        <v>5.8823529411764705E-2</v>
      </c>
      <c r="AN680" s="4">
        <f t="shared" si="87"/>
        <v>8.9092812437356614E-5</v>
      </c>
      <c r="AO680" s="3"/>
      <c r="AP680">
        <v>0</v>
      </c>
      <c r="AR680" t="s">
        <v>2388</v>
      </c>
      <c r="AT680" s="2" t="s">
        <v>19</v>
      </c>
      <c r="AU680" s="1">
        <f t="shared" si="91"/>
        <v>2.1272823783508574</v>
      </c>
      <c r="AV680" s="1">
        <f t="shared" si="92"/>
        <v>1.522032922034537</v>
      </c>
      <c r="AW680" s="1">
        <f t="shared" si="93"/>
        <v>0.91678346571821645</v>
      </c>
    </row>
    <row r="681" spans="1:49" x14ac:dyDescent="0.2">
      <c r="A681">
        <v>679</v>
      </c>
      <c r="B681" t="s">
        <v>2387</v>
      </c>
      <c r="C681" t="s">
        <v>2386</v>
      </c>
      <c r="F681" t="s">
        <v>2385</v>
      </c>
      <c r="G681" t="s">
        <v>15</v>
      </c>
      <c r="H681" t="s">
        <v>14</v>
      </c>
      <c r="I681" t="s">
        <v>2384</v>
      </c>
      <c r="J681">
        <v>60020547</v>
      </c>
      <c r="K681" t="s">
        <v>2383</v>
      </c>
      <c r="L681" t="s">
        <v>2382</v>
      </c>
      <c r="M681" t="s">
        <v>31</v>
      </c>
      <c r="N681">
        <v>2</v>
      </c>
      <c r="O681" t="s">
        <v>2381</v>
      </c>
      <c r="P681" t="s">
        <v>2380</v>
      </c>
      <c r="Q681" t="s">
        <v>2379</v>
      </c>
      <c r="R681" s="7">
        <v>32143</v>
      </c>
      <c r="S681" s="8">
        <f t="shared" si="88"/>
        <v>1988</v>
      </c>
      <c r="T681" s="8">
        <v>1988</v>
      </c>
      <c r="U681" s="8">
        <f t="shared" si="89"/>
        <v>34</v>
      </c>
      <c r="V681" s="7">
        <v>32203</v>
      </c>
      <c r="W681" t="s">
        <v>2328</v>
      </c>
      <c r="X681" s="2">
        <v>0.30399999999999999</v>
      </c>
      <c r="Y681" s="6">
        <f t="shared" si="86"/>
        <v>8.115106377299057E-3</v>
      </c>
      <c r="AA681">
        <v>8952477</v>
      </c>
      <c r="AB681">
        <v>12250</v>
      </c>
      <c r="AC681">
        <v>10982760</v>
      </c>
      <c r="AD681" t="s">
        <v>4</v>
      </c>
      <c r="AE681">
        <v>1</v>
      </c>
      <c r="AF681">
        <v>1</v>
      </c>
      <c r="AH681" s="9">
        <v>44447</v>
      </c>
      <c r="AI681" t="s">
        <v>2378</v>
      </c>
      <c r="AJ681" t="s">
        <v>2377</v>
      </c>
      <c r="AK681" t="s">
        <v>2376</v>
      </c>
      <c r="AL681">
        <v>30</v>
      </c>
      <c r="AM681" s="5">
        <f t="shared" si="90"/>
        <v>0.88235294117647056</v>
      </c>
      <c r="AN681" s="4">
        <f t="shared" si="87"/>
        <v>1.3363921865603492E-3</v>
      </c>
      <c r="AO681" s="3"/>
      <c r="AP681">
        <v>0</v>
      </c>
      <c r="AR681" t="s">
        <v>0</v>
      </c>
      <c r="AT681" s="2" t="s">
        <v>19</v>
      </c>
      <c r="AU681" s="1">
        <f t="shared" si="91"/>
        <v>0.60814921200774441</v>
      </c>
      <c r="AV681" s="1">
        <f t="shared" si="92"/>
        <v>0.47257492819297031</v>
      </c>
      <c r="AW681" s="1">
        <f t="shared" si="93"/>
        <v>0.33700064437819616</v>
      </c>
    </row>
    <row r="682" spans="1:49" x14ac:dyDescent="0.2">
      <c r="A682">
        <v>680</v>
      </c>
      <c r="B682" t="s">
        <v>2375</v>
      </c>
      <c r="C682" t="s">
        <v>2374</v>
      </c>
      <c r="F682" t="s">
        <v>2373</v>
      </c>
      <c r="G682" t="s">
        <v>15</v>
      </c>
      <c r="H682" t="s">
        <v>14</v>
      </c>
      <c r="I682" t="s">
        <v>2372</v>
      </c>
      <c r="J682" t="s">
        <v>2371</v>
      </c>
      <c r="K682" t="s">
        <v>2370</v>
      </c>
      <c r="L682" t="s">
        <v>2369</v>
      </c>
      <c r="M682" t="s">
        <v>9</v>
      </c>
      <c r="N682">
        <v>2</v>
      </c>
      <c r="O682" t="s">
        <v>2368</v>
      </c>
      <c r="P682" t="s">
        <v>2367</v>
      </c>
      <c r="Q682" t="s">
        <v>2366</v>
      </c>
      <c r="R682" s="7">
        <v>32143</v>
      </c>
      <c r="S682" s="8">
        <f t="shared" si="88"/>
        <v>1988</v>
      </c>
      <c r="T682" s="8">
        <v>1988</v>
      </c>
      <c r="U682" s="8">
        <f t="shared" si="89"/>
        <v>34</v>
      </c>
      <c r="V682" s="7">
        <v>32203</v>
      </c>
      <c r="W682" t="s">
        <v>2328</v>
      </c>
      <c r="X682" s="2">
        <v>0.30399999999999999</v>
      </c>
      <c r="Y682" s="6">
        <f t="shared" si="86"/>
        <v>8.115106377299057E-3</v>
      </c>
      <c r="AA682">
        <v>8952477</v>
      </c>
      <c r="AB682">
        <v>12250</v>
      </c>
      <c r="AC682">
        <v>10982760</v>
      </c>
      <c r="AD682" t="s">
        <v>4</v>
      </c>
      <c r="AE682">
        <v>1</v>
      </c>
      <c r="AF682">
        <v>1</v>
      </c>
      <c r="AH682" t="s">
        <v>2365</v>
      </c>
      <c r="AI682" t="s">
        <v>2364</v>
      </c>
      <c r="AJ682" t="s">
        <v>2363</v>
      </c>
      <c r="AK682" t="s">
        <v>2362</v>
      </c>
      <c r="AL682">
        <v>17</v>
      </c>
      <c r="AM682" s="5">
        <f t="shared" si="90"/>
        <v>0.5</v>
      </c>
      <c r="AN682" s="4">
        <f t="shared" si="87"/>
        <v>7.572889057175312E-4</v>
      </c>
      <c r="AO682" s="3"/>
      <c r="AP682">
        <v>0</v>
      </c>
      <c r="AR682" t="s">
        <v>0</v>
      </c>
      <c r="AT682" s="2" t="s">
        <v>19</v>
      </c>
      <c r="AU682" s="1">
        <f t="shared" si="91"/>
        <v>0.59077611358245985</v>
      </c>
      <c r="AV682" s="1">
        <f t="shared" si="92"/>
        <v>0.44361976415082938</v>
      </c>
      <c r="AW682" s="1">
        <f t="shared" si="93"/>
        <v>0.2964634147191989</v>
      </c>
    </row>
    <row r="683" spans="1:49" x14ac:dyDescent="0.2">
      <c r="A683">
        <v>681</v>
      </c>
      <c r="B683" t="s">
        <v>2361</v>
      </c>
      <c r="C683" t="s">
        <v>2360</v>
      </c>
      <c r="F683" t="s">
        <v>2359</v>
      </c>
      <c r="G683" t="s">
        <v>15</v>
      </c>
      <c r="H683" t="s">
        <v>14</v>
      </c>
      <c r="I683" t="s">
        <v>2358</v>
      </c>
      <c r="J683">
        <v>60025209</v>
      </c>
      <c r="K683" t="s">
        <v>2357</v>
      </c>
      <c r="L683" t="s">
        <v>751</v>
      </c>
      <c r="M683" t="s">
        <v>31</v>
      </c>
      <c r="N683">
        <v>1</v>
      </c>
      <c r="O683" t="s">
        <v>2356</v>
      </c>
      <c r="P683">
        <v>7403075745</v>
      </c>
      <c r="Q683">
        <v>60025209</v>
      </c>
      <c r="R683" s="7">
        <v>32143</v>
      </c>
      <c r="S683" s="8">
        <f t="shared" si="88"/>
        <v>1988</v>
      </c>
      <c r="T683" s="8">
        <v>1988</v>
      </c>
      <c r="U683" s="8">
        <f t="shared" si="89"/>
        <v>34</v>
      </c>
      <c r="V683" s="7">
        <v>32203</v>
      </c>
      <c r="W683" t="s">
        <v>2328</v>
      </c>
      <c r="X683" s="2">
        <v>0.30399999999999999</v>
      </c>
      <c r="Y683" s="6">
        <f t="shared" si="86"/>
        <v>8.115106377299057E-3</v>
      </c>
      <c r="AA683">
        <v>8952477</v>
      </c>
      <c r="AB683">
        <v>12250</v>
      </c>
      <c r="AC683">
        <v>10982760</v>
      </c>
      <c r="AD683" t="s">
        <v>4</v>
      </c>
      <c r="AE683">
        <v>1</v>
      </c>
      <c r="AF683">
        <v>1</v>
      </c>
      <c r="AH683" s="9">
        <v>44287</v>
      </c>
      <c r="AI683" t="s">
        <v>2355</v>
      </c>
      <c r="AJ683" t="s">
        <v>2354</v>
      </c>
      <c r="AK683" t="s">
        <v>2353</v>
      </c>
      <c r="AL683">
        <v>1</v>
      </c>
      <c r="AM683" s="5">
        <f t="shared" si="90"/>
        <v>2.9411764705882353E-2</v>
      </c>
      <c r="AN683" s="4">
        <f t="shared" si="87"/>
        <v>4.4546406218678307E-5</v>
      </c>
      <c r="AO683" s="3"/>
      <c r="AP683">
        <v>0</v>
      </c>
      <c r="AR683" t="s">
        <v>0</v>
      </c>
      <c r="AT683" s="2" t="s">
        <v>19</v>
      </c>
      <c r="AU683" s="1">
        <f t="shared" si="91"/>
        <v>0.56939383859749426</v>
      </c>
      <c r="AV683" s="1">
        <f t="shared" si="92"/>
        <v>0.40798263917588673</v>
      </c>
      <c r="AW683" s="1">
        <f t="shared" si="93"/>
        <v>0.2465714397542792</v>
      </c>
    </row>
    <row r="684" spans="1:49" x14ac:dyDescent="0.2">
      <c r="A684">
        <v>682</v>
      </c>
      <c r="B684" t="s">
        <v>2352</v>
      </c>
      <c r="C684" t="s">
        <v>2351</v>
      </c>
      <c r="F684" t="s">
        <v>2350</v>
      </c>
      <c r="G684" t="s">
        <v>15</v>
      </c>
      <c r="H684" t="s">
        <v>14</v>
      </c>
      <c r="I684" t="s">
        <v>2349</v>
      </c>
      <c r="J684" t="s">
        <v>2348</v>
      </c>
      <c r="K684" t="s">
        <v>2347</v>
      </c>
      <c r="L684" t="s">
        <v>2346</v>
      </c>
      <c r="M684" t="s">
        <v>9</v>
      </c>
      <c r="N684">
        <v>3</v>
      </c>
      <c r="O684" t="s">
        <v>2345</v>
      </c>
      <c r="P684" t="s">
        <v>2344</v>
      </c>
      <c r="Q684" t="s">
        <v>2343</v>
      </c>
      <c r="R684" s="7">
        <v>32143</v>
      </c>
      <c r="S684" s="8">
        <f t="shared" si="88"/>
        <v>1988</v>
      </c>
      <c r="T684" s="8">
        <v>1988</v>
      </c>
      <c r="U684" s="8">
        <f t="shared" si="89"/>
        <v>34</v>
      </c>
      <c r="V684" s="7">
        <v>32203</v>
      </c>
      <c r="W684" t="s">
        <v>2328</v>
      </c>
      <c r="X684" s="2">
        <v>0.30399999999999999</v>
      </c>
      <c r="Y684" s="6">
        <f t="shared" si="86"/>
        <v>8.115106377299057E-3</v>
      </c>
      <c r="AA684">
        <v>8952477</v>
      </c>
      <c r="AB684">
        <v>12250</v>
      </c>
      <c r="AC684">
        <v>10982760</v>
      </c>
      <c r="AD684" t="s">
        <v>4</v>
      </c>
      <c r="AE684">
        <v>1</v>
      </c>
      <c r="AF684">
        <v>1</v>
      </c>
      <c r="AH684" t="s">
        <v>2342</v>
      </c>
      <c r="AI684" t="s">
        <v>2341</v>
      </c>
      <c r="AJ684" t="s">
        <v>2340</v>
      </c>
      <c r="AK684" t="s">
        <v>2339</v>
      </c>
      <c r="AL684">
        <v>0</v>
      </c>
      <c r="AM684" s="5">
        <f t="shared" si="90"/>
        <v>0</v>
      </c>
      <c r="AN684" s="4">
        <f t="shared" si="87"/>
        <v>0</v>
      </c>
      <c r="AO684" s="3"/>
      <c r="AP684">
        <v>0</v>
      </c>
      <c r="AR684" t="s">
        <v>0</v>
      </c>
      <c r="AT684" s="2" t="s">
        <v>19</v>
      </c>
      <c r="AU684" s="1">
        <f t="shared" si="91"/>
        <v>0.56805744641093392</v>
      </c>
      <c r="AV684" s="1">
        <f t="shared" si="92"/>
        <v>0.40575531886495286</v>
      </c>
      <c r="AW684" s="1">
        <f t="shared" si="93"/>
        <v>0.24345319131897172</v>
      </c>
    </row>
    <row r="685" spans="1:49" x14ac:dyDescent="0.2">
      <c r="A685">
        <v>683</v>
      </c>
      <c r="B685" t="s">
        <v>2338</v>
      </c>
      <c r="C685" t="s">
        <v>2337</v>
      </c>
      <c r="F685" t="s">
        <v>2336</v>
      </c>
      <c r="G685" t="s">
        <v>15</v>
      </c>
      <c r="H685" t="s">
        <v>14</v>
      </c>
      <c r="I685" t="s">
        <v>2335</v>
      </c>
      <c r="J685" t="s">
        <v>2334</v>
      </c>
      <c r="K685" t="s">
        <v>2333</v>
      </c>
      <c r="L685" t="s">
        <v>2332</v>
      </c>
      <c r="M685" t="s">
        <v>9</v>
      </c>
      <c r="N685">
        <v>6</v>
      </c>
      <c r="O685" t="s">
        <v>2331</v>
      </c>
      <c r="P685" t="s">
        <v>2330</v>
      </c>
      <c r="Q685" t="s">
        <v>2329</v>
      </c>
      <c r="R685" s="7">
        <v>32143</v>
      </c>
      <c r="S685" s="8">
        <f t="shared" si="88"/>
        <v>1988</v>
      </c>
      <c r="T685" s="8">
        <v>1988</v>
      </c>
      <c r="U685" s="8">
        <f t="shared" si="89"/>
        <v>34</v>
      </c>
      <c r="V685" s="7">
        <v>32203</v>
      </c>
      <c r="W685" t="s">
        <v>2328</v>
      </c>
      <c r="X685" s="2">
        <v>0.30399999999999999</v>
      </c>
      <c r="Y685" s="6">
        <f t="shared" si="86"/>
        <v>8.115106377299057E-3</v>
      </c>
      <c r="AA685">
        <v>8952477</v>
      </c>
      <c r="AB685">
        <v>12250</v>
      </c>
      <c r="AC685">
        <v>10982760</v>
      </c>
      <c r="AD685" t="s">
        <v>4</v>
      </c>
      <c r="AE685">
        <v>1</v>
      </c>
      <c r="AF685">
        <v>1</v>
      </c>
      <c r="AH685" t="s">
        <v>2327</v>
      </c>
      <c r="AI685" t="s">
        <v>2326</v>
      </c>
      <c r="AJ685" t="s">
        <v>2325</v>
      </c>
      <c r="AK685" t="s">
        <v>2324</v>
      </c>
      <c r="AL685">
        <v>0</v>
      </c>
      <c r="AM685" s="5">
        <f t="shared" si="90"/>
        <v>0</v>
      </c>
      <c r="AN685" s="4">
        <f t="shared" si="87"/>
        <v>0</v>
      </c>
      <c r="AO685" s="3"/>
      <c r="AP685">
        <v>0</v>
      </c>
      <c r="AR685" t="s">
        <v>0</v>
      </c>
      <c r="AT685" s="2" t="s">
        <v>19</v>
      </c>
      <c r="AU685" s="1">
        <f t="shared" si="91"/>
        <v>0.56805744641093392</v>
      </c>
      <c r="AV685" s="1">
        <f t="shared" si="92"/>
        <v>0.40575531886495286</v>
      </c>
      <c r="AW685" s="1">
        <f t="shared" si="93"/>
        <v>0.24345319131897172</v>
      </c>
    </row>
    <row r="686" spans="1:49" x14ac:dyDescent="0.2">
      <c r="A686">
        <v>684</v>
      </c>
      <c r="B686" t="s">
        <v>2323</v>
      </c>
      <c r="C686" t="s">
        <v>2322</v>
      </c>
      <c r="F686" t="s">
        <v>2321</v>
      </c>
      <c r="G686" t="s">
        <v>15</v>
      </c>
      <c r="H686" t="s">
        <v>14</v>
      </c>
      <c r="I686" t="s">
        <v>2320</v>
      </c>
      <c r="J686">
        <v>60104353</v>
      </c>
      <c r="K686" t="s">
        <v>2319</v>
      </c>
      <c r="L686" t="s">
        <v>2318</v>
      </c>
      <c r="M686" t="s">
        <v>300</v>
      </c>
      <c r="N686">
        <v>1</v>
      </c>
      <c r="O686" t="s">
        <v>2317</v>
      </c>
      <c r="P686">
        <v>55849312100</v>
      </c>
      <c r="Q686">
        <v>60104353</v>
      </c>
      <c r="R686" s="7">
        <v>32143</v>
      </c>
      <c r="S686" s="8">
        <f t="shared" si="88"/>
        <v>1988</v>
      </c>
      <c r="T686" s="8">
        <v>1988</v>
      </c>
      <c r="U686" s="8">
        <f t="shared" si="89"/>
        <v>34</v>
      </c>
      <c r="V686" s="7" t="s">
        <v>2316</v>
      </c>
      <c r="W686" t="s">
        <v>2315</v>
      </c>
      <c r="X686" s="2">
        <v>0.218</v>
      </c>
      <c r="Y686" s="6">
        <f t="shared" si="86"/>
        <v>5.8193854942473512E-3</v>
      </c>
      <c r="AA686">
        <v>3772063</v>
      </c>
      <c r="AB686">
        <v>130012</v>
      </c>
      <c r="AD686" t="s">
        <v>4</v>
      </c>
      <c r="AE686">
        <v>34</v>
      </c>
      <c r="AF686">
        <v>2</v>
      </c>
      <c r="AH686" t="s">
        <v>2314</v>
      </c>
      <c r="AI686" t="s">
        <v>2313</v>
      </c>
      <c r="AK686" t="s">
        <v>2312</v>
      </c>
      <c r="AL686">
        <v>4</v>
      </c>
      <c r="AM686" s="5">
        <f t="shared" si="90"/>
        <v>0.11764705882352941</v>
      </c>
      <c r="AN686" s="4">
        <f t="shared" si="87"/>
        <v>1.7818562487471323E-4</v>
      </c>
      <c r="AO686" s="3"/>
      <c r="AP686">
        <v>0</v>
      </c>
      <c r="AR686" t="s">
        <v>0</v>
      </c>
      <c r="AT686" s="2">
        <v>2.3330000000000002</v>
      </c>
      <c r="AU686" s="1">
        <f t="shared" si="91"/>
        <v>0.41270255334355599</v>
      </c>
      <c r="AV686" s="1">
        <f t="shared" si="92"/>
        <v>0.29987855595610324</v>
      </c>
      <c r="AW686" s="1">
        <f t="shared" si="93"/>
        <v>0.18705455856865047</v>
      </c>
    </row>
    <row r="687" spans="1:49" x14ac:dyDescent="0.2">
      <c r="A687">
        <v>685</v>
      </c>
      <c r="B687" t="s">
        <v>2311</v>
      </c>
      <c r="C687" t="s">
        <v>2310</v>
      </c>
      <c r="F687" t="s">
        <v>2309</v>
      </c>
      <c r="G687" t="s">
        <v>15</v>
      </c>
      <c r="H687" t="s">
        <v>14</v>
      </c>
      <c r="I687" t="s">
        <v>2308</v>
      </c>
      <c r="J687">
        <v>60006288</v>
      </c>
      <c r="K687" t="s">
        <v>2307</v>
      </c>
      <c r="L687" t="s">
        <v>2306</v>
      </c>
      <c r="M687" t="s">
        <v>1179</v>
      </c>
      <c r="N687">
        <v>1</v>
      </c>
      <c r="O687" t="s">
        <v>2305</v>
      </c>
      <c r="P687">
        <v>24501999300</v>
      </c>
      <c r="Q687">
        <v>60006288</v>
      </c>
      <c r="R687" s="7">
        <v>32143</v>
      </c>
      <c r="S687" s="8">
        <f t="shared" si="88"/>
        <v>1988</v>
      </c>
      <c r="T687" s="8">
        <v>1988</v>
      </c>
      <c r="U687" s="8">
        <f t="shared" si="89"/>
        <v>34</v>
      </c>
      <c r="V687" s="7">
        <v>1988</v>
      </c>
      <c r="W687" t="s">
        <v>56</v>
      </c>
      <c r="X687" s="2">
        <v>0.375</v>
      </c>
      <c r="Y687" s="6">
        <f t="shared" si="86"/>
        <v>1.0010410827260351E-2</v>
      </c>
      <c r="AA687">
        <v>135194</v>
      </c>
      <c r="AB687">
        <v>24918</v>
      </c>
      <c r="AD687" t="s">
        <v>4</v>
      </c>
      <c r="AE687">
        <v>24</v>
      </c>
      <c r="AF687">
        <v>7</v>
      </c>
      <c r="AH687" t="s">
        <v>2304</v>
      </c>
      <c r="AI687" t="s">
        <v>2303</v>
      </c>
      <c r="AJ687" t="s">
        <v>2302</v>
      </c>
      <c r="AK687" t="s">
        <v>2301</v>
      </c>
      <c r="AL687">
        <v>424</v>
      </c>
      <c r="AM687" s="5">
        <f t="shared" si="90"/>
        <v>12.470588235294118</v>
      </c>
      <c r="AN687" s="4">
        <f t="shared" si="87"/>
        <v>1.8887676236719601E-2</v>
      </c>
      <c r="AO687" s="3"/>
      <c r="AP687">
        <v>0</v>
      </c>
      <c r="AR687" t="s">
        <v>0</v>
      </c>
      <c r="AT687" s="2">
        <v>1.3140000000000001</v>
      </c>
      <c r="AU687" s="1">
        <f t="shared" si="91"/>
        <v>1.2673590450098127</v>
      </c>
      <c r="AV687" s="1">
        <f t="shared" si="92"/>
        <v>1.4449043531989976</v>
      </c>
      <c r="AW687" s="1">
        <f t="shared" si="93"/>
        <v>1.6224496613881825</v>
      </c>
    </row>
    <row r="688" spans="1:49" x14ac:dyDescent="0.2">
      <c r="A688">
        <v>686</v>
      </c>
      <c r="B688" t="s">
        <v>2300</v>
      </c>
      <c r="C688" t="s">
        <v>2299</v>
      </c>
      <c r="F688" t="s">
        <v>2298</v>
      </c>
      <c r="G688" t="s">
        <v>15</v>
      </c>
      <c r="H688" t="s">
        <v>14</v>
      </c>
      <c r="I688" t="s">
        <v>2297</v>
      </c>
      <c r="N688">
        <v>1</v>
      </c>
      <c r="O688" t="s">
        <v>2296</v>
      </c>
      <c r="P688">
        <v>6603712161</v>
      </c>
      <c r="R688" s="7">
        <v>32143</v>
      </c>
      <c r="S688" s="8">
        <f t="shared" si="88"/>
        <v>1988</v>
      </c>
      <c r="T688" s="8">
        <v>1988</v>
      </c>
      <c r="U688" s="8">
        <f t="shared" si="89"/>
        <v>34</v>
      </c>
      <c r="V688" s="7" t="s">
        <v>2295</v>
      </c>
      <c r="W688" t="s">
        <v>1307</v>
      </c>
      <c r="X688" s="2">
        <v>0.371</v>
      </c>
      <c r="Y688" s="6">
        <f t="shared" si="86"/>
        <v>9.9036331117695747E-3</v>
      </c>
      <c r="AA688">
        <v>486604</v>
      </c>
      <c r="AB688">
        <v>28580</v>
      </c>
      <c r="AC688" t="s">
        <v>1306</v>
      </c>
      <c r="AD688" t="s">
        <v>4</v>
      </c>
      <c r="AE688">
        <v>23</v>
      </c>
      <c r="AF688">
        <v>2</v>
      </c>
      <c r="AH688" t="s">
        <v>2294</v>
      </c>
      <c r="AI688" t="s">
        <v>2293</v>
      </c>
      <c r="AK688" t="s">
        <v>2292</v>
      </c>
      <c r="AL688">
        <v>10</v>
      </c>
      <c r="AM688" s="5">
        <f t="shared" si="90"/>
        <v>0.29411764705882354</v>
      </c>
      <c r="AN688" s="4">
        <f t="shared" si="87"/>
        <v>4.4546406218678308E-4</v>
      </c>
      <c r="AO688" s="3"/>
      <c r="AP688">
        <v>0</v>
      </c>
      <c r="AR688" t="s">
        <v>0</v>
      </c>
      <c r="AT688" s="2">
        <v>1.431</v>
      </c>
      <c r="AU688" s="1">
        <f t="shared" si="91"/>
        <v>0.70661823968947368</v>
      </c>
      <c r="AV688" s="1">
        <f t="shared" si="92"/>
        <v>0.51745485869781793</v>
      </c>
      <c r="AW688" s="1">
        <f t="shared" si="93"/>
        <v>0.32829147770616202</v>
      </c>
    </row>
    <row r="689" spans="1:49" x14ac:dyDescent="0.2">
      <c r="A689">
        <v>687</v>
      </c>
      <c r="B689" t="s">
        <v>2291</v>
      </c>
      <c r="C689" t="s">
        <v>2290</v>
      </c>
      <c r="F689" t="s">
        <v>2289</v>
      </c>
      <c r="G689" t="s">
        <v>15</v>
      </c>
      <c r="H689" t="s">
        <v>14</v>
      </c>
      <c r="I689" t="s">
        <v>2288</v>
      </c>
      <c r="J689">
        <v>60025278</v>
      </c>
      <c r="K689" t="s">
        <v>2287</v>
      </c>
      <c r="L689" t="s">
        <v>2286</v>
      </c>
      <c r="M689" t="s">
        <v>456</v>
      </c>
      <c r="N689">
        <v>2</v>
      </c>
      <c r="O689" t="s">
        <v>2285</v>
      </c>
      <c r="P689" t="s">
        <v>2284</v>
      </c>
      <c r="Q689" t="s">
        <v>2283</v>
      </c>
      <c r="R689" s="7">
        <v>32143</v>
      </c>
      <c r="S689" s="8">
        <f t="shared" si="88"/>
        <v>1988</v>
      </c>
      <c r="T689" s="8">
        <v>1988</v>
      </c>
      <c r="U689" s="8">
        <f t="shared" si="89"/>
        <v>34</v>
      </c>
      <c r="V689" s="7">
        <v>1988</v>
      </c>
      <c r="W689" t="s">
        <v>56</v>
      </c>
      <c r="X689" s="2">
        <v>0.375</v>
      </c>
      <c r="Y689" s="6">
        <f t="shared" si="86"/>
        <v>1.0010410827260351E-2</v>
      </c>
      <c r="AA689">
        <v>135194</v>
      </c>
      <c r="AB689">
        <v>24918</v>
      </c>
      <c r="AD689" t="s">
        <v>4</v>
      </c>
      <c r="AE689">
        <v>24</v>
      </c>
      <c r="AF689">
        <v>7</v>
      </c>
      <c r="AH689" t="s">
        <v>2282</v>
      </c>
      <c r="AI689" t="s">
        <v>2281</v>
      </c>
      <c r="AJ689" t="s">
        <v>2280</v>
      </c>
      <c r="AK689" t="s">
        <v>2279</v>
      </c>
      <c r="AL689">
        <v>0</v>
      </c>
      <c r="AM689" s="5">
        <f t="shared" si="90"/>
        <v>0</v>
      </c>
      <c r="AN689" s="4">
        <f t="shared" si="87"/>
        <v>0</v>
      </c>
      <c r="AO689" s="3"/>
      <c r="AP689">
        <v>0</v>
      </c>
      <c r="AR689" t="s">
        <v>0</v>
      </c>
      <c r="AT689" s="2">
        <v>1.3140000000000001</v>
      </c>
      <c r="AU689" s="1">
        <f t="shared" si="91"/>
        <v>0.70072875790822453</v>
      </c>
      <c r="AV689" s="1">
        <f t="shared" si="92"/>
        <v>0.5005205413630176</v>
      </c>
      <c r="AW689" s="1">
        <f t="shared" si="93"/>
        <v>0.30031232481781051</v>
      </c>
    </row>
    <row r="690" spans="1:49" x14ac:dyDescent="0.2">
      <c r="A690">
        <v>688</v>
      </c>
      <c r="B690" t="s">
        <v>2278</v>
      </c>
      <c r="C690" t="s">
        <v>2277</v>
      </c>
      <c r="F690" t="s">
        <v>2276</v>
      </c>
      <c r="G690" t="s">
        <v>15</v>
      </c>
      <c r="H690" t="s">
        <v>14</v>
      </c>
      <c r="I690" t="s">
        <v>2275</v>
      </c>
      <c r="J690">
        <v>60005465</v>
      </c>
      <c r="K690" t="s">
        <v>2274</v>
      </c>
      <c r="L690" t="s">
        <v>2273</v>
      </c>
      <c r="M690" t="s">
        <v>456</v>
      </c>
      <c r="N690">
        <v>3</v>
      </c>
      <c r="O690" t="s">
        <v>2272</v>
      </c>
      <c r="P690" t="s">
        <v>2271</v>
      </c>
      <c r="Q690" t="s">
        <v>2270</v>
      </c>
      <c r="R690" s="7">
        <v>32143</v>
      </c>
      <c r="S690" s="8">
        <f t="shared" si="88"/>
        <v>1988</v>
      </c>
      <c r="T690" s="8">
        <v>1988</v>
      </c>
      <c r="U690" s="8">
        <f t="shared" si="89"/>
        <v>34</v>
      </c>
      <c r="V690" s="7">
        <v>1988</v>
      </c>
      <c r="W690" t="s">
        <v>56</v>
      </c>
      <c r="X690" s="2">
        <v>0.375</v>
      </c>
      <c r="Y690" s="6">
        <f t="shared" si="86"/>
        <v>1.0010410827260351E-2</v>
      </c>
      <c r="AA690">
        <v>135194</v>
      </c>
      <c r="AB690">
        <v>24918</v>
      </c>
      <c r="AD690" t="s">
        <v>4</v>
      </c>
      <c r="AE690">
        <v>24</v>
      </c>
      <c r="AF690">
        <v>7</v>
      </c>
      <c r="AH690" t="s">
        <v>2269</v>
      </c>
      <c r="AI690" t="s">
        <v>2268</v>
      </c>
      <c r="AJ690" t="s">
        <v>2267</v>
      </c>
      <c r="AK690" t="s">
        <v>2266</v>
      </c>
      <c r="AL690">
        <v>5</v>
      </c>
      <c r="AM690" s="5">
        <f t="shared" si="90"/>
        <v>0.14705882352941177</v>
      </c>
      <c r="AN690" s="4">
        <f t="shared" si="87"/>
        <v>2.2273203109339154E-4</v>
      </c>
      <c r="AO690" s="3"/>
      <c r="AP690">
        <v>0</v>
      </c>
      <c r="AR690" t="s">
        <v>0</v>
      </c>
      <c r="AT690" s="2">
        <v>1.3140000000000001</v>
      </c>
      <c r="AU690" s="1">
        <f t="shared" si="91"/>
        <v>0.70741071884102635</v>
      </c>
      <c r="AV690" s="1">
        <f t="shared" si="92"/>
        <v>0.51165714291768716</v>
      </c>
      <c r="AW690" s="1">
        <f t="shared" si="93"/>
        <v>0.31590356699434791</v>
      </c>
    </row>
    <row r="691" spans="1:49" x14ac:dyDescent="0.2">
      <c r="A691">
        <v>689</v>
      </c>
      <c r="B691" t="s">
        <v>2265</v>
      </c>
      <c r="C691" t="s">
        <v>2264</v>
      </c>
      <c r="F691" t="s">
        <v>2263</v>
      </c>
      <c r="G691" t="s">
        <v>15</v>
      </c>
      <c r="H691" t="s">
        <v>14</v>
      </c>
      <c r="I691" t="s">
        <v>2262</v>
      </c>
      <c r="J691">
        <v>60014652</v>
      </c>
      <c r="K691" t="s">
        <v>2261</v>
      </c>
      <c r="L691" t="s">
        <v>2260</v>
      </c>
      <c r="M691" t="s">
        <v>211</v>
      </c>
      <c r="N691">
        <v>1</v>
      </c>
      <c r="O691" t="s">
        <v>2259</v>
      </c>
      <c r="P691">
        <v>7006242283</v>
      </c>
      <c r="Q691">
        <v>60014652</v>
      </c>
      <c r="R691" s="7">
        <v>32143</v>
      </c>
      <c r="S691" s="8">
        <f t="shared" si="88"/>
        <v>1988</v>
      </c>
      <c r="T691" s="8">
        <v>1988</v>
      </c>
      <c r="U691" s="8">
        <f t="shared" si="89"/>
        <v>34</v>
      </c>
      <c r="V691" s="7">
        <v>1988</v>
      </c>
      <c r="W691" t="s">
        <v>56</v>
      </c>
      <c r="X691" s="2">
        <v>0.375</v>
      </c>
      <c r="Y691" s="6">
        <f t="shared" si="86"/>
        <v>1.0010410827260351E-2</v>
      </c>
      <c r="AA691">
        <v>135194</v>
      </c>
      <c r="AB691">
        <v>24918</v>
      </c>
      <c r="AD691" t="s">
        <v>4</v>
      </c>
      <c r="AE691">
        <v>24</v>
      </c>
      <c r="AF691">
        <v>7</v>
      </c>
      <c r="AH691" t="s">
        <v>2258</v>
      </c>
      <c r="AI691" t="s">
        <v>2257</v>
      </c>
      <c r="AJ691" t="s">
        <v>2256</v>
      </c>
      <c r="AK691" t="s">
        <v>2255</v>
      </c>
      <c r="AL691">
        <v>4</v>
      </c>
      <c r="AM691" s="5">
        <f t="shared" si="90"/>
        <v>0.11764705882352941</v>
      </c>
      <c r="AN691" s="4">
        <f t="shared" si="87"/>
        <v>1.7818562487471323E-4</v>
      </c>
      <c r="AO691" s="3"/>
      <c r="AP691">
        <v>0</v>
      </c>
      <c r="AR691" t="s">
        <v>0</v>
      </c>
      <c r="AT691" s="2">
        <v>1.3140000000000001</v>
      </c>
      <c r="AU691" s="1">
        <f t="shared" si="91"/>
        <v>0.70607432665446601</v>
      </c>
      <c r="AV691" s="1">
        <f t="shared" si="92"/>
        <v>0.50942982260675329</v>
      </c>
      <c r="AW691" s="1">
        <f t="shared" si="93"/>
        <v>0.31278531855904046</v>
      </c>
    </row>
    <row r="692" spans="1:49" x14ac:dyDescent="0.2">
      <c r="A692">
        <v>690</v>
      </c>
      <c r="B692" t="s">
        <v>2254</v>
      </c>
      <c r="C692" t="s">
        <v>2253</v>
      </c>
      <c r="F692" t="s">
        <v>2252</v>
      </c>
      <c r="G692" t="s">
        <v>15</v>
      </c>
      <c r="H692" t="s">
        <v>14</v>
      </c>
      <c r="I692" t="s">
        <v>2251</v>
      </c>
      <c r="J692">
        <v>60001439</v>
      </c>
      <c r="K692" t="s">
        <v>2250</v>
      </c>
      <c r="L692" t="s">
        <v>2249</v>
      </c>
      <c r="M692" t="s">
        <v>31</v>
      </c>
      <c r="N692">
        <v>3</v>
      </c>
      <c r="O692" t="s">
        <v>2248</v>
      </c>
      <c r="P692" t="s">
        <v>2247</v>
      </c>
      <c r="Q692" t="s">
        <v>2246</v>
      </c>
      <c r="R692" s="7">
        <v>32143</v>
      </c>
      <c r="S692" s="8">
        <f t="shared" si="88"/>
        <v>1988</v>
      </c>
      <c r="T692" s="8">
        <v>1988</v>
      </c>
      <c r="U692" s="8">
        <f t="shared" si="89"/>
        <v>34</v>
      </c>
      <c r="V692" s="7">
        <v>32174</v>
      </c>
      <c r="W692" t="s">
        <v>1958</v>
      </c>
      <c r="X692" s="2">
        <v>0.65500000000000003</v>
      </c>
      <c r="Y692" s="6">
        <f t="shared" si="86"/>
        <v>1.7484850911614749E-2</v>
      </c>
      <c r="AA692">
        <v>189375</v>
      </c>
      <c r="AB692">
        <v>26051</v>
      </c>
      <c r="AC692" t="s">
        <v>1957</v>
      </c>
      <c r="AD692" t="s">
        <v>4</v>
      </c>
      <c r="AE692">
        <v>30</v>
      </c>
      <c r="AF692">
        <v>1</v>
      </c>
      <c r="AH692" t="s">
        <v>2245</v>
      </c>
      <c r="AI692" t="s">
        <v>2244</v>
      </c>
      <c r="AJ692" t="s">
        <v>2243</v>
      </c>
      <c r="AK692" t="s">
        <v>2242</v>
      </c>
      <c r="AL692">
        <v>24</v>
      </c>
      <c r="AM692" s="5">
        <f t="shared" si="90"/>
        <v>0.70588235294117652</v>
      </c>
      <c r="AN692" s="4">
        <f t="shared" si="87"/>
        <v>1.0691137492482795E-3</v>
      </c>
      <c r="AO692" s="3"/>
      <c r="AP692">
        <v>0</v>
      </c>
      <c r="AR692" t="s">
        <v>0</v>
      </c>
      <c r="AT692" s="2" t="s">
        <v>19</v>
      </c>
      <c r="AU692" s="1">
        <f t="shared" si="91"/>
        <v>1.2560129762904806</v>
      </c>
      <c r="AV692" s="1">
        <f t="shared" si="92"/>
        <v>0.92769823304315135</v>
      </c>
      <c r="AW692" s="1">
        <f t="shared" si="93"/>
        <v>0.59938348979582212</v>
      </c>
    </row>
    <row r="693" spans="1:49" x14ac:dyDescent="0.2">
      <c r="A693">
        <v>691</v>
      </c>
      <c r="B693" t="s">
        <v>2241</v>
      </c>
      <c r="C693" t="s">
        <v>2240</v>
      </c>
      <c r="F693" t="s">
        <v>2239</v>
      </c>
      <c r="G693" t="s">
        <v>15</v>
      </c>
      <c r="H693" t="s">
        <v>14</v>
      </c>
      <c r="I693" t="s">
        <v>2238</v>
      </c>
      <c r="J693">
        <v>60018208</v>
      </c>
      <c r="K693" t="s">
        <v>2237</v>
      </c>
      <c r="L693" t="s">
        <v>2236</v>
      </c>
      <c r="M693" t="s">
        <v>31</v>
      </c>
      <c r="N693">
        <v>2</v>
      </c>
      <c r="O693" t="s">
        <v>2235</v>
      </c>
      <c r="P693" t="s">
        <v>2234</v>
      </c>
      <c r="Q693" t="s">
        <v>2233</v>
      </c>
      <c r="R693" s="7">
        <v>32143</v>
      </c>
      <c r="S693" s="8">
        <f t="shared" si="88"/>
        <v>1988</v>
      </c>
      <c r="T693" s="8">
        <v>1988</v>
      </c>
      <c r="U693" s="8">
        <f t="shared" si="89"/>
        <v>34</v>
      </c>
      <c r="V693" s="7">
        <v>32174</v>
      </c>
      <c r="W693" t="s">
        <v>1958</v>
      </c>
      <c r="X693" s="2">
        <v>0.65500000000000003</v>
      </c>
      <c r="Y693" s="6">
        <f t="shared" si="86"/>
        <v>1.7484850911614749E-2</v>
      </c>
      <c r="AA693">
        <v>189375</v>
      </c>
      <c r="AB693">
        <v>26051</v>
      </c>
      <c r="AC693" t="s">
        <v>1957</v>
      </c>
      <c r="AD693" t="s">
        <v>4</v>
      </c>
      <c r="AE693">
        <v>30</v>
      </c>
      <c r="AF693">
        <v>1</v>
      </c>
      <c r="AH693" t="s">
        <v>2232</v>
      </c>
      <c r="AI693" t="s">
        <v>2231</v>
      </c>
      <c r="AJ693" t="s">
        <v>2230</v>
      </c>
      <c r="AK693" t="s">
        <v>2229</v>
      </c>
      <c r="AL693">
        <v>17</v>
      </c>
      <c r="AM693" s="5">
        <f t="shared" si="90"/>
        <v>0.5</v>
      </c>
      <c r="AN693" s="4">
        <f t="shared" si="87"/>
        <v>7.572889057175312E-4</v>
      </c>
      <c r="AO693" s="3"/>
      <c r="AP693">
        <v>0</v>
      </c>
      <c r="AR693" t="s">
        <v>0</v>
      </c>
      <c r="AT693" s="2" t="s">
        <v>19</v>
      </c>
      <c r="AU693" s="1">
        <f t="shared" si="91"/>
        <v>1.2466582309845582</v>
      </c>
      <c r="AV693" s="1">
        <f t="shared" si="92"/>
        <v>0.91210699086661395</v>
      </c>
      <c r="AW693" s="1">
        <f t="shared" si="93"/>
        <v>0.57755575074866961</v>
      </c>
    </row>
    <row r="694" spans="1:49" x14ac:dyDescent="0.2">
      <c r="A694">
        <v>692</v>
      </c>
      <c r="B694" t="s">
        <v>2228</v>
      </c>
      <c r="C694" t="s">
        <v>2227</v>
      </c>
      <c r="F694" t="s">
        <v>2226</v>
      </c>
      <c r="G694" t="s">
        <v>15</v>
      </c>
      <c r="H694" t="s">
        <v>14</v>
      </c>
      <c r="I694" t="s">
        <v>2225</v>
      </c>
      <c r="J694">
        <v>60021378</v>
      </c>
      <c r="K694" t="s">
        <v>1253</v>
      </c>
      <c r="L694" t="s">
        <v>1252</v>
      </c>
      <c r="M694" t="s">
        <v>31</v>
      </c>
      <c r="N694">
        <v>2</v>
      </c>
      <c r="O694" t="s">
        <v>2224</v>
      </c>
      <c r="P694" t="s">
        <v>2223</v>
      </c>
      <c r="Q694" t="s">
        <v>1568</v>
      </c>
      <c r="R694" s="7">
        <v>32143</v>
      </c>
      <c r="S694" s="8">
        <f t="shared" si="88"/>
        <v>1988</v>
      </c>
      <c r="T694" s="8">
        <v>1988</v>
      </c>
      <c r="U694" s="8">
        <f t="shared" si="89"/>
        <v>34</v>
      </c>
      <c r="V694" s="7">
        <v>32174</v>
      </c>
      <c r="W694" t="s">
        <v>69</v>
      </c>
      <c r="X694" s="2">
        <v>1.6519999999999999</v>
      </c>
      <c r="Y694" s="6">
        <f t="shared" si="86"/>
        <v>4.409919649769093E-2</v>
      </c>
      <c r="AA694" t="s">
        <v>68</v>
      </c>
      <c r="AB694">
        <v>17337</v>
      </c>
      <c r="AC694">
        <v>15582221</v>
      </c>
      <c r="AD694" t="s">
        <v>4</v>
      </c>
      <c r="AE694">
        <v>36</v>
      </c>
      <c r="AF694">
        <v>2</v>
      </c>
      <c r="AH694" t="s">
        <v>2222</v>
      </c>
      <c r="AI694" t="s">
        <v>2221</v>
      </c>
      <c r="AK694" t="s">
        <v>2220</v>
      </c>
      <c r="AL694">
        <v>1</v>
      </c>
      <c r="AM694" s="5">
        <f t="shared" si="90"/>
        <v>2.9411764705882353E-2</v>
      </c>
      <c r="AN694" s="4">
        <f t="shared" si="87"/>
        <v>4.4546406218678307E-5</v>
      </c>
      <c r="AO694" s="3"/>
      <c r="AP694">
        <v>0</v>
      </c>
      <c r="AR694" t="s">
        <v>0</v>
      </c>
      <c r="AT694" s="2" t="s">
        <v>19</v>
      </c>
      <c r="AU694" s="1">
        <f t="shared" si="91"/>
        <v>3.0882801470249253</v>
      </c>
      <c r="AV694" s="1">
        <f t="shared" si="92"/>
        <v>2.2071871451954803</v>
      </c>
      <c r="AW694" s="1">
        <f t="shared" si="93"/>
        <v>1.3260941433660351</v>
      </c>
    </row>
    <row r="695" spans="1:49" x14ac:dyDescent="0.2">
      <c r="A695">
        <v>693</v>
      </c>
      <c r="B695" t="s">
        <v>2219</v>
      </c>
      <c r="C695" t="s">
        <v>2218</v>
      </c>
      <c r="F695" t="s">
        <v>2217</v>
      </c>
      <c r="G695" t="s">
        <v>15</v>
      </c>
      <c r="H695" t="s">
        <v>14</v>
      </c>
      <c r="I695" t="s">
        <v>2216</v>
      </c>
      <c r="J695">
        <v>60022109</v>
      </c>
      <c r="K695" t="s">
        <v>2096</v>
      </c>
      <c r="L695" t="s">
        <v>2095</v>
      </c>
      <c r="M695" t="s">
        <v>1011</v>
      </c>
      <c r="N695">
        <v>2</v>
      </c>
      <c r="O695" t="s">
        <v>2215</v>
      </c>
      <c r="P695" t="s">
        <v>2214</v>
      </c>
      <c r="Q695" t="s">
        <v>2213</v>
      </c>
      <c r="R695" s="7">
        <v>32143</v>
      </c>
      <c r="S695" s="8">
        <f t="shared" si="88"/>
        <v>1988</v>
      </c>
      <c r="T695" s="8">
        <v>1988</v>
      </c>
      <c r="U695" s="8">
        <f t="shared" si="89"/>
        <v>34</v>
      </c>
      <c r="V695" s="7" t="s">
        <v>477</v>
      </c>
      <c r="W695" s="11" t="s">
        <v>1890</v>
      </c>
      <c r="X695" s="2">
        <v>2.383</v>
      </c>
      <c r="Y695" s="6">
        <f t="shared" si="86"/>
        <v>6.3612824003630442E-2</v>
      </c>
      <c r="AA695" t="s">
        <v>1889</v>
      </c>
      <c r="AB695">
        <v>101151</v>
      </c>
      <c r="AD695" t="s">
        <v>4</v>
      </c>
      <c r="AE695">
        <v>135</v>
      </c>
      <c r="AF695">
        <v>1</v>
      </c>
      <c r="AH695" t="s">
        <v>2212</v>
      </c>
      <c r="AI695" t="s">
        <v>2211</v>
      </c>
      <c r="AK695" t="s">
        <v>2210</v>
      </c>
      <c r="AL695">
        <v>9</v>
      </c>
      <c r="AM695" s="5">
        <f t="shared" si="90"/>
        <v>0.26470588235294118</v>
      </c>
      <c r="AN695" s="4">
        <f t="shared" si="87"/>
        <v>4.009176559681048E-4</v>
      </c>
      <c r="AO695" s="3"/>
      <c r="AP695">
        <v>0</v>
      </c>
      <c r="AR695" t="s">
        <v>0</v>
      </c>
      <c r="AT695" s="2" t="s">
        <v>19</v>
      </c>
      <c r="AU695" s="1">
        <f t="shared" si="91"/>
        <v>4.464925209933174</v>
      </c>
      <c r="AV695" s="1">
        <f t="shared" si="92"/>
        <v>3.2006870829799272</v>
      </c>
      <c r="AW695" s="1">
        <f t="shared" si="93"/>
        <v>1.9364489560266807</v>
      </c>
    </row>
    <row r="696" spans="1:49" x14ac:dyDescent="0.2">
      <c r="A696">
        <v>694</v>
      </c>
      <c r="B696" t="s">
        <v>2209</v>
      </c>
      <c r="C696" t="s">
        <v>2208</v>
      </c>
      <c r="F696" t="s">
        <v>2207</v>
      </c>
      <c r="G696" t="s">
        <v>15</v>
      </c>
      <c r="H696" t="s">
        <v>14</v>
      </c>
      <c r="I696" t="s">
        <v>2206</v>
      </c>
      <c r="J696">
        <v>60008107</v>
      </c>
      <c r="K696" t="s">
        <v>2205</v>
      </c>
      <c r="L696" t="s">
        <v>2204</v>
      </c>
      <c r="M696" t="s">
        <v>211</v>
      </c>
      <c r="N696">
        <v>2</v>
      </c>
      <c r="O696" t="s">
        <v>2203</v>
      </c>
      <c r="P696" t="s">
        <v>2202</v>
      </c>
      <c r="Q696" t="s">
        <v>2201</v>
      </c>
      <c r="R696" s="7">
        <v>32143</v>
      </c>
      <c r="S696" s="8">
        <f t="shared" si="88"/>
        <v>1988</v>
      </c>
      <c r="T696" s="8">
        <v>1988</v>
      </c>
      <c r="U696" s="8">
        <f t="shared" si="89"/>
        <v>34</v>
      </c>
      <c r="V696" s="7">
        <v>32174</v>
      </c>
      <c r="W696" t="s">
        <v>1225</v>
      </c>
      <c r="X696" s="2">
        <v>0.111</v>
      </c>
      <c r="Y696" s="6">
        <f t="shared" si="86"/>
        <v>2.9630816048690639E-3</v>
      </c>
      <c r="AA696">
        <v>87566621</v>
      </c>
      <c r="AB696">
        <v>24890</v>
      </c>
      <c r="AC696">
        <v>15206424</v>
      </c>
      <c r="AD696" t="s">
        <v>4</v>
      </c>
      <c r="AE696">
        <v>71</v>
      </c>
      <c r="AF696">
        <v>2</v>
      </c>
      <c r="AH696" t="s">
        <v>2200</v>
      </c>
      <c r="AI696" t="s">
        <v>2199</v>
      </c>
      <c r="AK696" t="s">
        <v>2198</v>
      </c>
      <c r="AL696">
        <v>3</v>
      </c>
      <c r="AM696" s="5">
        <f t="shared" si="90"/>
        <v>8.8235294117647065E-2</v>
      </c>
      <c r="AN696" s="4">
        <f t="shared" si="87"/>
        <v>1.3363921865603494E-4</v>
      </c>
      <c r="AO696" s="3"/>
      <c r="AP696">
        <v>0</v>
      </c>
      <c r="AR696" t="s">
        <v>0</v>
      </c>
      <c r="AT696" s="2" t="s">
        <v>19</v>
      </c>
      <c r="AU696" s="1">
        <f t="shared" si="91"/>
        <v>0.2114248889005155</v>
      </c>
      <c r="AV696" s="1">
        <f t="shared" si="92"/>
        <v>0.15483604117625493</v>
      </c>
      <c r="AW696" s="1">
        <f t="shared" si="93"/>
        <v>9.8247193451994355E-2</v>
      </c>
    </row>
    <row r="697" spans="1:49" x14ac:dyDescent="0.2">
      <c r="A697">
        <v>695</v>
      </c>
      <c r="B697" t="s">
        <v>2197</v>
      </c>
      <c r="C697" t="s">
        <v>2196</v>
      </c>
      <c r="F697" t="s">
        <v>2195</v>
      </c>
      <c r="G697" t="s">
        <v>15</v>
      </c>
      <c r="H697" t="s">
        <v>14</v>
      </c>
      <c r="I697" t="s">
        <v>2194</v>
      </c>
      <c r="J697" t="s">
        <v>2193</v>
      </c>
      <c r="K697" t="s">
        <v>2192</v>
      </c>
      <c r="L697" t="s">
        <v>2191</v>
      </c>
      <c r="M697" t="s">
        <v>195</v>
      </c>
      <c r="N697">
        <v>5</v>
      </c>
      <c r="O697" t="s">
        <v>2190</v>
      </c>
      <c r="P697" t="s">
        <v>2189</v>
      </c>
      <c r="Q697" t="s">
        <v>2188</v>
      </c>
      <c r="R697" s="7">
        <v>32143</v>
      </c>
      <c r="S697" s="8">
        <f t="shared" si="88"/>
        <v>1988</v>
      </c>
      <c r="T697" s="8">
        <v>1988</v>
      </c>
      <c r="U697" s="8">
        <f t="shared" si="89"/>
        <v>34</v>
      </c>
      <c r="V697" s="7">
        <v>32174</v>
      </c>
      <c r="W697" t="s">
        <v>69</v>
      </c>
      <c r="X697" s="2">
        <v>1.6519999999999999</v>
      </c>
      <c r="Y697" s="6">
        <f t="shared" si="86"/>
        <v>4.409919649769093E-2</v>
      </c>
      <c r="AA697" t="s">
        <v>68</v>
      </c>
      <c r="AB697">
        <v>17337</v>
      </c>
      <c r="AC697">
        <v>15582221</v>
      </c>
      <c r="AD697" t="s">
        <v>4</v>
      </c>
      <c r="AE697">
        <v>36</v>
      </c>
      <c r="AF697">
        <v>2</v>
      </c>
      <c r="AH697" t="s">
        <v>2187</v>
      </c>
      <c r="AI697" t="s">
        <v>2186</v>
      </c>
      <c r="AK697" t="s">
        <v>2185</v>
      </c>
      <c r="AL697">
        <v>211</v>
      </c>
      <c r="AM697" s="5">
        <f t="shared" si="90"/>
        <v>6.2058823529411766</v>
      </c>
      <c r="AN697" s="4">
        <f t="shared" si="87"/>
        <v>9.3992917121411227E-3</v>
      </c>
      <c r="AO697" s="3"/>
      <c r="AP697">
        <v>0</v>
      </c>
      <c r="AQ697" t="s">
        <v>2184</v>
      </c>
      <c r="AR697">
        <v>6599805</v>
      </c>
      <c r="AS697" t="s">
        <v>2183</v>
      </c>
      <c r="AT697" s="2" t="s">
        <v>19</v>
      </c>
      <c r="AU697" s="1">
        <f t="shared" si="91"/>
        <v>3.3689225062025985</v>
      </c>
      <c r="AV697" s="1">
        <f t="shared" si="92"/>
        <v>2.6749244104916023</v>
      </c>
      <c r="AW697" s="1">
        <f t="shared" si="93"/>
        <v>1.9809263147806062</v>
      </c>
    </row>
    <row r="698" spans="1:49" x14ac:dyDescent="0.2">
      <c r="A698">
        <v>696</v>
      </c>
      <c r="B698" t="s">
        <v>2182</v>
      </c>
      <c r="C698" t="s">
        <v>2181</v>
      </c>
      <c r="F698" t="s">
        <v>2180</v>
      </c>
      <c r="G698" t="s">
        <v>15</v>
      </c>
      <c r="H698" t="s">
        <v>14</v>
      </c>
      <c r="I698" t="s">
        <v>2179</v>
      </c>
      <c r="J698">
        <v>100424741</v>
      </c>
      <c r="K698" t="s">
        <v>2178</v>
      </c>
      <c r="L698" t="s">
        <v>2177</v>
      </c>
      <c r="M698" t="s">
        <v>31</v>
      </c>
      <c r="N698">
        <v>2</v>
      </c>
      <c r="O698" t="s">
        <v>2176</v>
      </c>
      <c r="P698" t="s">
        <v>2175</v>
      </c>
      <c r="Q698" t="s">
        <v>2174</v>
      </c>
      <c r="R698" s="7">
        <v>32143</v>
      </c>
      <c r="S698" s="8">
        <f t="shared" si="88"/>
        <v>1988</v>
      </c>
      <c r="T698" s="8">
        <v>1988</v>
      </c>
      <c r="U698" s="8">
        <f t="shared" si="89"/>
        <v>34</v>
      </c>
      <c r="V698" s="7">
        <v>32174</v>
      </c>
      <c r="W698" t="s">
        <v>69</v>
      </c>
      <c r="X698" s="2">
        <v>1.6519999999999999</v>
      </c>
      <c r="Y698" s="6">
        <f t="shared" si="86"/>
        <v>4.409919649769093E-2</v>
      </c>
      <c r="AA698" t="s">
        <v>68</v>
      </c>
      <c r="AB698">
        <v>17337</v>
      </c>
      <c r="AC698">
        <v>15582221</v>
      </c>
      <c r="AD698" t="s">
        <v>4</v>
      </c>
      <c r="AE698">
        <v>36</v>
      </c>
      <c r="AF698">
        <v>2</v>
      </c>
      <c r="AH698" t="s">
        <v>2173</v>
      </c>
      <c r="AI698" t="s">
        <v>2172</v>
      </c>
      <c r="AK698" t="s">
        <v>2171</v>
      </c>
      <c r="AL698">
        <v>15</v>
      </c>
      <c r="AM698" s="5">
        <f t="shared" si="90"/>
        <v>0.44117647058823528</v>
      </c>
      <c r="AN698" s="4">
        <f t="shared" si="87"/>
        <v>6.6819609328017462E-4</v>
      </c>
      <c r="AO698" s="3"/>
      <c r="AP698">
        <v>0</v>
      </c>
      <c r="AQ698" t="s">
        <v>1273</v>
      </c>
      <c r="AR698" t="s">
        <v>2170</v>
      </c>
      <c r="AS698" t="s">
        <v>1271</v>
      </c>
      <c r="AT698" s="2" t="s">
        <v>19</v>
      </c>
      <c r="AU698" s="1">
        <f t="shared" si="91"/>
        <v>3.1069896376367705</v>
      </c>
      <c r="AV698" s="1">
        <f t="shared" si="92"/>
        <v>2.2383696295485556</v>
      </c>
      <c r="AW698" s="1">
        <f t="shared" si="93"/>
        <v>1.3697496214603402</v>
      </c>
    </row>
    <row r="699" spans="1:49" x14ac:dyDescent="0.2">
      <c r="A699">
        <v>697</v>
      </c>
      <c r="B699" t="s">
        <v>2169</v>
      </c>
      <c r="C699" t="s">
        <v>2168</v>
      </c>
      <c r="F699" t="s">
        <v>2167</v>
      </c>
      <c r="G699" t="s">
        <v>15</v>
      </c>
      <c r="H699" t="s">
        <v>14</v>
      </c>
      <c r="I699" t="s">
        <v>2166</v>
      </c>
      <c r="J699">
        <v>60005304</v>
      </c>
      <c r="K699" t="s">
        <v>72</v>
      </c>
      <c r="L699" t="s">
        <v>71</v>
      </c>
      <c r="M699" t="s">
        <v>31</v>
      </c>
      <c r="N699">
        <v>3</v>
      </c>
      <c r="O699" t="s">
        <v>2165</v>
      </c>
      <c r="P699" t="s">
        <v>2164</v>
      </c>
      <c r="Q699" t="s">
        <v>2163</v>
      </c>
      <c r="R699" s="7">
        <v>32143</v>
      </c>
      <c r="S699" s="8">
        <f t="shared" si="88"/>
        <v>1988</v>
      </c>
      <c r="T699" s="8">
        <v>1988</v>
      </c>
      <c r="U699" s="8">
        <f t="shared" si="89"/>
        <v>34</v>
      </c>
      <c r="V699" s="7">
        <v>32174</v>
      </c>
      <c r="W699" t="s">
        <v>69</v>
      </c>
      <c r="X699" s="2">
        <v>1.6519999999999999</v>
      </c>
      <c r="Y699" s="6">
        <f t="shared" si="86"/>
        <v>4.409919649769093E-2</v>
      </c>
      <c r="AA699" t="s">
        <v>68</v>
      </c>
      <c r="AB699">
        <v>17337</v>
      </c>
      <c r="AC699">
        <v>15582221</v>
      </c>
      <c r="AD699" t="s">
        <v>4</v>
      </c>
      <c r="AE699">
        <v>36</v>
      </c>
      <c r="AF699">
        <v>2</v>
      </c>
      <c r="AH699" t="s">
        <v>2162</v>
      </c>
      <c r="AI699" t="s">
        <v>2161</v>
      </c>
      <c r="AK699" t="s">
        <v>2160</v>
      </c>
      <c r="AL699">
        <v>10</v>
      </c>
      <c r="AM699" s="5">
        <f t="shared" si="90"/>
        <v>0.29411764705882354</v>
      </c>
      <c r="AN699" s="4">
        <f t="shared" si="87"/>
        <v>4.4546406218678308E-4</v>
      </c>
      <c r="AO699" s="3"/>
      <c r="AP699">
        <v>0</v>
      </c>
      <c r="AQ699" t="s">
        <v>577</v>
      </c>
      <c r="AR699" t="s">
        <v>2159</v>
      </c>
      <c r="AS699" t="s">
        <v>575</v>
      </c>
      <c r="AT699" s="2" t="s">
        <v>19</v>
      </c>
      <c r="AU699" s="1">
        <f t="shared" si="91"/>
        <v>3.1003076767039688</v>
      </c>
      <c r="AV699" s="1">
        <f t="shared" si="92"/>
        <v>2.2272330279938855</v>
      </c>
      <c r="AW699" s="1">
        <f t="shared" si="93"/>
        <v>1.3541583792838026</v>
      </c>
    </row>
    <row r="700" spans="1:49" x14ac:dyDescent="0.2">
      <c r="A700">
        <v>698</v>
      </c>
      <c r="B700" t="s">
        <v>2158</v>
      </c>
      <c r="C700" t="s">
        <v>2157</v>
      </c>
      <c r="F700" t="s">
        <v>2156</v>
      </c>
      <c r="G700" t="s">
        <v>15</v>
      </c>
      <c r="H700" t="s">
        <v>14</v>
      </c>
      <c r="I700" t="s">
        <v>2155</v>
      </c>
      <c r="J700">
        <v>60027509</v>
      </c>
      <c r="K700" t="s">
        <v>2154</v>
      </c>
      <c r="L700" t="s">
        <v>2153</v>
      </c>
      <c r="M700" t="s">
        <v>1725</v>
      </c>
      <c r="N700">
        <v>3</v>
      </c>
      <c r="O700" t="s">
        <v>2152</v>
      </c>
      <c r="P700" t="s">
        <v>2151</v>
      </c>
      <c r="Q700" t="s">
        <v>2150</v>
      </c>
      <c r="R700" s="7">
        <v>32143</v>
      </c>
      <c r="S700" s="8">
        <f t="shared" si="88"/>
        <v>1988</v>
      </c>
      <c r="T700" s="8">
        <v>1988</v>
      </c>
      <c r="U700" s="8">
        <f t="shared" si="89"/>
        <v>34</v>
      </c>
      <c r="V700" s="7">
        <v>32174</v>
      </c>
      <c r="W700" t="s">
        <v>1073</v>
      </c>
      <c r="X700" s="2">
        <v>1.3720000000000001</v>
      </c>
      <c r="Y700" s="6">
        <f t="shared" si="86"/>
        <v>3.662475641333654E-2</v>
      </c>
      <c r="AA700">
        <v>189480</v>
      </c>
      <c r="AB700">
        <v>17366</v>
      </c>
      <c r="AC700">
        <v>15579670</v>
      </c>
      <c r="AD700" t="s">
        <v>4</v>
      </c>
      <c r="AE700">
        <v>36</v>
      </c>
      <c r="AF700">
        <v>2</v>
      </c>
      <c r="AH700" t="s">
        <v>2149</v>
      </c>
      <c r="AI700" t="s">
        <v>2148</v>
      </c>
      <c r="AK700" t="s">
        <v>2147</v>
      </c>
      <c r="AL700">
        <v>93</v>
      </c>
      <c r="AM700" s="5">
        <f t="shared" si="90"/>
        <v>2.7352941176470589</v>
      </c>
      <c r="AN700" s="4">
        <f t="shared" si="87"/>
        <v>4.1428157783370825E-3</v>
      </c>
      <c r="AO700" s="3"/>
      <c r="AP700">
        <v>0</v>
      </c>
      <c r="AR700" t="s">
        <v>0</v>
      </c>
      <c r="AT700" s="2" t="s">
        <v>19</v>
      </c>
      <c r="AU700" s="1">
        <f t="shared" si="91"/>
        <v>2.6880174222836701</v>
      </c>
      <c r="AV700" s="1">
        <f t="shared" si="92"/>
        <v>2.0383786095836811</v>
      </c>
      <c r="AW700" s="1">
        <f t="shared" si="93"/>
        <v>1.3887397968836919</v>
      </c>
    </row>
    <row r="701" spans="1:49" x14ac:dyDescent="0.2">
      <c r="A701">
        <v>699</v>
      </c>
      <c r="B701" t="s">
        <v>2146</v>
      </c>
      <c r="C701" t="s">
        <v>2145</v>
      </c>
      <c r="F701" t="s">
        <v>2144</v>
      </c>
      <c r="G701" t="s">
        <v>15</v>
      </c>
      <c r="H701" t="s">
        <v>14</v>
      </c>
      <c r="I701" t="s">
        <v>2143</v>
      </c>
      <c r="N701">
        <v>4</v>
      </c>
      <c r="O701" t="s">
        <v>2142</v>
      </c>
      <c r="P701" t="s">
        <v>2141</v>
      </c>
      <c r="Q701" t="s">
        <v>523</v>
      </c>
      <c r="R701" s="7">
        <v>32143</v>
      </c>
      <c r="S701" s="8">
        <f t="shared" si="88"/>
        <v>1988</v>
      </c>
      <c r="T701" s="8">
        <v>1988</v>
      </c>
      <c r="U701" s="8">
        <f t="shared" si="89"/>
        <v>34</v>
      </c>
      <c r="V701" s="7" t="s">
        <v>477</v>
      </c>
      <c r="W701" s="11" t="s">
        <v>1890</v>
      </c>
      <c r="X701" s="2">
        <v>2.383</v>
      </c>
      <c r="Y701" s="6">
        <f t="shared" si="86"/>
        <v>6.3612824003630442E-2</v>
      </c>
      <c r="AA701" t="s">
        <v>1889</v>
      </c>
      <c r="AB701">
        <v>101151</v>
      </c>
      <c r="AD701" t="s">
        <v>4</v>
      </c>
      <c r="AE701">
        <v>135</v>
      </c>
      <c r="AF701">
        <v>1</v>
      </c>
      <c r="AH701" t="s">
        <v>2140</v>
      </c>
      <c r="AI701" t="s">
        <v>2139</v>
      </c>
      <c r="AK701" t="s">
        <v>2138</v>
      </c>
      <c r="AL701">
        <v>12</v>
      </c>
      <c r="AM701" s="5">
        <f t="shared" si="90"/>
        <v>0.35294117647058826</v>
      </c>
      <c r="AN701" s="4">
        <f t="shared" si="87"/>
        <v>5.3455687462413976E-4</v>
      </c>
      <c r="AO701" s="3"/>
      <c r="AP701">
        <v>0</v>
      </c>
      <c r="AR701" t="s">
        <v>0</v>
      </c>
      <c r="AT701" s="2" t="s">
        <v>19</v>
      </c>
      <c r="AU701" s="1">
        <f t="shared" si="91"/>
        <v>4.4689343864928555</v>
      </c>
      <c r="AV701" s="1">
        <f t="shared" si="92"/>
        <v>3.2073690439127294</v>
      </c>
      <c r="AW701" s="1">
        <f t="shared" si="93"/>
        <v>1.9458037013326028</v>
      </c>
    </row>
    <row r="702" spans="1:49" x14ac:dyDescent="0.2">
      <c r="A702">
        <v>700</v>
      </c>
      <c r="B702" t="s">
        <v>2137</v>
      </c>
      <c r="C702" t="s">
        <v>2136</v>
      </c>
      <c r="F702" t="s">
        <v>2135</v>
      </c>
      <c r="G702" t="s">
        <v>15</v>
      </c>
      <c r="H702" t="s">
        <v>14</v>
      </c>
      <c r="I702" t="s">
        <v>2134</v>
      </c>
      <c r="J702" t="s">
        <v>2133</v>
      </c>
      <c r="K702" t="s">
        <v>2132</v>
      </c>
      <c r="L702" t="s">
        <v>2131</v>
      </c>
      <c r="M702" t="s">
        <v>1280</v>
      </c>
      <c r="N702">
        <v>3</v>
      </c>
      <c r="O702" t="s">
        <v>2130</v>
      </c>
      <c r="P702" t="s">
        <v>2129</v>
      </c>
      <c r="Q702" t="s">
        <v>2128</v>
      </c>
      <c r="R702" s="7">
        <v>32143</v>
      </c>
      <c r="S702" s="8">
        <f t="shared" si="88"/>
        <v>1988</v>
      </c>
      <c r="T702" s="8">
        <v>1988</v>
      </c>
      <c r="U702" s="8">
        <f t="shared" si="89"/>
        <v>34</v>
      </c>
      <c r="V702" s="7">
        <v>32174</v>
      </c>
      <c r="W702" t="s">
        <v>1225</v>
      </c>
      <c r="X702" s="2">
        <v>0.111</v>
      </c>
      <c r="Y702" s="6">
        <f t="shared" si="86"/>
        <v>2.9630816048690639E-3</v>
      </c>
      <c r="AA702">
        <v>87566621</v>
      </c>
      <c r="AB702">
        <v>24890</v>
      </c>
      <c r="AC702">
        <v>15206424</v>
      </c>
      <c r="AD702" t="s">
        <v>4</v>
      </c>
      <c r="AE702">
        <v>71</v>
      </c>
      <c r="AF702">
        <v>2</v>
      </c>
      <c r="AH702" t="s">
        <v>2127</v>
      </c>
      <c r="AI702" t="s">
        <v>2126</v>
      </c>
      <c r="AK702" t="s">
        <v>2125</v>
      </c>
      <c r="AL702">
        <v>0</v>
      </c>
      <c r="AM702" s="5">
        <f t="shared" si="90"/>
        <v>0</v>
      </c>
      <c r="AN702" s="4">
        <f t="shared" si="87"/>
        <v>0</v>
      </c>
      <c r="AO702" s="3"/>
      <c r="AP702">
        <v>0</v>
      </c>
      <c r="AR702" t="s">
        <v>0</v>
      </c>
      <c r="AT702" s="2" t="s">
        <v>19</v>
      </c>
      <c r="AU702" s="1">
        <f t="shared" si="91"/>
        <v>0.20741571234083445</v>
      </c>
      <c r="AV702" s="1">
        <f t="shared" si="92"/>
        <v>0.1481540802434532</v>
      </c>
      <c r="AW702" s="1">
        <f t="shared" si="93"/>
        <v>8.8892448146071903E-2</v>
      </c>
    </row>
    <row r="703" spans="1:49" x14ac:dyDescent="0.2">
      <c r="A703">
        <v>701</v>
      </c>
      <c r="B703" t="s">
        <v>2124</v>
      </c>
      <c r="C703" t="s">
        <v>2123</v>
      </c>
      <c r="F703" t="s">
        <v>2122</v>
      </c>
      <c r="G703" t="s">
        <v>15</v>
      </c>
      <c r="H703" t="s">
        <v>14</v>
      </c>
      <c r="I703" t="s">
        <v>2121</v>
      </c>
      <c r="J703">
        <v>60011664</v>
      </c>
      <c r="K703" t="s">
        <v>2120</v>
      </c>
      <c r="L703" t="s">
        <v>2119</v>
      </c>
      <c r="M703" t="s">
        <v>1088</v>
      </c>
      <c r="N703">
        <v>1</v>
      </c>
      <c r="O703" t="s">
        <v>2118</v>
      </c>
      <c r="P703">
        <v>56099280500</v>
      </c>
      <c r="Q703">
        <v>60011664</v>
      </c>
      <c r="R703" s="7">
        <v>32143</v>
      </c>
      <c r="S703" s="8">
        <f t="shared" si="88"/>
        <v>1988</v>
      </c>
      <c r="T703" s="8">
        <v>1988</v>
      </c>
      <c r="U703" s="8">
        <f t="shared" si="89"/>
        <v>34</v>
      </c>
      <c r="V703" s="7">
        <v>32174</v>
      </c>
      <c r="W703" t="s">
        <v>1958</v>
      </c>
      <c r="X703" s="2">
        <v>0.65500000000000003</v>
      </c>
      <c r="Y703" s="6">
        <f t="shared" si="86"/>
        <v>1.7484850911614749E-2</v>
      </c>
      <c r="AA703">
        <v>189375</v>
      </c>
      <c r="AB703">
        <v>26051</v>
      </c>
      <c r="AC703" t="s">
        <v>1957</v>
      </c>
      <c r="AD703" t="s">
        <v>4</v>
      </c>
      <c r="AE703">
        <v>30</v>
      </c>
      <c r="AF703">
        <v>1</v>
      </c>
      <c r="AH703" t="s">
        <v>2117</v>
      </c>
      <c r="AI703" t="s">
        <v>2116</v>
      </c>
      <c r="AJ703" t="s">
        <v>2115</v>
      </c>
      <c r="AK703" t="s">
        <v>2114</v>
      </c>
      <c r="AL703">
        <v>13</v>
      </c>
      <c r="AM703" s="5">
        <f t="shared" si="90"/>
        <v>0.38235294117647056</v>
      </c>
      <c r="AN703" s="4">
        <f t="shared" si="87"/>
        <v>5.7910328084281794E-4</v>
      </c>
      <c r="AO703" s="3"/>
      <c r="AP703">
        <v>0</v>
      </c>
      <c r="AR703" t="s">
        <v>0</v>
      </c>
      <c r="AT703" s="2" t="s">
        <v>19</v>
      </c>
      <c r="AU703" s="1">
        <f t="shared" si="91"/>
        <v>1.2413126622383168</v>
      </c>
      <c r="AV703" s="1">
        <f t="shared" si="92"/>
        <v>0.90319770962287838</v>
      </c>
      <c r="AW703" s="1">
        <f t="shared" si="93"/>
        <v>0.56508275700743971</v>
      </c>
    </row>
    <row r="704" spans="1:49" x14ac:dyDescent="0.2">
      <c r="A704">
        <v>702</v>
      </c>
      <c r="B704" t="s">
        <v>2113</v>
      </c>
      <c r="C704" t="s">
        <v>2112</v>
      </c>
      <c r="F704" t="s">
        <v>2111</v>
      </c>
      <c r="G704" t="s">
        <v>15</v>
      </c>
      <c r="H704" t="s">
        <v>14</v>
      </c>
      <c r="I704" t="s">
        <v>2110</v>
      </c>
      <c r="J704">
        <v>60018873</v>
      </c>
      <c r="K704" t="s">
        <v>2109</v>
      </c>
      <c r="L704" t="s">
        <v>2108</v>
      </c>
      <c r="M704" t="s">
        <v>211</v>
      </c>
      <c r="N704">
        <v>6</v>
      </c>
      <c r="O704" t="s">
        <v>2107</v>
      </c>
      <c r="P704" t="s">
        <v>2106</v>
      </c>
      <c r="Q704" t="s">
        <v>2105</v>
      </c>
      <c r="R704" s="7">
        <v>32143</v>
      </c>
      <c r="S704" s="8">
        <f t="shared" si="88"/>
        <v>1988</v>
      </c>
      <c r="T704" s="8">
        <v>1988</v>
      </c>
      <c r="U704" s="8">
        <f t="shared" si="89"/>
        <v>34</v>
      </c>
      <c r="V704" s="7">
        <v>40575</v>
      </c>
      <c r="W704" t="s">
        <v>2104</v>
      </c>
      <c r="X704" s="2">
        <v>1.641</v>
      </c>
      <c r="Y704" s="6">
        <f t="shared" si="86"/>
        <v>4.3805557780091299E-2</v>
      </c>
      <c r="AA704">
        <v>223654</v>
      </c>
      <c r="AB704">
        <v>30422</v>
      </c>
      <c r="AD704" t="s">
        <v>4</v>
      </c>
      <c r="AE704">
        <v>92</v>
      </c>
      <c r="AF704">
        <v>3</v>
      </c>
      <c r="AH704" t="s">
        <v>2103</v>
      </c>
      <c r="AI704" t="s">
        <v>2102</v>
      </c>
      <c r="AK704" t="s">
        <v>2101</v>
      </c>
      <c r="AL704">
        <v>11</v>
      </c>
      <c r="AM704" s="5">
        <f t="shared" si="90"/>
        <v>0.3235294117647059</v>
      </c>
      <c r="AN704" s="4">
        <f t="shared" si="87"/>
        <v>4.9001046840546137E-4</v>
      </c>
      <c r="AO704" s="3"/>
      <c r="AP704">
        <v>0</v>
      </c>
      <c r="AR704" t="s">
        <v>0</v>
      </c>
      <c r="AT704" s="2" t="s">
        <v>19</v>
      </c>
      <c r="AU704" s="1">
        <f t="shared" si="91"/>
        <v>3.0810893586585548</v>
      </c>
      <c r="AV704" s="1">
        <f t="shared" si="92"/>
        <v>2.2147784124248378</v>
      </c>
      <c r="AW704" s="1">
        <f t="shared" si="93"/>
        <v>1.3484674661911213</v>
      </c>
    </row>
    <row r="705" spans="1:49" x14ac:dyDescent="0.2">
      <c r="A705">
        <v>703</v>
      </c>
      <c r="B705" t="s">
        <v>2100</v>
      </c>
      <c r="C705" t="s">
        <v>2099</v>
      </c>
      <c r="F705" t="s">
        <v>2098</v>
      </c>
      <c r="G705" t="s">
        <v>15</v>
      </c>
      <c r="H705" t="s">
        <v>14</v>
      </c>
      <c r="I705" t="s">
        <v>2097</v>
      </c>
      <c r="J705">
        <v>60022109</v>
      </c>
      <c r="K705" t="s">
        <v>2096</v>
      </c>
      <c r="L705" t="s">
        <v>2095</v>
      </c>
      <c r="M705" t="s">
        <v>1011</v>
      </c>
      <c r="N705">
        <v>4</v>
      </c>
      <c r="O705" t="s">
        <v>2094</v>
      </c>
      <c r="P705" t="s">
        <v>2093</v>
      </c>
      <c r="Q705" t="s">
        <v>2092</v>
      </c>
      <c r="R705" s="7">
        <v>32143</v>
      </c>
      <c r="S705" s="8">
        <f t="shared" si="88"/>
        <v>1988</v>
      </c>
      <c r="T705" s="8">
        <v>1988</v>
      </c>
      <c r="U705" s="8">
        <f t="shared" si="89"/>
        <v>34</v>
      </c>
      <c r="V705" s="7" t="s">
        <v>477</v>
      </c>
      <c r="W705" s="11" t="s">
        <v>1890</v>
      </c>
      <c r="X705" s="2">
        <v>2.383</v>
      </c>
      <c r="Y705" s="6">
        <f t="shared" si="86"/>
        <v>6.3612824003630442E-2</v>
      </c>
      <c r="AA705" t="s">
        <v>1889</v>
      </c>
      <c r="AB705">
        <v>101151</v>
      </c>
      <c r="AD705" t="s">
        <v>4</v>
      </c>
      <c r="AE705">
        <v>135</v>
      </c>
      <c r="AF705">
        <v>1</v>
      </c>
      <c r="AH705" t="s">
        <v>2091</v>
      </c>
      <c r="AI705" t="s">
        <v>2090</v>
      </c>
      <c r="AK705" t="s">
        <v>2089</v>
      </c>
      <c r="AL705">
        <v>33</v>
      </c>
      <c r="AM705" s="5">
        <f t="shared" si="90"/>
        <v>0.97058823529411764</v>
      </c>
      <c r="AN705" s="4">
        <f t="shared" si="87"/>
        <v>1.4700314052163842E-3</v>
      </c>
      <c r="AO705" s="3"/>
      <c r="AP705">
        <v>0</v>
      </c>
      <c r="AR705" t="s">
        <v>0</v>
      </c>
      <c r="AT705" s="2" t="s">
        <v>19</v>
      </c>
      <c r="AU705" s="1">
        <f t="shared" si="91"/>
        <v>4.4969986224106222</v>
      </c>
      <c r="AV705" s="1">
        <f t="shared" si="92"/>
        <v>3.2541427704423413</v>
      </c>
      <c r="AW705" s="1">
        <f t="shared" si="93"/>
        <v>2.01128691847406</v>
      </c>
    </row>
    <row r="706" spans="1:49" x14ac:dyDescent="0.2">
      <c r="A706">
        <v>704</v>
      </c>
      <c r="B706" t="s">
        <v>2088</v>
      </c>
      <c r="C706" t="s">
        <v>2087</v>
      </c>
      <c r="F706" t="s">
        <v>2086</v>
      </c>
      <c r="G706" t="s">
        <v>15</v>
      </c>
      <c r="H706" t="s">
        <v>14</v>
      </c>
      <c r="R706" s="7">
        <v>32143</v>
      </c>
      <c r="S706" s="8">
        <f t="shared" si="88"/>
        <v>1988</v>
      </c>
      <c r="T706" s="8">
        <v>1988</v>
      </c>
      <c r="U706" s="8">
        <f t="shared" si="89"/>
        <v>34</v>
      </c>
      <c r="V706" s="7">
        <v>32174</v>
      </c>
      <c r="W706" t="s">
        <v>2085</v>
      </c>
      <c r="X706" s="2">
        <v>1.365</v>
      </c>
      <c r="Y706" s="6">
        <f t="shared" ref="Y706:Y769" si="94">(X706-$Z$4)/($Z$3-$Z$4)</f>
        <v>3.6437895411227675E-2</v>
      </c>
      <c r="AA706">
        <v>189545</v>
      </c>
      <c r="AB706">
        <v>17393</v>
      </c>
      <c r="AC706">
        <v>19399359</v>
      </c>
      <c r="AD706" t="s">
        <v>4</v>
      </c>
      <c r="AE706">
        <v>37</v>
      </c>
      <c r="AF706">
        <v>1</v>
      </c>
      <c r="AH706" s="10">
        <v>26359</v>
      </c>
      <c r="AL706">
        <v>167</v>
      </c>
      <c r="AM706" s="5">
        <f t="shared" si="90"/>
        <v>4.9117647058823533</v>
      </c>
      <c r="AN706" s="4">
        <f t="shared" ref="AN706:AN769" si="95">(AM706-$AO$4)/($AO$3-$AO$4)</f>
        <v>7.4392498385192777E-3</v>
      </c>
      <c r="AO706" s="3"/>
      <c r="AP706">
        <v>0</v>
      </c>
      <c r="AR706" t="s">
        <v>0</v>
      </c>
      <c r="AT706" s="2" t="s">
        <v>19</v>
      </c>
      <c r="AU706" s="1">
        <f t="shared" si="91"/>
        <v>2.7738301739415152</v>
      </c>
      <c r="AV706" s="1">
        <f t="shared" si="92"/>
        <v>2.1938572624873478</v>
      </c>
      <c r="AW706" s="1">
        <f t="shared" si="93"/>
        <v>1.6138843510331797</v>
      </c>
    </row>
    <row r="707" spans="1:49" x14ac:dyDescent="0.2">
      <c r="A707">
        <v>705</v>
      </c>
      <c r="B707" t="s">
        <v>2084</v>
      </c>
      <c r="C707" t="s">
        <v>2083</v>
      </c>
      <c r="F707" t="s">
        <v>2082</v>
      </c>
      <c r="G707" t="s">
        <v>15</v>
      </c>
      <c r="H707" t="s">
        <v>14</v>
      </c>
      <c r="I707" t="s">
        <v>2081</v>
      </c>
      <c r="J707">
        <v>60019702</v>
      </c>
      <c r="K707" t="s">
        <v>2080</v>
      </c>
      <c r="L707" t="s">
        <v>2079</v>
      </c>
      <c r="M707" t="s">
        <v>1011</v>
      </c>
      <c r="N707">
        <v>1</v>
      </c>
      <c r="O707" t="s">
        <v>2078</v>
      </c>
      <c r="P707">
        <v>7006639115</v>
      </c>
      <c r="Q707">
        <v>60019702</v>
      </c>
      <c r="R707" s="7">
        <v>32143</v>
      </c>
      <c r="S707" s="8">
        <f t="shared" si="88"/>
        <v>1988</v>
      </c>
      <c r="T707" s="8">
        <v>1988</v>
      </c>
      <c r="U707" s="8">
        <f t="shared" si="89"/>
        <v>34</v>
      </c>
      <c r="V707" s="7" t="s">
        <v>477</v>
      </c>
      <c r="W707" s="11" t="s">
        <v>1890</v>
      </c>
      <c r="X707" s="2">
        <v>2.383</v>
      </c>
      <c r="Y707" s="6">
        <f t="shared" si="94"/>
        <v>6.3612824003630442E-2</v>
      </c>
      <c r="AA707" t="s">
        <v>1889</v>
      </c>
      <c r="AB707">
        <v>101151</v>
      </c>
      <c r="AD707" t="s">
        <v>4</v>
      </c>
      <c r="AE707">
        <v>135</v>
      </c>
      <c r="AF707">
        <v>1</v>
      </c>
      <c r="AH707" t="s">
        <v>2077</v>
      </c>
      <c r="AI707" t="s">
        <v>2076</v>
      </c>
      <c r="AK707" t="s">
        <v>2075</v>
      </c>
      <c r="AL707">
        <v>1</v>
      </c>
      <c r="AM707" s="5">
        <f t="shared" si="90"/>
        <v>2.9411764705882353E-2</v>
      </c>
      <c r="AN707" s="4">
        <f t="shared" si="95"/>
        <v>4.4546406218678307E-5</v>
      </c>
      <c r="AO707" s="3"/>
      <c r="AP707">
        <v>0</v>
      </c>
      <c r="AR707" t="s">
        <v>0</v>
      </c>
      <c r="AT707" s="2" t="s">
        <v>19</v>
      </c>
      <c r="AU707" s="1">
        <f t="shared" si="91"/>
        <v>4.4542340724406912</v>
      </c>
      <c r="AV707" s="1">
        <f t="shared" si="92"/>
        <v>3.1828685204924558</v>
      </c>
      <c r="AW707" s="1">
        <f t="shared" si="93"/>
        <v>1.9115029685442209</v>
      </c>
    </row>
    <row r="708" spans="1:49" x14ac:dyDescent="0.2">
      <c r="A708">
        <v>706</v>
      </c>
      <c r="B708" t="s">
        <v>2074</v>
      </c>
      <c r="C708" t="s">
        <v>2073</v>
      </c>
      <c r="F708" t="s">
        <v>2072</v>
      </c>
      <c r="G708" t="s">
        <v>15</v>
      </c>
      <c r="H708" t="s">
        <v>14</v>
      </c>
      <c r="I708" t="s">
        <v>2071</v>
      </c>
      <c r="J708">
        <v>60031126</v>
      </c>
      <c r="K708" t="s">
        <v>2070</v>
      </c>
      <c r="L708" t="s">
        <v>212</v>
      </c>
      <c r="M708" t="s">
        <v>211</v>
      </c>
      <c r="N708">
        <v>2</v>
      </c>
      <c r="O708" t="s">
        <v>2069</v>
      </c>
      <c r="P708" t="s">
        <v>2068</v>
      </c>
      <c r="Q708" t="s">
        <v>2067</v>
      </c>
      <c r="R708" s="7">
        <v>32143</v>
      </c>
      <c r="S708" s="8">
        <f t="shared" si="88"/>
        <v>1988</v>
      </c>
      <c r="T708" s="8">
        <v>1988</v>
      </c>
      <c r="U708" s="8">
        <f t="shared" si="89"/>
        <v>34</v>
      </c>
      <c r="V708" s="7">
        <v>32174</v>
      </c>
      <c r="W708" t="s">
        <v>69</v>
      </c>
      <c r="X708" s="2">
        <v>1.6519999999999999</v>
      </c>
      <c r="Y708" s="6">
        <f t="shared" si="94"/>
        <v>4.409919649769093E-2</v>
      </c>
      <c r="AA708" t="s">
        <v>68</v>
      </c>
      <c r="AB708">
        <v>17337</v>
      </c>
      <c r="AC708">
        <v>15582221</v>
      </c>
      <c r="AD708" t="s">
        <v>4</v>
      </c>
      <c r="AE708">
        <v>36</v>
      </c>
      <c r="AF708">
        <v>2</v>
      </c>
      <c r="AH708" t="s">
        <v>2066</v>
      </c>
      <c r="AI708" t="s">
        <v>2065</v>
      </c>
      <c r="AK708" t="s">
        <v>2064</v>
      </c>
      <c r="AL708">
        <v>16</v>
      </c>
      <c r="AM708" s="5">
        <f t="shared" si="90"/>
        <v>0.47058823529411764</v>
      </c>
      <c r="AN708" s="4">
        <f t="shared" si="95"/>
        <v>7.1274249949885291E-4</v>
      </c>
      <c r="AO708" s="3"/>
      <c r="AP708">
        <v>0</v>
      </c>
      <c r="AR708" t="s">
        <v>0</v>
      </c>
      <c r="AT708" s="2" t="s">
        <v>19</v>
      </c>
      <c r="AU708" s="1">
        <f t="shared" si="91"/>
        <v>3.1083260298233308</v>
      </c>
      <c r="AV708" s="1">
        <f t="shared" si="92"/>
        <v>2.2405969498594893</v>
      </c>
      <c r="AW708" s="1">
        <f t="shared" si="93"/>
        <v>1.3728678698956476</v>
      </c>
    </row>
    <row r="709" spans="1:49" x14ac:dyDescent="0.2">
      <c r="A709">
        <v>707</v>
      </c>
      <c r="B709" t="s">
        <v>2063</v>
      </c>
      <c r="C709" t="s">
        <v>2062</v>
      </c>
      <c r="F709" t="s">
        <v>2061</v>
      </c>
      <c r="G709" t="s">
        <v>15</v>
      </c>
      <c r="H709" t="s">
        <v>14</v>
      </c>
      <c r="I709" t="s">
        <v>2060</v>
      </c>
      <c r="J709">
        <v>60009697</v>
      </c>
      <c r="K709" t="s">
        <v>1417</v>
      </c>
      <c r="L709" t="s">
        <v>1416</v>
      </c>
      <c r="M709" t="s">
        <v>481</v>
      </c>
      <c r="N709">
        <v>2</v>
      </c>
      <c r="O709" t="s">
        <v>2059</v>
      </c>
      <c r="P709" t="s">
        <v>2058</v>
      </c>
      <c r="Q709" t="s">
        <v>1413</v>
      </c>
      <c r="R709" s="7">
        <v>32143</v>
      </c>
      <c r="S709" s="8">
        <f t="shared" si="88"/>
        <v>1988</v>
      </c>
      <c r="T709" s="8">
        <v>1988</v>
      </c>
      <c r="U709" s="8">
        <f t="shared" si="89"/>
        <v>34</v>
      </c>
      <c r="V709" s="7">
        <v>32174</v>
      </c>
      <c r="W709" t="s">
        <v>69</v>
      </c>
      <c r="X709" s="2">
        <v>1.6519999999999999</v>
      </c>
      <c r="Y709" s="6">
        <f t="shared" si="94"/>
        <v>4.409919649769093E-2</v>
      </c>
      <c r="AA709" t="s">
        <v>68</v>
      </c>
      <c r="AB709">
        <v>17337</v>
      </c>
      <c r="AC709">
        <v>15582221</v>
      </c>
      <c r="AD709" t="s">
        <v>4</v>
      </c>
      <c r="AE709">
        <v>36</v>
      </c>
      <c r="AF709">
        <v>2</v>
      </c>
      <c r="AH709" t="s">
        <v>2057</v>
      </c>
      <c r="AI709" t="s">
        <v>2056</v>
      </c>
      <c r="AK709" t="s">
        <v>2055</v>
      </c>
      <c r="AL709">
        <v>44</v>
      </c>
      <c r="AM709" s="5">
        <f t="shared" si="90"/>
        <v>1.2941176470588236</v>
      </c>
      <c r="AN709" s="4">
        <f t="shared" si="95"/>
        <v>1.9600418736218455E-3</v>
      </c>
      <c r="AO709" s="3"/>
      <c r="AP709">
        <v>0</v>
      </c>
      <c r="AQ709" t="s">
        <v>2054</v>
      </c>
      <c r="AR709" t="s">
        <v>0</v>
      </c>
      <c r="AS709" t="s">
        <v>2053</v>
      </c>
      <c r="AT709" s="2" t="s">
        <v>19</v>
      </c>
      <c r="AU709" s="1">
        <f t="shared" si="91"/>
        <v>3.1457450110470209</v>
      </c>
      <c r="AV709" s="1">
        <f t="shared" si="92"/>
        <v>2.3029619185656389</v>
      </c>
      <c r="AW709" s="1">
        <f t="shared" si="93"/>
        <v>1.460178826084257</v>
      </c>
    </row>
    <row r="710" spans="1:49" x14ac:dyDescent="0.2">
      <c r="A710">
        <v>708</v>
      </c>
      <c r="B710" t="s">
        <v>2052</v>
      </c>
      <c r="C710" t="s">
        <v>2051</v>
      </c>
      <c r="F710" t="s">
        <v>2050</v>
      </c>
      <c r="G710" t="s">
        <v>15</v>
      </c>
      <c r="H710" t="s">
        <v>14</v>
      </c>
      <c r="I710" t="s">
        <v>2049</v>
      </c>
      <c r="J710">
        <v>60020818</v>
      </c>
      <c r="K710" t="s">
        <v>2048</v>
      </c>
      <c r="L710" t="s">
        <v>2047</v>
      </c>
      <c r="M710" t="s">
        <v>31</v>
      </c>
      <c r="N710">
        <v>1</v>
      </c>
      <c r="O710" t="s">
        <v>2046</v>
      </c>
      <c r="P710">
        <v>56216939700</v>
      </c>
      <c r="Q710">
        <v>60020818</v>
      </c>
      <c r="R710" s="7">
        <v>32143</v>
      </c>
      <c r="S710" s="8">
        <f t="shared" si="88"/>
        <v>1988</v>
      </c>
      <c r="T710" s="8">
        <v>1988</v>
      </c>
      <c r="U710" s="8">
        <f t="shared" si="89"/>
        <v>34</v>
      </c>
      <c r="V710" s="7">
        <v>32174</v>
      </c>
      <c r="W710" t="s">
        <v>1983</v>
      </c>
      <c r="X710" s="2">
        <v>2.383</v>
      </c>
      <c r="Y710" s="6">
        <f t="shared" si="94"/>
        <v>6.3612824003630442E-2</v>
      </c>
      <c r="AA710">
        <v>189219</v>
      </c>
      <c r="AB710">
        <v>17915</v>
      </c>
      <c r="AC710">
        <v>15582256</v>
      </c>
      <c r="AD710" t="s">
        <v>4</v>
      </c>
      <c r="AE710">
        <v>76</v>
      </c>
      <c r="AF710">
        <v>2</v>
      </c>
      <c r="AH710" t="s">
        <v>2045</v>
      </c>
      <c r="AI710" t="s">
        <v>2044</v>
      </c>
      <c r="AK710" t="s">
        <v>2043</v>
      </c>
      <c r="AL710">
        <v>83</v>
      </c>
      <c r="AM710" s="5">
        <f t="shared" si="90"/>
        <v>2.4411764705882355</v>
      </c>
      <c r="AN710" s="4">
        <f t="shared" si="95"/>
        <v>3.6973517161502998E-3</v>
      </c>
      <c r="AO710" s="3"/>
      <c r="AP710">
        <v>0</v>
      </c>
      <c r="AQ710" t="s">
        <v>1533</v>
      </c>
      <c r="AR710" t="s">
        <v>2042</v>
      </c>
      <c r="AS710" t="s">
        <v>1531</v>
      </c>
      <c r="AT710" s="2">
        <v>10.961</v>
      </c>
      <c r="AU710" s="1">
        <f t="shared" si="91"/>
        <v>4.5638182317386402</v>
      </c>
      <c r="AV710" s="1">
        <f t="shared" si="92"/>
        <v>3.3655087859890367</v>
      </c>
      <c r="AW710" s="1">
        <f t="shared" si="93"/>
        <v>2.1671993402394341</v>
      </c>
    </row>
    <row r="711" spans="1:49" x14ac:dyDescent="0.2">
      <c r="A711">
        <v>709</v>
      </c>
      <c r="B711" t="s">
        <v>2041</v>
      </c>
      <c r="C711" t="s">
        <v>2040</v>
      </c>
      <c r="D711" t="s">
        <v>2039</v>
      </c>
      <c r="F711" t="s">
        <v>2038</v>
      </c>
      <c r="G711" t="s">
        <v>15</v>
      </c>
      <c r="H711" t="s">
        <v>14</v>
      </c>
      <c r="I711" t="s">
        <v>2037</v>
      </c>
      <c r="J711" t="s">
        <v>2032</v>
      </c>
      <c r="K711" t="s">
        <v>2036</v>
      </c>
      <c r="L711" t="s">
        <v>2035</v>
      </c>
      <c r="M711" t="s">
        <v>9</v>
      </c>
      <c r="N711">
        <v>2</v>
      </c>
      <c r="O711" t="s">
        <v>2034</v>
      </c>
      <c r="P711" t="s">
        <v>2033</v>
      </c>
      <c r="Q711" t="s">
        <v>2032</v>
      </c>
      <c r="R711" s="7">
        <v>32143</v>
      </c>
      <c r="S711" s="8">
        <f t="shared" ref="S711:S774" si="96">YEAR(R711)</f>
        <v>1988</v>
      </c>
      <c r="T711" s="8">
        <v>1988</v>
      </c>
      <c r="U711" s="8">
        <f t="shared" ref="U711:U774" si="97">2022-T711</f>
        <v>34</v>
      </c>
      <c r="V711" s="7">
        <v>32174</v>
      </c>
      <c r="W711" t="s">
        <v>2031</v>
      </c>
      <c r="X711" s="2">
        <v>0.876</v>
      </c>
      <c r="Y711" s="6">
        <f t="shared" si="94"/>
        <v>2.3384319692480181E-2</v>
      </c>
      <c r="AA711">
        <v>3770427</v>
      </c>
      <c r="AB711">
        <v>23847</v>
      </c>
      <c r="AD711" t="s">
        <v>4</v>
      </c>
      <c r="AE711">
        <v>21</v>
      </c>
      <c r="AF711">
        <v>2</v>
      </c>
      <c r="AH711" t="s">
        <v>2030</v>
      </c>
      <c r="AI711" t="s">
        <v>2029</v>
      </c>
      <c r="AJ711" t="s">
        <v>2028</v>
      </c>
      <c r="AK711" t="s">
        <v>2027</v>
      </c>
      <c r="AL711">
        <v>0</v>
      </c>
      <c r="AM711" s="5">
        <f t="shared" ref="AM711:AM774" si="98">AL711/U711</f>
        <v>0</v>
      </c>
      <c r="AN711" s="4">
        <f t="shared" si="95"/>
        <v>0</v>
      </c>
      <c r="AO711" s="3"/>
      <c r="AP711">
        <v>1</v>
      </c>
      <c r="AR711" t="s">
        <v>0</v>
      </c>
      <c r="AT711" s="2" t="s">
        <v>19</v>
      </c>
      <c r="AU711" s="1">
        <f t="shared" ref="AU711:AU774" si="99">(Y711*0.7+AN711*0.3)*100</f>
        <v>1.6369023784736128</v>
      </c>
      <c r="AV711" s="1">
        <f t="shared" ref="AV711:AV774" si="100">(Y711*0.5+AN711*0.5)*100</f>
        <v>1.1692159846240091</v>
      </c>
      <c r="AW711" s="1">
        <f t="shared" ref="AW711:AW774" si="101">(Y711*0.3+AN711*0.7)*100</f>
        <v>0.70152959077440535</v>
      </c>
    </row>
    <row r="712" spans="1:49" x14ac:dyDescent="0.2">
      <c r="A712">
        <v>710</v>
      </c>
      <c r="B712" t="s">
        <v>2026</v>
      </c>
      <c r="C712" t="s">
        <v>2025</v>
      </c>
      <c r="D712" t="s">
        <v>2024</v>
      </c>
      <c r="F712" t="s">
        <v>2023</v>
      </c>
      <c r="G712" t="s">
        <v>15</v>
      </c>
      <c r="H712" t="s">
        <v>14</v>
      </c>
      <c r="I712" t="s">
        <v>2022</v>
      </c>
      <c r="J712" t="s">
        <v>2021</v>
      </c>
      <c r="K712" t="s">
        <v>2020</v>
      </c>
      <c r="L712" t="s">
        <v>2019</v>
      </c>
      <c r="M712" t="s">
        <v>2018</v>
      </c>
      <c r="N712">
        <v>5</v>
      </c>
      <c r="O712" t="s">
        <v>2017</v>
      </c>
      <c r="P712" t="s">
        <v>2016</v>
      </c>
      <c r="Q712" t="s">
        <v>2015</v>
      </c>
      <c r="R712" s="7">
        <v>32143</v>
      </c>
      <c r="S712" s="8">
        <f t="shared" si="96"/>
        <v>1988</v>
      </c>
      <c r="T712" s="8">
        <v>1988</v>
      </c>
      <c r="U712" s="8">
        <f t="shared" si="97"/>
        <v>34</v>
      </c>
      <c r="V712" s="7">
        <v>32174</v>
      </c>
      <c r="W712" t="s">
        <v>2014</v>
      </c>
      <c r="X712" s="2">
        <v>1.1479999999999999</v>
      </c>
      <c r="Y712" s="6">
        <f t="shared" si="94"/>
        <v>3.0645204345853019E-2</v>
      </c>
      <c r="AA712" t="s">
        <v>2013</v>
      </c>
      <c r="AB712">
        <v>15980</v>
      </c>
      <c r="AD712" t="s">
        <v>4</v>
      </c>
      <c r="AE712">
        <v>15</v>
      </c>
      <c r="AF712">
        <v>1</v>
      </c>
      <c r="AH712" t="s">
        <v>2012</v>
      </c>
      <c r="AI712" t="s">
        <v>2011</v>
      </c>
      <c r="AK712" t="s">
        <v>2010</v>
      </c>
      <c r="AL712">
        <v>1</v>
      </c>
      <c r="AM712" s="5">
        <f t="shared" si="98"/>
        <v>2.9411764705882353E-2</v>
      </c>
      <c r="AN712" s="4">
        <f t="shared" si="95"/>
        <v>4.4546406218678307E-5</v>
      </c>
      <c r="AO712" s="3"/>
      <c r="AP712">
        <v>0</v>
      </c>
      <c r="AR712" t="s">
        <v>0</v>
      </c>
      <c r="AT712" s="2">
        <v>3.726</v>
      </c>
      <c r="AU712" s="1">
        <f t="shared" si="99"/>
        <v>2.1465006963962718</v>
      </c>
      <c r="AV712" s="1">
        <f t="shared" si="100"/>
        <v>1.5344875376035849</v>
      </c>
      <c r="AW712" s="1">
        <f t="shared" si="101"/>
        <v>0.922474378810898</v>
      </c>
    </row>
    <row r="713" spans="1:49" x14ac:dyDescent="0.2">
      <c r="A713">
        <v>711</v>
      </c>
      <c r="B713" t="s">
        <v>2009</v>
      </c>
      <c r="C713" t="s">
        <v>2008</v>
      </c>
      <c r="F713" t="s">
        <v>2007</v>
      </c>
      <c r="G713" t="s">
        <v>15</v>
      </c>
      <c r="H713" t="s">
        <v>14</v>
      </c>
      <c r="I713" t="s">
        <v>2006</v>
      </c>
      <c r="N713">
        <v>3</v>
      </c>
      <c r="O713" t="s">
        <v>2005</v>
      </c>
      <c r="P713" t="s">
        <v>2004</v>
      </c>
      <c r="Q713" t="s">
        <v>532</v>
      </c>
      <c r="R713" s="7">
        <v>32143</v>
      </c>
      <c r="S713" s="8">
        <f t="shared" si="96"/>
        <v>1988</v>
      </c>
      <c r="T713" s="8">
        <v>1988</v>
      </c>
      <c r="U713" s="8">
        <f t="shared" si="97"/>
        <v>34</v>
      </c>
      <c r="V713" s="7">
        <v>32174</v>
      </c>
      <c r="W713" t="s">
        <v>2003</v>
      </c>
      <c r="X713" s="2">
        <v>2.823</v>
      </c>
      <c r="Y713" s="6">
        <f t="shared" si="94"/>
        <v>7.5358372707615917E-2</v>
      </c>
      <c r="AA713">
        <v>1636804</v>
      </c>
      <c r="AB713">
        <v>17249</v>
      </c>
      <c r="AD713" t="s">
        <v>4</v>
      </c>
      <c r="AE713">
        <v>26</v>
      </c>
      <c r="AF713">
        <v>2</v>
      </c>
      <c r="AH713" t="s">
        <v>2002</v>
      </c>
      <c r="AL713">
        <v>13</v>
      </c>
      <c r="AM713" s="5">
        <f t="shared" si="98"/>
        <v>0.38235294117647056</v>
      </c>
      <c r="AN713" s="4">
        <f t="shared" si="95"/>
        <v>5.7910328084281794E-4</v>
      </c>
      <c r="AO713" s="3"/>
      <c r="AP713">
        <v>0</v>
      </c>
      <c r="AR713" t="s">
        <v>0</v>
      </c>
      <c r="AT713" s="2">
        <v>9.6189999999999998</v>
      </c>
      <c r="AU713" s="1">
        <f t="shared" si="99"/>
        <v>5.2924591879583982</v>
      </c>
      <c r="AV713" s="1">
        <f t="shared" si="100"/>
        <v>3.7968737994229369</v>
      </c>
      <c r="AW713" s="1">
        <f t="shared" si="101"/>
        <v>2.3012884108874747</v>
      </c>
    </row>
    <row r="714" spans="1:49" x14ac:dyDescent="0.2">
      <c r="A714">
        <v>712</v>
      </c>
      <c r="B714" t="s">
        <v>2001</v>
      </c>
      <c r="C714" t="s">
        <v>2000</v>
      </c>
      <c r="F714" t="s">
        <v>1999</v>
      </c>
      <c r="G714" t="s">
        <v>15</v>
      </c>
      <c r="H714" t="s">
        <v>14</v>
      </c>
      <c r="I714" t="s">
        <v>1998</v>
      </c>
      <c r="J714">
        <v>60027550</v>
      </c>
      <c r="K714" t="s">
        <v>1124</v>
      </c>
      <c r="L714" t="s">
        <v>751</v>
      </c>
      <c r="M714" t="s">
        <v>31</v>
      </c>
      <c r="N714">
        <v>2</v>
      </c>
      <c r="O714" t="s">
        <v>1997</v>
      </c>
      <c r="P714" t="s">
        <v>1996</v>
      </c>
      <c r="Q714" t="s">
        <v>1995</v>
      </c>
      <c r="R714" s="7">
        <v>32143</v>
      </c>
      <c r="S714" s="8">
        <f t="shared" si="96"/>
        <v>1988</v>
      </c>
      <c r="T714" s="8">
        <v>1988</v>
      </c>
      <c r="U714" s="8">
        <f t="shared" si="97"/>
        <v>34</v>
      </c>
      <c r="V714" s="7">
        <v>32174</v>
      </c>
      <c r="W714" t="s">
        <v>1073</v>
      </c>
      <c r="X714" s="2">
        <v>1.3720000000000001</v>
      </c>
      <c r="Y714" s="6">
        <f t="shared" si="94"/>
        <v>3.662475641333654E-2</v>
      </c>
      <c r="AA714">
        <v>189480</v>
      </c>
      <c r="AB714">
        <v>17366</v>
      </c>
      <c r="AC714">
        <v>15579670</v>
      </c>
      <c r="AD714" t="s">
        <v>4</v>
      </c>
      <c r="AE714">
        <v>36</v>
      </c>
      <c r="AF714">
        <v>2</v>
      </c>
      <c r="AH714" t="s">
        <v>1994</v>
      </c>
      <c r="AI714" t="s">
        <v>1993</v>
      </c>
      <c r="AK714" t="s">
        <v>1992</v>
      </c>
      <c r="AL714">
        <v>42</v>
      </c>
      <c r="AM714" s="5">
        <f t="shared" si="98"/>
        <v>1.2352941176470589</v>
      </c>
      <c r="AN714" s="4">
        <f t="shared" si="95"/>
        <v>1.8709490611844891E-3</v>
      </c>
      <c r="AO714" s="3"/>
      <c r="AP714">
        <v>0</v>
      </c>
      <c r="AQ714" t="s">
        <v>1991</v>
      </c>
      <c r="AR714" t="s">
        <v>1990</v>
      </c>
      <c r="AS714" t="s">
        <v>1989</v>
      </c>
      <c r="AT714" s="2" t="s">
        <v>19</v>
      </c>
      <c r="AU714" s="1">
        <f t="shared" si="99"/>
        <v>2.6198614207690922</v>
      </c>
      <c r="AV714" s="1">
        <f t="shared" si="100"/>
        <v>1.9247852737260516</v>
      </c>
      <c r="AW714" s="1">
        <f t="shared" si="101"/>
        <v>1.2297091266830105</v>
      </c>
    </row>
    <row r="715" spans="1:49" x14ac:dyDescent="0.2">
      <c r="A715">
        <v>713</v>
      </c>
      <c r="B715" t="s">
        <v>1988</v>
      </c>
      <c r="C715" t="s">
        <v>1987</v>
      </c>
      <c r="F715" t="s">
        <v>1986</v>
      </c>
      <c r="G715" t="s">
        <v>15</v>
      </c>
      <c r="H715" t="s">
        <v>14</v>
      </c>
      <c r="I715" t="s">
        <v>1985</v>
      </c>
      <c r="J715">
        <v>60005304</v>
      </c>
      <c r="K715" t="s">
        <v>72</v>
      </c>
      <c r="L715" t="s">
        <v>71</v>
      </c>
      <c r="M715" t="s">
        <v>31</v>
      </c>
      <c r="N715">
        <v>1</v>
      </c>
      <c r="O715" t="s">
        <v>1984</v>
      </c>
      <c r="P715">
        <v>35612557100</v>
      </c>
      <c r="Q715">
        <v>60005304</v>
      </c>
      <c r="R715" s="7">
        <v>32143</v>
      </c>
      <c r="S715" s="8">
        <f t="shared" si="96"/>
        <v>1988</v>
      </c>
      <c r="T715" s="8">
        <v>1988</v>
      </c>
      <c r="U715" s="8">
        <f t="shared" si="97"/>
        <v>34</v>
      </c>
      <c r="V715" s="7">
        <v>32174</v>
      </c>
      <c r="W715" t="s">
        <v>1983</v>
      </c>
      <c r="X715" s="2">
        <v>2.383</v>
      </c>
      <c r="Y715" s="6">
        <f t="shared" si="94"/>
        <v>6.3612824003630442E-2</v>
      </c>
      <c r="AA715">
        <v>189219</v>
      </c>
      <c r="AB715">
        <v>17915</v>
      </c>
      <c r="AC715">
        <v>15582256</v>
      </c>
      <c r="AD715" t="s">
        <v>4</v>
      </c>
      <c r="AE715">
        <v>76</v>
      </c>
      <c r="AF715">
        <v>2</v>
      </c>
      <c r="AH715" t="s">
        <v>1982</v>
      </c>
      <c r="AI715" t="s">
        <v>1981</v>
      </c>
      <c r="AK715" t="s">
        <v>1980</v>
      </c>
      <c r="AL715">
        <v>59</v>
      </c>
      <c r="AM715" s="5">
        <f t="shared" si="98"/>
        <v>1.7352941176470589</v>
      </c>
      <c r="AN715" s="4">
        <f t="shared" si="95"/>
        <v>2.6282379669020201E-3</v>
      </c>
      <c r="AO715" s="3"/>
      <c r="AP715">
        <v>0</v>
      </c>
      <c r="AR715" t="s">
        <v>0</v>
      </c>
      <c r="AT715" s="2">
        <v>10.961</v>
      </c>
      <c r="AU715" s="1">
        <f t="shared" si="99"/>
        <v>4.531744819261192</v>
      </c>
      <c r="AV715" s="1">
        <f t="shared" si="100"/>
        <v>3.312053098526623</v>
      </c>
      <c r="AW715" s="1">
        <f t="shared" si="101"/>
        <v>2.0923613777920549</v>
      </c>
    </row>
    <row r="716" spans="1:49" x14ac:dyDescent="0.2">
      <c r="A716">
        <v>714</v>
      </c>
      <c r="B716" t="s">
        <v>1979</v>
      </c>
      <c r="C716" t="s">
        <v>1978</v>
      </c>
      <c r="F716" t="s">
        <v>1977</v>
      </c>
      <c r="G716" t="s">
        <v>15</v>
      </c>
      <c r="H716" t="s">
        <v>14</v>
      </c>
      <c r="I716" t="s">
        <v>1976</v>
      </c>
      <c r="J716" t="s">
        <v>1975</v>
      </c>
      <c r="K716" t="s">
        <v>1974</v>
      </c>
      <c r="L716" t="s">
        <v>1973</v>
      </c>
      <c r="M716" t="s">
        <v>9</v>
      </c>
      <c r="N716">
        <v>3</v>
      </c>
      <c r="O716" t="s">
        <v>1972</v>
      </c>
      <c r="P716" t="s">
        <v>1971</v>
      </c>
      <c r="Q716" t="s">
        <v>1970</v>
      </c>
      <c r="R716" s="7">
        <v>32143</v>
      </c>
      <c r="S716" s="8">
        <f t="shared" si="96"/>
        <v>1988</v>
      </c>
      <c r="T716" s="8">
        <v>1988</v>
      </c>
      <c r="U716" s="8">
        <f t="shared" si="97"/>
        <v>34</v>
      </c>
      <c r="V716" s="7">
        <v>32174</v>
      </c>
      <c r="W716" t="s">
        <v>1969</v>
      </c>
      <c r="X716" s="2">
        <v>0.66100000000000003</v>
      </c>
      <c r="Y716" s="6">
        <f t="shared" si="94"/>
        <v>1.7645017484850912E-2</v>
      </c>
      <c r="AA716">
        <v>189197</v>
      </c>
      <c r="AB716">
        <v>26022</v>
      </c>
      <c r="AC716">
        <v>15581713</v>
      </c>
      <c r="AD716" t="s">
        <v>4</v>
      </c>
      <c r="AE716">
        <v>24</v>
      </c>
      <c r="AF716">
        <v>2</v>
      </c>
      <c r="AH716" t="s">
        <v>1968</v>
      </c>
      <c r="AI716" t="s">
        <v>1967</v>
      </c>
      <c r="AK716" t="s">
        <v>1966</v>
      </c>
      <c r="AL716">
        <v>665</v>
      </c>
      <c r="AM716" s="5">
        <f t="shared" si="98"/>
        <v>19.558823529411764</v>
      </c>
      <c r="AN716" s="4">
        <f t="shared" si="95"/>
        <v>2.9623360135421075E-2</v>
      </c>
      <c r="AO716" s="3"/>
      <c r="AP716">
        <v>0</v>
      </c>
      <c r="AR716" t="s">
        <v>0</v>
      </c>
      <c r="AT716" s="2">
        <v>2.3180000000000001</v>
      </c>
      <c r="AU716" s="1">
        <f t="shared" si="99"/>
        <v>2.123852028002196</v>
      </c>
      <c r="AV716" s="1">
        <f t="shared" si="100"/>
        <v>2.3634188810135992</v>
      </c>
      <c r="AW716" s="1">
        <f t="shared" si="101"/>
        <v>2.6029857340250024</v>
      </c>
    </row>
    <row r="717" spans="1:49" x14ac:dyDescent="0.2">
      <c r="A717">
        <v>715</v>
      </c>
      <c r="B717" t="s">
        <v>1965</v>
      </c>
      <c r="C717" t="s">
        <v>1964</v>
      </c>
      <c r="F717" t="s">
        <v>1963</v>
      </c>
      <c r="G717" t="s">
        <v>15</v>
      </c>
      <c r="H717" t="s">
        <v>14</v>
      </c>
      <c r="I717" t="s">
        <v>1962</v>
      </c>
      <c r="J717">
        <v>60023053</v>
      </c>
      <c r="K717" t="s">
        <v>1961</v>
      </c>
      <c r="L717" t="s">
        <v>1960</v>
      </c>
      <c r="M717" t="s">
        <v>31</v>
      </c>
      <c r="N717">
        <v>1</v>
      </c>
      <c r="O717" t="s">
        <v>1959</v>
      </c>
      <c r="P717">
        <v>56050028200</v>
      </c>
      <c r="Q717">
        <v>60023053</v>
      </c>
      <c r="R717" s="7">
        <v>32143</v>
      </c>
      <c r="S717" s="8">
        <f t="shared" si="96"/>
        <v>1988</v>
      </c>
      <c r="T717" s="8">
        <v>1988</v>
      </c>
      <c r="U717" s="8">
        <f t="shared" si="97"/>
        <v>34</v>
      </c>
      <c r="V717" s="7">
        <v>32174</v>
      </c>
      <c r="W717" t="s">
        <v>1958</v>
      </c>
      <c r="X717" s="2">
        <v>0.65500000000000003</v>
      </c>
      <c r="Y717" s="6">
        <f t="shared" si="94"/>
        <v>1.7484850911614749E-2</v>
      </c>
      <c r="AA717">
        <v>189375</v>
      </c>
      <c r="AB717">
        <v>26051</v>
      </c>
      <c r="AC717" t="s">
        <v>1957</v>
      </c>
      <c r="AD717" t="s">
        <v>4</v>
      </c>
      <c r="AE717">
        <v>30</v>
      </c>
      <c r="AF717">
        <v>1</v>
      </c>
      <c r="AH717" s="9">
        <v>44411</v>
      </c>
      <c r="AI717" t="s">
        <v>1956</v>
      </c>
      <c r="AJ717" t="s">
        <v>1955</v>
      </c>
      <c r="AK717" t="s">
        <v>1954</v>
      </c>
      <c r="AL717">
        <v>16</v>
      </c>
      <c r="AM717" s="5">
        <f t="shared" si="98"/>
        <v>0.47058823529411764</v>
      </c>
      <c r="AN717" s="4">
        <f t="shared" si="95"/>
        <v>7.1274249949885291E-4</v>
      </c>
      <c r="AO717" s="3"/>
      <c r="AP717">
        <v>0</v>
      </c>
      <c r="AR717" t="s">
        <v>0</v>
      </c>
      <c r="AT717" s="2" t="s">
        <v>19</v>
      </c>
      <c r="AU717" s="1">
        <f t="shared" si="99"/>
        <v>1.2453218387979978</v>
      </c>
      <c r="AV717" s="1">
        <f t="shared" si="100"/>
        <v>0.9098796705556802</v>
      </c>
      <c r="AW717" s="1">
        <f t="shared" si="101"/>
        <v>0.57443750231336221</v>
      </c>
    </row>
    <row r="718" spans="1:49" x14ac:dyDescent="0.2">
      <c r="A718">
        <v>716</v>
      </c>
      <c r="B718" t="s">
        <v>1953</v>
      </c>
      <c r="C718" t="s">
        <v>1952</v>
      </c>
      <c r="F718" t="s">
        <v>1951</v>
      </c>
      <c r="G718" t="s">
        <v>15</v>
      </c>
      <c r="H718" t="s">
        <v>14</v>
      </c>
      <c r="I718" t="s">
        <v>1950</v>
      </c>
      <c r="J718" t="s">
        <v>1944</v>
      </c>
      <c r="K718" t="s">
        <v>1949</v>
      </c>
      <c r="L718" t="s">
        <v>1948</v>
      </c>
      <c r="M718" t="s">
        <v>1947</v>
      </c>
      <c r="N718">
        <v>2</v>
      </c>
      <c r="O718" t="s">
        <v>1946</v>
      </c>
      <c r="P718" t="s">
        <v>1945</v>
      </c>
      <c r="Q718" t="s">
        <v>1944</v>
      </c>
      <c r="R718" s="7">
        <v>32143</v>
      </c>
      <c r="S718" s="8">
        <f t="shared" si="96"/>
        <v>1988</v>
      </c>
      <c r="T718" s="8">
        <v>1988</v>
      </c>
      <c r="U718" s="8">
        <f t="shared" si="97"/>
        <v>34</v>
      </c>
      <c r="V718" s="7">
        <v>32174</v>
      </c>
      <c r="W718" t="s">
        <v>69</v>
      </c>
      <c r="X718" s="2">
        <v>1.6519999999999999</v>
      </c>
      <c r="Y718" s="6">
        <f t="shared" si="94"/>
        <v>4.409919649769093E-2</v>
      </c>
      <c r="AA718" t="s">
        <v>68</v>
      </c>
      <c r="AB718">
        <v>17337</v>
      </c>
      <c r="AC718">
        <v>15582221</v>
      </c>
      <c r="AD718" t="s">
        <v>4</v>
      </c>
      <c r="AE718">
        <v>36</v>
      </c>
      <c r="AF718">
        <v>2</v>
      </c>
      <c r="AH718" t="s">
        <v>1943</v>
      </c>
      <c r="AI718" t="s">
        <v>1942</v>
      </c>
      <c r="AK718" t="s">
        <v>1941</v>
      </c>
      <c r="AL718">
        <v>58</v>
      </c>
      <c r="AM718" s="5">
        <f t="shared" si="98"/>
        <v>1.7058823529411764</v>
      </c>
      <c r="AN718" s="4">
        <f t="shared" si="95"/>
        <v>2.5836915606833417E-3</v>
      </c>
      <c r="AO718" s="3"/>
      <c r="AP718">
        <v>0</v>
      </c>
      <c r="AR718" t="s">
        <v>0</v>
      </c>
      <c r="AT718" s="2" t="s">
        <v>19</v>
      </c>
      <c r="AU718" s="1">
        <f t="shared" si="99"/>
        <v>3.1644545016588652</v>
      </c>
      <c r="AV718" s="1">
        <f t="shared" si="100"/>
        <v>2.3341444029187133</v>
      </c>
      <c r="AW718" s="1">
        <f t="shared" si="101"/>
        <v>1.5038343041785618</v>
      </c>
    </row>
    <row r="719" spans="1:49" x14ac:dyDescent="0.2">
      <c r="A719">
        <v>717</v>
      </c>
      <c r="B719" t="s">
        <v>1940</v>
      </c>
      <c r="C719" t="s">
        <v>1939</v>
      </c>
      <c r="F719" t="s">
        <v>1938</v>
      </c>
      <c r="G719" t="s">
        <v>15</v>
      </c>
      <c r="H719" t="s">
        <v>14</v>
      </c>
      <c r="I719" t="s">
        <v>1937</v>
      </c>
      <c r="J719">
        <v>60005304</v>
      </c>
      <c r="K719" t="s">
        <v>72</v>
      </c>
      <c r="L719" t="s">
        <v>71</v>
      </c>
      <c r="M719" t="s">
        <v>31</v>
      </c>
      <c r="N719">
        <v>2</v>
      </c>
      <c r="O719" t="s">
        <v>1936</v>
      </c>
      <c r="P719" t="s">
        <v>1935</v>
      </c>
      <c r="Q719" t="s">
        <v>1934</v>
      </c>
      <c r="R719" s="7">
        <v>32143</v>
      </c>
      <c r="S719" s="8">
        <f t="shared" si="96"/>
        <v>1988</v>
      </c>
      <c r="T719" s="8">
        <v>1988</v>
      </c>
      <c r="U719" s="8">
        <f t="shared" si="97"/>
        <v>34</v>
      </c>
      <c r="V719" s="7">
        <v>32174</v>
      </c>
      <c r="W719" t="s">
        <v>69</v>
      </c>
      <c r="X719" s="2">
        <v>1.6519999999999999</v>
      </c>
      <c r="Y719" s="6">
        <f t="shared" si="94"/>
        <v>4.409919649769093E-2</v>
      </c>
      <c r="AA719" t="s">
        <v>68</v>
      </c>
      <c r="AB719">
        <v>17337</v>
      </c>
      <c r="AC719">
        <v>15582221</v>
      </c>
      <c r="AD719" t="s">
        <v>4</v>
      </c>
      <c r="AE719">
        <v>36</v>
      </c>
      <c r="AF719">
        <v>2</v>
      </c>
      <c r="AH719" t="s">
        <v>1933</v>
      </c>
      <c r="AI719" t="s">
        <v>1932</v>
      </c>
      <c r="AK719" t="s">
        <v>1931</v>
      </c>
      <c r="AL719">
        <v>31</v>
      </c>
      <c r="AM719" s="5">
        <f t="shared" si="98"/>
        <v>0.91176470588235292</v>
      </c>
      <c r="AN719" s="4">
        <f t="shared" si="95"/>
        <v>1.3809385927790274E-3</v>
      </c>
      <c r="AO719" s="3"/>
      <c r="AP719">
        <v>0</v>
      </c>
      <c r="AR719" t="s">
        <v>0</v>
      </c>
      <c r="AT719" s="2" t="s">
        <v>19</v>
      </c>
      <c r="AU719" s="1">
        <f t="shared" si="99"/>
        <v>3.128371912621736</v>
      </c>
      <c r="AV719" s="1">
        <f t="shared" si="100"/>
        <v>2.2740067545234979</v>
      </c>
      <c r="AW719" s="1">
        <f t="shared" si="101"/>
        <v>1.4196415964252596</v>
      </c>
    </row>
    <row r="720" spans="1:49" x14ac:dyDescent="0.2">
      <c r="A720">
        <v>718</v>
      </c>
      <c r="B720" t="s">
        <v>1930</v>
      </c>
      <c r="C720" t="s">
        <v>1929</v>
      </c>
      <c r="F720" t="s">
        <v>1928</v>
      </c>
      <c r="G720" t="s">
        <v>15</v>
      </c>
      <c r="H720" t="s">
        <v>14</v>
      </c>
      <c r="I720" t="s">
        <v>1927</v>
      </c>
      <c r="J720">
        <v>60013141</v>
      </c>
      <c r="K720" t="s">
        <v>60</v>
      </c>
      <c r="L720" t="s">
        <v>59</v>
      </c>
      <c r="M720" t="s">
        <v>58</v>
      </c>
      <c r="N720">
        <v>3</v>
      </c>
      <c r="O720" t="s">
        <v>1926</v>
      </c>
      <c r="P720" t="s">
        <v>1925</v>
      </c>
      <c r="Q720" t="s">
        <v>1924</v>
      </c>
      <c r="R720" s="7">
        <v>32143</v>
      </c>
      <c r="S720" s="8">
        <f t="shared" si="96"/>
        <v>1988</v>
      </c>
      <c r="T720" s="8">
        <v>1988</v>
      </c>
      <c r="U720" s="8">
        <f t="shared" si="97"/>
        <v>34</v>
      </c>
      <c r="V720" s="7">
        <v>32174</v>
      </c>
      <c r="W720" t="s">
        <v>69</v>
      </c>
      <c r="X720" s="2">
        <v>1.6519999999999999</v>
      </c>
      <c r="Y720" s="6">
        <f t="shared" si="94"/>
        <v>4.409919649769093E-2</v>
      </c>
      <c r="AA720" t="s">
        <v>68</v>
      </c>
      <c r="AB720">
        <v>17337</v>
      </c>
      <c r="AC720">
        <v>15582221</v>
      </c>
      <c r="AD720" t="s">
        <v>4</v>
      </c>
      <c r="AE720">
        <v>36</v>
      </c>
      <c r="AF720">
        <v>2</v>
      </c>
      <c r="AH720" t="s">
        <v>1923</v>
      </c>
      <c r="AI720" t="s">
        <v>1922</v>
      </c>
      <c r="AK720" t="s">
        <v>1921</v>
      </c>
      <c r="AL720">
        <v>36</v>
      </c>
      <c r="AM720" s="5">
        <f t="shared" si="98"/>
        <v>1.0588235294117647</v>
      </c>
      <c r="AN720" s="4">
        <f t="shared" si="95"/>
        <v>1.6036706238724192E-3</v>
      </c>
      <c r="AO720" s="3"/>
      <c r="AP720">
        <v>0</v>
      </c>
      <c r="AR720" t="s">
        <v>0</v>
      </c>
      <c r="AT720" s="2" t="s">
        <v>19</v>
      </c>
      <c r="AU720" s="1">
        <f t="shared" si="99"/>
        <v>3.1350538735545377</v>
      </c>
      <c r="AV720" s="1">
        <f t="shared" si="100"/>
        <v>2.2851433560781675</v>
      </c>
      <c r="AW720" s="1">
        <f t="shared" si="101"/>
        <v>1.4352328386017972</v>
      </c>
    </row>
    <row r="721" spans="1:49" x14ac:dyDescent="0.2">
      <c r="A721">
        <v>719</v>
      </c>
      <c r="B721" t="s">
        <v>1920</v>
      </c>
      <c r="C721" t="s">
        <v>1919</v>
      </c>
      <c r="F721" t="s">
        <v>1918</v>
      </c>
      <c r="G721" t="s">
        <v>15</v>
      </c>
      <c r="H721" t="s">
        <v>14</v>
      </c>
      <c r="I721" t="s">
        <v>1917</v>
      </c>
      <c r="J721" t="s">
        <v>1912</v>
      </c>
      <c r="K721" t="s">
        <v>1916</v>
      </c>
      <c r="L721" t="s">
        <v>1915</v>
      </c>
      <c r="M721" t="s">
        <v>9</v>
      </c>
      <c r="N721">
        <v>2</v>
      </c>
      <c r="O721" t="s">
        <v>1914</v>
      </c>
      <c r="P721" t="s">
        <v>1913</v>
      </c>
      <c r="Q721" t="s">
        <v>1912</v>
      </c>
      <c r="R721" s="7">
        <v>32143</v>
      </c>
      <c r="S721" s="8">
        <f t="shared" si="96"/>
        <v>1988</v>
      </c>
      <c r="T721" s="8">
        <v>1988</v>
      </c>
      <c r="U721" s="8">
        <f t="shared" si="97"/>
        <v>34</v>
      </c>
      <c r="V721" s="7">
        <v>32174</v>
      </c>
      <c r="W721" t="s">
        <v>69</v>
      </c>
      <c r="X721" s="2">
        <v>1.6519999999999999</v>
      </c>
      <c r="Y721" s="6">
        <f t="shared" si="94"/>
        <v>4.409919649769093E-2</v>
      </c>
      <c r="AA721" t="s">
        <v>68</v>
      </c>
      <c r="AB721">
        <v>17337</v>
      </c>
      <c r="AC721">
        <v>15582221</v>
      </c>
      <c r="AD721" t="s">
        <v>4</v>
      </c>
      <c r="AE721">
        <v>36</v>
      </c>
      <c r="AF721">
        <v>2</v>
      </c>
      <c r="AH721" t="s">
        <v>1911</v>
      </c>
      <c r="AI721" t="s">
        <v>1910</v>
      </c>
      <c r="AK721" t="s">
        <v>1909</v>
      </c>
      <c r="AL721">
        <v>78</v>
      </c>
      <c r="AM721" s="5">
        <f t="shared" si="98"/>
        <v>2.2941176470588234</v>
      </c>
      <c r="AN721" s="4">
        <f t="shared" si="95"/>
        <v>3.4746196850569079E-3</v>
      </c>
      <c r="AO721" s="3"/>
      <c r="AP721">
        <v>0</v>
      </c>
      <c r="AR721" t="s">
        <v>0</v>
      </c>
      <c r="AT721" s="2" t="s">
        <v>19</v>
      </c>
      <c r="AU721" s="1">
        <f t="shared" si="99"/>
        <v>3.1911823453900721</v>
      </c>
      <c r="AV721" s="1">
        <f t="shared" si="100"/>
        <v>2.3786908091373919</v>
      </c>
      <c r="AW721" s="1">
        <f t="shared" si="101"/>
        <v>1.5661992728847114</v>
      </c>
    </row>
    <row r="722" spans="1:49" x14ac:dyDescent="0.2">
      <c r="A722">
        <v>720</v>
      </c>
      <c r="B722" t="s">
        <v>1908</v>
      </c>
      <c r="C722" t="s">
        <v>1907</v>
      </c>
      <c r="F722" t="s">
        <v>1906</v>
      </c>
      <c r="G722" t="s">
        <v>15</v>
      </c>
      <c r="H722" t="s">
        <v>14</v>
      </c>
      <c r="I722" t="s">
        <v>1905</v>
      </c>
      <c r="J722">
        <v>60001247</v>
      </c>
      <c r="K722" t="s">
        <v>1904</v>
      </c>
      <c r="M722" t="s">
        <v>31</v>
      </c>
      <c r="N722">
        <v>1</v>
      </c>
      <c r="O722" t="s">
        <v>1903</v>
      </c>
      <c r="P722">
        <v>7102186231</v>
      </c>
      <c r="Q722">
        <v>60001247</v>
      </c>
      <c r="R722" s="7">
        <v>32143</v>
      </c>
      <c r="S722" s="8">
        <f t="shared" si="96"/>
        <v>1988</v>
      </c>
      <c r="T722" s="8">
        <v>1988</v>
      </c>
      <c r="U722" s="8">
        <f t="shared" si="97"/>
        <v>34</v>
      </c>
      <c r="V722" s="7">
        <v>32174</v>
      </c>
      <c r="W722" t="s">
        <v>69</v>
      </c>
      <c r="X722" s="2">
        <v>1.6519999999999999</v>
      </c>
      <c r="Y722" s="6">
        <f t="shared" si="94"/>
        <v>4.409919649769093E-2</v>
      </c>
      <c r="AA722" t="s">
        <v>68</v>
      </c>
      <c r="AB722">
        <v>17337</v>
      </c>
      <c r="AC722">
        <v>15582221</v>
      </c>
      <c r="AD722" t="s">
        <v>4</v>
      </c>
      <c r="AE722">
        <v>36</v>
      </c>
      <c r="AF722">
        <v>2</v>
      </c>
      <c r="AH722" t="s">
        <v>1902</v>
      </c>
      <c r="AI722" t="s">
        <v>1901</v>
      </c>
      <c r="AK722" t="s">
        <v>1900</v>
      </c>
      <c r="AL722">
        <v>33</v>
      </c>
      <c r="AM722" s="5">
        <f t="shared" si="98"/>
        <v>0.97058823529411764</v>
      </c>
      <c r="AN722" s="4">
        <f t="shared" si="95"/>
        <v>1.4700314052163842E-3</v>
      </c>
      <c r="AO722" s="3"/>
      <c r="AP722">
        <v>0</v>
      </c>
      <c r="AR722" t="s">
        <v>0</v>
      </c>
      <c r="AT722" s="2" t="s">
        <v>19</v>
      </c>
      <c r="AU722" s="1">
        <f t="shared" si="99"/>
        <v>3.1310446969948567</v>
      </c>
      <c r="AV722" s="1">
        <f t="shared" si="100"/>
        <v>2.2784613951453658</v>
      </c>
      <c r="AW722" s="1">
        <f t="shared" si="101"/>
        <v>1.4258780932958748</v>
      </c>
    </row>
    <row r="723" spans="1:49" x14ac:dyDescent="0.2">
      <c r="A723">
        <v>721</v>
      </c>
      <c r="B723" t="s">
        <v>1899</v>
      </c>
      <c r="C723" t="s">
        <v>1898</v>
      </c>
      <c r="F723" t="s">
        <v>1897</v>
      </c>
      <c r="G723" t="s">
        <v>15</v>
      </c>
      <c r="H723" t="s">
        <v>14</v>
      </c>
      <c r="I723" t="s">
        <v>1896</v>
      </c>
      <c r="J723">
        <v>60017563</v>
      </c>
      <c r="K723" t="s">
        <v>1895</v>
      </c>
      <c r="L723" t="s">
        <v>1894</v>
      </c>
      <c r="M723" t="s">
        <v>839</v>
      </c>
      <c r="N723">
        <v>3</v>
      </c>
      <c r="O723" t="s">
        <v>1893</v>
      </c>
      <c r="P723" t="s">
        <v>1892</v>
      </c>
      <c r="Q723" t="s">
        <v>1891</v>
      </c>
      <c r="R723" s="7">
        <v>32143</v>
      </c>
      <c r="S723" s="8">
        <f t="shared" si="96"/>
        <v>1988</v>
      </c>
      <c r="T723" s="8">
        <v>1988</v>
      </c>
      <c r="U723" s="8">
        <f t="shared" si="97"/>
        <v>34</v>
      </c>
      <c r="V723" s="7" t="s">
        <v>477</v>
      </c>
      <c r="W723" s="11" t="s">
        <v>1890</v>
      </c>
      <c r="X723" s="2">
        <v>2.383</v>
      </c>
      <c r="Y723" s="6">
        <f t="shared" si="94"/>
        <v>6.3612824003630442E-2</v>
      </c>
      <c r="AA723" t="s">
        <v>1889</v>
      </c>
      <c r="AB723">
        <v>101151</v>
      </c>
      <c r="AD723" t="s">
        <v>4</v>
      </c>
      <c r="AE723">
        <v>135</v>
      </c>
      <c r="AF723">
        <v>1</v>
      </c>
      <c r="AH723" t="s">
        <v>1888</v>
      </c>
      <c r="AI723" t="s">
        <v>1887</v>
      </c>
      <c r="AK723" t="s">
        <v>1886</v>
      </c>
      <c r="AL723">
        <v>43</v>
      </c>
      <c r="AM723" s="5">
        <f t="shared" si="98"/>
        <v>1.2647058823529411</v>
      </c>
      <c r="AN723" s="4">
        <f t="shared" si="95"/>
        <v>1.9154954674031671E-3</v>
      </c>
      <c r="AO723" s="3"/>
      <c r="AP723">
        <v>0</v>
      </c>
      <c r="AR723" t="s">
        <v>0</v>
      </c>
      <c r="AT723" s="2" t="s">
        <v>19</v>
      </c>
      <c r="AU723" s="1">
        <f t="shared" si="99"/>
        <v>4.5103625442762256</v>
      </c>
      <c r="AV723" s="1">
        <f t="shared" si="100"/>
        <v>3.2764159735516802</v>
      </c>
      <c r="AW723" s="1">
        <f t="shared" si="101"/>
        <v>2.0424694028271349</v>
      </c>
    </row>
    <row r="724" spans="1:49" x14ac:dyDescent="0.2">
      <c r="A724">
        <v>722</v>
      </c>
      <c r="B724" t="s">
        <v>1885</v>
      </c>
      <c r="C724" t="s">
        <v>1884</v>
      </c>
      <c r="E724">
        <v>3129339</v>
      </c>
      <c r="F724" t="s">
        <v>1883</v>
      </c>
      <c r="G724" t="s">
        <v>15</v>
      </c>
      <c r="H724" t="s">
        <v>14</v>
      </c>
      <c r="I724" t="s">
        <v>1882</v>
      </c>
      <c r="J724">
        <v>60016247</v>
      </c>
      <c r="K724" t="s">
        <v>1881</v>
      </c>
      <c r="L724" t="s">
        <v>71</v>
      </c>
      <c r="M724" t="s">
        <v>31</v>
      </c>
      <c r="N724">
        <v>5</v>
      </c>
      <c r="O724" t="s">
        <v>1880</v>
      </c>
      <c r="P724" t="s">
        <v>1879</v>
      </c>
      <c r="Q724" t="s">
        <v>1878</v>
      </c>
      <c r="R724" s="7">
        <v>32143</v>
      </c>
      <c r="S724" s="8">
        <f t="shared" si="96"/>
        <v>1988</v>
      </c>
      <c r="T724" s="8">
        <v>1988</v>
      </c>
      <c r="U724" s="8">
        <f t="shared" si="97"/>
        <v>34</v>
      </c>
      <c r="V724" s="7">
        <v>32174</v>
      </c>
      <c r="W724" t="s">
        <v>1877</v>
      </c>
      <c r="X724" s="2" t="s">
        <v>19</v>
      </c>
      <c r="Y724" s="6" t="e">
        <f t="shared" si="94"/>
        <v>#VALUE!</v>
      </c>
      <c r="AA724">
        <v>8909369</v>
      </c>
      <c r="AB724">
        <v>22126</v>
      </c>
      <c r="AD724" t="s">
        <v>4</v>
      </c>
      <c r="AE724">
        <v>2</v>
      </c>
      <c r="AF724">
        <v>2</v>
      </c>
      <c r="AH724" t="s">
        <v>1876</v>
      </c>
      <c r="AI724" t="s">
        <v>1875</v>
      </c>
      <c r="AK724" t="s">
        <v>1874</v>
      </c>
      <c r="AL724">
        <v>119</v>
      </c>
      <c r="AM724" s="5">
        <f t="shared" si="98"/>
        <v>3.5</v>
      </c>
      <c r="AN724" s="4">
        <f t="shared" si="95"/>
        <v>5.301022340022719E-3</v>
      </c>
      <c r="AO724" s="3"/>
      <c r="AP724">
        <v>1</v>
      </c>
      <c r="AQ724" t="s">
        <v>1812</v>
      </c>
      <c r="AR724" t="s">
        <v>1873</v>
      </c>
      <c r="AS724" t="s">
        <v>1810</v>
      </c>
      <c r="AT724" s="2" t="s">
        <v>19</v>
      </c>
      <c r="AU724" s="1" t="e">
        <f t="shared" si="99"/>
        <v>#VALUE!</v>
      </c>
      <c r="AV724" s="1" t="e">
        <f t="shared" si="100"/>
        <v>#VALUE!</v>
      </c>
      <c r="AW724" s="1" t="e">
        <f t="shared" si="101"/>
        <v>#VALUE!</v>
      </c>
    </row>
    <row r="725" spans="1:49" x14ac:dyDescent="0.2">
      <c r="A725">
        <v>723</v>
      </c>
      <c r="B725" t="s">
        <v>1872</v>
      </c>
      <c r="E725">
        <v>3126188</v>
      </c>
      <c r="F725" t="s">
        <v>1871</v>
      </c>
      <c r="G725" t="s">
        <v>15</v>
      </c>
      <c r="H725" t="s">
        <v>14</v>
      </c>
      <c r="I725" t="s">
        <v>1870</v>
      </c>
      <c r="J725">
        <v>60030451</v>
      </c>
      <c r="K725" t="s">
        <v>1869</v>
      </c>
      <c r="L725" t="s">
        <v>1868</v>
      </c>
      <c r="M725" t="s">
        <v>31</v>
      </c>
      <c r="N725">
        <v>4</v>
      </c>
      <c r="O725" t="s">
        <v>1867</v>
      </c>
      <c r="P725" t="s">
        <v>1866</v>
      </c>
      <c r="Q725" t="s">
        <v>1865</v>
      </c>
      <c r="R725" s="7">
        <v>32143</v>
      </c>
      <c r="S725" s="8">
        <f t="shared" si="96"/>
        <v>1988</v>
      </c>
      <c r="T725" s="8">
        <v>1988</v>
      </c>
      <c r="U725" s="8">
        <f t="shared" si="97"/>
        <v>34</v>
      </c>
      <c r="V725" s="7">
        <v>1988</v>
      </c>
      <c r="W725" t="s">
        <v>1864</v>
      </c>
      <c r="X725" s="2">
        <v>2.3610000000000002</v>
      </c>
      <c r="Y725" s="6">
        <f t="shared" si="94"/>
        <v>6.3025546568431179E-2</v>
      </c>
      <c r="AA725">
        <v>219258</v>
      </c>
      <c r="AB725">
        <v>17592</v>
      </c>
      <c r="AD725" t="s">
        <v>4</v>
      </c>
      <c r="AE725">
        <v>263</v>
      </c>
      <c r="AF725">
        <v>9</v>
      </c>
      <c r="AH725" t="s">
        <v>1863</v>
      </c>
      <c r="AI725" t="s">
        <v>1862</v>
      </c>
      <c r="AK725" t="s">
        <v>1861</v>
      </c>
      <c r="AL725">
        <v>48</v>
      </c>
      <c r="AM725" s="5">
        <f t="shared" si="98"/>
        <v>1.411764705882353</v>
      </c>
      <c r="AN725" s="4">
        <f t="shared" si="95"/>
        <v>2.1382274984965591E-3</v>
      </c>
      <c r="AO725" s="3"/>
      <c r="AP725">
        <v>0</v>
      </c>
      <c r="AR725" t="s">
        <v>0</v>
      </c>
      <c r="AT725" s="2">
        <v>5.157</v>
      </c>
      <c r="AU725" s="1">
        <f t="shared" si="99"/>
        <v>4.4759350847450792</v>
      </c>
      <c r="AV725" s="1">
        <f t="shared" si="100"/>
        <v>3.2581887033463865</v>
      </c>
      <c r="AW725" s="1">
        <f t="shared" si="101"/>
        <v>2.0404423219476944</v>
      </c>
    </row>
    <row r="726" spans="1:49" x14ac:dyDescent="0.2">
      <c r="A726">
        <v>724</v>
      </c>
      <c r="B726" t="s">
        <v>1860</v>
      </c>
      <c r="C726" t="s">
        <v>1859</v>
      </c>
      <c r="E726">
        <v>2455758</v>
      </c>
      <c r="F726" t="s">
        <v>1858</v>
      </c>
      <c r="G726" t="s">
        <v>15</v>
      </c>
      <c r="H726" t="s">
        <v>14</v>
      </c>
      <c r="I726" t="s">
        <v>1857</v>
      </c>
      <c r="J726" t="s">
        <v>1856</v>
      </c>
      <c r="K726" t="s">
        <v>1855</v>
      </c>
      <c r="L726" t="s">
        <v>1854</v>
      </c>
      <c r="M726" t="s">
        <v>439</v>
      </c>
      <c r="N726">
        <v>3</v>
      </c>
      <c r="O726" t="s">
        <v>1853</v>
      </c>
      <c r="P726" t="s">
        <v>1852</v>
      </c>
      <c r="Q726" t="s">
        <v>1851</v>
      </c>
      <c r="R726" s="7">
        <v>32143</v>
      </c>
      <c r="S726" s="8">
        <f t="shared" si="96"/>
        <v>1988</v>
      </c>
      <c r="T726" s="8">
        <v>1988</v>
      </c>
      <c r="U726" s="8">
        <f t="shared" si="97"/>
        <v>34</v>
      </c>
      <c r="V726" s="7">
        <v>1988</v>
      </c>
      <c r="W726" t="s">
        <v>644</v>
      </c>
      <c r="X726" s="2">
        <v>0.89600000000000002</v>
      </c>
      <c r="Y726" s="6">
        <f t="shared" si="94"/>
        <v>2.3918208269934065E-2</v>
      </c>
      <c r="AA726">
        <v>2656736</v>
      </c>
      <c r="AB726">
        <v>29901</v>
      </c>
      <c r="AD726" t="s">
        <v>4</v>
      </c>
      <c r="AE726">
        <v>4</v>
      </c>
      <c r="AF726">
        <v>5</v>
      </c>
      <c r="AH726" t="s">
        <v>1850</v>
      </c>
      <c r="AI726" t="s">
        <v>1849</v>
      </c>
      <c r="AJ726" t="s">
        <v>1848</v>
      </c>
      <c r="AK726" t="s">
        <v>1847</v>
      </c>
      <c r="AL726">
        <v>12</v>
      </c>
      <c r="AM726" s="5">
        <f t="shared" si="98"/>
        <v>0.35294117647058826</v>
      </c>
      <c r="AN726" s="4">
        <f t="shared" si="95"/>
        <v>5.3455687462413976E-4</v>
      </c>
      <c r="AO726" s="3"/>
      <c r="AP726">
        <v>0</v>
      </c>
      <c r="AQ726" t="s">
        <v>1846</v>
      </c>
      <c r="AR726" t="s">
        <v>0</v>
      </c>
      <c r="AS726" t="s">
        <v>1845</v>
      </c>
      <c r="AT726" s="2">
        <v>3.9140000000000001</v>
      </c>
      <c r="AU726" s="1">
        <f t="shared" si="99"/>
        <v>1.6903112851341087</v>
      </c>
      <c r="AV726" s="1">
        <f t="shared" si="100"/>
        <v>1.2226382572279102</v>
      </c>
      <c r="AW726" s="1">
        <f t="shared" si="101"/>
        <v>0.75496522932171173</v>
      </c>
    </row>
    <row r="727" spans="1:49" x14ac:dyDescent="0.2">
      <c r="A727">
        <v>725</v>
      </c>
      <c r="B727" t="s">
        <v>1844</v>
      </c>
      <c r="C727" t="s">
        <v>1843</v>
      </c>
      <c r="D727">
        <v>12160688901327</v>
      </c>
      <c r="E727">
        <v>2895027</v>
      </c>
      <c r="F727" t="s">
        <v>1842</v>
      </c>
      <c r="G727" t="s">
        <v>15</v>
      </c>
      <c r="H727" t="s">
        <v>14</v>
      </c>
      <c r="I727" t="s">
        <v>1768</v>
      </c>
      <c r="J727">
        <v>60010065</v>
      </c>
      <c r="K727" t="s">
        <v>1767</v>
      </c>
      <c r="L727" t="s">
        <v>1766</v>
      </c>
      <c r="M727" t="s">
        <v>31</v>
      </c>
      <c r="N727">
        <v>2</v>
      </c>
      <c r="O727" t="s">
        <v>1765</v>
      </c>
      <c r="P727" t="s">
        <v>1764</v>
      </c>
      <c r="Q727" t="s">
        <v>1763</v>
      </c>
      <c r="R727" s="7">
        <v>32143</v>
      </c>
      <c r="S727" s="8">
        <f t="shared" si="96"/>
        <v>1988</v>
      </c>
      <c r="T727" s="8">
        <v>1988</v>
      </c>
      <c r="U727" s="8">
        <f t="shared" si="97"/>
        <v>34</v>
      </c>
      <c r="V727" s="7">
        <v>32234</v>
      </c>
      <c r="W727" t="s">
        <v>859</v>
      </c>
      <c r="X727" s="2">
        <v>1.77</v>
      </c>
      <c r="Y727" s="6">
        <f t="shared" si="94"/>
        <v>4.7249139104668859E-2</v>
      </c>
      <c r="AA727">
        <v>121606</v>
      </c>
      <c r="AB727">
        <v>14536</v>
      </c>
      <c r="AD727" t="s">
        <v>4</v>
      </c>
      <c r="AE727">
        <v>126</v>
      </c>
      <c r="AF727">
        <v>2</v>
      </c>
      <c r="AH727" t="s">
        <v>1841</v>
      </c>
      <c r="AI727" t="s">
        <v>1840</v>
      </c>
      <c r="AK727" t="s">
        <v>1839</v>
      </c>
      <c r="AL727">
        <v>25</v>
      </c>
      <c r="AM727" s="5">
        <f t="shared" si="98"/>
        <v>0.73529411764705888</v>
      </c>
      <c r="AN727" s="4">
        <f t="shared" si="95"/>
        <v>1.1136601554669577E-3</v>
      </c>
      <c r="AO727" s="3"/>
      <c r="AP727">
        <v>0</v>
      </c>
      <c r="AQ727" t="s">
        <v>855</v>
      </c>
      <c r="AR727" t="s">
        <v>1838</v>
      </c>
      <c r="AS727" t="s">
        <v>854</v>
      </c>
      <c r="AT727" s="2">
        <v>3.5819999999999999</v>
      </c>
      <c r="AU727" s="1">
        <f t="shared" si="99"/>
        <v>3.3408495419908286</v>
      </c>
      <c r="AV727" s="1">
        <f t="shared" si="100"/>
        <v>2.4181399630067908</v>
      </c>
      <c r="AW727" s="1">
        <f t="shared" si="101"/>
        <v>1.4954303840227527</v>
      </c>
    </row>
    <row r="728" spans="1:49" x14ac:dyDescent="0.2">
      <c r="A728">
        <v>726</v>
      </c>
      <c r="B728" t="s">
        <v>1837</v>
      </c>
      <c r="C728" t="s">
        <v>1836</v>
      </c>
      <c r="E728">
        <v>3392424</v>
      </c>
      <c r="F728" t="s">
        <v>1835</v>
      </c>
      <c r="G728" t="s">
        <v>15</v>
      </c>
      <c r="H728" t="s">
        <v>14</v>
      </c>
      <c r="I728" t="s">
        <v>810</v>
      </c>
      <c r="J728">
        <v>60031970</v>
      </c>
      <c r="K728" t="s">
        <v>1834</v>
      </c>
      <c r="L728" t="s">
        <v>822</v>
      </c>
      <c r="M728" t="s">
        <v>31</v>
      </c>
      <c r="N728">
        <v>2</v>
      </c>
      <c r="O728" t="s">
        <v>1833</v>
      </c>
      <c r="P728" t="s">
        <v>1832</v>
      </c>
      <c r="Q728" t="s">
        <v>1831</v>
      </c>
      <c r="R728" s="7">
        <v>32143</v>
      </c>
      <c r="S728" s="8">
        <f t="shared" si="96"/>
        <v>1988</v>
      </c>
      <c r="T728" s="8">
        <v>1988</v>
      </c>
      <c r="U728" s="8">
        <f t="shared" si="97"/>
        <v>34</v>
      </c>
      <c r="V728" s="7">
        <v>1988</v>
      </c>
      <c r="W728" t="s">
        <v>644</v>
      </c>
      <c r="X728" s="2">
        <v>0.89600000000000002</v>
      </c>
      <c r="Y728" s="6">
        <f t="shared" si="94"/>
        <v>2.3918208269934065E-2</v>
      </c>
      <c r="AA728">
        <v>2656736</v>
      </c>
      <c r="AB728">
        <v>29901</v>
      </c>
      <c r="AD728" t="s">
        <v>4</v>
      </c>
      <c r="AE728">
        <v>4</v>
      </c>
      <c r="AF728">
        <v>5</v>
      </c>
      <c r="AH728" t="s">
        <v>1830</v>
      </c>
      <c r="AI728" t="s">
        <v>1829</v>
      </c>
      <c r="AJ728" t="s">
        <v>801</v>
      </c>
      <c r="AK728" t="s">
        <v>1828</v>
      </c>
      <c r="AL728">
        <v>43</v>
      </c>
      <c r="AM728" s="5">
        <f t="shared" si="98"/>
        <v>1.2647058823529411</v>
      </c>
      <c r="AN728" s="4">
        <f t="shared" si="95"/>
        <v>1.9154954674031671E-3</v>
      </c>
      <c r="AO728" s="3"/>
      <c r="AP728">
        <v>0</v>
      </c>
      <c r="AQ728" t="s">
        <v>702</v>
      </c>
      <c r="AR728" t="s">
        <v>799</v>
      </c>
      <c r="AS728" t="s">
        <v>700</v>
      </c>
      <c r="AT728" s="2">
        <v>3.9140000000000001</v>
      </c>
      <c r="AU728" s="1">
        <f t="shared" si="99"/>
        <v>1.7317394429174793</v>
      </c>
      <c r="AV728" s="1">
        <f t="shared" si="100"/>
        <v>1.2916851868668617</v>
      </c>
      <c r="AW728" s="1">
        <f t="shared" si="101"/>
        <v>0.85163093081624364</v>
      </c>
    </row>
    <row r="729" spans="1:49" x14ac:dyDescent="0.2">
      <c r="A729">
        <v>727</v>
      </c>
      <c r="B729" t="s">
        <v>1827</v>
      </c>
      <c r="C729" t="s">
        <v>1826</v>
      </c>
      <c r="E729">
        <v>3356193</v>
      </c>
      <c r="F729" t="s">
        <v>1825</v>
      </c>
      <c r="G729" t="s">
        <v>15</v>
      </c>
      <c r="H729" t="s">
        <v>14</v>
      </c>
      <c r="I729" t="s">
        <v>1824</v>
      </c>
      <c r="J729" t="s">
        <v>1823</v>
      </c>
      <c r="K729" t="s">
        <v>1822</v>
      </c>
      <c r="L729" t="s">
        <v>1821</v>
      </c>
      <c r="M729" t="s">
        <v>1820</v>
      </c>
      <c r="N729">
        <v>8</v>
      </c>
      <c r="O729" t="s">
        <v>1819</v>
      </c>
      <c r="P729" t="s">
        <v>1818</v>
      </c>
      <c r="Q729" t="s">
        <v>1817</v>
      </c>
      <c r="R729" s="7">
        <v>32143</v>
      </c>
      <c r="S729" s="8">
        <f t="shared" si="96"/>
        <v>1988</v>
      </c>
      <c r="T729" s="8">
        <v>1988</v>
      </c>
      <c r="U729" s="8">
        <f t="shared" si="97"/>
        <v>34</v>
      </c>
      <c r="V729" s="7">
        <v>32234</v>
      </c>
      <c r="W729" t="s">
        <v>1816</v>
      </c>
      <c r="X729" s="2">
        <v>1.9810000000000001</v>
      </c>
      <c r="Y729" s="6">
        <f t="shared" si="94"/>
        <v>5.2881663596807349E-2</v>
      </c>
      <c r="AA729">
        <v>142956</v>
      </c>
      <c r="AB729">
        <v>39034</v>
      </c>
      <c r="AC729">
        <v>14321033</v>
      </c>
      <c r="AD729" t="s">
        <v>4</v>
      </c>
      <c r="AE729">
        <v>173</v>
      </c>
      <c r="AF729">
        <v>1</v>
      </c>
      <c r="AH729" t="s">
        <v>1815</v>
      </c>
      <c r="AI729" t="s">
        <v>1814</v>
      </c>
      <c r="AK729" t="s">
        <v>1813</v>
      </c>
      <c r="AL729">
        <v>22</v>
      </c>
      <c r="AM729" s="5">
        <f t="shared" si="98"/>
        <v>0.6470588235294118</v>
      </c>
      <c r="AN729" s="4">
        <f t="shared" si="95"/>
        <v>9.8002093681092274E-4</v>
      </c>
      <c r="AO729" s="3"/>
      <c r="AP729">
        <v>1</v>
      </c>
      <c r="AQ729" t="s">
        <v>1812</v>
      </c>
      <c r="AR729" t="s">
        <v>1811</v>
      </c>
      <c r="AS729" t="s">
        <v>1810</v>
      </c>
      <c r="AT729" s="2" t="s">
        <v>19</v>
      </c>
      <c r="AU729" s="1">
        <f t="shared" si="99"/>
        <v>3.7311170798808422</v>
      </c>
      <c r="AV729" s="1">
        <f t="shared" si="100"/>
        <v>2.6930842266809139</v>
      </c>
      <c r="AW729" s="1">
        <f t="shared" si="101"/>
        <v>1.6550513734809851</v>
      </c>
    </row>
    <row r="730" spans="1:49" x14ac:dyDescent="0.2">
      <c r="A730">
        <v>728</v>
      </c>
      <c r="B730" t="s">
        <v>1809</v>
      </c>
      <c r="C730" t="s">
        <v>1808</v>
      </c>
      <c r="E730">
        <v>2837662</v>
      </c>
      <c r="F730" t="s">
        <v>1807</v>
      </c>
      <c r="G730" t="s">
        <v>15</v>
      </c>
      <c r="H730" t="s">
        <v>14</v>
      </c>
      <c r="I730" t="s">
        <v>1796</v>
      </c>
      <c r="J730">
        <v>60029278</v>
      </c>
      <c r="K730" t="s">
        <v>1795</v>
      </c>
      <c r="L730" t="s">
        <v>339</v>
      </c>
      <c r="M730" t="s">
        <v>31</v>
      </c>
      <c r="N730">
        <v>4</v>
      </c>
      <c r="O730" t="s">
        <v>1806</v>
      </c>
      <c r="P730" t="s">
        <v>1805</v>
      </c>
      <c r="Q730" t="s">
        <v>1804</v>
      </c>
      <c r="R730" s="7">
        <v>32143</v>
      </c>
      <c r="S730" s="8">
        <f t="shared" si="96"/>
        <v>1988</v>
      </c>
      <c r="T730" s="8">
        <v>1988</v>
      </c>
      <c r="U730" s="8">
        <f t="shared" si="97"/>
        <v>34</v>
      </c>
      <c r="V730" s="7">
        <v>32234</v>
      </c>
      <c r="W730" t="s">
        <v>1803</v>
      </c>
      <c r="X730" s="2" t="s">
        <v>19</v>
      </c>
      <c r="Y730" s="6" t="e">
        <f t="shared" si="94"/>
        <v>#VALUE!</v>
      </c>
      <c r="AA730">
        <v>8888809</v>
      </c>
      <c r="AB730">
        <v>26208</v>
      </c>
      <c r="AC730">
        <v>19449917</v>
      </c>
      <c r="AD730" t="s">
        <v>4</v>
      </c>
      <c r="AE730">
        <v>2</v>
      </c>
      <c r="AF730">
        <v>4</v>
      </c>
      <c r="AH730" t="s">
        <v>1802</v>
      </c>
      <c r="AI730" t="s">
        <v>1801</v>
      </c>
      <c r="AK730" t="s">
        <v>1800</v>
      </c>
      <c r="AL730">
        <v>20</v>
      </c>
      <c r="AM730" s="5">
        <f t="shared" si="98"/>
        <v>0.58823529411764708</v>
      </c>
      <c r="AN730" s="4">
        <f t="shared" si="95"/>
        <v>8.9092812437356617E-4</v>
      </c>
      <c r="AO730" s="3"/>
      <c r="AP730">
        <v>1</v>
      </c>
      <c r="AQ730" t="s">
        <v>1786</v>
      </c>
      <c r="AR730" t="s">
        <v>1785</v>
      </c>
      <c r="AS730" t="s">
        <v>1784</v>
      </c>
      <c r="AT730" s="2" t="s">
        <v>19</v>
      </c>
      <c r="AU730" s="1" t="e">
        <f t="shared" si="99"/>
        <v>#VALUE!</v>
      </c>
      <c r="AV730" s="1" t="e">
        <f t="shared" si="100"/>
        <v>#VALUE!</v>
      </c>
      <c r="AW730" s="1" t="e">
        <f t="shared" si="101"/>
        <v>#VALUE!</v>
      </c>
    </row>
    <row r="731" spans="1:49" x14ac:dyDescent="0.2">
      <c r="A731">
        <v>729</v>
      </c>
      <c r="B731" t="s">
        <v>1799</v>
      </c>
      <c r="C731" t="s">
        <v>1798</v>
      </c>
      <c r="E731">
        <v>3129446</v>
      </c>
      <c r="F731" t="s">
        <v>1797</v>
      </c>
      <c r="G731" t="s">
        <v>15</v>
      </c>
      <c r="H731" t="s">
        <v>14</v>
      </c>
      <c r="I731" t="s">
        <v>1796</v>
      </c>
      <c r="J731">
        <v>60029278</v>
      </c>
      <c r="K731" t="s">
        <v>1795</v>
      </c>
      <c r="L731" t="s">
        <v>339</v>
      </c>
      <c r="M731" t="s">
        <v>31</v>
      </c>
      <c r="N731">
        <v>2</v>
      </c>
      <c r="O731" t="s">
        <v>1794</v>
      </c>
      <c r="P731" t="s">
        <v>1793</v>
      </c>
      <c r="Q731" t="s">
        <v>1792</v>
      </c>
      <c r="R731" s="7">
        <v>32143</v>
      </c>
      <c r="S731" s="8">
        <f t="shared" si="96"/>
        <v>1988</v>
      </c>
      <c r="T731" s="8">
        <v>1988</v>
      </c>
      <c r="U731" s="8">
        <f t="shared" si="97"/>
        <v>34</v>
      </c>
      <c r="V731" s="7">
        <v>32264</v>
      </c>
      <c r="W731" t="s">
        <v>1791</v>
      </c>
      <c r="X731" s="2">
        <v>2.206</v>
      </c>
      <c r="Y731" s="6">
        <f t="shared" si="94"/>
        <v>5.8887910093163555E-2</v>
      </c>
      <c r="AA731" t="s">
        <v>1790</v>
      </c>
      <c r="AB731">
        <v>26159</v>
      </c>
      <c r="AC731">
        <v>19457197</v>
      </c>
      <c r="AD731" t="s">
        <v>4</v>
      </c>
      <c r="AE731">
        <v>66</v>
      </c>
      <c r="AF731">
        <v>5</v>
      </c>
      <c r="AH731" t="s">
        <v>1789</v>
      </c>
      <c r="AI731" t="s">
        <v>1788</v>
      </c>
      <c r="AK731" t="s">
        <v>1787</v>
      </c>
      <c r="AL731">
        <v>35</v>
      </c>
      <c r="AM731" s="5">
        <f t="shared" si="98"/>
        <v>1.0294117647058822</v>
      </c>
      <c r="AN731" s="4">
        <f t="shared" si="95"/>
        <v>1.5591242176537406E-3</v>
      </c>
      <c r="AO731" s="3"/>
      <c r="AP731">
        <v>0</v>
      </c>
      <c r="AQ731" t="s">
        <v>1786</v>
      </c>
      <c r="AR731" t="s">
        <v>1785</v>
      </c>
      <c r="AS731" t="s">
        <v>1784</v>
      </c>
      <c r="AT731" s="2" t="s">
        <v>19</v>
      </c>
      <c r="AU731" s="1">
        <f t="shared" si="99"/>
        <v>4.1689274330510608</v>
      </c>
      <c r="AV731" s="1">
        <f t="shared" si="100"/>
        <v>3.0223517155408648</v>
      </c>
      <c r="AW731" s="1">
        <f t="shared" si="101"/>
        <v>1.8757759980306685</v>
      </c>
    </row>
    <row r="732" spans="1:49" x14ac:dyDescent="0.2">
      <c r="A732">
        <v>730</v>
      </c>
      <c r="B732" t="s">
        <v>1783</v>
      </c>
      <c r="C732" t="s">
        <v>1782</v>
      </c>
      <c r="E732">
        <v>3360606</v>
      </c>
      <c r="F732" t="s">
        <v>1781</v>
      </c>
      <c r="G732" t="s">
        <v>15</v>
      </c>
      <c r="H732" t="s">
        <v>14</v>
      </c>
      <c r="I732" t="s">
        <v>1780</v>
      </c>
      <c r="J732">
        <v>60000315</v>
      </c>
      <c r="K732" t="s">
        <v>1779</v>
      </c>
      <c r="L732" t="s">
        <v>1778</v>
      </c>
      <c r="M732" t="s">
        <v>1777</v>
      </c>
      <c r="N732">
        <v>1</v>
      </c>
      <c r="O732" t="s">
        <v>1776</v>
      </c>
      <c r="P732">
        <v>7004262172</v>
      </c>
      <c r="Q732">
        <v>60000315</v>
      </c>
      <c r="R732" s="7">
        <v>32143</v>
      </c>
      <c r="S732" s="8">
        <f t="shared" si="96"/>
        <v>1988</v>
      </c>
      <c r="T732" s="8">
        <v>1988</v>
      </c>
      <c r="U732" s="8">
        <f t="shared" si="97"/>
        <v>34</v>
      </c>
      <c r="V732" s="7">
        <v>32264</v>
      </c>
      <c r="W732" t="s">
        <v>1775</v>
      </c>
      <c r="X732" s="2">
        <v>0.35699999999999998</v>
      </c>
      <c r="Y732" s="6">
        <f t="shared" si="94"/>
        <v>9.5299111075518531E-3</v>
      </c>
      <c r="AA732">
        <v>179078</v>
      </c>
      <c r="AB732">
        <v>13374</v>
      </c>
      <c r="AC732">
        <v>15385159</v>
      </c>
      <c r="AD732" t="s">
        <v>4</v>
      </c>
      <c r="AE732">
        <v>54</v>
      </c>
      <c r="AF732">
        <v>5</v>
      </c>
      <c r="AH732" t="s">
        <v>1774</v>
      </c>
      <c r="AI732" t="s">
        <v>1773</v>
      </c>
      <c r="AK732" t="s">
        <v>1772</v>
      </c>
      <c r="AL732">
        <v>3</v>
      </c>
      <c r="AM732" s="5">
        <f t="shared" si="98"/>
        <v>8.8235294117647065E-2</v>
      </c>
      <c r="AN732" s="4">
        <f t="shared" si="95"/>
        <v>1.3363921865603494E-4</v>
      </c>
      <c r="AO732" s="3"/>
      <c r="AP732">
        <v>0</v>
      </c>
      <c r="AR732" t="s">
        <v>0</v>
      </c>
      <c r="AT732" s="2">
        <v>1.3160000000000001</v>
      </c>
      <c r="AU732" s="1">
        <f t="shared" si="99"/>
        <v>0.67110295408831078</v>
      </c>
      <c r="AV732" s="1">
        <f t="shared" si="100"/>
        <v>0.48317751631039446</v>
      </c>
      <c r="AW732" s="1">
        <f t="shared" si="101"/>
        <v>0.29525207853247804</v>
      </c>
    </row>
    <row r="733" spans="1:49" x14ac:dyDescent="0.2">
      <c r="A733">
        <v>731</v>
      </c>
      <c r="B733" t="s">
        <v>1771</v>
      </c>
      <c r="C733" t="s">
        <v>1770</v>
      </c>
      <c r="D733">
        <v>12160688901935</v>
      </c>
      <c r="E733">
        <v>2896135</v>
      </c>
      <c r="F733" t="s">
        <v>1769</v>
      </c>
      <c r="G733" t="s">
        <v>15</v>
      </c>
      <c r="H733" t="s">
        <v>14</v>
      </c>
      <c r="I733" t="s">
        <v>1768</v>
      </c>
      <c r="J733">
        <v>60010065</v>
      </c>
      <c r="K733" t="s">
        <v>1767</v>
      </c>
      <c r="L733" t="s">
        <v>1766</v>
      </c>
      <c r="M733" t="s">
        <v>31</v>
      </c>
      <c r="N733">
        <v>2</v>
      </c>
      <c r="O733" t="s">
        <v>1765</v>
      </c>
      <c r="P733" t="s">
        <v>1764</v>
      </c>
      <c r="Q733" t="s">
        <v>1763</v>
      </c>
      <c r="R733" s="7">
        <v>32143</v>
      </c>
      <c r="S733" s="8">
        <f t="shared" si="96"/>
        <v>1988</v>
      </c>
      <c r="T733" s="8">
        <v>1988</v>
      </c>
      <c r="U733" s="8">
        <f t="shared" si="97"/>
        <v>34</v>
      </c>
      <c r="V733" s="7">
        <v>32264</v>
      </c>
      <c r="W733" t="s">
        <v>859</v>
      </c>
      <c r="X733" s="2">
        <v>1.77</v>
      </c>
      <c r="Y733" s="6">
        <f t="shared" si="94"/>
        <v>4.7249139104668859E-2</v>
      </c>
      <c r="AA733">
        <v>121606</v>
      </c>
      <c r="AB733">
        <v>14536</v>
      </c>
      <c r="AD733" t="s">
        <v>4</v>
      </c>
      <c r="AE733">
        <v>127</v>
      </c>
      <c r="AF733">
        <v>1</v>
      </c>
      <c r="AH733" t="s">
        <v>1762</v>
      </c>
      <c r="AI733" t="s">
        <v>1761</v>
      </c>
      <c r="AK733" t="s">
        <v>1760</v>
      </c>
      <c r="AL733">
        <v>40</v>
      </c>
      <c r="AM733" s="5">
        <f t="shared" si="98"/>
        <v>1.1764705882352942</v>
      </c>
      <c r="AN733" s="4">
        <f t="shared" si="95"/>
        <v>1.7818562487471323E-3</v>
      </c>
      <c r="AO733" s="3"/>
      <c r="AP733">
        <v>0</v>
      </c>
      <c r="AQ733" t="s">
        <v>855</v>
      </c>
      <c r="AR733" t="s">
        <v>1759</v>
      </c>
      <c r="AS733" t="s">
        <v>854</v>
      </c>
      <c r="AT733" s="2">
        <v>3.5819999999999999</v>
      </c>
      <c r="AU733" s="1">
        <f t="shared" si="99"/>
        <v>3.3608954247892342</v>
      </c>
      <c r="AV733" s="1">
        <f t="shared" si="100"/>
        <v>2.4515497676707998</v>
      </c>
      <c r="AW733" s="1">
        <f t="shared" si="101"/>
        <v>1.5422041105523649</v>
      </c>
    </row>
    <row r="734" spans="1:49" x14ac:dyDescent="0.2">
      <c r="A734">
        <v>732</v>
      </c>
      <c r="B734" t="s">
        <v>1758</v>
      </c>
      <c r="F734" t="s">
        <v>1757</v>
      </c>
      <c r="G734" t="s">
        <v>15</v>
      </c>
      <c r="H734" t="s">
        <v>14</v>
      </c>
      <c r="I734" t="s">
        <v>1756</v>
      </c>
      <c r="N734">
        <v>2</v>
      </c>
      <c r="O734" t="s">
        <v>1755</v>
      </c>
      <c r="P734" t="s">
        <v>1754</v>
      </c>
      <c r="Q734" t="s">
        <v>501</v>
      </c>
      <c r="R734" s="7">
        <v>32143</v>
      </c>
      <c r="S734" s="8">
        <f t="shared" si="96"/>
        <v>1988</v>
      </c>
      <c r="T734" s="8">
        <v>1988</v>
      </c>
      <c r="U734" s="8">
        <f t="shared" si="97"/>
        <v>34</v>
      </c>
      <c r="V734" s="7">
        <v>1988</v>
      </c>
      <c r="W734" t="s">
        <v>1753</v>
      </c>
      <c r="X734" s="2">
        <v>0.15</v>
      </c>
      <c r="Y734" s="6">
        <f t="shared" si="94"/>
        <v>4.0041643309041402E-3</v>
      </c>
      <c r="AA734">
        <v>9501991</v>
      </c>
      <c r="AB734">
        <v>14531</v>
      </c>
      <c r="AD734" t="s">
        <v>4</v>
      </c>
      <c r="AE734">
        <v>102</v>
      </c>
      <c r="AF734">
        <v>4</v>
      </c>
      <c r="AH734" t="s">
        <v>1752</v>
      </c>
      <c r="AI734" t="s">
        <v>1751</v>
      </c>
      <c r="AK734" t="s">
        <v>1750</v>
      </c>
      <c r="AL734">
        <v>114</v>
      </c>
      <c r="AM734" s="5">
        <f t="shared" si="98"/>
        <v>3.3529411764705883</v>
      </c>
      <c r="AN734" s="4">
        <f t="shared" si="95"/>
        <v>5.0782903089293275E-3</v>
      </c>
      <c r="AO734" s="3"/>
      <c r="AP734">
        <v>0</v>
      </c>
      <c r="AR734" t="s">
        <v>0</v>
      </c>
      <c r="AT734" s="2">
        <v>6.8680000000000003</v>
      </c>
      <c r="AU734" s="1">
        <f t="shared" si="99"/>
        <v>0.43264021243116962</v>
      </c>
      <c r="AV734" s="1">
        <f t="shared" si="100"/>
        <v>0.45412273199167341</v>
      </c>
      <c r="AW734" s="1">
        <f t="shared" si="101"/>
        <v>0.47560525155217714</v>
      </c>
    </row>
    <row r="735" spans="1:49" x14ac:dyDescent="0.2">
      <c r="A735">
        <v>733</v>
      </c>
      <c r="B735" t="s">
        <v>1749</v>
      </c>
      <c r="C735" t="s">
        <v>1748</v>
      </c>
      <c r="E735">
        <v>3385230</v>
      </c>
      <c r="F735" t="s">
        <v>1747</v>
      </c>
      <c r="G735" t="s">
        <v>15</v>
      </c>
      <c r="H735" t="s">
        <v>14</v>
      </c>
      <c r="I735" t="s">
        <v>1746</v>
      </c>
      <c r="J735" t="s">
        <v>1745</v>
      </c>
      <c r="K735" t="s">
        <v>1744</v>
      </c>
      <c r="L735" t="s">
        <v>1743</v>
      </c>
      <c r="M735" t="s">
        <v>1742</v>
      </c>
      <c r="N735">
        <v>4</v>
      </c>
      <c r="O735" t="s">
        <v>1741</v>
      </c>
      <c r="P735" t="s">
        <v>1740</v>
      </c>
      <c r="Q735" t="s">
        <v>1739</v>
      </c>
      <c r="R735" s="7">
        <v>32143</v>
      </c>
      <c r="S735" s="8">
        <f t="shared" si="96"/>
        <v>1988</v>
      </c>
      <c r="T735" s="8">
        <v>1988</v>
      </c>
      <c r="U735" s="8">
        <f t="shared" si="97"/>
        <v>34</v>
      </c>
      <c r="V735" s="7">
        <v>1988</v>
      </c>
      <c r="W735" t="s">
        <v>644</v>
      </c>
      <c r="X735" s="2">
        <v>0.89600000000000002</v>
      </c>
      <c r="Y735" s="6">
        <f t="shared" si="94"/>
        <v>2.3918208269934065E-2</v>
      </c>
      <c r="AA735">
        <v>2656736</v>
      </c>
      <c r="AB735">
        <v>29901</v>
      </c>
      <c r="AD735" t="s">
        <v>4</v>
      </c>
      <c r="AE735">
        <v>4</v>
      </c>
      <c r="AF735">
        <v>4</v>
      </c>
      <c r="AH735" t="s">
        <v>1738</v>
      </c>
      <c r="AI735" t="s">
        <v>1737</v>
      </c>
      <c r="AJ735" t="s">
        <v>1736</v>
      </c>
      <c r="AK735" t="s">
        <v>1735</v>
      </c>
      <c r="AL735">
        <v>4</v>
      </c>
      <c r="AM735" s="5">
        <f t="shared" si="98"/>
        <v>0.11764705882352941</v>
      </c>
      <c r="AN735" s="4">
        <f t="shared" si="95"/>
        <v>1.7818562487471323E-4</v>
      </c>
      <c r="AO735" s="3"/>
      <c r="AP735">
        <v>0</v>
      </c>
      <c r="AQ735" t="s">
        <v>1734</v>
      </c>
      <c r="AR735" t="s">
        <v>0</v>
      </c>
      <c r="AS735" t="s">
        <v>1733</v>
      </c>
      <c r="AT735" s="2">
        <v>3.9140000000000001</v>
      </c>
      <c r="AU735" s="1">
        <f t="shared" si="99"/>
        <v>1.6796201476416257</v>
      </c>
      <c r="AV735" s="1">
        <f t="shared" si="100"/>
        <v>1.2048196947404388</v>
      </c>
      <c r="AW735" s="1">
        <f t="shared" si="101"/>
        <v>0.73001924183925182</v>
      </c>
    </row>
    <row r="736" spans="1:49" x14ac:dyDescent="0.2">
      <c r="A736">
        <v>734</v>
      </c>
      <c r="B736" t="s">
        <v>1732</v>
      </c>
      <c r="C736" t="s">
        <v>1731</v>
      </c>
      <c r="D736" t="s">
        <v>1730</v>
      </c>
      <c r="E736">
        <v>3398730</v>
      </c>
      <c r="F736" t="s">
        <v>1729</v>
      </c>
      <c r="G736" t="s">
        <v>15</v>
      </c>
      <c r="H736" t="s">
        <v>14</v>
      </c>
      <c r="I736" t="s">
        <v>1728</v>
      </c>
      <c r="J736">
        <v>60018783</v>
      </c>
      <c r="K736" t="s">
        <v>1727</v>
      </c>
      <c r="L736" t="s">
        <v>1726</v>
      </c>
      <c r="M736" t="s">
        <v>1725</v>
      </c>
      <c r="N736">
        <v>3</v>
      </c>
      <c r="O736" t="s">
        <v>1724</v>
      </c>
      <c r="P736" t="s">
        <v>1723</v>
      </c>
      <c r="Q736" t="s">
        <v>1722</v>
      </c>
      <c r="R736" s="7">
        <v>32143</v>
      </c>
      <c r="S736" s="8">
        <f t="shared" si="96"/>
        <v>1988</v>
      </c>
      <c r="T736" s="8">
        <v>1988</v>
      </c>
      <c r="U736" s="8">
        <f t="shared" si="97"/>
        <v>34</v>
      </c>
      <c r="V736" s="7" t="s">
        <v>1721</v>
      </c>
      <c r="W736" t="s">
        <v>1720</v>
      </c>
      <c r="X736" s="2">
        <v>0.72299999999999998</v>
      </c>
      <c r="Y736" s="6">
        <f t="shared" si="94"/>
        <v>1.9300072074957958E-2</v>
      </c>
      <c r="AA736" t="s">
        <v>1719</v>
      </c>
      <c r="AB736">
        <v>17264</v>
      </c>
      <c r="AD736" t="s">
        <v>4</v>
      </c>
      <c r="AE736">
        <v>6</v>
      </c>
      <c r="AF736">
        <v>3</v>
      </c>
      <c r="AH736" t="s">
        <v>1718</v>
      </c>
      <c r="AI736" t="s">
        <v>1717</v>
      </c>
      <c r="AJ736" t="s">
        <v>1716</v>
      </c>
      <c r="AK736" t="s">
        <v>1715</v>
      </c>
      <c r="AL736">
        <v>3</v>
      </c>
      <c r="AM736" s="5">
        <f t="shared" si="98"/>
        <v>8.8235294117647065E-2</v>
      </c>
      <c r="AN736" s="4">
        <f t="shared" si="95"/>
        <v>1.3363921865603494E-4</v>
      </c>
      <c r="AO736" s="3"/>
      <c r="AP736">
        <v>0</v>
      </c>
      <c r="AR736" t="s">
        <v>0</v>
      </c>
      <c r="AT736" s="2">
        <v>2.5459999999999998</v>
      </c>
      <c r="AU736" s="1">
        <f t="shared" si="99"/>
        <v>1.355014221806738</v>
      </c>
      <c r="AV736" s="1">
        <f t="shared" si="100"/>
        <v>0.97168556468069966</v>
      </c>
      <c r="AW736" s="1">
        <f t="shared" si="101"/>
        <v>0.58835690755466119</v>
      </c>
    </row>
    <row r="737" spans="1:49" x14ac:dyDescent="0.2">
      <c r="A737">
        <v>735</v>
      </c>
      <c r="B737" t="s">
        <v>1714</v>
      </c>
      <c r="C737" t="s">
        <v>1713</v>
      </c>
      <c r="E737">
        <v>3362068</v>
      </c>
      <c r="F737" t="s">
        <v>1712</v>
      </c>
      <c r="G737" t="s">
        <v>15</v>
      </c>
      <c r="H737" t="s">
        <v>14</v>
      </c>
      <c r="I737" t="s">
        <v>1711</v>
      </c>
      <c r="J737" t="s">
        <v>1710</v>
      </c>
      <c r="K737" t="s">
        <v>1709</v>
      </c>
      <c r="L737" t="s">
        <v>1708</v>
      </c>
      <c r="M737" t="s">
        <v>1707</v>
      </c>
      <c r="N737">
        <v>3</v>
      </c>
      <c r="O737" t="s">
        <v>1706</v>
      </c>
      <c r="P737" t="s">
        <v>1705</v>
      </c>
      <c r="Q737" t="s">
        <v>1704</v>
      </c>
      <c r="R737" s="7">
        <v>32143</v>
      </c>
      <c r="S737" s="8">
        <f t="shared" si="96"/>
        <v>1988</v>
      </c>
      <c r="T737" s="8">
        <v>1988</v>
      </c>
      <c r="U737" s="8">
        <f t="shared" si="97"/>
        <v>34</v>
      </c>
      <c r="V737" s="7">
        <v>32203</v>
      </c>
      <c r="W737" t="s">
        <v>1692</v>
      </c>
      <c r="X737" s="2">
        <v>1.696</v>
      </c>
      <c r="Y737" s="6">
        <f t="shared" si="94"/>
        <v>4.5273751368089483E-2</v>
      </c>
      <c r="AA737">
        <v>7403194</v>
      </c>
      <c r="AB737">
        <v>17267</v>
      </c>
      <c r="AC737">
        <v>15222594</v>
      </c>
      <c r="AD737" t="s">
        <v>4</v>
      </c>
      <c r="AE737">
        <v>6</v>
      </c>
      <c r="AF737">
        <v>3</v>
      </c>
      <c r="AH737" t="s">
        <v>1703</v>
      </c>
      <c r="AI737" t="s">
        <v>1702</v>
      </c>
      <c r="AK737" t="s">
        <v>1701</v>
      </c>
      <c r="AL737">
        <v>20</v>
      </c>
      <c r="AM737" s="5">
        <f t="shared" si="98"/>
        <v>0.58823529411764708</v>
      </c>
      <c r="AN737" s="4">
        <f t="shared" si="95"/>
        <v>8.9092812437356617E-4</v>
      </c>
      <c r="AO737" s="3"/>
      <c r="AP737">
        <v>0</v>
      </c>
      <c r="AR737" t="s">
        <v>0</v>
      </c>
      <c r="AT737" s="2">
        <v>4.6680000000000001</v>
      </c>
      <c r="AU737" s="1">
        <f t="shared" si="99"/>
        <v>3.1958904394974708</v>
      </c>
      <c r="AV737" s="1">
        <f t="shared" si="100"/>
        <v>2.3082339746231524</v>
      </c>
      <c r="AW737" s="1">
        <f t="shared" si="101"/>
        <v>1.420577509748834</v>
      </c>
    </row>
    <row r="738" spans="1:49" x14ac:dyDescent="0.2">
      <c r="A738">
        <v>736</v>
      </c>
      <c r="B738" t="s">
        <v>1700</v>
      </c>
      <c r="C738" t="s">
        <v>1699</v>
      </c>
      <c r="E738">
        <v>3362059</v>
      </c>
      <c r="F738" t="s">
        <v>1698</v>
      </c>
      <c r="G738" t="s">
        <v>15</v>
      </c>
      <c r="H738" t="s">
        <v>14</v>
      </c>
      <c r="I738" t="s">
        <v>1697</v>
      </c>
      <c r="J738">
        <v>60015331</v>
      </c>
      <c r="K738" t="s">
        <v>1696</v>
      </c>
      <c r="L738" t="s">
        <v>1695</v>
      </c>
      <c r="M738" t="s">
        <v>1694</v>
      </c>
      <c r="N738">
        <v>1</v>
      </c>
      <c r="O738" t="s">
        <v>1693</v>
      </c>
      <c r="P738">
        <v>57214980519</v>
      </c>
      <c r="Q738">
        <v>60015331</v>
      </c>
      <c r="R738" s="7">
        <v>32143</v>
      </c>
      <c r="S738" s="8">
        <f t="shared" si="96"/>
        <v>1988</v>
      </c>
      <c r="T738" s="8">
        <v>1988</v>
      </c>
      <c r="U738" s="8">
        <f t="shared" si="97"/>
        <v>34</v>
      </c>
      <c r="V738" s="7">
        <v>32203</v>
      </c>
      <c r="W738" t="s">
        <v>1692</v>
      </c>
      <c r="X738" s="2">
        <v>1.696</v>
      </c>
      <c r="Y738" s="6">
        <f t="shared" si="94"/>
        <v>4.5273751368089483E-2</v>
      </c>
      <c r="AA738">
        <v>7403194</v>
      </c>
      <c r="AB738">
        <v>17267</v>
      </c>
      <c r="AC738">
        <v>15222594</v>
      </c>
      <c r="AD738" t="s">
        <v>4</v>
      </c>
      <c r="AE738">
        <v>6</v>
      </c>
      <c r="AF738">
        <v>3</v>
      </c>
      <c r="AH738" t="s">
        <v>1691</v>
      </c>
      <c r="AI738" t="s">
        <v>1690</v>
      </c>
      <c r="AK738" t="s">
        <v>1689</v>
      </c>
      <c r="AL738">
        <v>0</v>
      </c>
      <c r="AM738" s="5">
        <f t="shared" si="98"/>
        <v>0</v>
      </c>
      <c r="AN738" s="4">
        <f t="shared" si="95"/>
        <v>0</v>
      </c>
      <c r="AO738" s="3"/>
      <c r="AP738">
        <v>0</v>
      </c>
      <c r="AR738" t="s">
        <v>0</v>
      </c>
      <c r="AT738" s="2">
        <v>4.6680000000000001</v>
      </c>
      <c r="AU738" s="1">
        <f t="shared" si="99"/>
        <v>3.1691625957662639</v>
      </c>
      <c r="AV738" s="1">
        <f t="shared" si="100"/>
        <v>2.2636875684044742</v>
      </c>
      <c r="AW738" s="1">
        <f t="shared" si="101"/>
        <v>1.3582125410426844</v>
      </c>
    </row>
    <row r="739" spans="1:49" x14ac:dyDescent="0.2">
      <c r="A739">
        <v>737</v>
      </c>
      <c r="B739" t="s">
        <v>1688</v>
      </c>
      <c r="C739" t="s">
        <v>1687</v>
      </c>
      <c r="D739" t="s">
        <v>1686</v>
      </c>
      <c r="E739">
        <v>3353520</v>
      </c>
      <c r="F739" t="s">
        <v>1685</v>
      </c>
      <c r="G739" t="s">
        <v>15</v>
      </c>
      <c r="H739" t="s">
        <v>14</v>
      </c>
      <c r="I739" t="s">
        <v>1443</v>
      </c>
      <c r="J739" t="s">
        <v>1684</v>
      </c>
      <c r="K739" t="s">
        <v>1683</v>
      </c>
      <c r="L739" t="s">
        <v>1682</v>
      </c>
      <c r="M739" t="s">
        <v>1681</v>
      </c>
      <c r="N739">
        <v>10</v>
      </c>
      <c r="O739" t="s">
        <v>1680</v>
      </c>
      <c r="P739" t="s">
        <v>1679</v>
      </c>
      <c r="Q739" t="s">
        <v>1678</v>
      </c>
      <c r="R739" s="7">
        <v>32143</v>
      </c>
      <c r="S739" s="8">
        <f t="shared" si="96"/>
        <v>1988</v>
      </c>
      <c r="T739" s="8">
        <v>1988</v>
      </c>
      <c r="U739" s="8">
        <f t="shared" si="97"/>
        <v>34</v>
      </c>
      <c r="V739" s="7">
        <v>32174</v>
      </c>
      <c r="W739" t="s">
        <v>1677</v>
      </c>
      <c r="X739" s="2">
        <v>1.8919999999999999</v>
      </c>
      <c r="Y739" s="6">
        <f t="shared" si="94"/>
        <v>5.0505859427137555E-2</v>
      </c>
      <c r="AA739">
        <v>1678140</v>
      </c>
      <c r="AB739">
        <v>17876</v>
      </c>
      <c r="AD739" t="s">
        <v>4</v>
      </c>
      <c r="AE739">
        <v>11</v>
      </c>
      <c r="AF739">
        <v>2</v>
      </c>
      <c r="AH739" t="s">
        <v>1676</v>
      </c>
      <c r="AI739" t="s">
        <v>1675</v>
      </c>
      <c r="AJ739" t="s">
        <v>1674</v>
      </c>
      <c r="AK739" t="s">
        <v>1673</v>
      </c>
      <c r="AL739">
        <v>1</v>
      </c>
      <c r="AM739" s="5">
        <f t="shared" si="98"/>
        <v>2.9411764705882353E-2</v>
      </c>
      <c r="AN739" s="4">
        <f t="shared" si="95"/>
        <v>4.4546406218678307E-5</v>
      </c>
      <c r="AO739" s="3"/>
      <c r="AP739">
        <v>0</v>
      </c>
      <c r="AR739" t="s">
        <v>0</v>
      </c>
      <c r="AT739" s="2">
        <v>6.28</v>
      </c>
      <c r="AU739" s="1">
        <f t="shared" si="99"/>
        <v>3.5367465520861887</v>
      </c>
      <c r="AV739" s="1">
        <f t="shared" si="100"/>
        <v>2.5275202916678117</v>
      </c>
      <c r="AW739" s="1">
        <f t="shared" si="101"/>
        <v>1.518294031249434</v>
      </c>
    </row>
    <row r="740" spans="1:49" x14ac:dyDescent="0.2">
      <c r="A740">
        <v>738</v>
      </c>
      <c r="B740" t="s">
        <v>1672</v>
      </c>
      <c r="E740">
        <v>3257508</v>
      </c>
      <c r="F740" t="s">
        <v>1671</v>
      </c>
      <c r="G740" t="s">
        <v>15</v>
      </c>
      <c r="H740" t="s">
        <v>14</v>
      </c>
      <c r="I740" t="s">
        <v>1670</v>
      </c>
      <c r="J740">
        <v>60016908</v>
      </c>
      <c r="K740" t="s">
        <v>1669</v>
      </c>
      <c r="L740" t="s">
        <v>1668</v>
      </c>
      <c r="M740" t="s">
        <v>45</v>
      </c>
      <c r="N740">
        <v>4</v>
      </c>
      <c r="O740" t="s">
        <v>1667</v>
      </c>
      <c r="P740" t="s">
        <v>1666</v>
      </c>
      <c r="Q740" t="s">
        <v>1665</v>
      </c>
      <c r="R740" s="7">
        <v>32143</v>
      </c>
      <c r="S740" s="8">
        <f t="shared" si="96"/>
        <v>1988</v>
      </c>
      <c r="T740" s="8">
        <v>1988</v>
      </c>
      <c r="U740" s="8">
        <f t="shared" si="97"/>
        <v>34</v>
      </c>
      <c r="V740" s="7">
        <v>1988</v>
      </c>
      <c r="W740" t="s">
        <v>1664</v>
      </c>
      <c r="X740" s="2">
        <v>2.7370000000000001</v>
      </c>
      <c r="Y740" s="6">
        <f t="shared" si="94"/>
        <v>7.3062651824564215E-2</v>
      </c>
      <c r="AA740">
        <v>221767</v>
      </c>
      <c r="AB740">
        <v>21275</v>
      </c>
      <c r="AD740" t="s">
        <v>4</v>
      </c>
      <c r="AE740">
        <v>140</v>
      </c>
      <c r="AF740">
        <v>3</v>
      </c>
      <c r="AH740" t="s">
        <v>1663</v>
      </c>
      <c r="AI740" t="s">
        <v>1662</v>
      </c>
      <c r="AK740" t="s">
        <v>1661</v>
      </c>
      <c r="AL740">
        <v>93</v>
      </c>
      <c r="AM740" s="5">
        <f t="shared" si="98"/>
        <v>2.7352941176470589</v>
      </c>
      <c r="AN740" s="4">
        <f t="shared" si="95"/>
        <v>4.1428157783370825E-3</v>
      </c>
      <c r="AO740" s="3"/>
      <c r="AP740">
        <v>0</v>
      </c>
      <c r="AR740" t="s">
        <v>0</v>
      </c>
      <c r="AT740" s="2">
        <v>5.4219999999999997</v>
      </c>
      <c r="AU740" s="1">
        <f t="shared" si="99"/>
        <v>5.2386701010696077</v>
      </c>
      <c r="AV740" s="1">
        <f t="shared" si="100"/>
        <v>3.860273380145065</v>
      </c>
      <c r="AW740" s="1">
        <f t="shared" si="101"/>
        <v>2.4818766592205224</v>
      </c>
    </row>
    <row r="741" spans="1:49" x14ac:dyDescent="0.2">
      <c r="A741">
        <v>739</v>
      </c>
      <c r="B741" t="s">
        <v>1660</v>
      </c>
      <c r="F741" t="s">
        <v>1659</v>
      </c>
      <c r="G741" t="s">
        <v>15</v>
      </c>
      <c r="H741" t="s">
        <v>14</v>
      </c>
      <c r="I741" t="s">
        <v>1658</v>
      </c>
      <c r="J741">
        <v>60006448</v>
      </c>
      <c r="K741" t="s">
        <v>1657</v>
      </c>
      <c r="L741" t="s">
        <v>1656</v>
      </c>
      <c r="M741" t="s">
        <v>1655</v>
      </c>
      <c r="N741">
        <v>1</v>
      </c>
      <c r="O741" t="s">
        <v>1654</v>
      </c>
      <c r="P741">
        <v>6603932305</v>
      </c>
      <c r="Q741">
        <v>60006448</v>
      </c>
      <c r="R741" s="7">
        <v>32143</v>
      </c>
      <c r="S741" s="8">
        <f t="shared" si="96"/>
        <v>1988</v>
      </c>
      <c r="T741" s="8">
        <v>1988</v>
      </c>
      <c r="U741" s="8">
        <f t="shared" si="97"/>
        <v>34</v>
      </c>
      <c r="V741" s="7">
        <v>32143</v>
      </c>
      <c r="W741" t="s">
        <v>1653</v>
      </c>
      <c r="X741" s="2" t="s">
        <v>19</v>
      </c>
      <c r="Y741" s="6" t="e">
        <f t="shared" si="94"/>
        <v>#VALUE!</v>
      </c>
      <c r="AA741">
        <v>17884</v>
      </c>
      <c r="AB741">
        <v>110306</v>
      </c>
      <c r="AD741" t="s">
        <v>4</v>
      </c>
      <c r="AE741">
        <v>65</v>
      </c>
      <c r="AF741">
        <v>2</v>
      </c>
      <c r="AH741" t="s">
        <v>1652</v>
      </c>
      <c r="AI741" t="s">
        <v>1651</v>
      </c>
      <c r="AK741" t="s">
        <v>1650</v>
      </c>
      <c r="AL741">
        <v>0</v>
      </c>
      <c r="AM741" s="5">
        <f t="shared" si="98"/>
        <v>0</v>
      </c>
      <c r="AN741" s="4">
        <f t="shared" si="95"/>
        <v>0</v>
      </c>
      <c r="AO741" s="3"/>
      <c r="AP741">
        <v>0</v>
      </c>
      <c r="AR741" t="s">
        <v>0</v>
      </c>
      <c r="AT741" s="2" t="s">
        <v>19</v>
      </c>
      <c r="AU741" s="1" t="e">
        <f t="shared" si="99"/>
        <v>#VALUE!</v>
      </c>
      <c r="AV741" s="1" t="e">
        <f t="shared" si="100"/>
        <v>#VALUE!</v>
      </c>
      <c r="AW741" s="1" t="e">
        <f t="shared" si="101"/>
        <v>#VALUE!</v>
      </c>
    </row>
    <row r="742" spans="1:49" x14ac:dyDescent="0.2">
      <c r="A742">
        <v>740</v>
      </c>
      <c r="B742" t="s">
        <v>1649</v>
      </c>
      <c r="C742" t="s">
        <v>1648</v>
      </c>
      <c r="F742" t="s">
        <v>1647</v>
      </c>
      <c r="G742" t="s">
        <v>15</v>
      </c>
      <c r="H742" t="s">
        <v>14</v>
      </c>
      <c r="I742" t="s">
        <v>1646</v>
      </c>
      <c r="J742" t="s">
        <v>1645</v>
      </c>
      <c r="K742" t="s">
        <v>1644</v>
      </c>
      <c r="L742" t="s">
        <v>1643</v>
      </c>
      <c r="M742" t="s">
        <v>9</v>
      </c>
      <c r="N742">
        <v>2</v>
      </c>
      <c r="O742" t="s">
        <v>1642</v>
      </c>
      <c r="P742" t="s">
        <v>1641</v>
      </c>
      <c r="Q742" t="s">
        <v>1640</v>
      </c>
      <c r="R742" s="7">
        <v>32143</v>
      </c>
      <c r="S742" s="8">
        <f t="shared" si="96"/>
        <v>1988</v>
      </c>
      <c r="T742" s="8">
        <v>1988</v>
      </c>
      <c r="U742" s="8">
        <f t="shared" si="97"/>
        <v>34</v>
      </c>
      <c r="V742" s="7">
        <v>32143</v>
      </c>
      <c r="W742" t="s">
        <v>69</v>
      </c>
      <c r="X742" s="2">
        <v>1.6519999999999999</v>
      </c>
      <c r="Y742" s="6">
        <f t="shared" si="94"/>
        <v>4.409919649769093E-2</v>
      </c>
      <c r="AA742" t="s">
        <v>68</v>
      </c>
      <c r="AB742">
        <v>17337</v>
      </c>
      <c r="AC742">
        <v>15582221</v>
      </c>
      <c r="AD742" t="s">
        <v>4</v>
      </c>
      <c r="AE742">
        <v>36</v>
      </c>
      <c r="AF742">
        <v>1</v>
      </c>
      <c r="AH742" t="s">
        <v>1639</v>
      </c>
      <c r="AI742" t="s">
        <v>1638</v>
      </c>
      <c r="AK742" t="s">
        <v>1637</v>
      </c>
      <c r="AL742">
        <v>34</v>
      </c>
      <c r="AM742" s="5">
        <f t="shared" si="98"/>
        <v>1</v>
      </c>
      <c r="AN742" s="4">
        <f t="shared" si="95"/>
        <v>1.5145778114350624E-3</v>
      </c>
      <c r="AO742" s="3"/>
      <c r="AP742">
        <v>0</v>
      </c>
      <c r="AQ742" t="s">
        <v>1636</v>
      </c>
      <c r="AR742" t="s">
        <v>1635</v>
      </c>
      <c r="AS742" t="s">
        <v>1634</v>
      </c>
      <c r="AT742" s="2" t="s">
        <v>19</v>
      </c>
      <c r="AU742" s="1">
        <f t="shared" si="99"/>
        <v>3.132381089181417</v>
      </c>
      <c r="AV742" s="1">
        <f t="shared" si="100"/>
        <v>2.2806887154562996</v>
      </c>
      <c r="AW742" s="1">
        <f t="shared" si="101"/>
        <v>1.4289963417311822</v>
      </c>
    </row>
    <row r="743" spans="1:49" x14ac:dyDescent="0.2">
      <c r="A743">
        <v>741</v>
      </c>
      <c r="B743" t="s">
        <v>1633</v>
      </c>
      <c r="C743" t="s">
        <v>1632</v>
      </c>
      <c r="E743">
        <v>3339412</v>
      </c>
      <c r="F743" t="s">
        <v>1631</v>
      </c>
      <c r="G743" t="s">
        <v>15</v>
      </c>
      <c r="H743" t="s">
        <v>14</v>
      </c>
      <c r="I743" t="s">
        <v>1473</v>
      </c>
      <c r="J743">
        <v>60030162</v>
      </c>
      <c r="K743" t="s">
        <v>1472</v>
      </c>
      <c r="L743" t="s">
        <v>1471</v>
      </c>
      <c r="M743" t="s">
        <v>31</v>
      </c>
      <c r="N743">
        <v>4</v>
      </c>
      <c r="O743" t="s">
        <v>1470</v>
      </c>
      <c r="P743" t="s">
        <v>1469</v>
      </c>
      <c r="Q743" t="s">
        <v>1468</v>
      </c>
      <c r="R743" s="7">
        <v>32143</v>
      </c>
      <c r="S743" s="8">
        <f t="shared" si="96"/>
        <v>1988</v>
      </c>
      <c r="T743" s="8">
        <v>1988</v>
      </c>
      <c r="U743" s="8">
        <f t="shared" si="97"/>
        <v>34</v>
      </c>
      <c r="V743" s="7">
        <v>1988</v>
      </c>
      <c r="W743" t="s">
        <v>1467</v>
      </c>
      <c r="X743" s="2">
        <v>3.4830000000000001</v>
      </c>
      <c r="Y743" s="6">
        <f t="shared" si="94"/>
        <v>9.2976695763594144E-2</v>
      </c>
      <c r="AA743">
        <v>2706474</v>
      </c>
      <c r="AB743">
        <v>16764</v>
      </c>
      <c r="AD743" t="s">
        <v>4</v>
      </c>
      <c r="AE743">
        <v>8</v>
      </c>
      <c r="AF743">
        <v>1</v>
      </c>
      <c r="AH743" t="s">
        <v>1630</v>
      </c>
      <c r="AI743" t="s">
        <v>1629</v>
      </c>
      <c r="AK743" t="s">
        <v>1628</v>
      </c>
      <c r="AL743">
        <v>14</v>
      </c>
      <c r="AM743" s="5">
        <f t="shared" si="98"/>
        <v>0.41176470588235292</v>
      </c>
      <c r="AN743" s="4">
        <f t="shared" si="95"/>
        <v>6.2364968706149634E-4</v>
      </c>
      <c r="AO743" s="3"/>
      <c r="AP743">
        <v>1</v>
      </c>
      <c r="AQ743" t="s">
        <v>1463</v>
      </c>
      <c r="AR743" t="s">
        <v>1462</v>
      </c>
      <c r="AS743" t="s">
        <v>1461</v>
      </c>
      <c r="AT743" s="2">
        <v>6.1669999999999998</v>
      </c>
      <c r="AU743" s="1">
        <f t="shared" si="99"/>
        <v>6.5270781940634333</v>
      </c>
      <c r="AV743" s="1">
        <f t="shared" si="100"/>
        <v>4.6800172725327815</v>
      </c>
      <c r="AW743" s="1">
        <f t="shared" si="101"/>
        <v>2.8329563510021289</v>
      </c>
    </row>
    <row r="744" spans="1:49" x14ac:dyDescent="0.2">
      <c r="A744">
        <v>742</v>
      </c>
      <c r="B744" t="s">
        <v>1627</v>
      </c>
      <c r="C744" t="s">
        <v>1626</v>
      </c>
      <c r="F744" t="s">
        <v>1625</v>
      </c>
      <c r="G744" t="s">
        <v>15</v>
      </c>
      <c r="H744" t="s">
        <v>14</v>
      </c>
      <c r="I744" t="s">
        <v>61</v>
      </c>
      <c r="J744">
        <v>60013141</v>
      </c>
      <c r="K744" t="s">
        <v>60</v>
      </c>
      <c r="L744" t="s">
        <v>59</v>
      </c>
      <c r="M744" t="s">
        <v>58</v>
      </c>
      <c r="N744">
        <v>2</v>
      </c>
      <c r="O744" t="s">
        <v>1624</v>
      </c>
      <c r="P744" t="s">
        <v>1623</v>
      </c>
      <c r="Q744" t="s">
        <v>1622</v>
      </c>
      <c r="R744" s="7">
        <v>32143</v>
      </c>
      <c r="S744" s="8">
        <f t="shared" si="96"/>
        <v>1988</v>
      </c>
      <c r="T744" s="8">
        <v>1988</v>
      </c>
      <c r="U744" s="8">
        <f t="shared" si="97"/>
        <v>34</v>
      </c>
      <c r="V744" s="7">
        <v>1988</v>
      </c>
      <c r="W744" t="s">
        <v>56</v>
      </c>
      <c r="X744" s="2">
        <v>0.375</v>
      </c>
      <c r="Y744" s="6">
        <f t="shared" si="94"/>
        <v>1.0010410827260351E-2</v>
      </c>
      <c r="AA744">
        <v>135194</v>
      </c>
      <c r="AB744">
        <v>24918</v>
      </c>
      <c r="AD744" t="s">
        <v>4</v>
      </c>
      <c r="AE744">
        <v>24</v>
      </c>
      <c r="AF744">
        <v>2</v>
      </c>
      <c r="AH744" t="s">
        <v>1621</v>
      </c>
      <c r="AI744" t="s">
        <v>1620</v>
      </c>
      <c r="AJ744" t="s">
        <v>1619</v>
      </c>
      <c r="AK744" t="s">
        <v>1618</v>
      </c>
      <c r="AL744">
        <v>2</v>
      </c>
      <c r="AM744" s="5">
        <f t="shared" si="98"/>
        <v>5.8823529411764705E-2</v>
      </c>
      <c r="AN744" s="4">
        <f t="shared" si="95"/>
        <v>8.9092812437356614E-5</v>
      </c>
      <c r="AO744" s="3"/>
      <c r="AP744">
        <v>0</v>
      </c>
      <c r="AR744" t="s">
        <v>0</v>
      </c>
      <c r="AT744" s="2">
        <v>1.3140000000000001</v>
      </c>
      <c r="AU744" s="1">
        <f t="shared" si="99"/>
        <v>0.70340154228134533</v>
      </c>
      <c r="AV744" s="1">
        <f t="shared" si="100"/>
        <v>0.50497518198488534</v>
      </c>
      <c r="AW744" s="1">
        <f t="shared" si="101"/>
        <v>0.30654882168842545</v>
      </c>
    </row>
    <row r="745" spans="1:49" x14ac:dyDescent="0.2">
      <c r="A745">
        <v>743</v>
      </c>
      <c r="B745" t="s">
        <v>1617</v>
      </c>
      <c r="C745" t="s">
        <v>1616</v>
      </c>
      <c r="F745" t="s">
        <v>1615</v>
      </c>
      <c r="G745" t="s">
        <v>15</v>
      </c>
      <c r="H745" t="s">
        <v>14</v>
      </c>
      <c r="I745" t="s">
        <v>1614</v>
      </c>
      <c r="J745">
        <v>60031701</v>
      </c>
      <c r="K745" t="s">
        <v>1613</v>
      </c>
      <c r="L745" t="s">
        <v>1612</v>
      </c>
      <c r="M745" t="s">
        <v>211</v>
      </c>
      <c r="N745">
        <v>2</v>
      </c>
      <c r="O745" t="s">
        <v>1611</v>
      </c>
      <c r="P745" t="s">
        <v>1610</v>
      </c>
      <c r="Q745" t="s">
        <v>1609</v>
      </c>
      <c r="R745" s="7">
        <v>32143</v>
      </c>
      <c r="S745" s="8">
        <f t="shared" si="96"/>
        <v>1988</v>
      </c>
      <c r="T745" s="8">
        <v>1988</v>
      </c>
      <c r="U745" s="8">
        <f t="shared" si="97"/>
        <v>34</v>
      </c>
      <c r="V745" s="7">
        <v>1988</v>
      </c>
      <c r="W745" t="s">
        <v>56</v>
      </c>
      <c r="X745" s="2">
        <v>0.375</v>
      </c>
      <c r="Y745" s="6">
        <f t="shared" si="94"/>
        <v>1.0010410827260351E-2</v>
      </c>
      <c r="AA745">
        <v>135194</v>
      </c>
      <c r="AB745">
        <v>24918</v>
      </c>
      <c r="AD745" t="s">
        <v>4</v>
      </c>
      <c r="AE745">
        <v>24</v>
      </c>
      <c r="AF745">
        <v>2</v>
      </c>
      <c r="AH745" t="s">
        <v>1608</v>
      </c>
      <c r="AI745" t="s">
        <v>1607</v>
      </c>
      <c r="AJ745" t="s">
        <v>1606</v>
      </c>
      <c r="AK745" t="s">
        <v>1605</v>
      </c>
      <c r="AL745">
        <v>0</v>
      </c>
      <c r="AM745" s="5">
        <f t="shared" si="98"/>
        <v>0</v>
      </c>
      <c r="AN745" s="4">
        <f t="shared" si="95"/>
        <v>0</v>
      </c>
      <c r="AO745" s="3"/>
      <c r="AP745">
        <v>0</v>
      </c>
      <c r="AR745" t="s">
        <v>0</v>
      </c>
      <c r="AT745" s="2">
        <v>1.3140000000000001</v>
      </c>
      <c r="AU745" s="1">
        <f t="shared" si="99"/>
        <v>0.70072875790822453</v>
      </c>
      <c r="AV745" s="1">
        <f t="shared" si="100"/>
        <v>0.5005205413630176</v>
      </c>
      <c r="AW745" s="1">
        <f t="shared" si="101"/>
        <v>0.30031232481781051</v>
      </c>
    </row>
    <row r="746" spans="1:49" x14ac:dyDescent="0.2">
      <c r="A746">
        <v>744</v>
      </c>
      <c r="B746" t="s">
        <v>1604</v>
      </c>
      <c r="F746" t="s">
        <v>1603</v>
      </c>
      <c r="G746" t="s">
        <v>15</v>
      </c>
      <c r="H746" t="s">
        <v>14</v>
      </c>
      <c r="I746" t="s">
        <v>1602</v>
      </c>
      <c r="J746">
        <v>100661864</v>
      </c>
      <c r="K746" t="s">
        <v>1601</v>
      </c>
      <c r="L746" t="s">
        <v>1600</v>
      </c>
      <c r="M746" t="s">
        <v>1011</v>
      </c>
      <c r="N746">
        <v>1</v>
      </c>
      <c r="O746" t="s">
        <v>1599</v>
      </c>
      <c r="P746">
        <v>6507219996</v>
      </c>
      <c r="Q746">
        <v>100661864</v>
      </c>
      <c r="R746" s="7">
        <v>32143</v>
      </c>
      <c r="S746" s="8">
        <f t="shared" si="96"/>
        <v>1988</v>
      </c>
      <c r="T746" s="8">
        <v>1988</v>
      </c>
      <c r="U746" s="8">
        <f t="shared" si="97"/>
        <v>34</v>
      </c>
      <c r="V746" s="7">
        <v>32143</v>
      </c>
      <c r="W746" t="s">
        <v>1598</v>
      </c>
      <c r="X746" s="2" t="s">
        <v>19</v>
      </c>
      <c r="Y746" s="6" t="e">
        <f t="shared" si="94"/>
        <v>#VALUE!</v>
      </c>
      <c r="AA746">
        <v>2663244</v>
      </c>
      <c r="AB746">
        <v>35055</v>
      </c>
      <c r="AD746" t="s">
        <v>4</v>
      </c>
      <c r="AE746">
        <v>94</v>
      </c>
      <c r="AF746">
        <v>1623</v>
      </c>
      <c r="AH746" s="9">
        <v>44540</v>
      </c>
      <c r="AI746" t="s">
        <v>1597</v>
      </c>
      <c r="AK746" t="s">
        <v>1596</v>
      </c>
      <c r="AL746">
        <v>0</v>
      </c>
      <c r="AM746" s="5">
        <f t="shared" si="98"/>
        <v>0</v>
      </c>
      <c r="AN746" s="4">
        <f t="shared" si="95"/>
        <v>0</v>
      </c>
      <c r="AO746" s="3"/>
      <c r="AP746">
        <v>0</v>
      </c>
      <c r="AR746" t="s">
        <v>0</v>
      </c>
      <c r="AT746" s="2" t="s">
        <v>19</v>
      </c>
      <c r="AU746" s="1" t="e">
        <f t="shared" si="99"/>
        <v>#VALUE!</v>
      </c>
      <c r="AV746" s="1" t="e">
        <f t="shared" si="100"/>
        <v>#VALUE!</v>
      </c>
      <c r="AW746" s="1" t="e">
        <f t="shared" si="101"/>
        <v>#VALUE!</v>
      </c>
    </row>
    <row r="747" spans="1:49" x14ac:dyDescent="0.2">
      <c r="A747">
        <v>745</v>
      </c>
      <c r="B747" t="s">
        <v>1595</v>
      </c>
      <c r="C747" t="s">
        <v>1594</v>
      </c>
      <c r="F747" t="s">
        <v>1593</v>
      </c>
      <c r="G747" t="s">
        <v>15</v>
      </c>
      <c r="H747" t="s">
        <v>14</v>
      </c>
      <c r="I747" t="s">
        <v>1592</v>
      </c>
      <c r="J747">
        <v>60003480</v>
      </c>
      <c r="K747" t="s">
        <v>1591</v>
      </c>
      <c r="L747" t="s">
        <v>1590</v>
      </c>
      <c r="M747" t="s">
        <v>1088</v>
      </c>
      <c r="N747">
        <v>1</v>
      </c>
      <c r="O747" t="s">
        <v>1589</v>
      </c>
      <c r="P747">
        <v>6603911266</v>
      </c>
      <c r="Q747">
        <v>60003480</v>
      </c>
      <c r="R747" s="7">
        <v>32143</v>
      </c>
      <c r="S747" s="8">
        <f t="shared" si="96"/>
        <v>1988</v>
      </c>
      <c r="T747" s="8">
        <v>1988</v>
      </c>
      <c r="U747" s="8">
        <f t="shared" si="97"/>
        <v>34</v>
      </c>
      <c r="V747" s="7">
        <v>32143</v>
      </c>
      <c r="W747" t="s">
        <v>69</v>
      </c>
      <c r="X747" s="2">
        <v>1.6519999999999999</v>
      </c>
      <c r="Y747" s="6">
        <f t="shared" si="94"/>
        <v>4.409919649769093E-2</v>
      </c>
      <c r="AA747" t="s">
        <v>68</v>
      </c>
      <c r="AB747">
        <v>17337</v>
      </c>
      <c r="AC747">
        <v>15582221</v>
      </c>
      <c r="AD747" t="s">
        <v>4</v>
      </c>
      <c r="AE747">
        <v>36</v>
      </c>
      <c r="AF747">
        <v>1</v>
      </c>
      <c r="AH747" t="s">
        <v>1588</v>
      </c>
      <c r="AI747" t="s">
        <v>1587</v>
      </c>
      <c r="AK747" t="s">
        <v>1586</v>
      </c>
      <c r="AL747">
        <v>5</v>
      </c>
      <c r="AM747" s="5">
        <f t="shared" si="98"/>
        <v>0.14705882352941177</v>
      </c>
      <c r="AN747" s="4">
        <f t="shared" si="95"/>
        <v>2.2273203109339154E-4</v>
      </c>
      <c r="AO747" s="3"/>
      <c r="AP747">
        <v>0</v>
      </c>
      <c r="AR747" t="s">
        <v>0</v>
      </c>
      <c r="AT747" s="2" t="s">
        <v>19</v>
      </c>
      <c r="AU747" s="1">
        <f t="shared" si="99"/>
        <v>3.0936257157711666</v>
      </c>
      <c r="AV747" s="1">
        <f t="shared" si="100"/>
        <v>2.2160964264392158</v>
      </c>
      <c r="AW747" s="1">
        <f t="shared" si="101"/>
        <v>1.3385671371072652</v>
      </c>
    </row>
    <row r="748" spans="1:49" x14ac:dyDescent="0.2">
      <c r="A748">
        <v>746</v>
      </c>
      <c r="B748" t="s">
        <v>1585</v>
      </c>
      <c r="C748" t="s">
        <v>1584</v>
      </c>
      <c r="D748">
        <v>94576588901300</v>
      </c>
      <c r="F748" t="s">
        <v>1583</v>
      </c>
      <c r="G748" t="s">
        <v>15</v>
      </c>
      <c r="H748" t="s">
        <v>14</v>
      </c>
      <c r="I748" t="s">
        <v>1582</v>
      </c>
      <c r="J748">
        <v>60000854</v>
      </c>
      <c r="K748" t="s">
        <v>1581</v>
      </c>
      <c r="L748" t="s">
        <v>1580</v>
      </c>
      <c r="M748" t="s">
        <v>31</v>
      </c>
      <c r="N748">
        <v>3</v>
      </c>
      <c r="O748" t="s">
        <v>1579</v>
      </c>
      <c r="P748" t="s">
        <v>1578</v>
      </c>
      <c r="Q748" t="s">
        <v>1577</v>
      </c>
      <c r="R748" s="7">
        <v>32143</v>
      </c>
      <c r="S748" s="8">
        <f t="shared" si="96"/>
        <v>1988</v>
      </c>
      <c r="T748" s="8">
        <v>1988</v>
      </c>
      <c r="U748" s="8">
        <f t="shared" si="97"/>
        <v>34</v>
      </c>
      <c r="V748" s="7">
        <v>32143</v>
      </c>
      <c r="W748" t="s">
        <v>1047</v>
      </c>
      <c r="X748" s="2">
        <v>1.1339999999999999</v>
      </c>
      <c r="Y748" s="6">
        <f t="shared" si="94"/>
        <v>3.0271482341635299E-2</v>
      </c>
      <c r="AA748">
        <v>945765</v>
      </c>
      <c r="AB748">
        <v>12372</v>
      </c>
      <c r="AD748" t="s">
        <v>4</v>
      </c>
      <c r="AE748">
        <v>17</v>
      </c>
      <c r="AF748">
        <v>1</v>
      </c>
      <c r="AH748" t="s">
        <v>601</v>
      </c>
      <c r="AI748" t="s">
        <v>1576</v>
      </c>
      <c r="AK748" t="s">
        <v>1575</v>
      </c>
      <c r="AL748">
        <v>7</v>
      </c>
      <c r="AM748" s="5">
        <f t="shared" si="98"/>
        <v>0.20588235294117646</v>
      </c>
      <c r="AN748" s="4">
        <f t="shared" si="95"/>
        <v>3.1182484353074817E-4</v>
      </c>
      <c r="AO748" s="3"/>
      <c r="AP748">
        <v>0</v>
      </c>
      <c r="AR748" t="s">
        <v>0</v>
      </c>
      <c r="AT748" s="2">
        <v>2.4129999999999998</v>
      </c>
      <c r="AU748" s="1">
        <f t="shared" si="99"/>
        <v>2.1283585092203934</v>
      </c>
      <c r="AV748" s="1">
        <f t="shared" si="100"/>
        <v>1.5291653592583023</v>
      </c>
      <c r="AW748" s="1">
        <f t="shared" si="101"/>
        <v>0.92997220929621138</v>
      </c>
    </row>
    <row r="749" spans="1:49" x14ac:dyDescent="0.2">
      <c r="A749">
        <v>747</v>
      </c>
      <c r="B749" t="s">
        <v>1574</v>
      </c>
      <c r="C749" t="s">
        <v>1573</v>
      </c>
      <c r="F749" t="s">
        <v>1572</v>
      </c>
      <c r="G749" t="s">
        <v>15</v>
      </c>
      <c r="H749" t="s">
        <v>14</v>
      </c>
      <c r="I749" t="s">
        <v>1571</v>
      </c>
      <c r="J749">
        <v>60021378</v>
      </c>
      <c r="K749" t="s">
        <v>1253</v>
      </c>
      <c r="L749" t="s">
        <v>1252</v>
      </c>
      <c r="M749" t="s">
        <v>31</v>
      </c>
      <c r="N749">
        <v>2</v>
      </c>
      <c r="O749" t="s">
        <v>1570</v>
      </c>
      <c r="P749" t="s">
        <v>1569</v>
      </c>
      <c r="Q749" t="s">
        <v>1568</v>
      </c>
      <c r="R749" s="7">
        <v>32143</v>
      </c>
      <c r="S749" s="8">
        <f t="shared" si="96"/>
        <v>1988</v>
      </c>
      <c r="T749" s="8">
        <v>1988</v>
      </c>
      <c r="U749" s="8">
        <f t="shared" si="97"/>
        <v>34</v>
      </c>
      <c r="V749" s="7">
        <v>32143</v>
      </c>
      <c r="W749" t="s">
        <v>69</v>
      </c>
      <c r="X749" s="2">
        <v>1.6519999999999999</v>
      </c>
      <c r="Y749" s="6">
        <f t="shared" si="94"/>
        <v>4.409919649769093E-2</v>
      </c>
      <c r="AA749" t="s">
        <v>68</v>
      </c>
      <c r="AB749">
        <v>17337</v>
      </c>
      <c r="AC749">
        <v>15582221</v>
      </c>
      <c r="AD749" t="s">
        <v>4</v>
      </c>
      <c r="AE749">
        <v>36</v>
      </c>
      <c r="AF749">
        <v>1</v>
      </c>
      <c r="AH749" t="s">
        <v>1567</v>
      </c>
      <c r="AI749" t="s">
        <v>1566</v>
      </c>
      <c r="AK749" t="s">
        <v>1565</v>
      </c>
      <c r="AL749">
        <v>57</v>
      </c>
      <c r="AM749" s="5">
        <f t="shared" si="98"/>
        <v>1.6764705882352942</v>
      </c>
      <c r="AN749" s="4">
        <f t="shared" si="95"/>
        <v>2.5391451544646637E-3</v>
      </c>
      <c r="AO749" s="3"/>
      <c r="AP749">
        <v>0</v>
      </c>
      <c r="AR749" t="s">
        <v>0</v>
      </c>
      <c r="AT749" s="2" t="s">
        <v>19</v>
      </c>
      <c r="AU749" s="1">
        <f t="shared" si="99"/>
        <v>3.1631181094723049</v>
      </c>
      <c r="AV749" s="1">
        <f t="shared" si="100"/>
        <v>2.3319170826077795</v>
      </c>
      <c r="AW749" s="1">
        <f t="shared" si="101"/>
        <v>1.5007160557432544</v>
      </c>
    </row>
    <row r="750" spans="1:49" x14ac:dyDescent="0.2">
      <c r="A750">
        <v>748</v>
      </c>
      <c r="B750" t="s">
        <v>1564</v>
      </c>
      <c r="C750" t="s">
        <v>1563</v>
      </c>
      <c r="F750" t="s">
        <v>1562</v>
      </c>
      <c r="G750" t="s">
        <v>15</v>
      </c>
      <c r="H750" t="s">
        <v>14</v>
      </c>
      <c r="I750" t="s">
        <v>1515</v>
      </c>
      <c r="J750">
        <v>60003500</v>
      </c>
      <c r="K750" t="s">
        <v>1514</v>
      </c>
      <c r="L750" t="s">
        <v>1513</v>
      </c>
      <c r="M750" t="s">
        <v>31</v>
      </c>
      <c r="N750">
        <v>1</v>
      </c>
      <c r="O750" t="s">
        <v>1512</v>
      </c>
      <c r="P750">
        <v>35611381200</v>
      </c>
      <c r="Q750">
        <v>60003500</v>
      </c>
      <c r="R750" s="7">
        <v>32143</v>
      </c>
      <c r="S750" s="8">
        <f t="shared" si="96"/>
        <v>1988</v>
      </c>
      <c r="T750" s="8">
        <v>1988</v>
      </c>
      <c r="U750" s="8">
        <f t="shared" si="97"/>
        <v>34</v>
      </c>
      <c r="V750" s="7">
        <v>32143</v>
      </c>
      <c r="W750" t="s">
        <v>69</v>
      </c>
      <c r="X750" s="2">
        <v>1.6519999999999999</v>
      </c>
      <c r="Y750" s="6">
        <f t="shared" si="94"/>
        <v>4.409919649769093E-2</v>
      </c>
      <c r="AA750" t="s">
        <v>68</v>
      </c>
      <c r="AB750">
        <v>17337</v>
      </c>
      <c r="AC750">
        <v>15582221</v>
      </c>
      <c r="AD750" t="s">
        <v>4</v>
      </c>
      <c r="AE750">
        <v>36</v>
      </c>
      <c r="AF750">
        <v>1</v>
      </c>
      <c r="AH750" s="10">
        <v>41760</v>
      </c>
      <c r="AI750" t="s">
        <v>1561</v>
      </c>
      <c r="AK750" t="s">
        <v>1560</v>
      </c>
      <c r="AL750">
        <v>61</v>
      </c>
      <c r="AM750" s="5">
        <f t="shared" si="98"/>
        <v>1.7941176470588236</v>
      </c>
      <c r="AN750" s="4">
        <f t="shared" si="95"/>
        <v>2.7173307793393769E-3</v>
      </c>
      <c r="AO750" s="3"/>
      <c r="AP750">
        <v>0</v>
      </c>
      <c r="AQ750" t="s">
        <v>1508</v>
      </c>
      <c r="AR750" t="s">
        <v>1507</v>
      </c>
      <c r="AS750" t="s">
        <v>1506</v>
      </c>
      <c r="AT750" s="2" t="s">
        <v>19</v>
      </c>
      <c r="AU750" s="1">
        <f t="shared" si="99"/>
        <v>3.1684636782185462</v>
      </c>
      <c r="AV750" s="1">
        <f t="shared" si="100"/>
        <v>2.3408263638515154</v>
      </c>
      <c r="AW750" s="1">
        <f t="shared" si="101"/>
        <v>1.5131890494844842</v>
      </c>
    </row>
    <row r="751" spans="1:49" x14ac:dyDescent="0.2">
      <c r="A751">
        <v>749</v>
      </c>
      <c r="B751" t="s">
        <v>1559</v>
      </c>
      <c r="C751" t="s">
        <v>1558</v>
      </c>
      <c r="F751" t="s">
        <v>1557</v>
      </c>
      <c r="G751" t="s">
        <v>15</v>
      </c>
      <c r="H751" t="s">
        <v>14</v>
      </c>
      <c r="I751" t="s">
        <v>1556</v>
      </c>
      <c r="J751">
        <v>126614898</v>
      </c>
      <c r="K751" t="s">
        <v>1555</v>
      </c>
      <c r="L751" t="s">
        <v>1554</v>
      </c>
      <c r="M751" t="s">
        <v>1553</v>
      </c>
      <c r="N751">
        <v>1</v>
      </c>
      <c r="O751" t="s">
        <v>1552</v>
      </c>
      <c r="P751">
        <v>7004042433</v>
      </c>
      <c r="Q751">
        <v>126614898</v>
      </c>
      <c r="R751" s="7">
        <v>32143</v>
      </c>
      <c r="S751" s="8">
        <f t="shared" si="96"/>
        <v>1988</v>
      </c>
      <c r="T751" s="8">
        <v>1988</v>
      </c>
      <c r="U751" s="8">
        <f t="shared" si="97"/>
        <v>34</v>
      </c>
      <c r="V751" s="7">
        <v>1988</v>
      </c>
      <c r="W751" t="s">
        <v>1551</v>
      </c>
      <c r="X751" s="2">
        <v>0.28299999999999997</v>
      </c>
      <c r="Y751" s="6">
        <f t="shared" si="94"/>
        <v>7.5545233709724781E-3</v>
      </c>
      <c r="AA751">
        <v>8327823</v>
      </c>
      <c r="AB751">
        <v>18061</v>
      </c>
      <c r="AD751" t="s">
        <v>4</v>
      </c>
      <c r="AE751">
        <v>23</v>
      </c>
      <c r="AF751">
        <v>1</v>
      </c>
      <c r="AH751" t="s">
        <v>1550</v>
      </c>
      <c r="AI751" t="s">
        <v>1549</v>
      </c>
      <c r="AK751" t="s">
        <v>1548</v>
      </c>
      <c r="AL751">
        <v>15</v>
      </c>
      <c r="AM751" s="5">
        <f t="shared" si="98"/>
        <v>0.44117647058823528</v>
      </c>
      <c r="AN751" s="4">
        <f t="shared" si="95"/>
        <v>6.6819609328017462E-4</v>
      </c>
      <c r="AO751" s="3"/>
      <c r="AP751">
        <v>0</v>
      </c>
      <c r="AR751" t="s">
        <v>0</v>
      </c>
      <c r="AT751" s="2" t="s">
        <v>19</v>
      </c>
      <c r="AU751" s="1">
        <f t="shared" si="99"/>
        <v>0.54886251876647874</v>
      </c>
      <c r="AV751" s="1">
        <f t="shared" si="100"/>
        <v>0.41113597321263268</v>
      </c>
      <c r="AW751" s="1">
        <f t="shared" si="101"/>
        <v>0.27340942765878651</v>
      </c>
    </row>
    <row r="752" spans="1:49" x14ac:dyDescent="0.2">
      <c r="A752">
        <v>750</v>
      </c>
      <c r="B752" t="s">
        <v>1547</v>
      </c>
      <c r="C752" t="s">
        <v>1546</v>
      </c>
      <c r="F752" t="s">
        <v>1545</v>
      </c>
      <c r="G752" t="s">
        <v>15</v>
      </c>
      <c r="H752" t="s">
        <v>14</v>
      </c>
      <c r="I752" t="s">
        <v>1544</v>
      </c>
      <c r="J752" t="s">
        <v>1543</v>
      </c>
      <c r="K752" t="s">
        <v>1542</v>
      </c>
      <c r="L752" t="s">
        <v>1541</v>
      </c>
      <c r="M752" t="s">
        <v>195</v>
      </c>
      <c r="N752">
        <v>4</v>
      </c>
      <c r="O752" t="s">
        <v>1540</v>
      </c>
      <c r="P752" t="s">
        <v>1539</v>
      </c>
      <c r="Q752" t="s">
        <v>1538</v>
      </c>
      <c r="R752" s="7">
        <v>32143</v>
      </c>
      <c r="S752" s="8">
        <f t="shared" si="96"/>
        <v>1988</v>
      </c>
      <c r="T752" s="8">
        <v>1988</v>
      </c>
      <c r="U752" s="8">
        <f t="shared" si="97"/>
        <v>34</v>
      </c>
      <c r="V752" s="7">
        <v>32143</v>
      </c>
      <c r="W752" t="s">
        <v>1537</v>
      </c>
      <c r="X752" s="2">
        <v>3.4359999999999999</v>
      </c>
      <c r="Y752" s="6">
        <f t="shared" si="94"/>
        <v>9.1722057606577506E-2</v>
      </c>
      <c r="AA752">
        <v>189286</v>
      </c>
      <c r="AB752">
        <v>17339</v>
      </c>
      <c r="AC752">
        <v>15582523</v>
      </c>
      <c r="AD752" t="s">
        <v>4</v>
      </c>
      <c r="AE752">
        <v>33</v>
      </c>
      <c r="AF752">
        <v>1</v>
      </c>
      <c r="AH752" t="s">
        <v>1536</v>
      </c>
      <c r="AI752" t="s">
        <v>1535</v>
      </c>
      <c r="AK752" t="s">
        <v>1534</v>
      </c>
      <c r="AL752">
        <v>5</v>
      </c>
      <c r="AM752" s="5">
        <f t="shared" si="98"/>
        <v>0.14705882352941177</v>
      </c>
      <c r="AN752" s="4">
        <f t="shared" si="95"/>
        <v>2.2273203109339154E-4</v>
      </c>
      <c r="AO752" s="3"/>
      <c r="AP752">
        <v>0</v>
      </c>
      <c r="AQ752" t="s">
        <v>1533</v>
      </c>
      <c r="AR752" t="s">
        <v>1532</v>
      </c>
      <c r="AS752" t="s">
        <v>1531</v>
      </c>
      <c r="AT752" s="2" t="s">
        <v>19</v>
      </c>
      <c r="AU752" s="1">
        <f t="shared" si="99"/>
        <v>6.4272259933932263</v>
      </c>
      <c r="AV752" s="1">
        <f t="shared" si="100"/>
        <v>4.5972394818835447</v>
      </c>
      <c r="AW752" s="1">
        <f t="shared" si="101"/>
        <v>2.7672529703738622</v>
      </c>
    </row>
    <row r="753" spans="1:49" x14ac:dyDescent="0.2">
      <c r="A753">
        <v>751</v>
      </c>
      <c r="B753" t="s">
        <v>1530</v>
      </c>
      <c r="F753" t="s">
        <v>1529</v>
      </c>
      <c r="G753" t="s">
        <v>15</v>
      </c>
      <c r="H753" t="s">
        <v>14</v>
      </c>
      <c r="I753" t="s">
        <v>1528</v>
      </c>
      <c r="J753">
        <v>60006832</v>
      </c>
      <c r="K753" t="s">
        <v>1527</v>
      </c>
      <c r="L753" t="s">
        <v>1526</v>
      </c>
      <c r="M753" t="s">
        <v>31</v>
      </c>
      <c r="N753">
        <v>4</v>
      </c>
      <c r="O753" t="s">
        <v>1525</v>
      </c>
      <c r="P753" t="s">
        <v>1524</v>
      </c>
      <c r="Q753" t="s">
        <v>1523</v>
      </c>
      <c r="R753" s="7">
        <v>32143</v>
      </c>
      <c r="S753" s="8">
        <f t="shared" si="96"/>
        <v>1988</v>
      </c>
      <c r="T753" s="8">
        <v>1988</v>
      </c>
      <c r="U753" s="8">
        <f t="shared" si="97"/>
        <v>34</v>
      </c>
      <c r="V753" s="7">
        <v>32143</v>
      </c>
      <c r="W753" t="s">
        <v>1522</v>
      </c>
      <c r="X753" s="2" t="s">
        <v>19</v>
      </c>
      <c r="Y753" s="6" t="e">
        <f t="shared" si="94"/>
        <v>#VALUE!</v>
      </c>
      <c r="AA753">
        <v>7368607</v>
      </c>
      <c r="AB753">
        <v>73790</v>
      </c>
      <c r="AD753" t="s">
        <v>4</v>
      </c>
      <c r="AE753">
        <v>8</v>
      </c>
      <c r="AF753">
        <v>1</v>
      </c>
      <c r="AH753" t="s">
        <v>1521</v>
      </c>
      <c r="AI753" t="s">
        <v>1520</v>
      </c>
      <c r="AK753" t="s">
        <v>1519</v>
      </c>
      <c r="AL753">
        <v>0</v>
      </c>
      <c r="AM753" s="5">
        <f t="shared" si="98"/>
        <v>0</v>
      </c>
      <c r="AN753" s="4">
        <f t="shared" si="95"/>
        <v>0</v>
      </c>
      <c r="AO753" s="3"/>
      <c r="AP753">
        <v>0</v>
      </c>
      <c r="AR753" t="s">
        <v>0</v>
      </c>
      <c r="AT753" s="2" t="s">
        <v>19</v>
      </c>
      <c r="AU753" s="1" t="e">
        <f t="shared" si="99"/>
        <v>#VALUE!</v>
      </c>
      <c r="AV753" s="1" t="e">
        <f t="shared" si="100"/>
        <v>#VALUE!</v>
      </c>
      <c r="AW753" s="1" t="e">
        <f t="shared" si="101"/>
        <v>#VALUE!</v>
      </c>
    </row>
    <row r="754" spans="1:49" x14ac:dyDescent="0.2">
      <c r="A754">
        <v>752</v>
      </c>
      <c r="B754" t="s">
        <v>1518</v>
      </c>
      <c r="C754" t="s">
        <v>1517</v>
      </c>
      <c r="F754" t="s">
        <v>1516</v>
      </c>
      <c r="G754" t="s">
        <v>15</v>
      </c>
      <c r="H754" t="s">
        <v>14</v>
      </c>
      <c r="I754" t="s">
        <v>1515</v>
      </c>
      <c r="J754">
        <v>60003500</v>
      </c>
      <c r="K754" t="s">
        <v>1514</v>
      </c>
      <c r="L754" t="s">
        <v>1513</v>
      </c>
      <c r="M754" t="s">
        <v>31</v>
      </c>
      <c r="N754">
        <v>1</v>
      </c>
      <c r="O754" t="s">
        <v>1512</v>
      </c>
      <c r="P754">
        <v>35611381200</v>
      </c>
      <c r="Q754">
        <v>60003500</v>
      </c>
      <c r="R754" s="7">
        <v>32143</v>
      </c>
      <c r="S754" s="8">
        <f t="shared" si="96"/>
        <v>1988</v>
      </c>
      <c r="T754" s="8">
        <v>1988</v>
      </c>
      <c r="U754" s="8">
        <f t="shared" si="97"/>
        <v>34</v>
      </c>
      <c r="V754" s="7">
        <v>32143</v>
      </c>
      <c r="W754" t="s">
        <v>69</v>
      </c>
      <c r="X754" s="2">
        <v>1.6519999999999999</v>
      </c>
      <c r="Y754" s="6">
        <f t="shared" si="94"/>
        <v>4.409919649769093E-2</v>
      </c>
      <c r="AA754" t="s">
        <v>68</v>
      </c>
      <c r="AB754">
        <v>17337</v>
      </c>
      <c r="AC754">
        <v>15582221</v>
      </c>
      <c r="AD754" t="s">
        <v>4</v>
      </c>
      <c r="AE754">
        <v>36</v>
      </c>
      <c r="AF754">
        <v>1</v>
      </c>
      <c r="AH754" t="s">
        <v>1511</v>
      </c>
      <c r="AI754" t="s">
        <v>1510</v>
      </c>
      <c r="AK754" t="s">
        <v>1509</v>
      </c>
      <c r="AL754">
        <v>78</v>
      </c>
      <c r="AM754" s="5">
        <f t="shared" si="98"/>
        <v>2.2941176470588234</v>
      </c>
      <c r="AN754" s="4">
        <f t="shared" si="95"/>
        <v>3.4746196850569079E-3</v>
      </c>
      <c r="AO754" s="3"/>
      <c r="AP754">
        <v>0</v>
      </c>
      <c r="AQ754" t="s">
        <v>1508</v>
      </c>
      <c r="AR754" t="s">
        <v>1507</v>
      </c>
      <c r="AS754" t="s">
        <v>1506</v>
      </c>
      <c r="AT754" s="2" t="s">
        <v>19</v>
      </c>
      <c r="AU754" s="1">
        <f t="shared" si="99"/>
        <v>3.1911823453900721</v>
      </c>
      <c r="AV754" s="1">
        <f t="shared" si="100"/>
        <v>2.3786908091373919</v>
      </c>
      <c r="AW754" s="1">
        <f t="shared" si="101"/>
        <v>1.5661992728847114</v>
      </c>
    </row>
    <row r="755" spans="1:49" x14ac:dyDescent="0.2">
      <c r="A755">
        <v>753</v>
      </c>
      <c r="B755" t="s">
        <v>1505</v>
      </c>
      <c r="F755" t="s">
        <v>1504</v>
      </c>
      <c r="G755" t="s">
        <v>15</v>
      </c>
      <c r="H755" t="s">
        <v>14</v>
      </c>
      <c r="I755" t="s">
        <v>1503</v>
      </c>
      <c r="N755">
        <v>1</v>
      </c>
      <c r="O755" t="s">
        <v>1502</v>
      </c>
      <c r="P755">
        <v>7201745320</v>
      </c>
      <c r="R755" s="7">
        <v>32143</v>
      </c>
      <c r="S755" s="8">
        <f t="shared" si="96"/>
        <v>1988</v>
      </c>
      <c r="T755" s="8">
        <v>1988</v>
      </c>
      <c r="U755" s="8">
        <f t="shared" si="97"/>
        <v>34</v>
      </c>
      <c r="V755" s="7">
        <v>1988</v>
      </c>
      <c r="W755" t="s">
        <v>1501</v>
      </c>
      <c r="X755" s="2" t="s">
        <v>19</v>
      </c>
      <c r="Y755" s="6" t="e">
        <f t="shared" si="94"/>
        <v>#VALUE!</v>
      </c>
      <c r="AA755">
        <v>289108</v>
      </c>
      <c r="AB755">
        <v>78703</v>
      </c>
      <c r="AD755" t="s">
        <v>4</v>
      </c>
      <c r="AE755">
        <v>28</v>
      </c>
      <c r="AF755">
        <v>120</v>
      </c>
      <c r="AH755" t="s">
        <v>1165</v>
      </c>
      <c r="AI755" t="s">
        <v>1500</v>
      </c>
      <c r="AK755" t="s">
        <v>1499</v>
      </c>
      <c r="AL755">
        <v>0</v>
      </c>
      <c r="AM755" s="5">
        <f t="shared" si="98"/>
        <v>0</v>
      </c>
      <c r="AN755" s="4">
        <f t="shared" si="95"/>
        <v>0</v>
      </c>
      <c r="AO755" s="3"/>
      <c r="AP755">
        <v>0</v>
      </c>
      <c r="AR755" t="s">
        <v>0</v>
      </c>
      <c r="AT755" s="2" t="s">
        <v>19</v>
      </c>
      <c r="AU755" s="1" t="e">
        <f t="shared" si="99"/>
        <v>#VALUE!</v>
      </c>
      <c r="AV755" s="1" t="e">
        <f t="shared" si="100"/>
        <v>#VALUE!</v>
      </c>
      <c r="AW755" s="1" t="e">
        <f t="shared" si="101"/>
        <v>#VALUE!</v>
      </c>
    </row>
    <row r="756" spans="1:49" x14ac:dyDescent="0.2">
      <c r="A756">
        <v>754</v>
      </c>
      <c r="B756" t="s">
        <v>1498</v>
      </c>
      <c r="F756" t="s">
        <v>1497</v>
      </c>
      <c r="G756" t="s">
        <v>15</v>
      </c>
      <c r="H756" t="s">
        <v>14</v>
      </c>
      <c r="I756" t="s">
        <v>1496</v>
      </c>
      <c r="J756">
        <v>100326470</v>
      </c>
      <c r="K756" t="s">
        <v>1495</v>
      </c>
      <c r="L756" t="s">
        <v>1494</v>
      </c>
      <c r="M756" t="s">
        <v>1088</v>
      </c>
      <c r="N756">
        <v>2</v>
      </c>
      <c r="O756" t="s">
        <v>1493</v>
      </c>
      <c r="P756" t="s">
        <v>1492</v>
      </c>
      <c r="Q756" t="s">
        <v>1491</v>
      </c>
      <c r="R756" s="7">
        <v>32143</v>
      </c>
      <c r="S756" s="8">
        <f t="shared" si="96"/>
        <v>1988</v>
      </c>
      <c r="T756" s="8">
        <v>1988</v>
      </c>
      <c r="U756" s="8">
        <f t="shared" si="97"/>
        <v>34</v>
      </c>
      <c r="V756" s="7">
        <v>1988</v>
      </c>
      <c r="W756" t="s">
        <v>1086</v>
      </c>
      <c r="X756" s="2" t="s">
        <v>19</v>
      </c>
      <c r="Y756" s="6" t="e">
        <f t="shared" si="94"/>
        <v>#VALUE!</v>
      </c>
      <c r="AA756">
        <v>12777</v>
      </c>
      <c r="AB756">
        <v>39087</v>
      </c>
      <c r="AD756" t="s">
        <v>4</v>
      </c>
      <c r="AE756">
        <v>22</v>
      </c>
      <c r="AF756">
        <v>1</v>
      </c>
      <c r="AH756" t="s">
        <v>1490</v>
      </c>
      <c r="AI756" t="s">
        <v>1489</v>
      </c>
      <c r="AK756" t="s">
        <v>1488</v>
      </c>
      <c r="AL756">
        <v>0</v>
      </c>
      <c r="AM756" s="5">
        <f t="shared" si="98"/>
        <v>0</v>
      </c>
      <c r="AN756" s="4">
        <f t="shared" si="95"/>
        <v>0</v>
      </c>
      <c r="AO756" s="3"/>
      <c r="AP756">
        <v>0</v>
      </c>
      <c r="AR756" t="s">
        <v>0</v>
      </c>
      <c r="AT756" s="2" t="s">
        <v>19</v>
      </c>
      <c r="AU756" s="1" t="e">
        <f t="shared" si="99"/>
        <v>#VALUE!</v>
      </c>
      <c r="AV756" s="1" t="e">
        <f t="shared" si="100"/>
        <v>#VALUE!</v>
      </c>
      <c r="AW756" s="1" t="e">
        <f t="shared" si="101"/>
        <v>#VALUE!</v>
      </c>
    </row>
    <row r="757" spans="1:49" x14ac:dyDescent="0.2">
      <c r="A757">
        <v>755</v>
      </c>
      <c r="B757" t="s">
        <v>1487</v>
      </c>
      <c r="C757" t="s">
        <v>1486</v>
      </c>
      <c r="F757" t="s">
        <v>1485</v>
      </c>
      <c r="G757" t="s">
        <v>15</v>
      </c>
      <c r="H757" t="s">
        <v>14</v>
      </c>
      <c r="I757" t="s">
        <v>1484</v>
      </c>
      <c r="J757">
        <v>60033316</v>
      </c>
      <c r="K757" t="s">
        <v>1483</v>
      </c>
      <c r="L757" t="s">
        <v>1482</v>
      </c>
      <c r="M757" t="s">
        <v>1481</v>
      </c>
      <c r="N757">
        <v>1</v>
      </c>
      <c r="O757" t="s">
        <v>1480</v>
      </c>
      <c r="P757">
        <v>7801511335</v>
      </c>
      <c r="Q757">
        <v>60033316</v>
      </c>
      <c r="R757" s="7">
        <v>32143</v>
      </c>
      <c r="S757" s="8">
        <f t="shared" si="96"/>
        <v>1988</v>
      </c>
      <c r="T757" s="8">
        <v>1988</v>
      </c>
      <c r="U757" s="8">
        <f t="shared" si="97"/>
        <v>34</v>
      </c>
      <c r="V757" s="7">
        <v>32143</v>
      </c>
      <c r="W757" t="s">
        <v>1073</v>
      </c>
      <c r="X757" s="2">
        <v>1.3720000000000001</v>
      </c>
      <c r="Y757" s="6">
        <f t="shared" si="94"/>
        <v>3.662475641333654E-2</v>
      </c>
      <c r="AA757">
        <v>189480</v>
      </c>
      <c r="AB757">
        <v>17366</v>
      </c>
      <c r="AC757">
        <v>15579670</v>
      </c>
      <c r="AD757" t="s">
        <v>4</v>
      </c>
      <c r="AE757">
        <v>36</v>
      </c>
      <c r="AF757">
        <v>1</v>
      </c>
      <c r="AH757" t="s">
        <v>1479</v>
      </c>
      <c r="AI757" t="s">
        <v>1478</v>
      </c>
      <c r="AK757" t="s">
        <v>1477</v>
      </c>
      <c r="AL757">
        <v>9</v>
      </c>
      <c r="AM757" s="5">
        <f t="shared" si="98"/>
        <v>0.26470588235294118</v>
      </c>
      <c r="AN757" s="4">
        <f t="shared" si="95"/>
        <v>4.009176559681048E-4</v>
      </c>
      <c r="AO757" s="3"/>
      <c r="AP757">
        <v>0</v>
      </c>
      <c r="AR757" t="s">
        <v>0</v>
      </c>
      <c r="AT757" s="2" t="s">
        <v>19</v>
      </c>
      <c r="AU757" s="1">
        <f t="shared" si="99"/>
        <v>2.5757604786126009</v>
      </c>
      <c r="AV757" s="1">
        <f t="shared" si="100"/>
        <v>1.8512837034652323</v>
      </c>
      <c r="AW757" s="1">
        <f t="shared" si="101"/>
        <v>1.1268069283178634</v>
      </c>
    </row>
    <row r="758" spans="1:49" x14ac:dyDescent="0.2">
      <c r="A758">
        <v>756</v>
      </c>
      <c r="B758" t="s">
        <v>1476</v>
      </c>
      <c r="C758" t="s">
        <v>1475</v>
      </c>
      <c r="E758">
        <v>2448431</v>
      </c>
      <c r="F758" t="s">
        <v>1474</v>
      </c>
      <c r="G758" t="s">
        <v>15</v>
      </c>
      <c r="H758" t="s">
        <v>14</v>
      </c>
      <c r="I758" t="s">
        <v>1473</v>
      </c>
      <c r="J758">
        <v>60030162</v>
      </c>
      <c r="K758" t="s">
        <v>1472</v>
      </c>
      <c r="L758" t="s">
        <v>1471</v>
      </c>
      <c r="M758" t="s">
        <v>31</v>
      </c>
      <c r="N758">
        <v>4</v>
      </c>
      <c r="O758" t="s">
        <v>1470</v>
      </c>
      <c r="P758" t="s">
        <v>1469</v>
      </c>
      <c r="Q758" t="s">
        <v>1468</v>
      </c>
      <c r="R758" s="7">
        <v>32143</v>
      </c>
      <c r="S758" s="8">
        <f t="shared" si="96"/>
        <v>1988</v>
      </c>
      <c r="T758" s="8">
        <v>1988</v>
      </c>
      <c r="U758" s="8">
        <f t="shared" si="97"/>
        <v>34</v>
      </c>
      <c r="V758" s="7">
        <v>1988</v>
      </c>
      <c r="W758" t="s">
        <v>1467</v>
      </c>
      <c r="X758" s="2">
        <v>3.4830000000000001</v>
      </c>
      <c r="Y758" s="6">
        <f t="shared" si="94"/>
        <v>9.2976695763594144E-2</v>
      </c>
      <c r="AA758">
        <v>2706474</v>
      </c>
      <c r="AB758">
        <v>16764</v>
      </c>
      <c r="AD758" t="s">
        <v>4</v>
      </c>
      <c r="AE758">
        <v>8</v>
      </c>
      <c r="AF758">
        <v>1</v>
      </c>
      <c r="AH758" t="s">
        <v>1466</v>
      </c>
      <c r="AI758" t="s">
        <v>1465</v>
      </c>
      <c r="AK758" t="s">
        <v>1464</v>
      </c>
      <c r="AL758">
        <v>16</v>
      </c>
      <c r="AM758" s="5">
        <f t="shared" si="98"/>
        <v>0.47058823529411764</v>
      </c>
      <c r="AN758" s="4">
        <f t="shared" si="95"/>
        <v>7.1274249949885291E-4</v>
      </c>
      <c r="AO758" s="3"/>
      <c r="AP758">
        <v>1</v>
      </c>
      <c r="AQ758" t="s">
        <v>1463</v>
      </c>
      <c r="AR758" t="s">
        <v>1462</v>
      </c>
      <c r="AS758" t="s">
        <v>1461</v>
      </c>
      <c r="AT758" s="2">
        <v>6.1669999999999998</v>
      </c>
      <c r="AU758" s="1">
        <f t="shared" si="99"/>
        <v>6.5297509784365548</v>
      </c>
      <c r="AV758" s="1">
        <f t="shared" si="100"/>
        <v>4.6844719131546499</v>
      </c>
      <c r="AW758" s="1">
        <f t="shared" si="101"/>
        <v>2.8391928478727442</v>
      </c>
    </row>
    <row r="759" spans="1:49" x14ac:dyDescent="0.2">
      <c r="A759">
        <v>757</v>
      </c>
      <c r="B759" t="s">
        <v>1460</v>
      </c>
      <c r="C759" t="s">
        <v>1459</v>
      </c>
      <c r="F759" t="s">
        <v>1458</v>
      </c>
      <c r="G759" t="s">
        <v>15</v>
      </c>
      <c r="H759" t="s">
        <v>14</v>
      </c>
      <c r="I759" t="s">
        <v>1457</v>
      </c>
      <c r="J759" t="s">
        <v>1456</v>
      </c>
      <c r="K759" t="s">
        <v>1455</v>
      </c>
      <c r="L759" t="s">
        <v>1454</v>
      </c>
      <c r="M759" t="s">
        <v>352</v>
      </c>
      <c r="N759">
        <v>3</v>
      </c>
      <c r="O759" t="s">
        <v>1453</v>
      </c>
      <c r="P759" t="s">
        <v>1452</v>
      </c>
      <c r="Q759" t="s">
        <v>1451</v>
      </c>
      <c r="R759" s="7">
        <v>32143</v>
      </c>
      <c r="S759" s="8">
        <f t="shared" si="96"/>
        <v>1988</v>
      </c>
      <c r="T759" s="8">
        <v>1988</v>
      </c>
      <c r="U759" s="8">
        <f t="shared" si="97"/>
        <v>34</v>
      </c>
      <c r="V759" s="7">
        <v>32143</v>
      </c>
      <c r="W759" t="s">
        <v>1225</v>
      </c>
      <c r="X759" s="2">
        <v>0.111</v>
      </c>
      <c r="Y759" s="6">
        <f t="shared" si="94"/>
        <v>2.9630816048690639E-3</v>
      </c>
      <c r="AA759">
        <v>87566621</v>
      </c>
      <c r="AB759">
        <v>24890</v>
      </c>
      <c r="AC759">
        <v>15206424</v>
      </c>
      <c r="AD759" t="s">
        <v>4</v>
      </c>
      <c r="AE759">
        <v>71</v>
      </c>
      <c r="AF759">
        <v>1</v>
      </c>
      <c r="AH759" t="s">
        <v>1450</v>
      </c>
      <c r="AI759" t="s">
        <v>1449</v>
      </c>
      <c r="AK759" t="s">
        <v>1448</v>
      </c>
      <c r="AL759">
        <v>0</v>
      </c>
      <c r="AM759" s="5">
        <f t="shared" si="98"/>
        <v>0</v>
      </c>
      <c r="AN759" s="4">
        <f t="shared" si="95"/>
        <v>0</v>
      </c>
      <c r="AO759" s="3"/>
      <c r="AP759">
        <v>0</v>
      </c>
      <c r="AR759" t="s">
        <v>0</v>
      </c>
      <c r="AT759" s="2" t="s">
        <v>19</v>
      </c>
      <c r="AU759" s="1">
        <f t="shared" si="99"/>
        <v>0.20741571234083445</v>
      </c>
      <c r="AV759" s="1">
        <f t="shared" si="100"/>
        <v>0.1481540802434532</v>
      </c>
      <c r="AW759" s="1">
        <f t="shared" si="101"/>
        <v>8.8892448146071903E-2</v>
      </c>
    </row>
    <row r="760" spans="1:49" x14ac:dyDescent="0.2">
      <c r="A760">
        <v>758</v>
      </c>
      <c r="B760" t="s">
        <v>1447</v>
      </c>
      <c r="C760" t="s">
        <v>1446</v>
      </c>
      <c r="D760" t="s">
        <v>1445</v>
      </c>
      <c r="E760">
        <v>2961716</v>
      </c>
      <c r="F760" t="s">
        <v>1444</v>
      </c>
      <c r="G760" t="s">
        <v>15</v>
      </c>
      <c r="H760" t="s">
        <v>14</v>
      </c>
      <c r="I760" t="s">
        <v>1443</v>
      </c>
      <c r="J760">
        <v>60070149</v>
      </c>
      <c r="K760" t="s">
        <v>1442</v>
      </c>
      <c r="L760" t="s">
        <v>1441</v>
      </c>
      <c r="M760" t="s">
        <v>1179</v>
      </c>
      <c r="N760">
        <v>6</v>
      </c>
      <c r="O760" t="s">
        <v>1440</v>
      </c>
      <c r="P760" t="s">
        <v>1439</v>
      </c>
      <c r="Q760" t="s">
        <v>1438</v>
      </c>
      <c r="R760" s="7">
        <v>32143</v>
      </c>
      <c r="S760" s="8">
        <f t="shared" si="96"/>
        <v>1988</v>
      </c>
      <c r="T760" s="8">
        <v>1988</v>
      </c>
      <c r="U760" s="8">
        <f t="shared" si="97"/>
        <v>34</v>
      </c>
      <c r="V760" s="7">
        <v>32143</v>
      </c>
      <c r="W760" t="s">
        <v>762</v>
      </c>
      <c r="X760" s="2" t="s">
        <v>19</v>
      </c>
      <c r="Y760" s="6" t="e">
        <f t="shared" si="94"/>
        <v>#VALUE!</v>
      </c>
      <c r="AA760">
        <v>3603016</v>
      </c>
      <c r="AB760">
        <v>17191</v>
      </c>
      <c r="AD760" t="s">
        <v>4</v>
      </c>
      <c r="AE760">
        <v>14</v>
      </c>
      <c r="AF760">
        <v>1</v>
      </c>
      <c r="AH760" t="s">
        <v>1437</v>
      </c>
      <c r="AI760" t="s">
        <v>1436</v>
      </c>
      <c r="AJ760" t="s">
        <v>1435</v>
      </c>
      <c r="AK760" t="s">
        <v>1434</v>
      </c>
      <c r="AL760">
        <v>24</v>
      </c>
      <c r="AM760" s="5">
        <f t="shared" si="98"/>
        <v>0.70588235294117652</v>
      </c>
      <c r="AN760" s="4">
        <f t="shared" si="95"/>
        <v>1.0691137492482795E-3</v>
      </c>
      <c r="AO760" s="3"/>
      <c r="AP760">
        <v>0</v>
      </c>
      <c r="AQ760" t="s">
        <v>1433</v>
      </c>
      <c r="AR760" t="s">
        <v>0</v>
      </c>
      <c r="AS760" t="s">
        <v>1432</v>
      </c>
      <c r="AT760" s="2" t="s">
        <v>19</v>
      </c>
      <c r="AU760" s="1" t="e">
        <f t="shared" si="99"/>
        <v>#VALUE!</v>
      </c>
      <c r="AV760" s="1" t="e">
        <f t="shared" si="100"/>
        <v>#VALUE!</v>
      </c>
      <c r="AW760" s="1" t="e">
        <f t="shared" si="101"/>
        <v>#VALUE!</v>
      </c>
    </row>
    <row r="761" spans="1:49" x14ac:dyDescent="0.2">
      <c r="A761">
        <v>759</v>
      </c>
      <c r="B761" t="s">
        <v>1431</v>
      </c>
      <c r="C761" t="s">
        <v>1430</v>
      </c>
      <c r="F761" t="s">
        <v>1429</v>
      </c>
      <c r="G761" t="s">
        <v>15</v>
      </c>
      <c r="H761" t="s">
        <v>14</v>
      </c>
      <c r="I761" t="s">
        <v>1428</v>
      </c>
      <c r="N761">
        <v>7</v>
      </c>
      <c r="O761" t="s">
        <v>1427</v>
      </c>
      <c r="P761" t="s">
        <v>1426</v>
      </c>
      <c r="Q761" t="s">
        <v>1425</v>
      </c>
      <c r="R761" s="7">
        <v>32143</v>
      </c>
      <c r="S761" s="8">
        <f t="shared" si="96"/>
        <v>1988</v>
      </c>
      <c r="T761" s="8">
        <v>1988</v>
      </c>
      <c r="U761" s="8">
        <f t="shared" si="97"/>
        <v>34</v>
      </c>
      <c r="V761" s="7" t="s">
        <v>1308</v>
      </c>
      <c r="W761" t="s">
        <v>1307</v>
      </c>
      <c r="X761" s="2">
        <v>0.371</v>
      </c>
      <c r="Y761" s="6">
        <f t="shared" si="94"/>
        <v>9.9036331117695747E-3</v>
      </c>
      <c r="AA761">
        <v>486604</v>
      </c>
      <c r="AB761">
        <v>28580</v>
      </c>
      <c r="AC761" t="s">
        <v>1306</v>
      </c>
      <c r="AD761" t="s">
        <v>4</v>
      </c>
      <c r="AE761">
        <v>23</v>
      </c>
      <c r="AF761">
        <v>1</v>
      </c>
      <c r="AH761" t="s">
        <v>1424</v>
      </c>
      <c r="AI761" t="s">
        <v>1423</v>
      </c>
      <c r="AK761" t="s">
        <v>1422</v>
      </c>
      <c r="AL761">
        <v>7</v>
      </c>
      <c r="AM761" s="5">
        <f t="shared" si="98"/>
        <v>0.20588235294117646</v>
      </c>
      <c r="AN761" s="4">
        <f t="shared" si="95"/>
        <v>3.1182484353074817E-4</v>
      </c>
      <c r="AO761" s="3"/>
      <c r="AP761">
        <v>0</v>
      </c>
      <c r="AR761" t="s">
        <v>0</v>
      </c>
      <c r="AT761" s="2">
        <v>1.431</v>
      </c>
      <c r="AU761" s="1">
        <f t="shared" si="99"/>
        <v>0.70260906312979254</v>
      </c>
      <c r="AV761" s="1">
        <f t="shared" si="100"/>
        <v>0.51077289776501611</v>
      </c>
      <c r="AW761" s="1">
        <f t="shared" si="101"/>
        <v>0.31893673240023962</v>
      </c>
    </row>
    <row r="762" spans="1:49" x14ac:dyDescent="0.2">
      <c r="A762">
        <v>760</v>
      </c>
      <c r="B762" t="s">
        <v>1421</v>
      </c>
      <c r="C762" t="s">
        <v>1420</v>
      </c>
      <c r="F762" t="s">
        <v>1419</v>
      </c>
      <c r="G762" t="s">
        <v>15</v>
      </c>
      <c r="H762" t="s">
        <v>14</v>
      </c>
      <c r="I762" t="s">
        <v>1418</v>
      </c>
      <c r="J762">
        <v>60009697</v>
      </c>
      <c r="K762" t="s">
        <v>1417</v>
      </c>
      <c r="L762" t="s">
        <v>1416</v>
      </c>
      <c r="M762" t="s">
        <v>481</v>
      </c>
      <c r="N762">
        <v>2</v>
      </c>
      <c r="O762" t="s">
        <v>1415</v>
      </c>
      <c r="P762" t="s">
        <v>1414</v>
      </c>
      <c r="Q762" t="s">
        <v>1413</v>
      </c>
      <c r="R762" s="7">
        <v>32143</v>
      </c>
      <c r="S762" s="8">
        <f t="shared" si="96"/>
        <v>1988</v>
      </c>
      <c r="T762" s="8">
        <v>1988</v>
      </c>
      <c r="U762" s="8">
        <f t="shared" si="97"/>
        <v>34</v>
      </c>
      <c r="V762" s="7">
        <v>32143</v>
      </c>
      <c r="W762" t="s">
        <v>69</v>
      </c>
      <c r="X762" s="2">
        <v>1.6519999999999999</v>
      </c>
      <c r="Y762" s="6">
        <f t="shared" si="94"/>
        <v>4.409919649769093E-2</v>
      </c>
      <c r="AA762" t="s">
        <v>68</v>
      </c>
      <c r="AB762">
        <v>17337</v>
      </c>
      <c r="AC762">
        <v>15582221</v>
      </c>
      <c r="AD762" t="s">
        <v>4</v>
      </c>
      <c r="AE762">
        <v>36</v>
      </c>
      <c r="AF762">
        <v>1</v>
      </c>
      <c r="AH762" t="s">
        <v>1412</v>
      </c>
      <c r="AI762" t="s">
        <v>1411</v>
      </c>
      <c r="AK762" t="s">
        <v>1410</v>
      </c>
      <c r="AL762">
        <v>14</v>
      </c>
      <c r="AM762" s="5">
        <f t="shared" si="98"/>
        <v>0.41176470588235292</v>
      </c>
      <c r="AN762" s="4">
        <f t="shared" si="95"/>
        <v>6.2364968706149634E-4</v>
      </c>
      <c r="AO762" s="3"/>
      <c r="AP762">
        <v>0</v>
      </c>
      <c r="AR762" t="s">
        <v>0</v>
      </c>
      <c r="AT762" s="2" t="s">
        <v>19</v>
      </c>
      <c r="AU762" s="1">
        <f t="shared" si="99"/>
        <v>3.1056532454502102</v>
      </c>
      <c r="AV762" s="1">
        <f t="shared" si="100"/>
        <v>2.2361423092376214</v>
      </c>
      <c r="AW762" s="1">
        <f t="shared" si="101"/>
        <v>1.3666313730250326</v>
      </c>
    </row>
    <row r="763" spans="1:49" x14ac:dyDescent="0.2">
      <c r="A763">
        <v>761</v>
      </c>
      <c r="B763" t="s">
        <v>1409</v>
      </c>
      <c r="C763" t="s">
        <v>1408</v>
      </c>
      <c r="F763" t="s">
        <v>1407</v>
      </c>
      <c r="G763" t="s">
        <v>15</v>
      </c>
      <c r="H763" t="s">
        <v>14</v>
      </c>
      <c r="I763" t="s">
        <v>1406</v>
      </c>
      <c r="N763">
        <v>3</v>
      </c>
      <c r="O763" t="s">
        <v>1405</v>
      </c>
      <c r="P763" t="s">
        <v>1404</v>
      </c>
      <c r="Q763" t="s">
        <v>532</v>
      </c>
      <c r="R763" s="7">
        <v>32143</v>
      </c>
      <c r="S763" s="8">
        <f t="shared" si="96"/>
        <v>1988</v>
      </c>
      <c r="T763" s="8">
        <v>1988</v>
      </c>
      <c r="U763" s="8">
        <f t="shared" si="97"/>
        <v>34</v>
      </c>
      <c r="V763" s="7">
        <v>1988</v>
      </c>
      <c r="W763" t="s">
        <v>1403</v>
      </c>
      <c r="X763" s="2" t="s">
        <v>19</v>
      </c>
      <c r="Y763" s="6" t="e">
        <f t="shared" si="94"/>
        <v>#VALUE!</v>
      </c>
      <c r="AA763">
        <v>3875024</v>
      </c>
      <c r="AB763">
        <v>110132</v>
      </c>
      <c r="AD763" t="s">
        <v>4</v>
      </c>
      <c r="AE763">
        <v>54</v>
      </c>
      <c r="AF763">
        <v>497</v>
      </c>
      <c r="AH763" t="s">
        <v>1402</v>
      </c>
      <c r="AI763" t="s">
        <v>1401</v>
      </c>
      <c r="AJ763" t="s">
        <v>1400</v>
      </c>
      <c r="AK763" t="s">
        <v>1399</v>
      </c>
      <c r="AL763">
        <v>0</v>
      </c>
      <c r="AM763" s="5">
        <f t="shared" si="98"/>
        <v>0</v>
      </c>
      <c r="AN763" s="4">
        <f t="shared" si="95"/>
        <v>0</v>
      </c>
      <c r="AO763" s="3"/>
      <c r="AP763">
        <v>1</v>
      </c>
      <c r="AR763" t="s">
        <v>0</v>
      </c>
      <c r="AT763" s="2" t="s">
        <v>19</v>
      </c>
      <c r="AU763" s="1" t="e">
        <f t="shared" si="99"/>
        <v>#VALUE!</v>
      </c>
      <c r="AV763" s="1" t="e">
        <f t="shared" si="100"/>
        <v>#VALUE!</v>
      </c>
      <c r="AW763" s="1" t="e">
        <f t="shared" si="101"/>
        <v>#VALUE!</v>
      </c>
    </row>
    <row r="764" spans="1:49" x14ac:dyDescent="0.2">
      <c r="A764">
        <v>762</v>
      </c>
      <c r="B764" t="s">
        <v>1398</v>
      </c>
      <c r="F764" t="s">
        <v>1397</v>
      </c>
      <c r="G764" t="s">
        <v>15</v>
      </c>
      <c r="H764" t="s">
        <v>14</v>
      </c>
      <c r="I764" t="s">
        <v>1396</v>
      </c>
      <c r="J764">
        <v>60021095</v>
      </c>
      <c r="K764" t="s">
        <v>1089</v>
      </c>
      <c r="M764" t="s">
        <v>1088</v>
      </c>
      <c r="N764">
        <v>3</v>
      </c>
      <c r="O764" t="s">
        <v>1395</v>
      </c>
      <c r="P764" t="s">
        <v>1394</v>
      </c>
      <c r="Q764" t="s">
        <v>1393</v>
      </c>
      <c r="R764" s="7">
        <v>32143</v>
      </c>
      <c r="S764" s="8">
        <f t="shared" si="96"/>
        <v>1988</v>
      </c>
      <c r="T764" s="8">
        <v>1988</v>
      </c>
      <c r="U764" s="8">
        <f t="shared" si="97"/>
        <v>34</v>
      </c>
      <c r="V764" s="7">
        <v>1988</v>
      </c>
      <c r="W764" t="s">
        <v>1086</v>
      </c>
      <c r="X764" s="2" t="s">
        <v>19</v>
      </c>
      <c r="Y764" s="6" t="e">
        <f t="shared" si="94"/>
        <v>#VALUE!</v>
      </c>
      <c r="AA764">
        <v>12777</v>
      </c>
      <c r="AB764">
        <v>39087</v>
      </c>
      <c r="AD764" t="s">
        <v>4</v>
      </c>
      <c r="AE764">
        <v>22</v>
      </c>
      <c r="AF764">
        <v>1</v>
      </c>
      <c r="AH764" t="s">
        <v>1392</v>
      </c>
      <c r="AI764" t="s">
        <v>1391</v>
      </c>
      <c r="AK764" t="s">
        <v>1390</v>
      </c>
      <c r="AL764">
        <v>2</v>
      </c>
      <c r="AM764" s="5">
        <f t="shared" si="98"/>
        <v>5.8823529411764705E-2</v>
      </c>
      <c r="AN764" s="4">
        <f t="shared" si="95"/>
        <v>8.9092812437356614E-5</v>
      </c>
      <c r="AO764" s="3"/>
      <c r="AP764">
        <v>0</v>
      </c>
      <c r="AR764" t="s">
        <v>0</v>
      </c>
      <c r="AT764" s="2" t="s">
        <v>19</v>
      </c>
      <c r="AU764" s="1" t="e">
        <f t="shared" si="99"/>
        <v>#VALUE!</v>
      </c>
      <c r="AV764" s="1" t="e">
        <f t="shared" si="100"/>
        <v>#VALUE!</v>
      </c>
      <c r="AW764" s="1" t="e">
        <f t="shared" si="101"/>
        <v>#VALUE!</v>
      </c>
    </row>
    <row r="765" spans="1:49" x14ac:dyDescent="0.2">
      <c r="A765">
        <v>763</v>
      </c>
      <c r="B765" t="s">
        <v>1389</v>
      </c>
      <c r="C765" t="s">
        <v>1388</v>
      </c>
      <c r="F765" t="s">
        <v>1387</v>
      </c>
      <c r="G765" t="s">
        <v>15</v>
      </c>
      <c r="H765" t="s">
        <v>14</v>
      </c>
      <c r="I765" t="s">
        <v>1386</v>
      </c>
      <c r="J765">
        <v>60022403</v>
      </c>
      <c r="K765" t="s">
        <v>1385</v>
      </c>
      <c r="L765" t="s">
        <v>1384</v>
      </c>
      <c r="M765" t="s">
        <v>839</v>
      </c>
      <c r="N765">
        <v>1</v>
      </c>
      <c r="O765" t="s">
        <v>1383</v>
      </c>
      <c r="P765">
        <v>7005691179</v>
      </c>
      <c r="Q765">
        <v>60022403</v>
      </c>
      <c r="R765" s="7">
        <v>32143</v>
      </c>
      <c r="S765" s="8">
        <f t="shared" si="96"/>
        <v>1988</v>
      </c>
      <c r="T765" s="8">
        <v>1988</v>
      </c>
      <c r="U765" s="8">
        <f t="shared" si="97"/>
        <v>34</v>
      </c>
      <c r="V765" s="7">
        <v>32143</v>
      </c>
      <c r="W765" t="s">
        <v>1073</v>
      </c>
      <c r="X765" s="2">
        <v>1.3720000000000001</v>
      </c>
      <c r="Y765" s="6">
        <f t="shared" si="94"/>
        <v>3.662475641333654E-2</v>
      </c>
      <c r="AA765">
        <v>189480</v>
      </c>
      <c r="AB765">
        <v>17366</v>
      </c>
      <c r="AC765">
        <v>15579670</v>
      </c>
      <c r="AD765" t="s">
        <v>4</v>
      </c>
      <c r="AE765">
        <v>36</v>
      </c>
      <c r="AF765">
        <v>1</v>
      </c>
      <c r="AH765" t="s">
        <v>1382</v>
      </c>
      <c r="AI765" t="s">
        <v>1381</v>
      </c>
      <c r="AK765" t="s">
        <v>1380</v>
      </c>
      <c r="AL765">
        <v>26</v>
      </c>
      <c r="AM765" s="5">
        <f t="shared" si="98"/>
        <v>0.76470588235294112</v>
      </c>
      <c r="AN765" s="4">
        <f t="shared" si="95"/>
        <v>1.1582065616856359E-3</v>
      </c>
      <c r="AO765" s="3"/>
      <c r="AP765">
        <v>0</v>
      </c>
      <c r="AR765" t="s">
        <v>0</v>
      </c>
      <c r="AT765" s="2" t="s">
        <v>19</v>
      </c>
      <c r="AU765" s="1">
        <f t="shared" si="99"/>
        <v>2.5984791457841263</v>
      </c>
      <c r="AV765" s="1">
        <f t="shared" si="100"/>
        <v>1.8891481487511088</v>
      </c>
      <c r="AW765" s="1">
        <f t="shared" si="101"/>
        <v>1.1798171517180907</v>
      </c>
    </row>
    <row r="766" spans="1:49" x14ac:dyDescent="0.2">
      <c r="A766">
        <v>764</v>
      </c>
      <c r="B766" t="s">
        <v>1379</v>
      </c>
      <c r="C766" t="s">
        <v>1378</v>
      </c>
      <c r="E766">
        <v>2446856</v>
      </c>
      <c r="F766" t="s">
        <v>1377</v>
      </c>
      <c r="G766" t="s">
        <v>15</v>
      </c>
      <c r="H766" t="s">
        <v>14</v>
      </c>
      <c r="I766" t="s">
        <v>1376</v>
      </c>
      <c r="J766">
        <v>60017777</v>
      </c>
      <c r="K766" t="s">
        <v>1375</v>
      </c>
      <c r="L766" t="s">
        <v>1374</v>
      </c>
      <c r="M766" t="s">
        <v>31</v>
      </c>
      <c r="N766">
        <v>4</v>
      </c>
      <c r="O766" t="s">
        <v>1373</v>
      </c>
      <c r="P766" t="s">
        <v>1372</v>
      </c>
      <c r="Q766" t="s">
        <v>1371</v>
      </c>
      <c r="R766" s="7">
        <v>32143</v>
      </c>
      <c r="S766" s="8">
        <f t="shared" si="96"/>
        <v>1988</v>
      </c>
      <c r="T766" s="8">
        <v>1988</v>
      </c>
      <c r="U766" s="8">
        <f t="shared" si="97"/>
        <v>34</v>
      </c>
      <c r="V766" s="7">
        <v>32143</v>
      </c>
      <c r="W766" t="s">
        <v>1370</v>
      </c>
      <c r="X766" s="2">
        <v>1.6739999999999999</v>
      </c>
      <c r="Y766" s="6">
        <f t="shared" si="94"/>
        <v>4.4686473932890207E-2</v>
      </c>
      <c r="AA766">
        <v>137227</v>
      </c>
      <c r="AB766">
        <v>26061</v>
      </c>
      <c r="AC766">
        <v>19457170</v>
      </c>
      <c r="AD766" t="s">
        <v>4</v>
      </c>
      <c r="AE766">
        <v>122</v>
      </c>
      <c r="AF766">
        <v>1</v>
      </c>
      <c r="AH766" t="s">
        <v>1369</v>
      </c>
      <c r="AI766" t="s">
        <v>1368</v>
      </c>
      <c r="AK766" t="s">
        <v>1367</v>
      </c>
      <c r="AL766">
        <v>63</v>
      </c>
      <c r="AM766" s="5">
        <f t="shared" si="98"/>
        <v>1.8529411764705883</v>
      </c>
      <c r="AN766" s="4">
        <f t="shared" si="95"/>
        <v>2.8064235917767337E-3</v>
      </c>
      <c r="AO766" s="3"/>
      <c r="AP766">
        <v>0</v>
      </c>
      <c r="AR766" t="s">
        <v>0</v>
      </c>
      <c r="AT766" s="2">
        <v>4.7359999999999998</v>
      </c>
      <c r="AU766" s="1">
        <f t="shared" si="99"/>
        <v>3.2122458830556164</v>
      </c>
      <c r="AV766" s="1">
        <f t="shared" si="100"/>
        <v>2.3746448762333472</v>
      </c>
      <c r="AW766" s="1">
        <f t="shared" si="101"/>
        <v>1.5370438694110775</v>
      </c>
    </row>
    <row r="767" spans="1:49" x14ac:dyDescent="0.2">
      <c r="A767">
        <v>765</v>
      </c>
      <c r="B767" t="s">
        <v>1366</v>
      </c>
      <c r="C767" t="s">
        <v>1365</v>
      </c>
      <c r="E767">
        <v>3279142</v>
      </c>
      <c r="F767" t="s">
        <v>1364</v>
      </c>
      <c r="G767" t="s">
        <v>15</v>
      </c>
      <c r="H767" t="s">
        <v>14</v>
      </c>
      <c r="I767" t="s">
        <v>1363</v>
      </c>
      <c r="J767" t="s">
        <v>1362</v>
      </c>
      <c r="K767" t="s">
        <v>1361</v>
      </c>
      <c r="L767" t="s">
        <v>1360</v>
      </c>
      <c r="M767" t="s">
        <v>9</v>
      </c>
      <c r="N767">
        <v>5</v>
      </c>
      <c r="O767" t="s">
        <v>1359</v>
      </c>
      <c r="P767" t="s">
        <v>1358</v>
      </c>
      <c r="Q767" t="s">
        <v>1357</v>
      </c>
      <c r="R767" s="7">
        <v>32143</v>
      </c>
      <c r="S767" s="8">
        <f t="shared" si="96"/>
        <v>1988</v>
      </c>
      <c r="T767" s="8">
        <v>1988</v>
      </c>
      <c r="U767" s="8">
        <f t="shared" si="97"/>
        <v>34</v>
      </c>
      <c r="V767" s="7">
        <v>1988</v>
      </c>
      <c r="W767" t="s">
        <v>644</v>
      </c>
      <c r="X767" s="2">
        <v>0.89600000000000002</v>
      </c>
      <c r="Y767" s="6">
        <f t="shared" si="94"/>
        <v>2.3918208269934065E-2</v>
      </c>
      <c r="AA767">
        <v>2656736</v>
      </c>
      <c r="AB767">
        <v>29901</v>
      </c>
      <c r="AD767" t="s">
        <v>4</v>
      </c>
      <c r="AE767">
        <v>4</v>
      </c>
      <c r="AF767">
        <v>1</v>
      </c>
      <c r="AH767" t="s">
        <v>1356</v>
      </c>
      <c r="AI767" t="s">
        <v>1355</v>
      </c>
      <c r="AJ767" t="s">
        <v>1354</v>
      </c>
      <c r="AK767" t="s">
        <v>1353</v>
      </c>
      <c r="AL767">
        <v>30</v>
      </c>
      <c r="AM767" s="5">
        <f t="shared" si="98"/>
        <v>0.88235294117647056</v>
      </c>
      <c r="AN767" s="4">
        <f t="shared" si="95"/>
        <v>1.3363921865603492E-3</v>
      </c>
      <c r="AO767" s="3"/>
      <c r="AP767">
        <v>0</v>
      </c>
      <c r="AQ767" t="s">
        <v>815</v>
      </c>
      <c r="AR767" t="s">
        <v>1352</v>
      </c>
      <c r="AS767" t="s">
        <v>814</v>
      </c>
      <c r="AT767" s="2">
        <v>3.9140000000000001</v>
      </c>
      <c r="AU767" s="1">
        <f t="shared" si="99"/>
        <v>1.7143663444921946</v>
      </c>
      <c r="AV767" s="1">
        <f t="shared" si="100"/>
        <v>1.2627300228247207</v>
      </c>
      <c r="AW767" s="1">
        <f t="shared" si="101"/>
        <v>0.81109370115724633</v>
      </c>
    </row>
    <row r="768" spans="1:49" x14ac:dyDescent="0.2">
      <c r="A768">
        <v>766</v>
      </c>
      <c r="B768" t="s">
        <v>1351</v>
      </c>
      <c r="C768" t="s">
        <v>1350</v>
      </c>
      <c r="F768" t="s">
        <v>1349</v>
      </c>
      <c r="G768" t="s">
        <v>15</v>
      </c>
      <c r="H768" t="s">
        <v>14</v>
      </c>
      <c r="I768" t="s">
        <v>1348</v>
      </c>
      <c r="J768">
        <v>60011073</v>
      </c>
      <c r="K768" t="s">
        <v>1347</v>
      </c>
      <c r="L768" t="s">
        <v>1346</v>
      </c>
      <c r="M768" t="s">
        <v>31</v>
      </c>
      <c r="N768">
        <v>1</v>
      </c>
      <c r="O768" t="s">
        <v>1345</v>
      </c>
      <c r="P768">
        <v>6701798691</v>
      </c>
      <c r="Q768">
        <v>60011073</v>
      </c>
      <c r="R768" s="7">
        <v>32143</v>
      </c>
      <c r="S768" s="8">
        <f t="shared" si="96"/>
        <v>1988</v>
      </c>
      <c r="T768" s="8">
        <v>1988</v>
      </c>
      <c r="U768" s="8">
        <f t="shared" si="97"/>
        <v>34</v>
      </c>
      <c r="V768" s="7">
        <v>32143</v>
      </c>
      <c r="W768" t="s">
        <v>69</v>
      </c>
      <c r="X768" s="2">
        <v>1.6519999999999999</v>
      </c>
      <c r="Y768" s="6">
        <f t="shared" si="94"/>
        <v>4.409919649769093E-2</v>
      </c>
      <c r="AA768" t="s">
        <v>68</v>
      </c>
      <c r="AB768">
        <v>17337</v>
      </c>
      <c r="AC768">
        <v>15582221</v>
      </c>
      <c r="AD768" t="s">
        <v>4</v>
      </c>
      <c r="AE768">
        <v>36</v>
      </c>
      <c r="AF768">
        <v>1</v>
      </c>
      <c r="AH768" t="s">
        <v>1344</v>
      </c>
      <c r="AI768" t="s">
        <v>1343</v>
      </c>
      <c r="AK768" t="s">
        <v>1342</v>
      </c>
      <c r="AL768">
        <v>34</v>
      </c>
      <c r="AM768" s="5">
        <f t="shared" si="98"/>
        <v>1</v>
      </c>
      <c r="AN768" s="4">
        <f t="shared" si="95"/>
        <v>1.5145778114350624E-3</v>
      </c>
      <c r="AO768" s="3"/>
      <c r="AP768">
        <v>0</v>
      </c>
      <c r="AR768" t="s">
        <v>0</v>
      </c>
      <c r="AT768" s="2" t="s">
        <v>19</v>
      </c>
      <c r="AU768" s="1">
        <f t="shared" si="99"/>
        <v>3.132381089181417</v>
      </c>
      <c r="AV768" s="1">
        <f t="shared" si="100"/>
        <v>2.2806887154562996</v>
      </c>
      <c r="AW768" s="1">
        <f t="shared" si="101"/>
        <v>1.4289963417311822</v>
      </c>
    </row>
    <row r="769" spans="1:49" x14ac:dyDescent="0.2">
      <c r="A769">
        <v>767</v>
      </c>
      <c r="B769" t="s">
        <v>1341</v>
      </c>
      <c r="C769" t="s">
        <v>1340</v>
      </c>
      <c r="F769" t="s">
        <v>1339</v>
      </c>
      <c r="G769" t="s">
        <v>15</v>
      </c>
      <c r="H769" t="s">
        <v>14</v>
      </c>
      <c r="I769" t="s">
        <v>1338</v>
      </c>
      <c r="J769">
        <v>60022313</v>
      </c>
      <c r="K769" t="s">
        <v>1337</v>
      </c>
      <c r="L769" t="s">
        <v>1336</v>
      </c>
      <c r="M769" t="s">
        <v>211</v>
      </c>
      <c r="N769">
        <v>3</v>
      </c>
      <c r="O769" t="s">
        <v>1335</v>
      </c>
      <c r="P769" t="s">
        <v>1334</v>
      </c>
      <c r="Q769" t="s">
        <v>1333</v>
      </c>
      <c r="R769" s="7">
        <v>32143</v>
      </c>
      <c r="S769" s="8">
        <f t="shared" si="96"/>
        <v>1988</v>
      </c>
      <c r="T769" s="8">
        <v>1988</v>
      </c>
      <c r="U769" s="8">
        <f t="shared" si="97"/>
        <v>34</v>
      </c>
      <c r="V769" s="7">
        <v>32143</v>
      </c>
      <c r="W769" t="s">
        <v>1225</v>
      </c>
      <c r="X769" s="2">
        <v>0.111</v>
      </c>
      <c r="Y769" s="6">
        <f t="shared" si="94"/>
        <v>2.9630816048690639E-3</v>
      </c>
      <c r="AA769">
        <v>87566621</v>
      </c>
      <c r="AB769">
        <v>24890</v>
      </c>
      <c r="AC769">
        <v>15206424</v>
      </c>
      <c r="AD769" t="s">
        <v>4</v>
      </c>
      <c r="AE769">
        <v>71</v>
      </c>
      <c r="AF769">
        <v>1</v>
      </c>
      <c r="AH769" t="s">
        <v>1332</v>
      </c>
      <c r="AI769" t="s">
        <v>1331</v>
      </c>
      <c r="AK769" t="s">
        <v>1330</v>
      </c>
      <c r="AL769">
        <v>0</v>
      </c>
      <c r="AM769" s="5">
        <f t="shared" si="98"/>
        <v>0</v>
      </c>
      <c r="AN769" s="4">
        <f t="shared" si="95"/>
        <v>0</v>
      </c>
      <c r="AO769" s="3"/>
      <c r="AP769">
        <v>0</v>
      </c>
      <c r="AR769" t="s">
        <v>0</v>
      </c>
      <c r="AT769" s="2" t="s">
        <v>19</v>
      </c>
      <c r="AU769" s="1">
        <f t="shared" si="99"/>
        <v>0.20741571234083445</v>
      </c>
      <c r="AV769" s="1">
        <f t="shared" si="100"/>
        <v>0.1481540802434532</v>
      </c>
      <c r="AW769" s="1">
        <f t="shared" si="101"/>
        <v>8.8892448146071903E-2</v>
      </c>
    </row>
    <row r="770" spans="1:49" x14ac:dyDescent="0.2">
      <c r="A770">
        <v>768</v>
      </c>
      <c r="B770" t="s">
        <v>1329</v>
      </c>
      <c r="C770" t="s">
        <v>1328</v>
      </c>
      <c r="F770" t="s">
        <v>1327</v>
      </c>
      <c r="G770" t="s">
        <v>15</v>
      </c>
      <c r="H770" t="s">
        <v>14</v>
      </c>
      <c r="I770" t="s">
        <v>1326</v>
      </c>
      <c r="J770">
        <v>60025778</v>
      </c>
      <c r="K770" t="s">
        <v>1325</v>
      </c>
      <c r="L770" t="s">
        <v>1324</v>
      </c>
      <c r="M770" t="s">
        <v>31</v>
      </c>
      <c r="N770">
        <v>3</v>
      </c>
      <c r="O770" t="s">
        <v>1323</v>
      </c>
      <c r="P770" t="s">
        <v>1322</v>
      </c>
      <c r="Q770" t="s">
        <v>1321</v>
      </c>
      <c r="R770" s="7">
        <v>32143</v>
      </c>
      <c r="S770" s="8">
        <f t="shared" si="96"/>
        <v>1988</v>
      </c>
      <c r="T770" s="8">
        <v>1988</v>
      </c>
      <c r="U770" s="8">
        <f t="shared" si="97"/>
        <v>34</v>
      </c>
      <c r="V770" s="7" t="s">
        <v>1320</v>
      </c>
      <c r="W770" t="s">
        <v>1319</v>
      </c>
      <c r="X770" s="2">
        <v>1.19</v>
      </c>
      <c r="Y770" s="6">
        <f t="shared" ref="Y770:Y833" si="102">(X770-$Z$4)/($Z$3-$Z$4)</f>
        <v>3.1766370358506178E-2</v>
      </c>
      <c r="AA770">
        <v>939994</v>
      </c>
      <c r="AB770">
        <v>17361</v>
      </c>
      <c r="AC770">
        <v>19399367</v>
      </c>
      <c r="AD770" t="s">
        <v>4</v>
      </c>
      <c r="AE770">
        <v>24</v>
      </c>
      <c r="AF770">
        <v>2</v>
      </c>
      <c r="AH770" t="s">
        <v>1318</v>
      </c>
      <c r="AI770" t="s">
        <v>1317</v>
      </c>
      <c r="AK770" t="s">
        <v>1316</v>
      </c>
      <c r="AL770">
        <v>3</v>
      </c>
      <c r="AM770" s="5">
        <f t="shared" si="98"/>
        <v>8.8235294117647065E-2</v>
      </c>
      <c r="AN770" s="4">
        <f t="shared" ref="AN770:AN833" si="103">(AM770-$AO$4)/($AO$3-$AO$4)</f>
        <v>1.3363921865603494E-4</v>
      </c>
      <c r="AO770" s="3"/>
      <c r="AP770">
        <v>0</v>
      </c>
      <c r="AR770" t="s">
        <v>0</v>
      </c>
      <c r="AT770" s="2" t="s">
        <v>19</v>
      </c>
      <c r="AU770" s="1">
        <f t="shared" si="99"/>
        <v>2.2276551016551136</v>
      </c>
      <c r="AV770" s="1">
        <f t="shared" si="100"/>
        <v>1.5950004788581107</v>
      </c>
      <c r="AW770" s="1">
        <f t="shared" si="101"/>
        <v>0.96234585606110778</v>
      </c>
    </row>
    <row r="771" spans="1:49" x14ac:dyDescent="0.2">
      <c r="A771">
        <v>769</v>
      </c>
      <c r="B771" t="s">
        <v>1315</v>
      </c>
      <c r="C771" t="s">
        <v>1314</v>
      </c>
      <c r="F771" t="s">
        <v>1313</v>
      </c>
      <c r="G771" t="s">
        <v>15</v>
      </c>
      <c r="H771" t="s">
        <v>14</v>
      </c>
      <c r="I771" t="s">
        <v>1312</v>
      </c>
      <c r="N771">
        <v>5</v>
      </c>
      <c r="O771" t="s">
        <v>1311</v>
      </c>
      <c r="P771" t="s">
        <v>1310</v>
      </c>
      <c r="Q771" t="s">
        <v>1309</v>
      </c>
      <c r="R771" s="7">
        <v>32143</v>
      </c>
      <c r="S771" s="8">
        <f t="shared" si="96"/>
        <v>1988</v>
      </c>
      <c r="T771" s="8">
        <v>1988</v>
      </c>
      <c r="U771" s="8">
        <f t="shared" si="97"/>
        <v>34</v>
      </c>
      <c r="V771" s="7" t="s">
        <v>1308</v>
      </c>
      <c r="W771" t="s">
        <v>1307</v>
      </c>
      <c r="X771" s="2">
        <v>0.371</v>
      </c>
      <c r="Y771" s="6">
        <f t="shared" si="102"/>
        <v>9.9036331117695747E-3</v>
      </c>
      <c r="AA771">
        <v>486604</v>
      </c>
      <c r="AB771">
        <v>28580</v>
      </c>
      <c r="AC771" t="s">
        <v>1306</v>
      </c>
      <c r="AD771" t="s">
        <v>4</v>
      </c>
      <c r="AE771">
        <v>23</v>
      </c>
      <c r="AF771">
        <v>1</v>
      </c>
      <c r="AH771" t="s">
        <v>1305</v>
      </c>
      <c r="AI771" t="s">
        <v>1304</v>
      </c>
      <c r="AK771" t="s">
        <v>1303</v>
      </c>
      <c r="AL771">
        <v>13</v>
      </c>
      <c r="AM771" s="5">
        <f t="shared" si="98"/>
        <v>0.38235294117647056</v>
      </c>
      <c r="AN771" s="4">
        <f t="shared" si="103"/>
        <v>5.7910328084281794E-4</v>
      </c>
      <c r="AO771" s="3"/>
      <c r="AP771">
        <v>0</v>
      </c>
      <c r="AR771" t="s">
        <v>0</v>
      </c>
      <c r="AT771" s="2">
        <v>1.431</v>
      </c>
      <c r="AU771" s="1">
        <f t="shared" si="99"/>
        <v>0.71062741624915471</v>
      </c>
      <c r="AV771" s="1">
        <f t="shared" si="100"/>
        <v>0.52413681963061964</v>
      </c>
      <c r="AW771" s="1">
        <f t="shared" si="101"/>
        <v>0.33764622301208447</v>
      </c>
    </row>
    <row r="772" spans="1:49" x14ac:dyDescent="0.2">
      <c r="A772">
        <v>770</v>
      </c>
      <c r="B772" t="s">
        <v>1302</v>
      </c>
      <c r="C772" t="s">
        <v>1301</v>
      </c>
      <c r="F772" t="s">
        <v>1300</v>
      </c>
      <c r="G772" t="s">
        <v>15</v>
      </c>
      <c r="H772" t="s">
        <v>14</v>
      </c>
      <c r="I772" t="s">
        <v>1299</v>
      </c>
      <c r="J772" t="s">
        <v>1298</v>
      </c>
      <c r="K772" t="s">
        <v>1297</v>
      </c>
      <c r="L772" t="s">
        <v>1296</v>
      </c>
      <c r="M772" t="s">
        <v>1295</v>
      </c>
      <c r="N772">
        <v>5</v>
      </c>
      <c r="O772" t="s">
        <v>1294</v>
      </c>
      <c r="P772" t="s">
        <v>1293</v>
      </c>
      <c r="Q772" t="s">
        <v>1292</v>
      </c>
      <c r="R772" s="7">
        <v>32143</v>
      </c>
      <c r="S772" s="8">
        <f t="shared" si="96"/>
        <v>1988</v>
      </c>
      <c r="T772" s="8">
        <v>1988</v>
      </c>
      <c r="U772" s="8">
        <f t="shared" si="97"/>
        <v>34</v>
      </c>
      <c r="V772" s="7">
        <v>1988</v>
      </c>
      <c r="W772" t="s">
        <v>56</v>
      </c>
      <c r="X772" s="2">
        <v>0.375</v>
      </c>
      <c r="Y772" s="6">
        <f t="shared" si="102"/>
        <v>1.0010410827260351E-2</v>
      </c>
      <c r="AA772">
        <v>135194</v>
      </c>
      <c r="AB772">
        <v>24918</v>
      </c>
      <c r="AD772" t="s">
        <v>4</v>
      </c>
      <c r="AE772">
        <v>24</v>
      </c>
      <c r="AF772">
        <v>2</v>
      </c>
      <c r="AH772" t="s">
        <v>1291</v>
      </c>
      <c r="AI772" t="s">
        <v>1290</v>
      </c>
      <c r="AJ772" t="s">
        <v>1289</v>
      </c>
      <c r="AK772" t="s">
        <v>1288</v>
      </c>
      <c r="AL772">
        <v>14</v>
      </c>
      <c r="AM772" s="5">
        <f t="shared" si="98"/>
        <v>0.41176470588235292</v>
      </c>
      <c r="AN772" s="4">
        <f t="shared" si="103"/>
        <v>6.2364968706149634E-4</v>
      </c>
      <c r="AO772" s="3"/>
      <c r="AP772">
        <v>0</v>
      </c>
      <c r="AR772" t="s">
        <v>0</v>
      </c>
      <c r="AT772" s="2">
        <v>1.3140000000000001</v>
      </c>
      <c r="AU772" s="1">
        <f t="shared" si="99"/>
        <v>0.71943824852006943</v>
      </c>
      <c r="AV772" s="1">
        <f t="shared" si="100"/>
        <v>0.5317030257160924</v>
      </c>
      <c r="AW772" s="1">
        <f t="shared" si="101"/>
        <v>0.34396780291211526</v>
      </c>
    </row>
    <row r="773" spans="1:49" x14ac:dyDescent="0.2">
      <c r="A773">
        <v>771</v>
      </c>
      <c r="B773" t="s">
        <v>1287</v>
      </c>
      <c r="C773" t="s">
        <v>1286</v>
      </c>
      <c r="F773" t="s">
        <v>1285</v>
      </c>
      <c r="G773" t="s">
        <v>15</v>
      </c>
      <c r="H773" t="s">
        <v>14</v>
      </c>
      <c r="I773" t="s">
        <v>1284</v>
      </c>
      <c r="J773" t="s">
        <v>1283</v>
      </c>
      <c r="K773" t="s">
        <v>1282</v>
      </c>
      <c r="L773" t="s">
        <v>1281</v>
      </c>
      <c r="M773" t="s">
        <v>1280</v>
      </c>
      <c r="N773">
        <v>2</v>
      </c>
      <c r="O773" t="s">
        <v>1279</v>
      </c>
      <c r="P773" t="s">
        <v>1278</v>
      </c>
      <c r="Q773" t="s">
        <v>1277</v>
      </c>
      <c r="R773" s="7">
        <v>32143</v>
      </c>
      <c r="S773" s="8">
        <f t="shared" si="96"/>
        <v>1988</v>
      </c>
      <c r="T773" s="8">
        <v>1988</v>
      </c>
      <c r="U773" s="8">
        <f t="shared" si="97"/>
        <v>34</v>
      </c>
      <c r="V773" s="7">
        <v>32143</v>
      </c>
      <c r="W773" t="s">
        <v>1073</v>
      </c>
      <c r="X773" s="2">
        <v>1.3720000000000001</v>
      </c>
      <c r="Y773" s="6">
        <f t="shared" si="102"/>
        <v>3.662475641333654E-2</v>
      </c>
      <c r="AA773">
        <v>189480</v>
      </c>
      <c r="AB773">
        <v>17366</v>
      </c>
      <c r="AC773">
        <v>15579670</v>
      </c>
      <c r="AD773" t="s">
        <v>4</v>
      </c>
      <c r="AE773">
        <v>36</v>
      </c>
      <c r="AF773">
        <v>1</v>
      </c>
      <c r="AH773" t="s">
        <v>1276</v>
      </c>
      <c r="AI773" t="s">
        <v>1275</v>
      </c>
      <c r="AK773" t="s">
        <v>1274</v>
      </c>
      <c r="AL773">
        <v>22</v>
      </c>
      <c r="AM773" s="5">
        <f t="shared" si="98"/>
        <v>0.6470588235294118</v>
      </c>
      <c r="AN773" s="4">
        <f t="shared" si="103"/>
        <v>9.8002093681092274E-4</v>
      </c>
      <c r="AO773" s="3"/>
      <c r="AP773">
        <v>0</v>
      </c>
      <c r="AQ773" t="s">
        <v>1273</v>
      </c>
      <c r="AR773" t="s">
        <v>1272</v>
      </c>
      <c r="AS773" t="s">
        <v>1271</v>
      </c>
      <c r="AT773" s="2" t="s">
        <v>19</v>
      </c>
      <c r="AU773" s="1">
        <f t="shared" si="99"/>
        <v>2.5931335770378854</v>
      </c>
      <c r="AV773" s="1">
        <f t="shared" si="100"/>
        <v>1.8802388675073733</v>
      </c>
      <c r="AW773" s="1">
        <f t="shared" si="101"/>
        <v>1.1673441579768609</v>
      </c>
    </row>
    <row r="774" spans="1:49" x14ac:dyDescent="0.2">
      <c r="A774">
        <v>772</v>
      </c>
      <c r="B774" t="s">
        <v>1270</v>
      </c>
      <c r="C774" t="s">
        <v>1269</v>
      </c>
      <c r="F774" t="s">
        <v>1268</v>
      </c>
      <c r="G774" t="s">
        <v>15</v>
      </c>
      <c r="H774" t="s">
        <v>14</v>
      </c>
      <c r="I774" t="s">
        <v>1267</v>
      </c>
      <c r="J774" t="s">
        <v>1266</v>
      </c>
      <c r="K774" t="s">
        <v>1265</v>
      </c>
      <c r="L774" t="s">
        <v>1264</v>
      </c>
      <c r="M774" t="s">
        <v>352</v>
      </c>
      <c r="N774">
        <v>4</v>
      </c>
      <c r="O774" t="s">
        <v>1263</v>
      </c>
      <c r="P774" t="s">
        <v>1262</v>
      </c>
      <c r="Q774" t="s">
        <v>1261</v>
      </c>
      <c r="R774" s="7">
        <v>32143</v>
      </c>
      <c r="S774" s="8">
        <f t="shared" si="96"/>
        <v>1988</v>
      </c>
      <c r="T774" s="8">
        <v>1988</v>
      </c>
      <c r="U774" s="8">
        <f t="shared" si="97"/>
        <v>34</v>
      </c>
      <c r="V774" s="7">
        <v>1988</v>
      </c>
      <c r="W774" t="s">
        <v>1033</v>
      </c>
      <c r="X774" s="2">
        <v>0.13900000000000001</v>
      </c>
      <c r="Y774" s="6">
        <f t="shared" si="102"/>
        <v>3.7105256133045036E-3</v>
      </c>
      <c r="AA774" t="s">
        <v>1032</v>
      </c>
      <c r="AB774">
        <v>24891</v>
      </c>
      <c r="AC774">
        <v>15206432</v>
      </c>
      <c r="AD774" t="s">
        <v>4</v>
      </c>
      <c r="AE774">
        <v>71</v>
      </c>
      <c r="AF774">
        <v>1</v>
      </c>
      <c r="AH774" t="s">
        <v>1260</v>
      </c>
      <c r="AI774" t="s">
        <v>1259</v>
      </c>
      <c r="AK774" t="s">
        <v>1258</v>
      </c>
      <c r="AL774">
        <v>0</v>
      </c>
      <c r="AM774" s="5">
        <f t="shared" si="98"/>
        <v>0</v>
      </c>
      <c r="AN774" s="4">
        <f t="shared" si="103"/>
        <v>0</v>
      </c>
      <c r="AO774" s="3"/>
      <c r="AP774">
        <v>0</v>
      </c>
      <c r="AR774" t="s">
        <v>0</v>
      </c>
      <c r="AT774" s="2" t="s">
        <v>19</v>
      </c>
      <c r="AU774" s="1">
        <f t="shared" si="99"/>
        <v>0.25973679293131524</v>
      </c>
      <c r="AV774" s="1">
        <f t="shared" si="100"/>
        <v>0.1855262806652252</v>
      </c>
      <c r="AW774" s="1">
        <f t="shared" si="101"/>
        <v>0.1113157683991351</v>
      </c>
    </row>
    <row r="775" spans="1:49" x14ac:dyDescent="0.2">
      <c r="A775">
        <v>773</v>
      </c>
      <c r="B775" t="s">
        <v>1257</v>
      </c>
      <c r="C775" t="s">
        <v>1256</v>
      </c>
      <c r="F775" t="s">
        <v>1255</v>
      </c>
      <c r="G775" t="s">
        <v>15</v>
      </c>
      <c r="H775" t="s">
        <v>14</v>
      </c>
      <c r="I775" t="s">
        <v>1254</v>
      </c>
      <c r="J775">
        <v>60021378</v>
      </c>
      <c r="K775" t="s">
        <v>1253</v>
      </c>
      <c r="L775" t="s">
        <v>1252</v>
      </c>
      <c r="M775" t="s">
        <v>31</v>
      </c>
      <c r="N775">
        <v>1</v>
      </c>
      <c r="O775" t="s">
        <v>1251</v>
      </c>
      <c r="P775">
        <v>56612016700</v>
      </c>
      <c r="Q775">
        <v>60021378</v>
      </c>
      <c r="R775" s="7">
        <v>32143</v>
      </c>
      <c r="S775" s="8">
        <f t="shared" ref="S775:S838" si="104">YEAR(R775)</f>
        <v>1988</v>
      </c>
      <c r="T775" s="8">
        <v>1988</v>
      </c>
      <c r="U775" s="8">
        <f t="shared" ref="U775:U838" si="105">2022-T775</f>
        <v>34</v>
      </c>
      <c r="V775" s="7">
        <v>32143</v>
      </c>
      <c r="W775" t="s">
        <v>69</v>
      </c>
      <c r="X775" s="2">
        <v>1.6519999999999999</v>
      </c>
      <c r="Y775" s="6">
        <f t="shared" si="102"/>
        <v>4.409919649769093E-2</v>
      </c>
      <c r="AA775" t="s">
        <v>68</v>
      </c>
      <c r="AB775">
        <v>17337</v>
      </c>
      <c r="AC775">
        <v>15582221</v>
      </c>
      <c r="AD775" t="s">
        <v>4</v>
      </c>
      <c r="AE775">
        <v>36</v>
      </c>
      <c r="AF775">
        <v>1</v>
      </c>
      <c r="AH775" t="s">
        <v>1250</v>
      </c>
      <c r="AI775" t="s">
        <v>1249</v>
      </c>
      <c r="AK775" t="s">
        <v>1248</v>
      </c>
      <c r="AL775">
        <v>8</v>
      </c>
      <c r="AM775" s="5">
        <f t="shared" ref="AM775:AM838" si="106">AL775/U775</f>
        <v>0.23529411764705882</v>
      </c>
      <c r="AN775" s="4">
        <f t="shared" si="103"/>
        <v>3.5637124974942646E-4</v>
      </c>
      <c r="AO775" s="3"/>
      <c r="AP775">
        <v>0</v>
      </c>
      <c r="AR775" t="s">
        <v>0</v>
      </c>
      <c r="AT775" s="2" t="s">
        <v>19</v>
      </c>
      <c r="AU775" s="1">
        <f t="shared" ref="AU775:AU838" si="107">(Y775*0.7+AN775*0.3)*100</f>
        <v>3.0976348923308481</v>
      </c>
      <c r="AV775" s="1">
        <f t="shared" ref="AV775:AV838" si="108">(Y775*0.5+AN775*0.5)*100</f>
        <v>2.2227783873720175</v>
      </c>
      <c r="AW775" s="1">
        <f t="shared" ref="AW775:AW838" si="109">(Y775*0.3+AN775*0.7)*100</f>
        <v>1.3479218824131878</v>
      </c>
    </row>
    <row r="776" spans="1:49" x14ac:dyDescent="0.2">
      <c r="A776">
        <v>774</v>
      </c>
      <c r="B776" t="s">
        <v>1247</v>
      </c>
      <c r="C776" t="s">
        <v>1246</v>
      </c>
      <c r="F776" t="s">
        <v>1245</v>
      </c>
      <c r="G776" t="s">
        <v>15</v>
      </c>
      <c r="H776" t="s">
        <v>14</v>
      </c>
      <c r="I776" t="s">
        <v>1244</v>
      </c>
      <c r="J776">
        <v>60014313</v>
      </c>
      <c r="K776" t="s">
        <v>1243</v>
      </c>
      <c r="L776" t="s">
        <v>1242</v>
      </c>
      <c r="M776" t="s">
        <v>31</v>
      </c>
      <c r="N776">
        <v>2</v>
      </c>
      <c r="O776" t="s">
        <v>1241</v>
      </c>
      <c r="P776" t="s">
        <v>1240</v>
      </c>
      <c r="Q776" t="s">
        <v>1239</v>
      </c>
      <c r="R776" s="7">
        <v>32143</v>
      </c>
      <c r="S776" s="8">
        <f t="shared" si="104"/>
        <v>1988</v>
      </c>
      <c r="T776" s="8">
        <v>1988</v>
      </c>
      <c r="U776" s="8">
        <f t="shared" si="105"/>
        <v>34</v>
      </c>
      <c r="V776" s="7">
        <v>32143</v>
      </c>
      <c r="W776" t="s">
        <v>69</v>
      </c>
      <c r="X776" s="2">
        <v>1.6519999999999999</v>
      </c>
      <c r="Y776" s="6">
        <f t="shared" si="102"/>
        <v>4.409919649769093E-2</v>
      </c>
      <c r="AA776" t="s">
        <v>68</v>
      </c>
      <c r="AB776">
        <v>17337</v>
      </c>
      <c r="AC776">
        <v>15582221</v>
      </c>
      <c r="AD776" t="s">
        <v>4</v>
      </c>
      <c r="AE776">
        <v>36</v>
      </c>
      <c r="AF776">
        <v>1</v>
      </c>
      <c r="AH776" t="s">
        <v>1238</v>
      </c>
      <c r="AI776" t="s">
        <v>1237</v>
      </c>
      <c r="AK776" t="s">
        <v>1236</v>
      </c>
      <c r="AL776">
        <v>208</v>
      </c>
      <c r="AM776" s="5">
        <f t="shared" si="106"/>
        <v>6.117647058823529</v>
      </c>
      <c r="AN776" s="4">
        <f t="shared" si="103"/>
        <v>9.2656524934850871E-3</v>
      </c>
      <c r="AO776" s="3"/>
      <c r="AP776">
        <v>0</v>
      </c>
      <c r="AQ776" t="s">
        <v>855</v>
      </c>
      <c r="AR776" t="s">
        <v>1235</v>
      </c>
      <c r="AS776" t="s">
        <v>854</v>
      </c>
      <c r="AT776" s="2" t="s">
        <v>19</v>
      </c>
      <c r="AU776" s="1">
        <f t="shared" si="107"/>
        <v>3.3649133296429179</v>
      </c>
      <c r="AV776" s="1">
        <f t="shared" si="108"/>
        <v>2.6682424495588006</v>
      </c>
      <c r="AW776" s="1">
        <f t="shared" si="109"/>
        <v>1.9715715694746838</v>
      </c>
    </row>
    <row r="777" spans="1:49" x14ac:dyDescent="0.2">
      <c r="A777">
        <v>775</v>
      </c>
      <c r="B777" t="s">
        <v>1234</v>
      </c>
      <c r="C777" t="s">
        <v>1233</v>
      </c>
      <c r="F777" t="s">
        <v>1232</v>
      </c>
      <c r="G777" t="s">
        <v>15</v>
      </c>
      <c r="H777" t="s">
        <v>14</v>
      </c>
      <c r="I777" t="s">
        <v>1231</v>
      </c>
      <c r="J777">
        <v>60011001</v>
      </c>
      <c r="K777" t="s">
        <v>1230</v>
      </c>
      <c r="L777" t="s">
        <v>1229</v>
      </c>
      <c r="M777" t="s">
        <v>211</v>
      </c>
      <c r="N777">
        <v>3</v>
      </c>
      <c r="O777" t="s">
        <v>1228</v>
      </c>
      <c r="P777" t="s">
        <v>1227</v>
      </c>
      <c r="Q777" t="s">
        <v>1226</v>
      </c>
      <c r="R777" s="7">
        <v>32143</v>
      </c>
      <c r="S777" s="8">
        <f t="shared" si="104"/>
        <v>1988</v>
      </c>
      <c r="T777" s="8">
        <v>1988</v>
      </c>
      <c r="U777" s="8">
        <f t="shared" si="105"/>
        <v>34</v>
      </c>
      <c r="V777" s="7">
        <v>32143</v>
      </c>
      <c r="W777" t="s">
        <v>1225</v>
      </c>
      <c r="X777" s="2">
        <v>0.111</v>
      </c>
      <c r="Y777" s="6">
        <f t="shared" si="102"/>
        <v>2.9630816048690639E-3</v>
      </c>
      <c r="AA777">
        <v>87566621</v>
      </c>
      <c r="AB777">
        <v>24890</v>
      </c>
      <c r="AC777">
        <v>15206424</v>
      </c>
      <c r="AD777" t="s">
        <v>4</v>
      </c>
      <c r="AE777">
        <v>71</v>
      </c>
      <c r="AF777">
        <v>1</v>
      </c>
      <c r="AH777" t="s">
        <v>1224</v>
      </c>
      <c r="AI777" t="s">
        <v>1223</v>
      </c>
      <c r="AK777" t="s">
        <v>1222</v>
      </c>
      <c r="AL777">
        <v>1</v>
      </c>
      <c r="AM777" s="5">
        <f t="shared" si="106"/>
        <v>2.9411764705882353E-2</v>
      </c>
      <c r="AN777" s="4">
        <f t="shared" si="103"/>
        <v>4.4546406218678307E-5</v>
      </c>
      <c r="AO777" s="3"/>
      <c r="AP777">
        <v>0</v>
      </c>
      <c r="AR777" t="s">
        <v>0</v>
      </c>
      <c r="AT777" s="2" t="s">
        <v>19</v>
      </c>
      <c r="AU777" s="1">
        <f t="shared" si="107"/>
        <v>0.20875210452739479</v>
      </c>
      <c r="AV777" s="1">
        <f t="shared" si="108"/>
        <v>0.15038140055438712</v>
      </c>
      <c r="AW777" s="1">
        <f t="shared" si="109"/>
        <v>9.2010696581379392E-2</v>
      </c>
    </row>
    <row r="778" spans="1:49" x14ac:dyDescent="0.2">
      <c r="A778">
        <v>776</v>
      </c>
      <c r="B778" t="s">
        <v>1221</v>
      </c>
      <c r="F778" t="s">
        <v>1220</v>
      </c>
      <c r="G778" t="s">
        <v>15</v>
      </c>
      <c r="H778" t="s">
        <v>14</v>
      </c>
      <c r="I778" t="s">
        <v>1219</v>
      </c>
      <c r="N778">
        <v>1</v>
      </c>
      <c r="O778" t="s">
        <v>1218</v>
      </c>
      <c r="P778">
        <v>35839177700</v>
      </c>
      <c r="R778" s="7">
        <v>32143</v>
      </c>
      <c r="S778" s="8">
        <f t="shared" si="104"/>
        <v>1988</v>
      </c>
      <c r="T778" s="8">
        <v>1988</v>
      </c>
      <c r="U778" s="8">
        <f t="shared" si="105"/>
        <v>34</v>
      </c>
      <c r="V778" s="7">
        <v>32143</v>
      </c>
      <c r="W778" t="s">
        <v>1217</v>
      </c>
      <c r="X778" s="2" t="s">
        <v>19</v>
      </c>
      <c r="Y778" s="6" t="e">
        <f t="shared" si="102"/>
        <v>#VALUE!</v>
      </c>
      <c r="AA778">
        <v>2650193</v>
      </c>
      <c r="AB778">
        <v>35207</v>
      </c>
      <c r="AD778" t="s">
        <v>4</v>
      </c>
      <c r="AE778">
        <v>6</v>
      </c>
      <c r="AF778">
        <v>1</v>
      </c>
      <c r="AH778" t="s">
        <v>1216</v>
      </c>
      <c r="AI778" t="s">
        <v>1215</v>
      </c>
      <c r="AK778" t="s">
        <v>1214</v>
      </c>
      <c r="AL778">
        <v>2</v>
      </c>
      <c r="AM778" s="5">
        <f t="shared" si="106"/>
        <v>5.8823529411764705E-2</v>
      </c>
      <c r="AN778" s="4">
        <f t="shared" si="103"/>
        <v>8.9092812437356614E-5</v>
      </c>
      <c r="AO778" s="3"/>
      <c r="AP778">
        <v>0</v>
      </c>
      <c r="AR778" t="s">
        <v>0</v>
      </c>
      <c r="AT778" s="2" t="s">
        <v>19</v>
      </c>
      <c r="AU778" s="1" t="e">
        <f t="shared" si="107"/>
        <v>#VALUE!</v>
      </c>
      <c r="AV778" s="1" t="e">
        <f t="shared" si="108"/>
        <v>#VALUE!</v>
      </c>
      <c r="AW778" s="1" t="e">
        <f t="shared" si="109"/>
        <v>#VALUE!</v>
      </c>
    </row>
    <row r="779" spans="1:49" x14ac:dyDescent="0.2">
      <c r="A779">
        <v>777</v>
      </c>
      <c r="B779" t="s">
        <v>1213</v>
      </c>
      <c r="C779" t="s">
        <v>1212</v>
      </c>
      <c r="F779" t="s">
        <v>1211</v>
      </c>
      <c r="G779" t="s">
        <v>15</v>
      </c>
      <c r="H779" t="s">
        <v>14</v>
      </c>
      <c r="I779" t="s">
        <v>1210</v>
      </c>
      <c r="J779">
        <v>60008134</v>
      </c>
      <c r="K779" t="s">
        <v>315</v>
      </c>
      <c r="L779" t="s">
        <v>314</v>
      </c>
      <c r="M779" t="s">
        <v>127</v>
      </c>
      <c r="N779">
        <v>2</v>
      </c>
      <c r="O779" t="s">
        <v>1209</v>
      </c>
      <c r="P779" t="s">
        <v>1208</v>
      </c>
      <c r="Q779" t="s">
        <v>1207</v>
      </c>
      <c r="R779" s="7">
        <v>32143</v>
      </c>
      <c r="S779" s="8">
        <f t="shared" si="104"/>
        <v>1988</v>
      </c>
      <c r="T779" s="8">
        <v>1988</v>
      </c>
      <c r="U779" s="8">
        <f t="shared" si="105"/>
        <v>34</v>
      </c>
      <c r="V779" s="7">
        <v>32143</v>
      </c>
      <c r="W779" t="s">
        <v>1145</v>
      </c>
      <c r="X779" s="2" t="s">
        <v>19</v>
      </c>
      <c r="Y779" s="6" t="e">
        <f t="shared" si="102"/>
        <v>#VALUE!</v>
      </c>
      <c r="AA779" t="s">
        <v>1144</v>
      </c>
      <c r="AB779">
        <v>53590</v>
      </c>
      <c r="AC779" t="s">
        <v>1143</v>
      </c>
      <c r="AD779" t="s">
        <v>4</v>
      </c>
      <c r="AE779">
        <v>197</v>
      </c>
      <c r="AF779">
        <v>1</v>
      </c>
      <c r="AH779" t="s">
        <v>1206</v>
      </c>
      <c r="AI779" t="s">
        <v>1205</v>
      </c>
      <c r="AJ779" t="s">
        <v>1204</v>
      </c>
      <c r="AK779" t="s">
        <v>1203</v>
      </c>
      <c r="AL779">
        <v>17</v>
      </c>
      <c r="AM779" s="5">
        <f t="shared" si="106"/>
        <v>0.5</v>
      </c>
      <c r="AN779" s="4">
        <f t="shared" si="103"/>
        <v>7.572889057175312E-4</v>
      </c>
      <c r="AO779" s="3"/>
      <c r="AP779">
        <v>0</v>
      </c>
      <c r="AR779" t="s">
        <v>0</v>
      </c>
      <c r="AT779" s="2" t="s">
        <v>19</v>
      </c>
      <c r="AU779" s="1" t="e">
        <f t="shared" si="107"/>
        <v>#VALUE!</v>
      </c>
      <c r="AV779" s="1" t="e">
        <f t="shared" si="108"/>
        <v>#VALUE!</v>
      </c>
      <c r="AW779" s="1" t="e">
        <f t="shared" si="109"/>
        <v>#VALUE!</v>
      </c>
    </row>
    <row r="780" spans="1:49" x14ac:dyDescent="0.2">
      <c r="A780">
        <v>778</v>
      </c>
      <c r="B780" t="s">
        <v>1202</v>
      </c>
      <c r="C780" t="s">
        <v>1201</v>
      </c>
      <c r="D780" t="s">
        <v>1200</v>
      </c>
      <c r="E780">
        <v>3335448</v>
      </c>
      <c r="F780" t="s">
        <v>1199</v>
      </c>
      <c r="G780" t="s">
        <v>15</v>
      </c>
      <c r="H780" t="s">
        <v>14</v>
      </c>
      <c r="I780" t="s">
        <v>1198</v>
      </c>
      <c r="J780">
        <v>60017412</v>
      </c>
      <c r="K780" t="s">
        <v>1197</v>
      </c>
      <c r="L780" t="s">
        <v>1196</v>
      </c>
      <c r="M780" t="s">
        <v>31</v>
      </c>
      <c r="N780">
        <v>7</v>
      </c>
      <c r="O780" t="s">
        <v>1195</v>
      </c>
      <c r="P780" t="s">
        <v>1194</v>
      </c>
      <c r="Q780" t="s">
        <v>1193</v>
      </c>
      <c r="R780" s="7">
        <v>32143</v>
      </c>
      <c r="S780" s="8">
        <f t="shared" si="104"/>
        <v>1988</v>
      </c>
      <c r="T780" s="8">
        <v>1988</v>
      </c>
      <c r="U780" s="8">
        <f t="shared" si="105"/>
        <v>34</v>
      </c>
      <c r="V780" s="7">
        <v>32143</v>
      </c>
      <c r="W780" t="s">
        <v>762</v>
      </c>
      <c r="X780" s="2" t="s">
        <v>19</v>
      </c>
      <c r="Y780" s="6" t="e">
        <f t="shared" si="102"/>
        <v>#VALUE!</v>
      </c>
      <c r="AA780">
        <v>3603016</v>
      </c>
      <c r="AB780">
        <v>17191</v>
      </c>
      <c r="AD780" t="s">
        <v>4</v>
      </c>
      <c r="AE780">
        <v>14</v>
      </c>
      <c r="AF780">
        <v>1</v>
      </c>
      <c r="AH780" t="s">
        <v>1192</v>
      </c>
      <c r="AI780" t="s">
        <v>1191</v>
      </c>
      <c r="AJ780" t="s">
        <v>1190</v>
      </c>
      <c r="AK780" t="s">
        <v>1189</v>
      </c>
      <c r="AL780">
        <v>13</v>
      </c>
      <c r="AM780" s="5">
        <f t="shared" si="106"/>
        <v>0.38235294117647056</v>
      </c>
      <c r="AN780" s="4">
        <f t="shared" si="103"/>
        <v>5.7910328084281794E-4</v>
      </c>
      <c r="AO780" s="3"/>
      <c r="AP780">
        <v>0</v>
      </c>
      <c r="AQ780" t="s">
        <v>1188</v>
      </c>
      <c r="AR780" t="s">
        <v>1187</v>
      </c>
      <c r="AS780" t="s">
        <v>1186</v>
      </c>
      <c r="AT780" s="2" t="s">
        <v>19</v>
      </c>
      <c r="AU780" s="1" t="e">
        <f t="shared" si="107"/>
        <v>#VALUE!</v>
      </c>
      <c r="AV780" s="1" t="e">
        <f t="shared" si="108"/>
        <v>#VALUE!</v>
      </c>
      <c r="AW780" s="1" t="e">
        <f t="shared" si="109"/>
        <v>#VALUE!</v>
      </c>
    </row>
    <row r="781" spans="1:49" x14ac:dyDescent="0.2">
      <c r="A781">
        <v>779</v>
      </c>
      <c r="B781" t="s">
        <v>1185</v>
      </c>
      <c r="C781" t="s">
        <v>1184</v>
      </c>
      <c r="F781" t="s">
        <v>1183</v>
      </c>
      <c r="G781" t="s">
        <v>15</v>
      </c>
      <c r="H781" t="s">
        <v>14</v>
      </c>
      <c r="I781" t="s">
        <v>1182</v>
      </c>
      <c r="J781">
        <v>60032882</v>
      </c>
      <c r="K781" t="s">
        <v>1181</v>
      </c>
      <c r="L781" t="s">
        <v>1180</v>
      </c>
      <c r="M781" t="s">
        <v>1179</v>
      </c>
      <c r="N781">
        <v>2</v>
      </c>
      <c r="O781" t="s">
        <v>1178</v>
      </c>
      <c r="P781" t="s">
        <v>1177</v>
      </c>
      <c r="Q781" t="s">
        <v>1176</v>
      </c>
      <c r="R781" s="7">
        <v>32143</v>
      </c>
      <c r="S781" s="8">
        <f t="shared" si="104"/>
        <v>1988</v>
      </c>
      <c r="T781" s="8">
        <v>1988</v>
      </c>
      <c r="U781" s="8">
        <f t="shared" si="105"/>
        <v>34</v>
      </c>
      <c r="V781" s="7">
        <v>32143</v>
      </c>
      <c r="W781" t="s">
        <v>1175</v>
      </c>
      <c r="X781" s="2">
        <v>1.218</v>
      </c>
      <c r="Y781" s="6">
        <f t="shared" si="102"/>
        <v>3.2513814366941618E-2</v>
      </c>
      <c r="AA781">
        <v>189448</v>
      </c>
      <c r="AB781">
        <v>15107</v>
      </c>
      <c r="AC781">
        <v>15579654</v>
      </c>
      <c r="AD781" t="s">
        <v>4</v>
      </c>
      <c r="AE781">
        <v>34</v>
      </c>
      <c r="AF781">
        <v>1</v>
      </c>
      <c r="AH781" t="s">
        <v>1174</v>
      </c>
      <c r="AI781" t="s">
        <v>1173</v>
      </c>
      <c r="AK781" t="s">
        <v>1172</v>
      </c>
      <c r="AL781">
        <v>9</v>
      </c>
      <c r="AM781" s="5">
        <f t="shared" si="106"/>
        <v>0.26470588235294118</v>
      </c>
      <c r="AN781" s="4">
        <f t="shared" si="103"/>
        <v>4.009176559681048E-4</v>
      </c>
      <c r="AO781" s="3"/>
      <c r="AP781">
        <v>0</v>
      </c>
      <c r="AR781" t="s">
        <v>0</v>
      </c>
      <c r="AT781" s="2" t="s">
        <v>19</v>
      </c>
      <c r="AU781" s="1">
        <f t="shared" si="107"/>
        <v>2.2879945353649562</v>
      </c>
      <c r="AV781" s="1">
        <f t="shared" si="108"/>
        <v>1.6457366011454861</v>
      </c>
      <c r="AW781" s="1">
        <f t="shared" si="109"/>
        <v>1.0034786669260158</v>
      </c>
    </row>
    <row r="782" spans="1:49" x14ac:dyDescent="0.2">
      <c r="A782">
        <v>780</v>
      </c>
      <c r="B782" t="s">
        <v>1171</v>
      </c>
      <c r="F782" t="s">
        <v>1170</v>
      </c>
      <c r="G782" t="s">
        <v>15</v>
      </c>
      <c r="H782" t="s">
        <v>14</v>
      </c>
      <c r="I782" t="s">
        <v>1169</v>
      </c>
      <c r="J782">
        <v>100452189</v>
      </c>
      <c r="K782" t="s">
        <v>1168</v>
      </c>
      <c r="N782">
        <v>1</v>
      </c>
      <c r="O782" t="s">
        <v>1167</v>
      </c>
      <c r="P782">
        <v>7801544001</v>
      </c>
      <c r="Q782">
        <v>100452189</v>
      </c>
      <c r="R782" s="7">
        <v>32143</v>
      </c>
      <c r="S782" s="8">
        <f t="shared" si="104"/>
        <v>1988</v>
      </c>
      <c r="T782" s="8">
        <v>1988</v>
      </c>
      <c r="U782" s="8">
        <f t="shared" si="105"/>
        <v>34</v>
      </c>
      <c r="V782" s="7">
        <v>32143</v>
      </c>
      <c r="W782" t="s">
        <v>1166</v>
      </c>
      <c r="X782" s="2" t="s">
        <v>19</v>
      </c>
      <c r="Y782" s="6" t="e">
        <f t="shared" si="102"/>
        <v>#VALUE!</v>
      </c>
      <c r="AA782">
        <v>2547821</v>
      </c>
      <c r="AB782">
        <v>13084</v>
      </c>
      <c r="AD782" t="s">
        <v>4</v>
      </c>
      <c r="AE782">
        <v>7</v>
      </c>
      <c r="AF782">
        <v>1</v>
      </c>
      <c r="AH782" t="s">
        <v>1165</v>
      </c>
      <c r="AI782" t="s">
        <v>1164</v>
      </c>
      <c r="AK782" t="s">
        <v>1163</v>
      </c>
      <c r="AL782">
        <v>0</v>
      </c>
      <c r="AM782" s="5">
        <f t="shared" si="106"/>
        <v>0</v>
      </c>
      <c r="AN782" s="4">
        <f t="shared" si="103"/>
        <v>0</v>
      </c>
      <c r="AO782" s="3"/>
      <c r="AP782">
        <v>0</v>
      </c>
      <c r="AR782" t="s">
        <v>0</v>
      </c>
      <c r="AT782" s="2" t="s">
        <v>19</v>
      </c>
      <c r="AU782" s="1" t="e">
        <f t="shared" si="107"/>
        <v>#VALUE!</v>
      </c>
      <c r="AV782" s="1" t="e">
        <f t="shared" si="108"/>
        <v>#VALUE!</v>
      </c>
      <c r="AW782" s="1" t="e">
        <f t="shared" si="109"/>
        <v>#VALUE!</v>
      </c>
    </row>
    <row r="783" spans="1:49" x14ac:dyDescent="0.2">
      <c r="A783">
        <v>781</v>
      </c>
      <c r="B783" t="s">
        <v>1162</v>
      </c>
      <c r="C783" t="s">
        <v>1161</v>
      </c>
      <c r="F783" t="s">
        <v>1160</v>
      </c>
      <c r="G783" t="s">
        <v>15</v>
      </c>
      <c r="H783" t="s">
        <v>14</v>
      </c>
      <c r="I783" t="s">
        <v>1159</v>
      </c>
      <c r="J783">
        <v>60009037</v>
      </c>
      <c r="K783" t="s">
        <v>400</v>
      </c>
      <c r="L783" t="s">
        <v>399</v>
      </c>
      <c r="M783" t="s">
        <v>31</v>
      </c>
      <c r="N783">
        <v>1</v>
      </c>
      <c r="O783" t="s">
        <v>1158</v>
      </c>
      <c r="P783">
        <v>7003538790</v>
      </c>
      <c r="Q783">
        <v>60009037</v>
      </c>
      <c r="R783" s="7">
        <v>32143</v>
      </c>
      <c r="S783" s="8">
        <f t="shared" si="104"/>
        <v>1988</v>
      </c>
      <c r="T783" s="8">
        <v>1988</v>
      </c>
      <c r="U783" s="8">
        <f t="shared" si="105"/>
        <v>34</v>
      </c>
      <c r="V783" s="7">
        <v>32143</v>
      </c>
      <c r="W783" t="s">
        <v>1157</v>
      </c>
      <c r="X783" s="2">
        <v>0.39600000000000002</v>
      </c>
      <c r="Y783" s="6">
        <f t="shared" si="102"/>
        <v>1.0570993833586931E-2</v>
      </c>
      <c r="AA783">
        <v>8858985</v>
      </c>
      <c r="AB783">
        <v>25993</v>
      </c>
      <c r="AD783" t="s">
        <v>4</v>
      </c>
      <c r="AE783">
        <v>3</v>
      </c>
      <c r="AF783">
        <v>1</v>
      </c>
      <c r="AH783" s="10">
        <v>44136</v>
      </c>
      <c r="AI783" t="s">
        <v>1156</v>
      </c>
      <c r="AK783" t="s">
        <v>1155</v>
      </c>
      <c r="AL783">
        <v>0</v>
      </c>
      <c r="AM783" s="5">
        <f t="shared" si="106"/>
        <v>0</v>
      </c>
      <c r="AN783" s="4">
        <f t="shared" si="103"/>
        <v>0</v>
      </c>
      <c r="AO783" s="3"/>
      <c r="AP783">
        <v>0</v>
      </c>
      <c r="AR783" t="s">
        <v>0</v>
      </c>
      <c r="AT783" s="2" t="s">
        <v>19</v>
      </c>
      <c r="AU783" s="1">
        <f t="shared" si="107"/>
        <v>0.73996956835108518</v>
      </c>
      <c r="AV783" s="1">
        <f t="shared" si="108"/>
        <v>0.52854969167934651</v>
      </c>
      <c r="AW783" s="1">
        <f t="shared" si="109"/>
        <v>0.3171298150076079</v>
      </c>
    </row>
    <row r="784" spans="1:49" x14ac:dyDescent="0.2">
      <c r="A784">
        <v>782</v>
      </c>
      <c r="B784" t="s">
        <v>1154</v>
      </c>
      <c r="C784" t="s">
        <v>1153</v>
      </c>
      <c r="F784" t="s">
        <v>1152</v>
      </c>
      <c r="G784" t="s">
        <v>15</v>
      </c>
      <c r="H784" t="s">
        <v>14</v>
      </c>
      <c r="I784" t="s">
        <v>1151</v>
      </c>
      <c r="J784">
        <v>60022144</v>
      </c>
      <c r="K784" t="s">
        <v>1150</v>
      </c>
      <c r="L784" t="s">
        <v>1149</v>
      </c>
      <c r="M784" t="s">
        <v>31</v>
      </c>
      <c r="N784">
        <v>2</v>
      </c>
      <c r="O784" t="s">
        <v>1148</v>
      </c>
      <c r="P784" t="s">
        <v>1147</v>
      </c>
      <c r="Q784" t="s">
        <v>1146</v>
      </c>
      <c r="R784" s="7">
        <v>32143</v>
      </c>
      <c r="S784" s="8">
        <f t="shared" si="104"/>
        <v>1988</v>
      </c>
      <c r="T784" s="8">
        <v>1988</v>
      </c>
      <c r="U784" s="8">
        <f t="shared" si="105"/>
        <v>34</v>
      </c>
      <c r="V784" s="7">
        <v>32143</v>
      </c>
      <c r="W784" t="s">
        <v>1145</v>
      </c>
      <c r="X784" s="2" t="s">
        <v>19</v>
      </c>
      <c r="Y784" s="6" t="e">
        <f t="shared" si="102"/>
        <v>#VALUE!</v>
      </c>
      <c r="AA784" t="s">
        <v>1144</v>
      </c>
      <c r="AB784">
        <v>53590</v>
      </c>
      <c r="AC784" t="s">
        <v>1143</v>
      </c>
      <c r="AD784" t="s">
        <v>4</v>
      </c>
      <c r="AE784">
        <v>197</v>
      </c>
      <c r="AF784">
        <v>1</v>
      </c>
      <c r="AH784" t="s">
        <v>1142</v>
      </c>
      <c r="AI784" t="s">
        <v>1141</v>
      </c>
      <c r="AJ784" t="s">
        <v>1140</v>
      </c>
      <c r="AK784" t="s">
        <v>1139</v>
      </c>
      <c r="AL784">
        <v>0</v>
      </c>
      <c r="AM784" s="5">
        <f t="shared" si="106"/>
        <v>0</v>
      </c>
      <c r="AN784" s="4">
        <f t="shared" si="103"/>
        <v>0</v>
      </c>
      <c r="AO784" s="3"/>
      <c r="AP784">
        <v>0</v>
      </c>
      <c r="AR784" t="s">
        <v>0</v>
      </c>
      <c r="AT784" s="2" t="s">
        <v>19</v>
      </c>
      <c r="AU784" s="1" t="e">
        <f t="shared" si="107"/>
        <v>#VALUE!</v>
      </c>
      <c r="AV784" s="1" t="e">
        <f t="shared" si="108"/>
        <v>#VALUE!</v>
      </c>
      <c r="AW784" s="1" t="e">
        <f t="shared" si="109"/>
        <v>#VALUE!</v>
      </c>
    </row>
    <row r="785" spans="1:49" x14ac:dyDescent="0.2">
      <c r="A785">
        <v>783</v>
      </c>
      <c r="B785" t="s">
        <v>1138</v>
      </c>
      <c r="F785" t="s">
        <v>1137</v>
      </c>
      <c r="G785" t="s">
        <v>15</v>
      </c>
      <c r="H785" t="s">
        <v>14</v>
      </c>
      <c r="I785" t="s">
        <v>1136</v>
      </c>
      <c r="N785">
        <v>6</v>
      </c>
      <c r="O785" t="s">
        <v>1135</v>
      </c>
      <c r="P785" t="s">
        <v>1134</v>
      </c>
      <c r="Q785" t="s">
        <v>1133</v>
      </c>
      <c r="R785" s="7">
        <v>32143</v>
      </c>
      <c r="S785" s="8">
        <f t="shared" si="104"/>
        <v>1988</v>
      </c>
      <c r="T785" s="8">
        <v>1988</v>
      </c>
      <c r="U785" s="8">
        <f t="shared" si="105"/>
        <v>34</v>
      </c>
      <c r="V785" s="7">
        <v>32143</v>
      </c>
      <c r="W785" t="s">
        <v>1132</v>
      </c>
      <c r="X785" s="2" t="s">
        <v>19</v>
      </c>
      <c r="Y785" s="6" t="e">
        <f t="shared" si="102"/>
        <v>#VALUE!</v>
      </c>
      <c r="AA785">
        <v>3761207</v>
      </c>
      <c r="AB785">
        <v>30443</v>
      </c>
      <c r="AD785" t="s">
        <v>4</v>
      </c>
      <c r="AF785">
        <v>27</v>
      </c>
      <c r="AH785" t="s">
        <v>1131</v>
      </c>
      <c r="AI785" t="s">
        <v>1130</v>
      </c>
      <c r="AK785" t="s">
        <v>1129</v>
      </c>
      <c r="AL785">
        <v>0</v>
      </c>
      <c r="AM785" s="5">
        <f t="shared" si="106"/>
        <v>0</v>
      </c>
      <c r="AN785" s="4">
        <f t="shared" si="103"/>
        <v>0</v>
      </c>
      <c r="AO785" s="3"/>
      <c r="AP785">
        <v>0</v>
      </c>
      <c r="AR785" t="s">
        <v>0</v>
      </c>
      <c r="AT785" s="2" t="s">
        <v>19</v>
      </c>
      <c r="AU785" s="1" t="e">
        <f t="shared" si="107"/>
        <v>#VALUE!</v>
      </c>
      <c r="AV785" s="1" t="e">
        <f t="shared" si="108"/>
        <v>#VALUE!</v>
      </c>
      <c r="AW785" s="1" t="e">
        <f t="shared" si="109"/>
        <v>#VALUE!</v>
      </c>
    </row>
    <row r="786" spans="1:49" x14ac:dyDescent="0.2">
      <c r="A786">
        <v>784</v>
      </c>
      <c r="B786" t="s">
        <v>1128</v>
      </c>
      <c r="C786" t="s">
        <v>1127</v>
      </c>
      <c r="F786" t="s">
        <v>1126</v>
      </c>
      <c r="G786" t="s">
        <v>15</v>
      </c>
      <c r="H786" t="s">
        <v>14</v>
      </c>
      <c r="I786" t="s">
        <v>1125</v>
      </c>
      <c r="J786">
        <v>60027550</v>
      </c>
      <c r="K786" t="s">
        <v>1124</v>
      </c>
      <c r="L786" t="s">
        <v>751</v>
      </c>
      <c r="M786" t="s">
        <v>31</v>
      </c>
      <c r="N786">
        <v>1</v>
      </c>
      <c r="O786" t="s">
        <v>1123</v>
      </c>
      <c r="P786">
        <v>7410200582</v>
      </c>
      <c r="Q786">
        <v>60027550</v>
      </c>
      <c r="R786" s="7">
        <v>32143</v>
      </c>
      <c r="S786" s="8">
        <f t="shared" si="104"/>
        <v>1988</v>
      </c>
      <c r="T786" s="8">
        <v>1988</v>
      </c>
      <c r="U786" s="8">
        <f t="shared" si="105"/>
        <v>34</v>
      </c>
      <c r="V786" s="7">
        <v>1988</v>
      </c>
      <c r="W786" t="s">
        <v>1109</v>
      </c>
      <c r="X786" s="2">
        <v>0.22500000000000001</v>
      </c>
      <c r="Y786" s="6">
        <f t="shared" si="102"/>
        <v>6.0062464963562111E-3</v>
      </c>
      <c r="AA786">
        <v>2726343</v>
      </c>
      <c r="AB786">
        <v>16128</v>
      </c>
      <c r="AC786" t="s">
        <v>1108</v>
      </c>
      <c r="AD786" t="s">
        <v>4</v>
      </c>
      <c r="AE786">
        <v>8</v>
      </c>
      <c r="AF786">
        <v>1</v>
      </c>
      <c r="AH786" t="s">
        <v>1122</v>
      </c>
      <c r="AI786" t="s">
        <v>1121</v>
      </c>
      <c r="AK786" t="s">
        <v>1120</v>
      </c>
      <c r="AL786">
        <v>7</v>
      </c>
      <c r="AM786" s="5">
        <f t="shared" si="106"/>
        <v>0.20588235294117646</v>
      </c>
      <c r="AN786" s="4">
        <f t="shared" si="103"/>
        <v>3.1182484353074817E-4</v>
      </c>
      <c r="AO786" s="3"/>
      <c r="AP786">
        <v>0</v>
      </c>
      <c r="AR786" t="s">
        <v>0</v>
      </c>
      <c r="AT786" s="2">
        <v>1.099</v>
      </c>
      <c r="AU786" s="1">
        <f t="shared" si="107"/>
        <v>0.42979200005085716</v>
      </c>
      <c r="AV786" s="1">
        <f t="shared" si="108"/>
        <v>0.31590356699434796</v>
      </c>
      <c r="AW786" s="1">
        <f t="shared" si="109"/>
        <v>0.20201513393783868</v>
      </c>
    </row>
    <row r="787" spans="1:49" x14ac:dyDescent="0.2">
      <c r="A787">
        <v>785</v>
      </c>
      <c r="B787" t="s">
        <v>1119</v>
      </c>
      <c r="C787" t="s">
        <v>1118</v>
      </c>
      <c r="F787" t="s">
        <v>1117</v>
      </c>
      <c r="G787" t="s">
        <v>15</v>
      </c>
      <c r="H787" t="s">
        <v>14</v>
      </c>
      <c r="I787" t="s">
        <v>1116</v>
      </c>
      <c r="J787" t="s">
        <v>1115</v>
      </c>
      <c r="K787" t="s">
        <v>1114</v>
      </c>
      <c r="L787" t="s">
        <v>1113</v>
      </c>
      <c r="M787" t="s">
        <v>9</v>
      </c>
      <c r="N787">
        <v>2</v>
      </c>
      <c r="O787" t="s">
        <v>1112</v>
      </c>
      <c r="P787" t="s">
        <v>1111</v>
      </c>
      <c r="Q787" t="s">
        <v>1110</v>
      </c>
      <c r="R787" s="7">
        <v>32143</v>
      </c>
      <c r="S787" s="8">
        <f t="shared" si="104"/>
        <v>1988</v>
      </c>
      <c r="T787" s="8">
        <v>1988</v>
      </c>
      <c r="U787" s="8">
        <f t="shared" si="105"/>
        <v>34</v>
      </c>
      <c r="V787" s="7">
        <v>1988</v>
      </c>
      <c r="W787" t="s">
        <v>1109</v>
      </c>
      <c r="X787" s="2">
        <v>0.22500000000000001</v>
      </c>
      <c r="Y787" s="6">
        <f t="shared" si="102"/>
        <v>6.0062464963562111E-3</v>
      </c>
      <c r="AA787">
        <v>2726343</v>
      </c>
      <c r="AB787">
        <v>16128</v>
      </c>
      <c r="AC787" t="s">
        <v>1108</v>
      </c>
      <c r="AD787" t="s">
        <v>4</v>
      </c>
      <c r="AE787">
        <v>8</v>
      </c>
      <c r="AF787">
        <v>1</v>
      </c>
      <c r="AH787" t="s">
        <v>1107</v>
      </c>
      <c r="AL787">
        <v>1</v>
      </c>
      <c r="AM787" s="5">
        <f t="shared" si="106"/>
        <v>2.9411764705882353E-2</v>
      </c>
      <c r="AN787" s="4">
        <f t="shared" si="103"/>
        <v>4.4546406218678307E-5</v>
      </c>
      <c r="AO787" s="3"/>
      <c r="AP787">
        <v>0</v>
      </c>
      <c r="AR787" t="s">
        <v>1106</v>
      </c>
      <c r="AT787" s="2">
        <v>1.099</v>
      </c>
      <c r="AU787" s="1">
        <f t="shared" si="107"/>
        <v>0.42177364693149511</v>
      </c>
      <c r="AV787" s="1">
        <f t="shared" si="108"/>
        <v>0.30253964512874443</v>
      </c>
      <c r="AW787" s="1">
        <f t="shared" si="109"/>
        <v>0.18330564332599381</v>
      </c>
    </row>
    <row r="788" spans="1:49" x14ac:dyDescent="0.2">
      <c r="A788">
        <v>786</v>
      </c>
      <c r="B788" t="s">
        <v>1105</v>
      </c>
      <c r="C788" t="s">
        <v>1104</v>
      </c>
      <c r="F788" t="s">
        <v>1103</v>
      </c>
      <c r="G788" t="s">
        <v>15</v>
      </c>
      <c r="H788" t="s">
        <v>14</v>
      </c>
      <c r="I788" t="s">
        <v>1102</v>
      </c>
      <c r="J788" t="s">
        <v>1101</v>
      </c>
      <c r="K788" t="s">
        <v>1100</v>
      </c>
      <c r="L788" t="s">
        <v>1099</v>
      </c>
      <c r="M788" t="s">
        <v>9</v>
      </c>
      <c r="N788">
        <v>4</v>
      </c>
      <c r="O788" t="s">
        <v>1098</v>
      </c>
      <c r="P788" t="s">
        <v>1097</v>
      </c>
      <c r="Q788" t="s">
        <v>1096</v>
      </c>
      <c r="R788" s="7">
        <v>32143</v>
      </c>
      <c r="S788" s="8">
        <f t="shared" si="104"/>
        <v>1988</v>
      </c>
      <c r="T788" s="8">
        <v>1988</v>
      </c>
      <c r="U788" s="8">
        <f t="shared" si="105"/>
        <v>34</v>
      </c>
      <c r="V788" s="7">
        <v>32143</v>
      </c>
      <c r="W788" t="s">
        <v>69</v>
      </c>
      <c r="X788" s="2">
        <v>1.6519999999999999</v>
      </c>
      <c r="Y788" s="6">
        <f t="shared" si="102"/>
        <v>4.409919649769093E-2</v>
      </c>
      <c r="AA788" t="s">
        <v>68</v>
      </c>
      <c r="AB788">
        <v>17337</v>
      </c>
      <c r="AC788">
        <v>15582221</v>
      </c>
      <c r="AD788" t="s">
        <v>4</v>
      </c>
      <c r="AE788">
        <v>36</v>
      </c>
      <c r="AF788">
        <v>1</v>
      </c>
      <c r="AH788" t="s">
        <v>1095</v>
      </c>
      <c r="AI788" t="s">
        <v>1094</v>
      </c>
      <c r="AK788" t="s">
        <v>1093</v>
      </c>
      <c r="AL788">
        <v>3</v>
      </c>
      <c r="AM788" s="5">
        <f t="shared" si="106"/>
        <v>8.8235294117647065E-2</v>
      </c>
      <c r="AN788" s="4">
        <f t="shared" si="103"/>
        <v>1.3363921865603494E-4</v>
      </c>
      <c r="AO788" s="3"/>
      <c r="AP788">
        <v>0</v>
      </c>
      <c r="AR788" t="s">
        <v>0</v>
      </c>
      <c r="AT788" s="2" t="s">
        <v>19</v>
      </c>
      <c r="AU788" s="1">
        <f t="shared" si="107"/>
        <v>3.0909529313980459</v>
      </c>
      <c r="AV788" s="1">
        <f t="shared" si="108"/>
        <v>2.2116417858173483</v>
      </c>
      <c r="AW788" s="1">
        <f t="shared" si="109"/>
        <v>1.3323306402366504</v>
      </c>
    </row>
    <row r="789" spans="1:49" x14ac:dyDescent="0.2">
      <c r="A789">
        <v>787</v>
      </c>
      <c r="B789" t="s">
        <v>1092</v>
      </c>
      <c r="F789" t="s">
        <v>1091</v>
      </c>
      <c r="G789" t="s">
        <v>15</v>
      </c>
      <c r="H789" t="s">
        <v>14</v>
      </c>
      <c r="I789" t="s">
        <v>1090</v>
      </c>
      <c r="J789">
        <v>60021095</v>
      </c>
      <c r="K789" t="s">
        <v>1089</v>
      </c>
      <c r="M789" t="s">
        <v>1088</v>
      </c>
      <c r="N789">
        <v>1</v>
      </c>
      <c r="O789" t="s">
        <v>1087</v>
      </c>
      <c r="P789">
        <v>57198945983</v>
      </c>
      <c r="Q789">
        <v>60021095</v>
      </c>
      <c r="R789" s="7">
        <v>32143</v>
      </c>
      <c r="S789" s="8">
        <f t="shared" si="104"/>
        <v>1988</v>
      </c>
      <c r="T789" s="8">
        <v>1988</v>
      </c>
      <c r="U789" s="8">
        <f t="shared" si="105"/>
        <v>34</v>
      </c>
      <c r="V789" s="7">
        <v>1988</v>
      </c>
      <c r="W789" t="s">
        <v>1086</v>
      </c>
      <c r="X789" s="2" t="s">
        <v>19</v>
      </c>
      <c r="Y789" s="6" t="e">
        <f t="shared" si="102"/>
        <v>#VALUE!</v>
      </c>
      <c r="AA789">
        <v>12777</v>
      </c>
      <c r="AB789">
        <v>39087</v>
      </c>
      <c r="AD789" t="s">
        <v>4</v>
      </c>
      <c r="AE789">
        <v>22</v>
      </c>
      <c r="AF789">
        <v>1</v>
      </c>
      <c r="AH789" t="s">
        <v>1085</v>
      </c>
      <c r="AI789" t="s">
        <v>1084</v>
      </c>
      <c r="AK789" t="s">
        <v>1083</v>
      </c>
      <c r="AL789">
        <v>0</v>
      </c>
      <c r="AM789" s="5">
        <f t="shared" si="106"/>
        <v>0</v>
      </c>
      <c r="AN789" s="4">
        <f t="shared" si="103"/>
        <v>0</v>
      </c>
      <c r="AO789" s="3"/>
      <c r="AP789">
        <v>0</v>
      </c>
      <c r="AR789" t="s">
        <v>0</v>
      </c>
      <c r="AT789" s="2" t="s">
        <v>19</v>
      </c>
      <c r="AU789" s="1" t="e">
        <f t="shared" si="107"/>
        <v>#VALUE!</v>
      </c>
      <c r="AV789" s="1" t="e">
        <f t="shared" si="108"/>
        <v>#VALUE!</v>
      </c>
      <c r="AW789" s="1" t="e">
        <f t="shared" si="109"/>
        <v>#VALUE!</v>
      </c>
    </row>
    <row r="790" spans="1:49" x14ac:dyDescent="0.2">
      <c r="A790">
        <v>788</v>
      </c>
      <c r="B790" t="s">
        <v>1082</v>
      </c>
      <c r="C790" t="s">
        <v>1081</v>
      </c>
      <c r="F790" t="s">
        <v>1080</v>
      </c>
      <c r="G790" t="s">
        <v>15</v>
      </c>
      <c r="H790" t="s">
        <v>14</v>
      </c>
      <c r="I790" t="s">
        <v>1079</v>
      </c>
      <c r="J790" t="s">
        <v>1078</v>
      </c>
      <c r="K790" t="s">
        <v>1077</v>
      </c>
      <c r="L790" t="s">
        <v>1076</v>
      </c>
      <c r="M790" t="s">
        <v>9</v>
      </c>
      <c r="N790">
        <v>1</v>
      </c>
      <c r="O790" t="s">
        <v>1075</v>
      </c>
      <c r="P790">
        <v>7006740026</v>
      </c>
      <c r="Q790" t="s">
        <v>1074</v>
      </c>
      <c r="R790" s="7">
        <v>32143</v>
      </c>
      <c r="S790" s="8">
        <f t="shared" si="104"/>
        <v>1988</v>
      </c>
      <c r="T790" s="8">
        <v>1988</v>
      </c>
      <c r="U790" s="8">
        <f t="shared" si="105"/>
        <v>34</v>
      </c>
      <c r="V790" s="7">
        <v>32143</v>
      </c>
      <c r="W790" t="s">
        <v>1073</v>
      </c>
      <c r="X790" s="2">
        <v>1.3720000000000001</v>
      </c>
      <c r="Y790" s="6">
        <f t="shared" si="102"/>
        <v>3.662475641333654E-2</v>
      </c>
      <c r="AA790">
        <v>189480</v>
      </c>
      <c r="AB790">
        <v>17366</v>
      </c>
      <c r="AC790">
        <v>15579670</v>
      </c>
      <c r="AD790" t="s">
        <v>4</v>
      </c>
      <c r="AE790">
        <v>36</v>
      </c>
      <c r="AF790">
        <v>1</v>
      </c>
      <c r="AH790" t="s">
        <v>1072</v>
      </c>
      <c r="AI790" t="s">
        <v>1071</v>
      </c>
      <c r="AK790" t="s">
        <v>1070</v>
      </c>
      <c r="AL790">
        <v>14</v>
      </c>
      <c r="AM790" s="5">
        <f t="shared" si="106"/>
        <v>0.41176470588235292</v>
      </c>
      <c r="AN790" s="4">
        <f t="shared" si="103"/>
        <v>6.2364968706149634E-4</v>
      </c>
      <c r="AO790" s="3"/>
      <c r="AP790">
        <v>0</v>
      </c>
      <c r="AR790" t="s">
        <v>0</v>
      </c>
      <c r="AT790" s="2" t="s">
        <v>19</v>
      </c>
      <c r="AU790" s="1">
        <f t="shared" si="107"/>
        <v>2.5824424395454026</v>
      </c>
      <c r="AV790" s="1">
        <f t="shared" si="108"/>
        <v>1.8624203050199017</v>
      </c>
      <c r="AW790" s="1">
        <f t="shared" si="109"/>
        <v>1.1423981704944008</v>
      </c>
    </row>
    <row r="791" spans="1:49" x14ac:dyDescent="0.2">
      <c r="A791">
        <v>789</v>
      </c>
      <c r="B791" t="s">
        <v>1069</v>
      </c>
      <c r="C791" t="s">
        <v>1068</v>
      </c>
      <c r="F791" t="s">
        <v>1067</v>
      </c>
      <c r="G791" t="s">
        <v>15</v>
      </c>
      <c r="H791" t="s">
        <v>14</v>
      </c>
      <c r="I791" t="s">
        <v>1066</v>
      </c>
      <c r="J791">
        <v>60068815</v>
      </c>
      <c r="K791" t="s">
        <v>1065</v>
      </c>
      <c r="L791" t="s">
        <v>1064</v>
      </c>
      <c r="M791" t="s">
        <v>1063</v>
      </c>
      <c r="N791">
        <v>2</v>
      </c>
      <c r="O791" t="s">
        <v>1062</v>
      </c>
      <c r="P791" t="s">
        <v>1061</v>
      </c>
      <c r="Q791" t="s">
        <v>1060</v>
      </c>
      <c r="R791" s="7">
        <v>32143</v>
      </c>
      <c r="S791" s="8">
        <f t="shared" si="104"/>
        <v>1988</v>
      </c>
      <c r="T791" s="8">
        <v>1988</v>
      </c>
      <c r="U791" s="8">
        <f t="shared" si="105"/>
        <v>34</v>
      </c>
      <c r="V791" s="7" t="s">
        <v>1059</v>
      </c>
      <c r="W791" t="s">
        <v>1058</v>
      </c>
      <c r="X791" s="2" t="s">
        <v>19</v>
      </c>
      <c r="Y791" s="6" t="e">
        <f t="shared" si="102"/>
        <v>#VALUE!</v>
      </c>
      <c r="AA791">
        <v>2671689</v>
      </c>
      <c r="AB791">
        <v>87645</v>
      </c>
      <c r="AD791" t="s">
        <v>4</v>
      </c>
      <c r="AE791">
        <v>58</v>
      </c>
      <c r="AF791">
        <v>1</v>
      </c>
      <c r="AH791" t="s">
        <v>1057</v>
      </c>
      <c r="AI791" t="s">
        <v>1056</v>
      </c>
      <c r="AK791" t="s">
        <v>1055</v>
      </c>
      <c r="AL791">
        <v>0</v>
      </c>
      <c r="AM791" s="5">
        <f t="shared" si="106"/>
        <v>0</v>
      </c>
      <c r="AN791" s="4">
        <f t="shared" si="103"/>
        <v>0</v>
      </c>
      <c r="AO791" s="3"/>
      <c r="AP791">
        <v>0</v>
      </c>
      <c r="AR791" t="s">
        <v>0</v>
      </c>
      <c r="AT791" s="2" t="s">
        <v>19</v>
      </c>
      <c r="AU791" s="1" t="e">
        <f t="shared" si="107"/>
        <v>#VALUE!</v>
      </c>
      <c r="AV791" s="1" t="e">
        <f t="shared" si="108"/>
        <v>#VALUE!</v>
      </c>
      <c r="AW791" s="1" t="e">
        <f t="shared" si="109"/>
        <v>#VALUE!</v>
      </c>
    </row>
    <row r="792" spans="1:49" x14ac:dyDescent="0.2">
      <c r="A792">
        <v>790</v>
      </c>
      <c r="B792" t="s">
        <v>1054</v>
      </c>
      <c r="C792" t="s">
        <v>1053</v>
      </c>
      <c r="D792">
        <v>94576588901221</v>
      </c>
      <c r="F792" t="s">
        <v>1052</v>
      </c>
      <c r="G792" t="s">
        <v>15</v>
      </c>
      <c r="H792" t="s">
        <v>14</v>
      </c>
      <c r="I792" t="s">
        <v>1051</v>
      </c>
      <c r="J792">
        <v>60001769</v>
      </c>
      <c r="K792" t="s">
        <v>1050</v>
      </c>
      <c r="L792" t="s">
        <v>1049</v>
      </c>
      <c r="M792" t="s">
        <v>31</v>
      </c>
      <c r="N792">
        <v>1</v>
      </c>
      <c r="O792" t="s">
        <v>1048</v>
      </c>
      <c r="P792">
        <v>55939297200</v>
      </c>
      <c r="Q792">
        <v>60001769</v>
      </c>
      <c r="R792" s="7">
        <v>32143</v>
      </c>
      <c r="S792" s="8">
        <f t="shared" si="104"/>
        <v>1988</v>
      </c>
      <c r="T792" s="8">
        <v>1988</v>
      </c>
      <c r="U792" s="8">
        <f t="shared" si="105"/>
        <v>34</v>
      </c>
      <c r="V792" s="7">
        <v>32143</v>
      </c>
      <c r="W792" t="s">
        <v>1047</v>
      </c>
      <c r="X792" s="2">
        <v>1.1339999999999999</v>
      </c>
      <c r="Y792" s="6">
        <f t="shared" si="102"/>
        <v>3.0271482341635299E-2</v>
      </c>
      <c r="AA792">
        <v>945765</v>
      </c>
      <c r="AB792">
        <v>12372</v>
      </c>
      <c r="AD792" t="s">
        <v>4</v>
      </c>
      <c r="AE792">
        <v>17</v>
      </c>
      <c r="AF792">
        <v>1</v>
      </c>
      <c r="AH792" s="9">
        <v>44440</v>
      </c>
      <c r="AI792" t="s">
        <v>1046</v>
      </c>
      <c r="AK792" t="s">
        <v>1045</v>
      </c>
      <c r="AL792">
        <v>11</v>
      </c>
      <c r="AM792" s="5">
        <f t="shared" si="106"/>
        <v>0.3235294117647059</v>
      </c>
      <c r="AN792" s="4">
        <f t="shared" si="103"/>
        <v>4.9001046840546137E-4</v>
      </c>
      <c r="AO792" s="3"/>
      <c r="AP792">
        <v>0</v>
      </c>
      <c r="AQ792" t="s">
        <v>1044</v>
      </c>
      <c r="AR792" t="s">
        <v>0</v>
      </c>
      <c r="AS792" t="s">
        <v>1043</v>
      </c>
      <c r="AT792" s="2">
        <v>2.4129999999999998</v>
      </c>
      <c r="AU792" s="1">
        <f t="shared" si="107"/>
        <v>2.1337040779666347</v>
      </c>
      <c r="AV792" s="1">
        <f t="shared" si="108"/>
        <v>1.538074640502038</v>
      </c>
      <c r="AW792" s="1">
        <f t="shared" si="109"/>
        <v>0.94244520303744128</v>
      </c>
    </row>
    <row r="793" spans="1:49" x14ac:dyDescent="0.2">
      <c r="A793">
        <v>791</v>
      </c>
      <c r="B793" t="s">
        <v>1042</v>
      </c>
      <c r="C793" t="s">
        <v>1041</v>
      </c>
      <c r="F793" t="s">
        <v>1040</v>
      </c>
      <c r="G793" t="s">
        <v>15</v>
      </c>
      <c r="H793" t="s">
        <v>14</v>
      </c>
      <c r="I793" t="s">
        <v>1039</v>
      </c>
      <c r="J793">
        <v>60010742</v>
      </c>
      <c r="K793" t="s">
        <v>1038</v>
      </c>
      <c r="L793" t="s">
        <v>1037</v>
      </c>
      <c r="M793" t="s">
        <v>211</v>
      </c>
      <c r="N793">
        <v>2</v>
      </c>
      <c r="O793" t="s">
        <v>1036</v>
      </c>
      <c r="P793" t="s">
        <v>1035</v>
      </c>
      <c r="Q793" t="s">
        <v>1034</v>
      </c>
      <c r="R793" s="7">
        <v>32143</v>
      </c>
      <c r="S793" s="8">
        <f t="shared" si="104"/>
        <v>1988</v>
      </c>
      <c r="T793" s="8">
        <v>1988</v>
      </c>
      <c r="U793" s="8">
        <f t="shared" si="105"/>
        <v>34</v>
      </c>
      <c r="V793" s="7">
        <v>1988</v>
      </c>
      <c r="W793" t="s">
        <v>1033</v>
      </c>
      <c r="X793" s="2">
        <v>0.13900000000000001</v>
      </c>
      <c r="Y793" s="6">
        <f t="shared" si="102"/>
        <v>3.7105256133045036E-3</v>
      </c>
      <c r="AA793" t="s">
        <v>1032</v>
      </c>
      <c r="AB793">
        <v>24891</v>
      </c>
      <c r="AC793">
        <v>15206432</v>
      </c>
      <c r="AD793" t="s">
        <v>4</v>
      </c>
      <c r="AE793">
        <v>71</v>
      </c>
      <c r="AF793">
        <v>1</v>
      </c>
      <c r="AH793" t="s">
        <v>1031</v>
      </c>
      <c r="AI793" t="s">
        <v>1030</v>
      </c>
      <c r="AK793" t="s">
        <v>1029</v>
      </c>
      <c r="AL793">
        <v>0</v>
      </c>
      <c r="AM793" s="5">
        <f t="shared" si="106"/>
        <v>0</v>
      </c>
      <c r="AN793" s="4">
        <f t="shared" si="103"/>
        <v>0</v>
      </c>
      <c r="AO793" s="3"/>
      <c r="AP793">
        <v>0</v>
      </c>
      <c r="AR793" t="s">
        <v>0</v>
      </c>
      <c r="AT793" s="2" t="s">
        <v>19</v>
      </c>
      <c r="AU793" s="1">
        <f t="shared" si="107"/>
        <v>0.25973679293131524</v>
      </c>
      <c r="AV793" s="1">
        <f t="shared" si="108"/>
        <v>0.1855262806652252</v>
      </c>
      <c r="AW793" s="1">
        <f t="shared" si="109"/>
        <v>0.1113157683991351</v>
      </c>
    </row>
    <row r="794" spans="1:49" x14ac:dyDescent="0.2">
      <c r="A794">
        <v>792</v>
      </c>
      <c r="B794" t="s">
        <v>1028</v>
      </c>
      <c r="C794" t="s">
        <v>1027</v>
      </c>
      <c r="F794" t="s">
        <v>1026</v>
      </c>
      <c r="G794" t="s">
        <v>15</v>
      </c>
      <c r="H794" t="s">
        <v>14</v>
      </c>
      <c r="I794" t="s">
        <v>1025</v>
      </c>
      <c r="J794">
        <v>60001881</v>
      </c>
      <c r="K794" t="s">
        <v>1024</v>
      </c>
      <c r="L794" t="s">
        <v>1023</v>
      </c>
      <c r="M794" t="s">
        <v>1011</v>
      </c>
      <c r="N794">
        <v>1</v>
      </c>
      <c r="O794" t="s">
        <v>1022</v>
      </c>
      <c r="P794">
        <v>55391220900</v>
      </c>
      <c r="Q794">
        <v>60001881</v>
      </c>
      <c r="R794" s="7">
        <v>32143</v>
      </c>
      <c r="S794" s="8">
        <f t="shared" si="104"/>
        <v>1988</v>
      </c>
      <c r="T794" s="8">
        <v>1988</v>
      </c>
      <c r="U794" s="8">
        <f t="shared" si="105"/>
        <v>34</v>
      </c>
      <c r="V794" s="7">
        <v>1988</v>
      </c>
      <c r="W794" t="s">
        <v>56</v>
      </c>
      <c r="X794" s="2">
        <v>0.375</v>
      </c>
      <c r="Y794" s="6">
        <f t="shared" si="102"/>
        <v>1.0010410827260351E-2</v>
      </c>
      <c r="AA794">
        <v>135194</v>
      </c>
      <c r="AB794">
        <v>24918</v>
      </c>
      <c r="AD794" t="s">
        <v>4</v>
      </c>
      <c r="AE794">
        <v>24</v>
      </c>
      <c r="AF794">
        <v>2</v>
      </c>
      <c r="AH794" t="s">
        <v>1021</v>
      </c>
      <c r="AI794" t="s">
        <v>1020</v>
      </c>
      <c r="AJ794" t="s">
        <v>1019</v>
      </c>
      <c r="AK794" t="s">
        <v>1018</v>
      </c>
      <c r="AL794">
        <v>3</v>
      </c>
      <c r="AM794" s="5">
        <f t="shared" si="106"/>
        <v>8.8235294117647065E-2</v>
      </c>
      <c r="AN794" s="4">
        <f t="shared" si="103"/>
        <v>1.3363921865603494E-4</v>
      </c>
      <c r="AO794" s="3"/>
      <c r="AP794">
        <v>0</v>
      </c>
      <c r="AR794" t="s">
        <v>0</v>
      </c>
      <c r="AT794" s="2">
        <v>1.3140000000000001</v>
      </c>
      <c r="AU794" s="1">
        <f t="shared" si="107"/>
        <v>0.70473793446790567</v>
      </c>
      <c r="AV794" s="1">
        <f t="shared" si="108"/>
        <v>0.50720250229581931</v>
      </c>
      <c r="AW794" s="1">
        <f t="shared" si="109"/>
        <v>0.30966707012373296</v>
      </c>
    </row>
    <row r="795" spans="1:49" x14ac:dyDescent="0.2">
      <c r="A795">
        <v>793</v>
      </c>
      <c r="B795" t="s">
        <v>1017</v>
      </c>
      <c r="C795" t="s">
        <v>1016</v>
      </c>
      <c r="F795" t="s">
        <v>1015</v>
      </c>
      <c r="G795" t="s">
        <v>15</v>
      </c>
      <c r="H795" t="s">
        <v>14</v>
      </c>
      <c r="I795" t="s">
        <v>1014</v>
      </c>
      <c r="J795">
        <v>60009658</v>
      </c>
      <c r="K795" t="s">
        <v>1013</v>
      </c>
      <c r="L795" t="s">
        <v>1012</v>
      </c>
      <c r="M795" t="s">
        <v>1011</v>
      </c>
      <c r="N795">
        <v>2</v>
      </c>
      <c r="O795" t="s">
        <v>1010</v>
      </c>
      <c r="P795" t="s">
        <v>1009</v>
      </c>
      <c r="Q795" t="s">
        <v>1008</v>
      </c>
      <c r="R795" s="7">
        <v>32143</v>
      </c>
      <c r="S795" s="8">
        <f t="shared" si="104"/>
        <v>1988</v>
      </c>
      <c r="T795" s="8">
        <v>1988</v>
      </c>
      <c r="U795" s="8">
        <f t="shared" si="105"/>
        <v>34</v>
      </c>
      <c r="V795" s="7">
        <v>1988</v>
      </c>
      <c r="W795" t="s">
        <v>56</v>
      </c>
      <c r="X795" s="2">
        <v>0.375</v>
      </c>
      <c r="Y795" s="6">
        <f t="shared" si="102"/>
        <v>1.0010410827260351E-2</v>
      </c>
      <c r="AA795">
        <v>135194</v>
      </c>
      <c r="AB795">
        <v>24918</v>
      </c>
      <c r="AD795" t="s">
        <v>4</v>
      </c>
      <c r="AE795">
        <v>24</v>
      </c>
      <c r="AF795">
        <v>2</v>
      </c>
      <c r="AH795" t="s">
        <v>1007</v>
      </c>
      <c r="AI795" t="s">
        <v>1006</v>
      </c>
      <c r="AJ795" t="s">
        <v>1005</v>
      </c>
      <c r="AK795" t="s">
        <v>1004</v>
      </c>
      <c r="AL795">
        <v>3</v>
      </c>
      <c r="AM795" s="5">
        <f t="shared" si="106"/>
        <v>8.8235294117647065E-2</v>
      </c>
      <c r="AN795" s="4">
        <f t="shared" si="103"/>
        <v>1.3363921865603494E-4</v>
      </c>
      <c r="AO795" s="3"/>
      <c r="AP795">
        <v>0</v>
      </c>
      <c r="AR795" t="s">
        <v>0</v>
      </c>
      <c r="AT795" s="2">
        <v>1.3140000000000001</v>
      </c>
      <c r="AU795" s="1">
        <f t="shared" si="107"/>
        <v>0.70473793446790567</v>
      </c>
      <c r="AV795" s="1">
        <f t="shared" si="108"/>
        <v>0.50720250229581931</v>
      </c>
      <c r="AW795" s="1">
        <f t="shared" si="109"/>
        <v>0.30966707012373296</v>
      </c>
    </row>
    <row r="796" spans="1:49" x14ac:dyDescent="0.2">
      <c r="A796">
        <v>794</v>
      </c>
      <c r="B796" t="s">
        <v>1003</v>
      </c>
      <c r="C796" t="s">
        <v>1002</v>
      </c>
      <c r="F796" t="s">
        <v>1001</v>
      </c>
      <c r="G796" t="s">
        <v>15</v>
      </c>
      <c r="H796" t="s">
        <v>14</v>
      </c>
      <c r="I796" t="s">
        <v>1000</v>
      </c>
      <c r="J796">
        <v>60005304</v>
      </c>
      <c r="K796" t="s">
        <v>72</v>
      </c>
      <c r="L796" t="s">
        <v>71</v>
      </c>
      <c r="M796" t="s">
        <v>31</v>
      </c>
      <c r="N796">
        <v>1</v>
      </c>
      <c r="O796" t="s">
        <v>999</v>
      </c>
      <c r="P796">
        <v>7004942669</v>
      </c>
      <c r="Q796">
        <v>60005304</v>
      </c>
      <c r="R796" s="7">
        <v>32143</v>
      </c>
      <c r="S796" s="8">
        <f t="shared" si="104"/>
        <v>1988</v>
      </c>
      <c r="T796" s="8">
        <v>1988</v>
      </c>
      <c r="U796" s="8">
        <f t="shared" si="105"/>
        <v>34</v>
      </c>
      <c r="V796" s="7" t="s">
        <v>998</v>
      </c>
      <c r="W796" t="s">
        <v>997</v>
      </c>
      <c r="X796" s="2">
        <v>0.33800000000000002</v>
      </c>
      <c r="Y796" s="6">
        <f t="shared" si="102"/>
        <v>9.0227169589706634E-3</v>
      </c>
      <c r="AA796">
        <v>7372884</v>
      </c>
      <c r="AB796">
        <v>70506</v>
      </c>
      <c r="AC796">
        <v>10991247</v>
      </c>
      <c r="AD796" t="s">
        <v>4</v>
      </c>
      <c r="AE796">
        <v>6</v>
      </c>
      <c r="AF796">
        <v>1</v>
      </c>
      <c r="AH796" t="s">
        <v>996</v>
      </c>
      <c r="AI796" t="s">
        <v>995</v>
      </c>
      <c r="AJ796" t="s">
        <v>994</v>
      </c>
      <c r="AK796" t="s">
        <v>993</v>
      </c>
      <c r="AL796">
        <v>3</v>
      </c>
      <c r="AM796" s="5">
        <f t="shared" si="106"/>
        <v>8.8235294117647065E-2</v>
      </c>
      <c r="AN796" s="4">
        <f t="shared" si="103"/>
        <v>1.3363921865603494E-4</v>
      </c>
      <c r="AO796" s="3"/>
      <c r="AP796">
        <v>0</v>
      </c>
      <c r="AR796" t="s">
        <v>0</v>
      </c>
      <c r="AT796" s="2" t="s">
        <v>19</v>
      </c>
      <c r="AU796" s="1">
        <f t="shared" si="107"/>
        <v>0.63559936368762748</v>
      </c>
      <c r="AV796" s="1">
        <f t="shared" si="108"/>
        <v>0.45781780888133494</v>
      </c>
      <c r="AW796" s="1">
        <f t="shared" si="109"/>
        <v>0.28003625407504235</v>
      </c>
    </row>
    <row r="797" spans="1:49" x14ac:dyDescent="0.2">
      <c r="A797">
        <v>795</v>
      </c>
      <c r="B797" t="s">
        <v>992</v>
      </c>
      <c r="F797" t="s">
        <v>991</v>
      </c>
      <c r="G797" t="s">
        <v>15</v>
      </c>
      <c r="H797" t="s">
        <v>14</v>
      </c>
      <c r="I797" t="s">
        <v>990</v>
      </c>
      <c r="N797">
        <v>1</v>
      </c>
      <c r="O797" t="s">
        <v>989</v>
      </c>
      <c r="P797">
        <v>6603410490</v>
      </c>
      <c r="R797" s="7">
        <v>32143</v>
      </c>
      <c r="S797" s="8">
        <f t="shared" si="104"/>
        <v>1988</v>
      </c>
      <c r="T797" s="8">
        <v>1988</v>
      </c>
      <c r="U797" s="8">
        <f t="shared" si="105"/>
        <v>34</v>
      </c>
      <c r="V797" s="7">
        <v>32143</v>
      </c>
      <c r="W797" t="s">
        <v>950</v>
      </c>
      <c r="X797" s="2">
        <v>0.14099999999999999</v>
      </c>
      <c r="Y797" s="6">
        <f t="shared" si="102"/>
        <v>3.7639144710498915E-3</v>
      </c>
      <c r="AA797">
        <v>402508</v>
      </c>
      <c r="AB797">
        <v>20868</v>
      </c>
      <c r="AD797" t="s">
        <v>4</v>
      </c>
      <c r="AE797">
        <v>43</v>
      </c>
      <c r="AF797">
        <v>1</v>
      </c>
      <c r="AH797" t="s">
        <v>988</v>
      </c>
      <c r="AI797" t="s">
        <v>987</v>
      </c>
      <c r="AK797" t="s">
        <v>986</v>
      </c>
      <c r="AL797">
        <v>0</v>
      </c>
      <c r="AM797" s="5">
        <f t="shared" si="106"/>
        <v>0</v>
      </c>
      <c r="AN797" s="4">
        <f t="shared" si="103"/>
        <v>0</v>
      </c>
      <c r="AO797" s="3"/>
      <c r="AP797">
        <v>0</v>
      </c>
      <c r="AR797" t="s">
        <v>0</v>
      </c>
      <c r="AT797" s="2" t="s">
        <v>19</v>
      </c>
      <c r="AU797" s="1">
        <f t="shared" si="107"/>
        <v>0.26347401297349238</v>
      </c>
      <c r="AV797" s="1">
        <f t="shared" si="108"/>
        <v>0.18819572355249459</v>
      </c>
      <c r="AW797" s="1">
        <f t="shared" si="109"/>
        <v>0.11291743413149673</v>
      </c>
    </row>
    <row r="798" spans="1:49" x14ac:dyDescent="0.2">
      <c r="A798">
        <v>796</v>
      </c>
      <c r="B798" t="s">
        <v>985</v>
      </c>
      <c r="F798" t="s">
        <v>984</v>
      </c>
      <c r="G798" t="s">
        <v>15</v>
      </c>
      <c r="H798" t="s">
        <v>14</v>
      </c>
      <c r="I798" t="s">
        <v>983</v>
      </c>
      <c r="N798">
        <v>3</v>
      </c>
      <c r="O798" t="s">
        <v>982</v>
      </c>
      <c r="P798" t="s">
        <v>981</v>
      </c>
      <c r="Q798" t="s">
        <v>532</v>
      </c>
      <c r="R798" s="7">
        <v>32143</v>
      </c>
      <c r="S798" s="8">
        <f t="shared" si="104"/>
        <v>1988</v>
      </c>
      <c r="T798" s="8">
        <v>1988</v>
      </c>
      <c r="U798" s="8">
        <f t="shared" si="105"/>
        <v>34</v>
      </c>
      <c r="V798" s="7">
        <v>32143</v>
      </c>
      <c r="W798" t="s">
        <v>950</v>
      </c>
      <c r="X798" s="2">
        <v>0.14099999999999999</v>
      </c>
      <c r="Y798" s="6">
        <f t="shared" si="102"/>
        <v>3.7639144710498915E-3</v>
      </c>
      <c r="AA798">
        <v>402508</v>
      </c>
      <c r="AB798">
        <v>20868</v>
      </c>
      <c r="AD798" t="s">
        <v>4</v>
      </c>
      <c r="AE798">
        <v>43</v>
      </c>
      <c r="AF798">
        <v>1</v>
      </c>
      <c r="AH798" t="s">
        <v>980</v>
      </c>
      <c r="AI798" t="s">
        <v>979</v>
      </c>
      <c r="AK798" t="s">
        <v>978</v>
      </c>
      <c r="AL798">
        <v>0</v>
      </c>
      <c r="AM798" s="5">
        <f t="shared" si="106"/>
        <v>0</v>
      </c>
      <c r="AN798" s="4">
        <f t="shared" si="103"/>
        <v>0</v>
      </c>
      <c r="AO798" s="3"/>
      <c r="AP798">
        <v>0</v>
      </c>
      <c r="AR798" t="s">
        <v>0</v>
      </c>
      <c r="AT798" s="2" t="s">
        <v>19</v>
      </c>
      <c r="AU798" s="1">
        <f t="shared" si="107"/>
        <v>0.26347401297349238</v>
      </c>
      <c r="AV798" s="1">
        <f t="shared" si="108"/>
        <v>0.18819572355249459</v>
      </c>
      <c r="AW798" s="1">
        <f t="shared" si="109"/>
        <v>0.11291743413149673</v>
      </c>
    </row>
    <row r="799" spans="1:49" x14ac:dyDescent="0.2">
      <c r="A799">
        <v>797</v>
      </c>
      <c r="B799" t="s">
        <v>977</v>
      </c>
      <c r="F799" t="s">
        <v>976</v>
      </c>
      <c r="G799" t="s">
        <v>15</v>
      </c>
      <c r="H799" t="s">
        <v>14</v>
      </c>
      <c r="I799" t="s">
        <v>975</v>
      </c>
      <c r="N799">
        <v>4</v>
      </c>
      <c r="O799" t="s">
        <v>974</v>
      </c>
      <c r="P799" t="s">
        <v>973</v>
      </c>
      <c r="Q799" t="s">
        <v>523</v>
      </c>
      <c r="R799" s="7">
        <v>32143</v>
      </c>
      <c r="S799" s="8">
        <f t="shared" si="104"/>
        <v>1988</v>
      </c>
      <c r="T799" s="8">
        <v>1988</v>
      </c>
      <c r="U799" s="8">
        <f t="shared" si="105"/>
        <v>34</v>
      </c>
      <c r="V799" s="7">
        <v>32143</v>
      </c>
      <c r="W799" t="s">
        <v>950</v>
      </c>
      <c r="X799" s="2">
        <v>0.14099999999999999</v>
      </c>
      <c r="Y799" s="6">
        <f t="shared" si="102"/>
        <v>3.7639144710498915E-3</v>
      </c>
      <c r="AA799">
        <v>402508</v>
      </c>
      <c r="AB799">
        <v>20868</v>
      </c>
      <c r="AD799" t="s">
        <v>4</v>
      </c>
      <c r="AE799">
        <v>43</v>
      </c>
      <c r="AF799">
        <v>1</v>
      </c>
      <c r="AH799" s="9">
        <v>44539</v>
      </c>
      <c r="AI799" t="s">
        <v>972</v>
      </c>
      <c r="AK799" t="s">
        <v>971</v>
      </c>
      <c r="AL799">
        <v>0</v>
      </c>
      <c r="AM799" s="5">
        <f t="shared" si="106"/>
        <v>0</v>
      </c>
      <c r="AN799" s="4">
        <f t="shared" si="103"/>
        <v>0</v>
      </c>
      <c r="AO799" s="3"/>
      <c r="AP799">
        <v>0</v>
      </c>
      <c r="AR799" t="s">
        <v>0</v>
      </c>
      <c r="AT799" s="2" t="s">
        <v>19</v>
      </c>
      <c r="AU799" s="1">
        <f t="shared" si="107"/>
        <v>0.26347401297349238</v>
      </c>
      <c r="AV799" s="1">
        <f t="shared" si="108"/>
        <v>0.18819572355249459</v>
      </c>
      <c r="AW799" s="1">
        <f t="shared" si="109"/>
        <v>0.11291743413149673</v>
      </c>
    </row>
    <row r="800" spans="1:49" x14ac:dyDescent="0.2">
      <c r="A800">
        <v>798</v>
      </c>
      <c r="B800" t="s">
        <v>970</v>
      </c>
      <c r="F800" t="s">
        <v>969</v>
      </c>
      <c r="G800" t="s">
        <v>15</v>
      </c>
      <c r="H800" t="s">
        <v>14</v>
      </c>
      <c r="I800" t="s">
        <v>968</v>
      </c>
      <c r="N800">
        <v>3</v>
      </c>
      <c r="O800" t="s">
        <v>967</v>
      </c>
      <c r="P800" t="s">
        <v>966</v>
      </c>
      <c r="Q800" t="s">
        <v>532</v>
      </c>
      <c r="R800" s="7">
        <v>32143</v>
      </c>
      <c r="S800" s="8">
        <f t="shared" si="104"/>
        <v>1988</v>
      </c>
      <c r="T800" s="8">
        <v>1988</v>
      </c>
      <c r="U800" s="8">
        <f t="shared" si="105"/>
        <v>34</v>
      </c>
      <c r="V800" s="7">
        <v>32143</v>
      </c>
      <c r="W800" t="s">
        <v>950</v>
      </c>
      <c r="X800" s="2">
        <v>0.14099999999999999</v>
      </c>
      <c r="Y800" s="6">
        <f t="shared" si="102"/>
        <v>3.7639144710498915E-3</v>
      </c>
      <c r="AA800">
        <v>402508</v>
      </c>
      <c r="AB800">
        <v>20868</v>
      </c>
      <c r="AD800" t="s">
        <v>4</v>
      </c>
      <c r="AE800">
        <v>43</v>
      </c>
      <c r="AF800">
        <v>1</v>
      </c>
      <c r="AH800" t="s">
        <v>965</v>
      </c>
      <c r="AI800" t="s">
        <v>964</v>
      </c>
      <c r="AK800" t="s">
        <v>963</v>
      </c>
      <c r="AL800">
        <v>0</v>
      </c>
      <c r="AM800" s="5">
        <f t="shared" si="106"/>
        <v>0</v>
      </c>
      <c r="AN800" s="4">
        <f t="shared" si="103"/>
        <v>0</v>
      </c>
      <c r="AO800" s="3"/>
      <c r="AP800">
        <v>0</v>
      </c>
      <c r="AR800" t="s">
        <v>0</v>
      </c>
      <c r="AT800" s="2" t="s">
        <v>19</v>
      </c>
      <c r="AU800" s="1">
        <f t="shared" si="107"/>
        <v>0.26347401297349238</v>
      </c>
      <c r="AV800" s="1">
        <f t="shared" si="108"/>
        <v>0.18819572355249459</v>
      </c>
      <c r="AW800" s="1">
        <f t="shared" si="109"/>
        <v>0.11291743413149673</v>
      </c>
    </row>
    <row r="801" spans="1:49" x14ac:dyDescent="0.2">
      <c r="A801">
        <v>799</v>
      </c>
      <c r="B801" t="s">
        <v>962</v>
      </c>
      <c r="F801" t="s">
        <v>961</v>
      </c>
      <c r="G801" t="s">
        <v>15</v>
      </c>
      <c r="H801" t="s">
        <v>14</v>
      </c>
      <c r="I801" t="s">
        <v>960</v>
      </c>
      <c r="N801">
        <v>4</v>
      </c>
      <c r="O801" t="s">
        <v>959</v>
      </c>
      <c r="P801" t="s">
        <v>958</v>
      </c>
      <c r="Q801" t="s">
        <v>523</v>
      </c>
      <c r="R801" s="7">
        <v>32143</v>
      </c>
      <c r="S801" s="8">
        <f t="shared" si="104"/>
        <v>1988</v>
      </c>
      <c r="T801" s="8">
        <v>1988</v>
      </c>
      <c r="U801" s="8">
        <f t="shared" si="105"/>
        <v>34</v>
      </c>
      <c r="V801" s="7">
        <v>32143</v>
      </c>
      <c r="W801" t="s">
        <v>950</v>
      </c>
      <c r="X801" s="2">
        <v>0.14099999999999999</v>
      </c>
      <c r="Y801" s="6">
        <f t="shared" si="102"/>
        <v>3.7639144710498915E-3</v>
      </c>
      <c r="AA801">
        <v>402508</v>
      </c>
      <c r="AB801">
        <v>20868</v>
      </c>
      <c r="AD801" t="s">
        <v>4</v>
      </c>
      <c r="AE801">
        <v>43</v>
      </c>
      <c r="AF801">
        <v>1</v>
      </c>
      <c r="AH801" t="s">
        <v>957</v>
      </c>
      <c r="AI801" t="s">
        <v>956</v>
      </c>
      <c r="AK801" t="s">
        <v>955</v>
      </c>
      <c r="AL801">
        <v>0</v>
      </c>
      <c r="AM801" s="5">
        <f t="shared" si="106"/>
        <v>0</v>
      </c>
      <c r="AN801" s="4">
        <f t="shared" si="103"/>
        <v>0</v>
      </c>
      <c r="AO801" s="3"/>
      <c r="AP801">
        <v>0</v>
      </c>
      <c r="AR801" t="s">
        <v>0</v>
      </c>
      <c r="AT801" s="2" t="s">
        <v>19</v>
      </c>
      <c r="AU801" s="1">
        <f t="shared" si="107"/>
        <v>0.26347401297349238</v>
      </c>
      <c r="AV801" s="1">
        <f t="shared" si="108"/>
        <v>0.18819572355249459</v>
      </c>
      <c r="AW801" s="1">
        <f t="shared" si="109"/>
        <v>0.11291743413149673</v>
      </c>
    </row>
    <row r="802" spans="1:49" x14ac:dyDescent="0.2">
      <c r="A802">
        <v>800</v>
      </c>
      <c r="B802" t="s">
        <v>954</v>
      </c>
      <c r="F802" t="s">
        <v>953</v>
      </c>
      <c r="G802" t="s">
        <v>15</v>
      </c>
      <c r="H802" t="s">
        <v>14</v>
      </c>
      <c r="I802" t="s">
        <v>952</v>
      </c>
      <c r="N802">
        <v>1</v>
      </c>
      <c r="O802" t="s">
        <v>951</v>
      </c>
      <c r="P802">
        <v>6603363665</v>
      </c>
      <c r="R802" s="7">
        <v>32143</v>
      </c>
      <c r="S802" s="8">
        <f t="shared" si="104"/>
        <v>1988</v>
      </c>
      <c r="T802" s="8">
        <v>1988</v>
      </c>
      <c r="U802" s="8">
        <f t="shared" si="105"/>
        <v>34</v>
      </c>
      <c r="V802" s="7">
        <v>32143</v>
      </c>
      <c r="W802" t="s">
        <v>950</v>
      </c>
      <c r="X802" s="2">
        <v>0.14099999999999999</v>
      </c>
      <c r="Y802" s="6">
        <f t="shared" si="102"/>
        <v>3.7639144710498915E-3</v>
      </c>
      <c r="AA802">
        <v>402508</v>
      </c>
      <c r="AB802">
        <v>20868</v>
      </c>
      <c r="AD802" t="s">
        <v>4</v>
      </c>
      <c r="AE802">
        <v>43</v>
      </c>
      <c r="AF802">
        <v>1</v>
      </c>
      <c r="AH802" t="s">
        <v>949</v>
      </c>
      <c r="AI802" t="s">
        <v>948</v>
      </c>
      <c r="AK802" t="s">
        <v>947</v>
      </c>
      <c r="AL802">
        <v>0</v>
      </c>
      <c r="AM802" s="5">
        <f t="shared" si="106"/>
        <v>0</v>
      </c>
      <c r="AN802" s="4">
        <f t="shared" si="103"/>
        <v>0</v>
      </c>
      <c r="AO802" s="3"/>
      <c r="AP802">
        <v>0</v>
      </c>
      <c r="AR802" t="s">
        <v>0</v>
      </c>
      <c r="AT802" s="2" t="s">
        <v>19</v>
      </c>
      <c r="AU802" s="1">
        <f t="shared" si="107"/>
        <v>0.26347401297349238</v>
      </c>
      <c r="AV802" s="1">
        <f t="shared" si="108"/>
        <v>0.18819572355249459</v>
      </c>
      <c r="AW802" s="1">
        <f t="shared" si="109"/>
        <v>0.11291743413149673</v>
      </c>
    </row>
    <row r="803" spans="1:49" x14ac:dyDescent="0.2">
      <c r="A803">
        <v>801</v>
      </c>
      <c r="B803" t="s">
        <v>946</v>
      </c>
      <c r="F803" t="s">
        <v>945</v>
      </c>
      <c r="G803" t="s">
        <v>15</v>
      </c>
      <c r="H803" t="s">
        <v>14</v>
      </c>
      <c r="I803" t="s">
        <v>944</v>
      </c>
      <c r="J803">
        <v>60025555</v>
      </c>
      <c r="K803" t="s">
        <v>943</v>
      </c>
      <c r="L803" t="s">
        <v>212</v>
      </c>
      <c r="M803" t="s">
        <v>211</v>
      </c>
      <c r="N803">
        <v>3</v>
      </c>
      <c r="O803" t="s">
        <v>942</v>
      </c>
      <c r="P803" t="s">
        <v>941</v>
      </c>
      <c r="Q803" t="s">
        <v>940</v>
      </c>
      <c r="R803" s="7">
        <v>32143</v>
      </c>
      <c r="S803" s="8">
        <f t="shared" si="104"/>
        <v>1988</v>
      </c>
      <c r="T803" s="8">
        <v>1988</v>
      </c>
      <c r="U803" s="8">
        <f t="shared" si="105"/>
        <v>34</v>
      </c>
      <c r="V803" s="7">
        <v>32143</v>
      </c>
      <c r="W803" t="s">
        <v>939</v>
      </c>
      <c r="X803" s="2" t="s">
        <v>19</v>
      </c>
      <c r="Y803" s="6" t="e">
        <f t="shared" si="102"/>
        <v>#VALUE!</v>
      </c>
      <c r="AA803">
        <v>4186338</v>
      </c>
      <c r="AB803">
        <v>34729</v>
      </c>
      <c r="AD803" t="s">
        <v>4</v>
      </c>
      <c r="AE803">
        <v>36</v>
      </c>
      <c r="AF803">
        <v>1</v>
      </c>
      <c r="AH803" t="s">
        <v>938</v>
      </c>
      <c r="AI803" t="s">
        <v>937</v>
      </c>
      <c r="AK803" t="s">
        <v>936</v>
      </c>
      <c r="AL803">
        <v>0</v>
      </c>
      <c r="AM803" s="5">
        <f t="shared" si="106"/>
        <v>0</v>
      </c>
      <c r="AN803" s="4">
        <f t="shared" si="103"/>
        <v>0</v>
      </c>
      <c r="AO803" s="3"/>
      <c r="AP803">
        <v>0</v>
      </c>
      <c r="AR803" t="s">
        <v>0</v>
      </c>
      <c r="AT803" s="2" t="s">
        <v>19</v>
      </c>
      <c r="AU803" s="1" t="e">
        <f t="shared" si="107"/>
        <v>#VALUE!</v>
      </c>
      <c r="AV803" s="1" t="e">
        <f t="shared" si="108"/>
        <v>#VALUE!</v>
      </c>
      <c r="AW803" s="1" t="e">
        <f t="shared" si="109"/>
        <v>#VALUE!</v>
      </c>
    </row>
    <row r="804" spans="1:49" x14ac:dyDescent="0.2">
      <c r="A804">
        <v>802</v>
      </c>
      <c r="B804" t="s">
        <v>935</v>
      </c>
      <c r="C804" t="s">
        <v>934</v>
      </c>
      <c r="F804" t="s">
        <v>933</v>
      </c>
      <c r="G804" t="s">
        <v>15</v>
      </c>
      <c r="H804" t="s">
        <v>14</v>
      </c>
      <c r="I804" t="s">
        <v>932</v>
      </c>
      <c r="J804" t="s">
        <v>931</v>
      </c>
      <c r="K804" t="s">
        <v>930</v>
      </c>
      <c r="L804" t="s">
        <v>929</v>
      </c>
      <c r="M804" t="s">
        <v>928</v>
      </c>
      <c r="N804">
        <v>3</v>
      </c>
      <c r="O804" t="s">
        <v>927</v>
      </c>
      <c r="P804" t="s">
        <v>926</v>
      </c>
      <c r="Q804" t="s">
        <v>925</v>
      </c>
      <c r="R804" s="7">
        <v>32143</v>
      </c>
      <c r="S804" s="8">
        <f t="shared" si="104"/>
        <v>1988</v>
      </c>
      <c r="T804" s="8">
        <v>1988</v>
      </c>
      <c r="U804" s="8">
        <f t="shared" si="105"/>
        <v>34</v>
      </c>
      <c r="V804" s="7">
        <v>32264</v>
      </c>
      <c r="W804" t="s">
        <v>871</v>
      </c>
      <c r="X804" s="2">
        <v>0.91800000000000004</v>
      </c>
      <c r="Y804" s="6">
        <f t="shared" si="102"/>
        <v>2.4505485705133341E-2</v>
      </c>
      <c r="AA804">
        <v>1431161</v>
      </c>
      <c r="AB804">
        <v>22674</v>
      </c>
      <c r="AC804">
        <v>13665901</v>
      </c>
      <c r="AD804" t="s">
        <v>4</v>
      </c>
      <c r="AE804">
        <v>9</v>
      </c>
      <c r="AF804">
        <v>5</v>
      </c>
      <c r="AH804" t="s">
        <v>924</v>
      </c>
      <c r="AI804" t="s">
        <v>923</v>
      </c>
      <c r="AK804" t="s">
        <v>922</v>
      </c>
      <c r="AL804">
        <v>17</v>
      </c>
      <c r="AM804" s="5">
        <f t="shared" si="106"/>
        <v>0.5</v>
      </c>
      <c r="AN804" s="4">
        <f t="shared" si="103"/>
        <v>7.572889057175312E-4</v>
      </c>
      <c r="AO804" s="3"/>
      <c r="AP804">
        <v>0</v>
      </c>
      <c r="AQ804" t="s">
        <v>577</v>
      </c>
      <c r="AR804">
        <v>956926</v>
      </c>
      <c r="AS804" t="s">
        <v>575</v>
      </c>
      <c r="AT804" s="2" t="s">
        <v>19</v>
      </c>
      <c r="AU804" s="1">
        <f t="shared" si="107"/>
        <v>1.7381026665308597</v>
      </c>
      <c r="AV804" s="1">
        <f t="shared" si="108"/>
        <v>1.2631387305425437</v>
      </c>
      <c r="AW804" s="1">
        <f t="shared" si="109"/>
        <v>0.78817479455422745</v>
      </c>
    </row>
    <row r="805" spans="1:49" x14ac:dyDescent="0.2">
      <c r="A805">
        <v>803</v>
      </c>
      <c r="B805" t="s">
        <v>921</v>
      </c>
      <c r="C805" t="s">
        <v>920</v>
      </c>
      <c r="F805" t="s">
        <v>919</v>
      </c>
      <c r="G805" t="s">
        <v>15</v>
      </c>
      <c r="H805" t="s">
        <v>14</v>
      </c>
      <c r="I805" t="s">
        <v>918</v>
      </c>
      <c r="J805">
        <v>60009037</v>
      </c>
      <c r="K805" t="s">
        <v>400</v>
      </c>
      <c r="L805" t="s">
        <v>399</v>
      </c>
      <c r="M805" t="s">
        <v>31</v>
      </c>
      <c r="N805">
        <v>2</v>
      </c>
      <c r="O805" t="s">
        <v>917</v>
      </c>
      <c r="P805" t="s">
        <v>916</v>
      </c>
      <c r="Q805" t="s">
        <v>894</v>
      </c>
      <c r="R805" s="7">
        <v>32143</v>
      </c>
      <c r="S805" s="8">
        <f t="shared" si="104"/>
        <v>1988</v>
      </c>
      <c r="T805" s="8">
        <v>1988</v>
      </c>
      <c r="U805" s="8">
        <f t="shared" si="105"/>
        <v>34</v>
      </c>
      <c r="V805" s="7">
        <v>32264</v>
      </c>
      <c r="W805" t="s">
        <v>871</v>
      </c>
      <c r="X805" s="2">
        <v>0.91800000000000004</v>
      </c>
      <c r="Y805" s="6">
        <f t="shared" si="102"/>
        <v>2.4505485705133341E-2</v>
      </c>
      <c r="AA805">
        <v>1431161</v>
      </c>
      <c r="AB805">
        <v>22674</v>
      </c>
      <c r="AC805">
        <v>13665901</v>
      </c>
      <c r="AD805" t="s">
        <v>4</v>
      </c>
      <c r="AE805">
        <v>9</v>
      </c>
      <c r="AF805">
        <v>5</v>
      </c>
      <c r="AH805" t="s">
        <v>915</v>
      </c>
      <c r="AI805" t="s">
        <v>914</v>
      </c>
      <c r="AK805" t="s">
        <v>913</v>
      </c>
      <c r="AL805">
        <v>5</v>
      </c>
      <c r="AM805" s="5">
        <f t="shared" si="106"/>
        <v>0.14705882352941177</v>
      </c>
      <c r="AN805" s="4">
        <f t="shared" si="103"/>
        <v>2.2273203109339154E-4</v>
      </c>
      <c r="AO805" s="3"/>
      <c r="AP805">
        <v>0</v>
      </c>
      <c r="AR805" t="s">
        <v>0</v>
      </c>
      <c r="AT805" s="2" t="s">
        <v>19</v>
      </c>
      <c r="AU805" s="1">
        <f t="shared" si="107"/>
        <v>1.7220659602921355</v>
      </c>
      <c r="AV805" s="1">
        <f t="shared" si="108"/>
        <v>1.2364108868113366</v>
      </c>
      <c r="AW805" s="1">
        <f t="shared" si="109"/>
        <v>0.75075581333053754</v>
      </c>
    </row>
    <row r="806" spans="1:49" x14ac:dyDescent="0.2">
      <c r="A806">
        <v>804</v>
      </c>
      <c r="B806" t="s">
        <v>912</v>
      </c>
      <c r="C806" t="s">
        <v>911</v>
      </c>
      <c r="F806" t="s">
        <v>910</v>
      </c>
      <c r="G806" t="s">
        <v>15</v>
      </c>
      <c r="H806" t="s">
        <v>14</v>
      </c>
      <c r="I806" t="s">
        <v>909</v>
      </c>
      <c r="J806">
        <v>60032121</v>
      </c>
      <c r="K806" t="s">
        <v>908</v>
      </c>
      <c r="L806" t="s">
        <v>907</v>
      </c>
      <c r="M806" t="s">
        <v>31</v>
      </c>
      <c r="N806">
        <v>2</v>
      </c>
      <c r="O806" t="s">
        <v>906</v>
      </c>
      <c r="P806" t="s">
        <v>905</v>
      </c>
      <c r="Q806" t="s">
        <v>904</v>
      </c>
      <c r="R806" s="7">
        <v>32143</v>
      </c>
      <c r="S806" s="8">
        <f t="shared" si="104"/>
        <v>1988</v>
      </c>
      <c r="T806" s="8">
        <v>1988</v>
      </c>
      <c r="U806" s="8">
        <f t="shared" si="105"/>
        <v>34</v>
      </c>
      <c r="V806" s="7">
        <v>32264</v>
      </c>
      <c r="W806" t="s">
        <v>871</v>
      </c>
      <c r="X806" s="2">
        <v>0.91800000000000004</v>
      </c>
      <c r="Y806" s="6">
        <f t="shared" si="102"/>
        <v>2.4505485705133341E-2</v>
      </c>
      <c r="AA806">
        <v>1431161</v>
      </c>
      <c r="AB806">
        <v>22674</v>
      </c>
      <c r="AC806">
        <v>13665901</v>
      </c>
      <c r="AD806" t="s">
        <v>4</v>
      </c>
      <c r="AE806">
        <v>9</v>
      </c>
      <c r="AF806">
        <v>5</v>
      </c>
      <c r="AH806" t="s">
        <v>903</v>
      </c>
      <c r="AI806" t="s">
        <v>902</v>
      </c>
      <c r="AK806" t="s">
        <v>901</v>
      </c>
      <c r="AL806">
        <v>12</v>
      </c>
      <c r="AM806" s="5">
        <f t="shared" si="106"/>
        <v>0.35294117647058826</v>
      </c>
      <c r="AN806" s="4">
        <f t="shared" si="103"/>
        <v>5.3455687462413976E-4</v>
      </c>
      <c r="AO806" s="3"/>
      <c r="AP806">
        <v>0</v>
      </c>
      <c r="AR806" t="s">
        <v>0</v>
      </c>
      <c r="AT806" s="2" t="s">
        <v>19</v>
      </c>
      <c r="AU806" s="1">
        <f t="shared" si="107"/>
        <v>1.7314207055980579</v>
      </c>
      <c r="AV806" s="1">
        <f t="shared" si="108"/>
        <v>1.252002128987874</v>
      </c>
      <c r="AW806" s="1">
        <f t="shared" si="109"/>
        <v>0.77258355237768994</v>
      </c>
    </row>
    <row r="807" spans="1:49" x14ac:dyDescent="0.2">
      <c r="A807">
        <v>805</v>
      </c>
      <c r="B807" t="s">
        <v>900</v>
      </c>
      <c r="C807" t="s">
        <v>899</v>
      </c>
      <c r="F807" t="s">
        <v>898</v>
      </c>
      <c r="G807" t="s">
        <v>15</v>
      </c>
      <c r="H807" t="s">
        <v>14</v>
      </c>
      <c r="I807" t="s">
        <v>897</v>
      </c>
      <c r="J807">
        <v>60009037</v>
      </c>
      <c r="K807" t="s">
        <v>400</v>
      </c>
      <c r="L807" t="s">
        <v>399</v>
      </c>
      <c r="M807" t="s">
        <v>31</v>
      </c>
      <c r="N807">
        <v>2</v>
      </c>
      <c r="O807" t="s">
        <v>896</v>
      </c>
      <c r="P807" t="s">
        <v>895</v>
      </c>
      <c r="Q807" t="s">
        <v>894</v>
      </c>
      <c r="R807" s="7">
        <v>32143</v>
      </c>
      <c r="S807" s="8">
        <f t="shared" si="104"/>
        <v>1988</v>
      </c>
      <c r="T807" s="8">
        <v>1988</v>
      </c>
      <c r="U807" s="8">
        <f t="shared" si="105"/>
        <v>34</v>
      </c>
      <c r="V807" s="7">
        <v>32264</v>
      </c>
      <c r="W807" t="s">
        <v>871</v>
      </c>
      <c r="X807" s="2">
        <v>0.91800000000000004</v>
      </c>
      <c r="Y807" s="6">
        <f t="shared" si="102"/>
        <v>2.4505485705133341E-2</v>
      </c>
      <c r="AA807">
        <v>1431161</v>
      </c>
      <c r="AB807">
        <v>22674</v>
      </c>
      <c r="AC807">
        <v>13665901</v>
      </c>
      <c r="AD807" t="s">
        <v>4</v>
      </c>
      <c r="AE807">
        <v>9</v>
      </c>
      <c r="AF807">
        <v>5</v>
      </c>
      <c r="AH807" t="s">
        <v>893</v>
      </c>
      <c r="AI807" t="s">
        <v>892</v>
      </c>
      <c r="AK807" t="s">
        <v>891</v>
      </c>
      <c r="AL807">
        <v>252</v>
      </c>
      <c r="AM807" s="5">
        <f t="shared" si="106"/>
        <v>7.4117647058823533</v>
      </c>
      <c r="AN807" s="4">
        <f t="shared" si="103"/>
        <v>1.1225694367106935E-2</v>
      </c>
      <c r="AO807" s="3"/>
      <c r="AP807">
        <v>0</v>
      </c>
      <c r="AR807" t="s">
        <v>0</v>
      </c>
      <c r="AT807" s="2" t="s">
        <v>19</v>
      </c>
      <c r="AU807" s="1">
        <f t="shared" si="107"/>
        <v>2.0521548303725416</v>
      </c>
      <c r="AV807" s="1">
        <f t="shared" si="108"/>
        <v>1.7865590036120138</v>
      </c>
      <c r="AW807" s="1">
        <f t="shared" si="109"/>
        <v>1.5209631768514857</v>
      </c>
    </row>
    <row r="808" spans="1:49" x14ac:dyDescent="0.2">
      <c r="A808">
        <v>806</v>
      </c>
      <c r="B808" t="s">
        <v>890</v>
      </c>
      <c r="C808" t="s">
        <v>889</v>
      </c>
      <c r="F808" t="s">
        <v>888</v>
      </c>
      <c r="G808" t="s">
        <v>15</v>
      </c>
      <c r="H808" t="s">
        <v>14</v>
      </c>
      <c r="I808" t="s">
        <v>887</v>
      </c>
      <c r="J808">
        <v>60003467</v>
      </c>
      <c r="K808" t="s">
        <v>886</v>
      </c>
      <c r="L808" t="s">
        <v>885</v>
      </c>
      <c r="M808" t="s">
        <v>31</v>
      </c>
      <c r="N808">
        <v>2</v>
      </c>
      <c r="O808" t="s">
        <v>884</v>
      </c>
      <c r="P808" t="s">
        <v>883</v>
      </c>
      <c r="Q808" t="s">
        <v>882</v>
      </c>
      <c r="R808" s="7">
        <v>32143</v>
      </c>
      <c r="S808" s="8">
        <f t="shared" si="104"/>
        <v>1988</v>
      </c>
      <c r="T808" s="8">
        <v>1988</v>
      </c>
      <c r="U808" s="8">
        <f t="shared" si="105"/>
        <v>34</v>
      </c>
      <c r="V808" s="7">
        <v>32203</v>
      </c>
      <c r="W808" t="s">
        <v>871</v>
      </c>
      <c r="X808" s="2">
        <v>0.91800000000000004</v>
      </c>
      <c r="Y808" s="6">
        <f t="shared" si="102"/>
        <v>2.4505485705133341E-2</v>
      </c>
      <c r="AA808">
        <v>1431161</v>
      </c>
      <c r="AB808">
        <v>22674</v>
      </c>
      <c r="AC808">
        <v>13665901</v>
      </c>
      <c r="AD808" t="s">
        <v>4</v>
      </c>
      <c r="AE808">
        <v>9</v>
      </c>
      <c r="AF808">
        <v>3</v>
      </c>
      <c r="AH808" t="s">
        <v>881</v>
      </c>
      <c r="AI808" t="s">
        <v>880</v>
      </c>
      <c r="AK808" t="s">
        <v>879</v>
      </c>
      <c r="AL808">
        <v>1</v>
      </c>
      <c r="AM808" s="5">
        <f t="shared" si="106"/>
        <v>2.9411764705882353E-2</v>
      </c>
      <c r="AN808" s="4">
        <f t="shared" si="103"/>
        <v>4.4546406218678307E-5</v>
      </c>
      <c r="AO808" s="3"/>
      <c r="AP808">
        <v>0</v>
      </c>
      <c r="AR808" t="s">
        <v>0</v>
      </c>
      <c r="AT808" s="2" t="s">
        <v>19</v>
      </c>
      <c r="AU808" s="1">
        <f t="shared" si="107"/>
        <v>1.716720391545894</v>
      </c>
      <c r="AV808" s="1">
        <f t="shared" si="108"/>
        <v>1.2275016055676011</v>
      </c>
      <c r="AW808" s="1">
        <f t="shared" si="109"/>
        <v>0.73828281958930764</v>
      </c>
    </row>
    <row r="809" spans="1:49" x14ac:dyDescent="0.2">
      <c r="A809">
        <v>807</v>
      </c>
      <c r="B809" t="s">
        <v>878</v>
      </c>
      <c r="C809" t="s">
        <v>877</v>
      </c>
      <c r="F809" t="s">
        <v>876</v>
      </c>
      <c r="G809" t="s">
        <v>15</v>
      </c>
      <c r="H809" t="s">
        <v>14</v>
      </c>
      <c r="I809" t="s">
        <v>875</v>
      </c>
      <c r="J809">
        <v>60022990</v>
      </c>
      <c r="K809" t="s">
        <v>874</v>
      </c>
      <c r="L809" t="s">
        <v>873</v>
      </c>
      <c r="M809" t="s">
        <v>211</v>
      </c>
      <c r="N809">
        <v>1</v>
      </c>
      <c r="O809" t="s">
        <v>872</v>
      </c>
      <c r="P809">
        <v>57024739100</v>
      </c>
      <c r="Q809">
        <v>60022990</v>
      </c>
      <c r="R809" s="7">
        <v>32143</v>
      </c>
      <c r="S809" s="8">
        <f t="shared" si="104"/>
        <v>1988</v>
      </c>
      <c r="T809" s="8">
        <v>1988</v>
      </c>
      <c r="U809" s="8">
        <f t="shared" si="105"/>
        <v>34</v>
      </c>
      <c r="V809" s="7">
        <v>32143</v>
      </c>
      <c r="W809" t="s">
        <v>871</v>
      </c>
      <c r="X809" s="2">
        <v>0.91800000000000004</v>
      </c>
      <c r="Y809" s="6">
        <f t="shared" si="102"/>
        <v>2.4505485705133341E-2</v>
      </c>
      <c r="AA809">
        <v>1431161</v>
      </c>
      <c r="AB809">
        <v>22674</v>
      </c>
      <c r="AC809">
        <v>13665901</v>
      </c>
      <c r="AD809" t="s">
        <v>4</v>
      </c>
      <c r="AE809">
        <v>9</v>
      </c>
      <c r="AF809">
        <v>1</v>
      </c>
      <c r="AH809" s="10">
        <v>44317</v>
      </c>
      <c r="AI809" t="s">
        <v>870</v>
      </c>
      <c r="AK809" t="s">
        <v>869</v>
      </c>
      <c r="AL809">
        <v>11</v>
      </c>
      <c r="AM809" s="5">
        <f t="shared" si="106"/>
        <v>0.3235294117647059</v>
      </c>
      <c r="AN809" s="4">
        <f t="shared" si="103"/>
        <v>4.9001046840546137E-4</v>
      </c>
      <c r="AO809" s="3"/>
      <c r="AP809">
        <v>0</v>
      </c>
      <c r="AR809" t="s">
        <v>0</v>
      </c>
      <c r="AT809" s="2" t="s">
        <v>19</v>
      </c>
      <c r="AU809" s="1">
        <f t="shared" si="107"/>
        <v>1.7300843134114976</v>
      </c>
      <c r="AV809" s="1">
        <f t="shared" si="108"/>
        <v>1.2497748086769402</v>
      </c>
      <c r="AW809" s="1">
        <f t="shared" si="109"/>
        <v>0.76946530394238244</v>
      </c>
    </row>
    <row r="810" spans="1:49" x14ac:dyDescent="0.2">
      <c r="A810">
        <v>808</v>
      </c>
      <c r="B810" t="s">
        <v>868</v>
      </c>
      <c r="C810" t="s">
        <v>867</v>
      </c>
      <c r="D810">
        <v>12160688901704</v>
      </c>
      <c r="E810">
        <v>3137111</v>
      </c>
      <c r="F810" t="s">
        <v>866</v>
      </c>
      <c r="G810" t="s">
        <v>15</v>
      </c>
      <c r="H810" t="s">
        <v>14</v>
      </c>
      <c r="I810" t="s">
        <v>865</v>
      </c>
      <c r="J810">
        <v>60005248</v>
      </c>
      <c r="K810" t="s">
        <v>864</v>
      </c>
      <c r="L810" t="s">
        <v>863</v>
      </c>
      <c r="M810" t="s">
        <v>31</v>
      </c>
      <c r="N810">
        <v>3</v>
      </c>
      <c r="O810" t="s">
        <v>862</v>
      </c>
      <c r="P810" t="s">
        <v>861</v>
      </c>
      <c r="Q810" t="s">
        <v>860</v>
      </c>
      <c r="R810" s="7">
        <v>32143</v>
      </c>
      <c r="S810" s="8">
        <f t="shared" si="104"/>
        <v>1988</v>
      </c>
      <c r="T810" s="8">
        <v>1988</v>
      </c>
      <c r="U810" s="8">
        <f t="shared" si="105"/>
        <v>34</v>
      </c>
      <c r="V810" s="7">
        <v>32387</v>
      </c>
      <c r="W810" t="s">
        <v>859</v>
      </c>
      <c r="X810" s="2">
        <v>1.77</v>
      </c>
      <c r="Y810" s="6">
        <f t="shared" si="102"/>
        <v>4.7249139104668859E-2</v>
      </c>
      <c r="AA810">
        <v>121606</v>
      </c>
      <c r="AB810">
        <v>14536</v>
      </c>
      <c r="AD810" t="s">
        <v>4</v>
      </c>
      <c r="AE810">
        <v>129</v>
      </c>
      <c r="AF810">
        <v>1</v>
      </c>
      <c r="AH810" t="s">
        <v>858</v>
      </c>
      <c r="AI810" t="s">
        <v>857</v>
      </c>
      <c r="AK810" t="s">
        <v>856</v>
      </c>
      <c r="AL810">
        <v>116</v>
      </c>
      <c r="AM810" s="5">
        <f t="shared" si="106"/>
        <v>3.4117647058823528</v>
      </c>
      <c r="AN810" s="4">
        <f t="shared" si="103"/>
        <v>5.1673831213666834E-3</v>
      </c>
      <c r="AO810" s="3"/>
      <c r="AP810">
        <v>0</v>
      </c>
      <c r="AQ810" t="s">
        <v>855</v>
      </c>
      <c r="AR810" t="s">
        <v>0</v>
      </c>
      <c r="AS810" t="s">
        <v>854</v>
      </c>
      <c r="AT810" s="2">
        <v>3.5819999999999999</v>
      </c>
      <c r="AU810" s="1">
        <f t="shared" si="107"/>
        <v>3.4624612309678207</v>
      </c>
      <c r="AV810" s="1">
        <f t="shared" si="108"/>
        <v>2.6208261113017772</v>
      </c>
      <c r="AW810" s="1">
        <f t="shared" si="109"/>
        <v>1.7791909916357336</v>
      </c>
    </row>
    <row r="811" spans="1:49" x14ac:dyDescent="0.2">
      <c r="A811">
        <v>809</v>
      </c>
      <c r="B811" t="s">
        <v>853</v>
      </c>
      <c r="C811" t="s">
        <v>852</v>
      </c>
      <c r="F811" t="s">
        <v>851</v>
      </c>
      <c r="G811" t="s">
        <v>15</v>
      </c>
      <c r="H811" t="s">
        <v>14</v>
      </c>
      <c r="I811" t="s">
        <v>850</v>
      </c>
      <c r="N811">
        <v>3</v>
      </c>
      <c r="O811" t="s">
        <v>849</v>
      </c>
      <c r="P811" t="s">
        <v>848</v>
      </c>
      <c r="Q811" t="s">
        <v>532</v>
      </c>
      <c r="R811" s="7">
        <v>32143</v>
      </c>
      <c r="S811" s="8">
        <f t="shared" si="104"/>
        <v>1988</v>
      </c>
      <c r="T811" s="8">
        <v>1988</v>
      </c>
      <c r="U811" s="8">
        <f t="shared" si="105"/>
        <v>34</v>
      </c>
      <c r="V811" s="7">
        <v>1988</v>
      </c>
      <c r="W811" t="s">
        <v>778</v>
      </c>
      <c r="X811" s="2" t="s">
        <v>19</v>
      </c>
      <c r="Y811" s="6" t="e">
        <f t="shared" si="102"/>
        <v>#VALUE!</v>
      </c>
      <c r="AA811">
        <v>7390572</v>
      </c>
      <c r="AB811">
        <v>13549</v>
      </c>
      <c r="AD811" t="s">
        <v>4</v>
      </c>
      <c r="AE811">
        <v>5</v>
      </c>
      <c r="AF811" t="s">
        <v>777</v>
      </c>
      <c r="AH811" t="s">
        <v>847</v>
      </c>
      <c r="AI811" t="s">
        <v>846</v>
      </c>
      <c r="AK811" t="s">
        <v>845</v>
      </c>
      <c r="AL811">
        <v>1</v>
      </c>
      <c r="AM811" s="5">
        <f t="shared" si="106"/>
        <v>2.9411764705882353E-2</v>
      </c>
      <c r="AN811" s="4">
        <f t="shared" si="103"/>
        <v>4.4546406218678307E-5</v>
      </c>
      <c r="AO811" s="3"/>
      <c r="AP811">
        <v>0</v>
      </c>
      <c r="AR811" t="s">
        <v>0</v>
      </c>
      <c r="AT811" s="2" t="s">
        <v>19</v>
      </c>
      <c r="AU811" s="1" t="e">
        <f t="shared" si="107"/>
        <v>#VALUE!</v>
      </c>
      <c r="AV811" s="1" t="e">
        <f t="shared" si="108"/>
        <v>#VALUE!</v>
      </c>
      <c r="AW811" s="1" t="e">
        <f t="shared" si="109"/>
        <v>#VALUE!</v>
      </c>
    </row>
    <row r="812" spans="1:49" x14ac:dyDescent="0.2">
      <c r="A812">
        <v>810</v>
      </c>
      <c r="B812" t="s">
        <v>844</v>
      </c>
      <c r="E812">
        <v>2843920</v>
      </c>
      <c r="F812" t="s">
        <v>843</v>
      </c>
      <c r="G812" t="s">
        <v>15</v>
      </c>
      <c r="H812" t="s">
        <v>14</v>
      </c>
      <c r="I812" t="s">
        <v>842</v>
      </c>
      <c r="J812">
        <v>60005681</v>
      </c>
      <c r="K812" t="s">
        <v>841</v>
      </c>
      <c r="L812" t="s">
        <v>840</v>
      </c>
      <c r="M812" t="s">
        <v>839</v>
      </c>
      <c r="N812">
        <v>1</v>
      </c>
      <c r="O812" t="s">
        <v>838</v>
      </c>
      <c r="P812">
        <v>57197360603</v>
      </c>
      <c r="Q812">
        <v>60005681</v>
      </c>
      <c r="R812" s="7">
        <v>32143</v>
      </c>
      <c r="S812" s="8">
        <f t="shared" si="104"/>
        <v>1988</v>
      </c>
      <c r="T812" s="8">
        <v>1988</v>
      </c>
      <c r="U812" s="8">
        <f t="shared" si="105"/>
        <v>34</v>
      </c>
      <c r="V812" s="7">
        <v>1988</v>
      </c>
      <c r="W812" t="s">
        <v>837</v>
      </c>
      <c r="X812" s="2" t="s">
        <v>19</v>
      </c>
      <c r="Y812" s="6" t="e">
        <f t="shared" si="102"/>
        <v>#VALUE!</v>
      </c>
      <c r="AA812">
        <v>3617742</v>
      </c>
      <c r="AB812">
        <v>32790</v>
      </c>
      <c r="AD812" t="s">
        <v>4</v>
      </c>
      <c r="AE812">
        <v>273</v>
      </c>
      <c r="AH812" t="s">
        <v>836</v>
      </c>
      <c r="AL812">
        <v>1</v>
      </c>
      <c r="AM812" s="5">
        <f t="shared" si="106"/>
        <v>2.9411764705882353E-2</v>
      </c>
      <c r="AN812" s="4">
        <f t="shared" si="103"/>
        <v>4.4546406218678307E-5</v>
      </c>
      <c r="AO812" s="3"/>
      <c r="AP812">
        <v>0</v>
      </c>
      <c r="AR812" t="s">
        <v>0</v>
      </c>
      <c r="AT812" s="2" t="s">
        <v>19</v>
      </c>
      <c r="AU812" s="1" t="e">
        <f t="shared" si="107"/>
        <v>#VALUE!</v>
      </c>
      <c r="AV812" s="1" t="e">
        <f t="shared" si="108"/>
        <v>#VALUE!</v>
      </c>
      <c r="AW812" s="1" t="e">
        <f t="shared" si="109"/>
        <v>#VALUE!</v>
      </c>
    </row>
    <row r="813" spans="1:49" x14ac:dyDescent="0.2">
      <c r="A813">
        <v>811</v>
      </c>
      <c r="B813" t="s">
        <v>835</v>
      </c>
      <c r="F813" t="s">
        <v>834</v>
      </c>
      <c r="G813" t="s">
        <v>15</v>
      </c>
      <c r="H813" t="s">
        <v>14</v>
      </c>
      <c r="I813" t="s">
        <v>833</v>
      </c>
      <c r="N813">
        <v>1</v>
      </c>
      <c r="O813" t="s">
        <v>832</v>
      </c>
      <c r="P813">
        <v>7005771238</v>
      </c>
      <c r="R813" s="7">
        <v>32143</v>
      </c>
      <c r="S813" s="8">
        <f t="shared" si="104"/>
        <v>1988</v>
      </c>
      <c r="T813" s="8">
        <v>1988</v>
      </c>
      <c r="U813" s="8">
        <f t="shared" si="105"/>
        <v>34</v>
      </c>
      <c r="V813" s="7">
        <v>1988</v>
      </c>
      <c r="W813" t="s">
        <v>831</v>
      </c>
      <c r="X813" s="2" t="s">
        <v>19</v>
      </c>
      <c r="Y813" s="6" t="e">
        <f t="shared" si="102"/>
        <v>#VALUE!</v>
      </c>
      <c r="AA813">
        <v>438405</v>
      </c>
      <c r="AB813">
        <v>31940</v>
      </c>
      <c r="AD813" t="s">
        <v>4</v>
      </c>
      <c r="AE813">
        <v>24</v>
      </c>
      <c r="AF813" t="s">
        <v>830</v>
      </c>
      <c r="AH813" t="s">
        <v>829</v>
      </c>
      <c r="AI813" t="s">
        <v>828</v>
      </c>
      <c r="AK813" t="s">
        <v>827</v>
      </c>
      <c r="AL813">
        <v>0</v>
      </c>
      <c r="AM813" s="5">
        <f t="shared" si="106"/>
        <v>0</v>
      </c>
      <c r="AN813" s="4">
        <f t="shared" si="103"/>
        <v>0</v>
      </c>
      <c r="AO813" s="3"/>
      <c r="AP813">
        <v>0</v>
      </c>
      <c r="AR813" t="s">
        <v>0</v>
      </c>
      <c r="AT813" s="2" t="s">
        <v>19</v>
      </c>
      <c r="AU813" s="1" t="e">
        <f t="shared" si="107"/>
        <v>#VALUE!</v>
      </c>
      <c r="AV813" s="1" t="e">
        <f t="shared" si="108"/>
        <v>#VALUE!</v>
      </c>
      <c r="AW813" s="1" t="e">
        <f t="shared" si="109"/>
        <v>#VALUE!</v>
      </c>
    </row>
    <row r="814" spans="1:49" x14ac:dyDescent="0.2">
      <c r="A814">
        <v>812</v>
      </c>
      <c r="B814" t="s">
        <v>826</v>
      </c>
      <c r="C814" t="s">
        <v>825</v>
      </c>
      <c r="E814">
        <v>3059216</v>
      </c>
      <c r="F814" t="s">
        <v>824</v>
      </c>
      <c r="G814" t="s">
        <v>15</v>
      </c>
      <c r="H814" t="s">
        <v>14</v>
      </c>
      <c r="I814" t="s">
        <v>810</v>
      </c>
      <c r="J814">
        <v>60023691</v>
      </c>
      <c r="K814" t="s">
        <v>823</v>
      </c>
      <c r="L814" t="s">
        <v>822</v>
      </c>
      <c r="M814" t="s">
        <v>31</v>
      </c>
      <c r="N814">
        <v>5</v>
      </c>
      <c r="O814" t="s">
        <v>821</v>
      </c>
      <c r="P814" t="s">
        <v>820</v>
      </c>
      <c r="Q814" t="s">
        <v>819</v>
      </c>
      <c r="R814" s="7">
        <v>32143</v>
      </c>
      <c r="S814" s="8">
        <f t="shared" si="104"/>
        <v>1988</v>
      </c>
      <c r="T814" s="8">
        <v>1988</v>
      </c>
      <c r="U814" s="8">
        <f t="shared" si="105"/>
        <v>34</v>
      </c>
      <c r="V814" s="7">
        <v>1988</v>
      </c>
      <c r="W814" t="s">
        <v>630</v>
      </c>
      <c r="X814" s="2">
        <v>1.4550000000000001</v>
      </c>
      <c r="Y814" s="6">
        <f t="shared" si="102"/>
        <v>3.8840394009770164E-2</v>
      </c>
      <c r="AA814" t="s">
        <v>629</v>
      </c>
      <c r="AB814">
        <v>18069</v>
      </c>
      <c r="AD814" t="s">
        <v>4</v>
      </c>
      <c r="AE814">
        <v>23</v>
      </c>
      <c r="AF814">
        <v>5</v>
      </c>
      <c r="AH814" t="s">
        <v>818</v>
      </c>
      <c r="AI814" t="s">
        <v>817</v>
      </c>
      <c r="AK814" t="s">
        <v>816</v>
      </c>
      <c r="AL814">
        <v>11</v>
      </c>
      <c r="AM814" s="5">
        <f t="shared" si="106"/>
        <v>0.3235294117647059</v>
      </c>
      <c r="AN814" s="4">
        <f t="shared" si="103"/>
        <v>4.9001046840546137E-4</v>
      </c>
      <c r="AO814" s="3"/>
      <c r="AP814">
        <v>0</v>
      </c>
      <c r="AQ814" t="s">
        <v>815</v>
      </c>
      <c r="AR814" t="s">
        <v>799</v>
      </c>
      <c r="AS814" t="s">
        <v>814</v>
      </c>
      <c r="AT814" s="2">
        <v>4.6539999999999999</v>
      </c>
      <c r="AU814" s="1">
        <f t="shared" si="107"/>
        <v>2.7335278947360755</v>
      </c>
      <c r="AV814" s="1">
        <f t="shared" si="108"/>
        <v>1.9665202239087811</v>
      </c>
      <c r="AW814" s="1">
        <f t="shared" si="109"/>
        <v>1.1995125530814872</v>
      </c>
    </row>
    <row r="815" spans="1:49" x14ac:dyDescent="0.2">
      <c r="A815">
        <v>813</v>
      </c>
      <c r="B815" t="s">
        <v>813</v>
      </c>
      <c r="C815" t="s">
        <v>812</v>
      </c>
      <c r="D815">
        <v>360301688902064</v>
      </c>
      <c r="E815">
        <v>3182353</v>
      </c>
      <c r="F815" t="s">
        <v>811</v>
      </c>
      <c r="G815" t="s">
        <v>15</v>
      </c>
      <c r="H815" t="s">
        <v>14</v>
      </c>
      <c r="I815" t="s">
        <v>810</v>
      </c>
      <c r="J815" t="s">
        <v>809</v>
      </c>
      <c r="K815" t="s">
        <v>808</v>
      </c>
      <c r="L815" t="s">
        <v>807</v>
      </c>
      <c r="M815" t="s">
        <v>9</v>
      </c>
      <c r="N815">
        <v>3</v>
      </c>
      <c r="O815" t="s">
        <v>806</v>
      </c>
      <c r="P815" t="s">
        <v>805</v>
      </c>
      <c r="Q815" t="s">
        <v>804</v>
      </c>
      <c r="R815" s="7">
        <v>32143</v>
      </c>
      <c r="S815" s="8">
        <f t="shared" si="104"/>
        <v>1988</v>
      </c>
      <c r="T815" s="8">
        <v>1988</v>
      </c>
      <c r="U815" s="8">
        <f t="shared" si="105"/>
        <v>34</v>
      </c>
      <c r="V815" s="7">
        <v>32448</v>
      </c>
      <c r="W815" t="s">
        <v>762</v>
      </c>
      <c r="X815" s="2" t="s">
        <v>19</v>
      </c>
      <c r="Y815" s="6" t="e">
        <f t="shared" si="102"/>
        <v>#VALUE!</v>
      </c>
      <c r="AA815">
        <v>3603016</v>
      </c>
      <c r="AB815">
        <v>17191</v>
      </c>
      <c r="AD815" t="s">
        <v>4</v>
      </c>
      <c r="AE815">
        <v>15</v>
      </c>
      <c r="AF815">
        <v>5</v>
      </c>
      <c r="AH815" t="s">
        <v>803</v>
      </c>
      <c r="AI815" t="s">
        <v>802</v>
      </c>
      <c r="AJ815" t="s">
        <v>801</v>
      </c>
      <c r="AK815" t="s">
        <v>800</v>
      </c>
      <c r="AL815">
        <v>33</v>
      </c>
      <c r="AM815" s="5">
        <f t="shared" si="106"/>
        <v>0.97058823529411764</v>
      </c>
      <c r="AN815" s="4">
        <f t="shared" si="103"/>
        <v>1.4700314052163842E-3</v>
      </c>
      <c r="AO815" s="3"/>
      <c r="AP815">
        <v>0</v>
      </c>
      <c r="AQ815" t="s">
        <v>702</v>
      </c>
      <c r="AR815" t="s">
        <v>799</v>
      </c>
      <c r="AS815" t="s">
        <v>700</v>
      </c>
      <c r="AT815" s="2" t="s">
        <v>19</v>
      </c>
      <c r="AU815" s="1" t="e">
        <f t="shared" si="107"/>
        <v>#VALUE!</v>
      </c>
      <c r="AV815" s="1" t="e">
        <f t="shared" si="108"/>
        <v>#VALUE!</v>
      </c>
      <c r="AW815" s="1" t="e">
        <f t="shared" si="109"/>
        <v>#VALUE!</v>
      </c>
    </row>
    <row r="816" spans="1:49" x14ac:dyDescent="0.2">
      <c r="A816">
        <v>814</v>
      </c>
      <c r="B816" t="s">
        <v>798</v>
      </c>
      <c r="F816" t="s">
        <v>797</v>
      </c>
      <c r="G816" t="s">
        <v>15</v>
      </c>
      <c r="H816" t="s">
        <v>14</v>
      </c>
      <c r="I816" t="s">
        <v>796</v>
      </c>
      <c r="J816">
        <v>60017962</v>
      </c>
      <c r="K816" t="s">
        <v>795</v>
      </c>
      <c r="L816" t="s">
        <v>794</v>
      </c>
      <c r="M816" t="s">
        <v>481</v>
      </c>
      <c r="N816">
        <v>2</v>
      </c>
      <c r="O816" t="s">
        <v>793</v>
      </c>
      <c r="P816" t="s">
        <v>792</v>
      </c>
      <c r="Q816" t="s">
        <v>791</v>
      </c>
      <c r="R816" s="7">
        <v>32143</v>
      </c>
      <c r="S816" s="8">
        <f t="shared" si="104"/>
        <v>1988</v>
      </c>
      <c r="T816" s="8">
        <v>1988</v>
      </c>
      <c r="U816" s="8">
        <f t="shared" si="105"/>
        <v>34</v>
      </c>
      <c r="V816" s="7">
        <v>1988</v>
      </c>
      <c r="W816" t="s">
        <v>790</v>
      </c>
      <c r="X816" s="2" t="s">
        <v>19</v>
      </c>
      <c r="Y816" s="6" t="e">
        <f t="shared" si="102"/>
        <v>#VALUE!</v>
      </c>
      <c r="AA816" t="s">
        <v>789</v>
      </c>
      <c r="AB816">
        <v>34896</v>
      </c>
      <c r="AD816" t="s">
        <v>4</v>
      </c>
      <c r="AE816">
        <v>13</v>
      </c>
      <c r="AF816">
        <v>3</v>
      </c>
      <c r="AH816" t="s">
        <v>788</v>
      </c>
      <c r="AI816" t="s">
        <v>787</v>
      </c>
      <c r="AK816" t="s">
        <v>786</v>
      </c>
      <c r="AL816">
        <v>117</v>
      </c>
      <c r="AM816" s="5">
        <f t="shared" si="106"/>
        <v>3.4411764705882355</v>
      </c>
      <c r="AN816" s="4">
        <f t="shared" si="103"/>
        <v>5.2119295275853622E-3</v>
      </c>
      <c r="AO816" s="3"/>
      <c r="AP816">
        <v>0</v>
      </c>
      <c r="AR816" t="s">
        <v>0</v>
      </c>
      <c r="AT816" s="2" t="s">
        <v>19</v>
      </c>
      <c r="AU816" s="1" t="e">
        <f t="shared" si="107"/>
        <v>#VALUE!</v>
      </c>
      <c r="AV816" s="1" t="e">
        <f t="shared" si="108"/>
        <v>#VALUE!</v>
      </c>
      <c r="AW816" s="1" t="e">
        <f t="shared" si="109"/>
        <v>#VALUE!</v>
      </c>
    </row>
    <row r="817" spans="1:49" x14ac:dyDescent="0.2">
      <c r="A817">
        <v>815</v>
      </c>
      <c r="B817" t="s">
        <v>785</v>
      </c>
      <c r="C817" t="s">
        <v>784</v>
      </c>
      <c r="F817" t="s">
        <v>783</v>
      </c>
      <c r="G817" t="s">
        <v>15</v>
      </c>
      <c r="H817" t="s">
        <v>14</v>
      </c>
      <c r="I817" t="s">
        <v>782</v>
      </c>
      <c r="N817">
        <v>8</v>
      </c>
      <c r="O817" t="s">
        <v>781</v>
      </c>
      <c r="P817" t="s">
        <v>780</v>
      </c>
      <c r="Q817" t="s">
        <v>779</v>
      </c>
      <c r="R817" s="7">
        <v>32143</v>
      </c>
      <c r="S817" s="8">
        <f t="shared" si="104"/>
        <v>1988</v>
      </c>
      <c r="T817" s="8">
        <v>1988</v>
      </c>
      <c r="U817" s="8">
        <f t="shared" si="105"/>
        <v>34</v>
      </c>
      <c r="V817" s="7">
        <v>1988</v>
      </c>
      <c r="W817" t="s">
        <v>778</v>
      </c>
      <c r="X817" s="2" t="s">
        <v>19</v>
      </c>
      <c r="Y817" s="6" t="e">
        <f t="shared" si="102"/>
        <v>#VALUE!</v>
      </c>
      <c r="AA817">
        <v>7390572</v>
      </c>
      <c r="AB817">
        <v>13549</v>
      </c>
      <c r="AD817" t="s">
        <v>4</v>
      </c>
      <c r="AE817">
        <v>5</v>
      </c>
      <c r="AF817" t="s">
        <v>777</v>
      </c>
      <c r="AH817" t="s">
        <v>776</v>
      </c>
      <c r="AI817" t="s">
        <v>775</v>
      </c>
      <c r="AK817" t="s">
        <v>774</v>
      </c>
      <c r="AL817">
        <v>33</v>
      </c>
      <c r="AM817" s="5">
        <f t="shared" si="106"/>
        <v>0.97058823529411764</v>
      </c>
      <c r="AN817" s="4">
        <f t="shared" si="103"/>
        <v>1.4700314052163842E-3</v>
      </c>
      <c r="AO817" s="3"/>
      <c r="AP817">
        <v>0</v>
      </c>
      <c r="AR817" t="s">
        <v>0</v>
      </c>
      <c r="AT817" s="2" t="s">
        <v>19</v>
      </c>
      <c r="AU817" s="1" t="e">
        <f t="shared" si="107"/>
        <v>#VALUE!</v>
      </c>
      <c r="AV817" s="1" t="e">
        <f t="shared" si="108"/>
        <v>#VALUE!</v>
      </c>
      <c r="AW817" s="1" t="e">
        <f t="shared" si="109"/>
        <v>#VALUE!</v>
      </c>
    </row>
    <row r="818" spans="1:49" x14ac:dyDescent="0.2">
      <c r="A818">
        <v>816</v>
      </c>
      <c r="B818" t="s">
        <v>773</v>
      </c>
      <c r="C818" t="s">
        <v>772</v>
      </c>
      <c r="D818" t="s">
        <v>771</v>
      </c>
      <c r="E818">
        <v>2968330</v>
      </c>
      <c r="F818" t="s">
        <v>770</v>
      </c>
      <c r="G818" t="s">
        <v>15</v>
      </c>
      <c r="H818" t="s">
        <v>14</v>
      </c>
      <c r="I818" t="s">
        <v>769</v>
      </c>
      <c r="J818" t="s">
        <v>768</v>
      </c>
      <c r="K818" t="s">
        <v>767</v>
      </c>
      <c r="L818" t="s">
        <v>766</v>
      </c>
      <c r="M818" t="s">
        <v>9</v>
      </c>
      <c r="N818">
        <v>8</v>
      </c>
      <c r="O818" t="s">
        <v>765</v>
      </c>
      <c r="P818" t="s">
        <v>764</v>
      </c>
      <c r="Q818" t="s">
        <v>763</v>
      </c>
      <c r="R818" s="7">
        <v>32143</v>
      </c>
      <c r="S818" s="8">
        <f t="shared" si="104"/>
        <v>1988</v>
      </c>
      <c r="T818" s="8">
        <v>1988</v>
      </c>
      <c r="U818" s="8">
        <f t="shared" si="105"/>
        <v>34</v>
      </c>
      <c r="V818" s="7">
        <v>32295</v>
      </c>
      <c r="W818" t="s">
        <v>762</v>
      </c>
      <c r="X818" s="2" t="s">
        <v>19</v>
      </c>
      <c r="Y818" s="6" t="e">
        <f t="shared" si="102"/>
        <v>#VALUE!</v>
      </c>
      <c r="AA818">
        <v>3603016</v>
      </c>
      <c r="AB818">
        <v>17191</v>
      </c>
      <c r="AD818" t="s">
        <v>4</v>
      </c>
      <c r="AE818">
        <v>14</v>
      </c>
      <c r="AF818">
        <v>6</v>
      </c>
      <c r="AH818" t="s">
        <v>761</v>
      </c>
      <c r="AI818" t="s">
        <v>760</v>
      </c>
      <c r="AJ818" t="s">
        <v>759</v>
      </c>
      <c r="AK818" t="s">
        <v>758</v>
      </c>
      <c r="AL818">
        <v>34</v>
      </c>
      <c r="AM818" s="5">
        <f t="shared" si="106"/>
        <v>1</v>
      </c>
      <c r="AN818" s="4">
        <f t="shared" si="103"/>
        <v>1.5145778114350624E-3</v>
      </c>
      <c r="AO818" s="3"/>
      <c r="AP818">
        <v>0</v>
      </c>
      <c r="AQ818" t="s">
        <v>702</v>
      </c>
      <c r="AR818" t="s">
        <v>757</v>
      </c>
      <c r="AS818" t="s">
        <v>700</v>
      </c>
      <c r="AT818" s="2" t="s">
        <v>19</v>
      </c>
      <c r="AU818" s="1" t="e">
        <f t="shared" si="107"/>
        <v>#VALUE!</v>
      </c>
      <c r="AV818" s="1" t="e">
        <f t="shared" si="108"/>
        <v>#VALUE!</v>
      </c>
      <c r="AW818" s="1" t="e">
        <f t="shared" si="109"/>
        <v>#VALUE!</v>
      </c>
    </row>
    <row r="819" spans="1:49" x14ac:dyDescent="0.2">
      <c r="A819">
        <v>817</v>
      </c>
      <c r="B819" t="s">
        <v>756</v>
      </c>
      <c r="C819" t="s">
        <v>755</v>
      </c>
      <c r="E819">
        <v>3171255</v>
      </c>
      <c r="F819" t="s">
        <v>754</v>
      </c>
      <c r="G819" t="s">
        <v>15</v>
      </c>
      <c r="H819" t="s">
        <v>14</v>
      </c>
      <c r="I819" t="s">
        <v>753</v>
      </c>
      <c r="J819">
        <v>60015183</v>
      </c>
      <c r="K819" t="s">
        <v>752</v>
      </c>
      <c r="L819" t="s">
        <v>751</v>
      </c>
      <c r="M819" t="s">
        <v>31</v>
      </c>
      <c r="N819">
        <v>4</v>
      </c>
      <c r="O819" t="s">
        <v>750</v>
      </c>
      <c r="P819" t="s">
        <v>749</v>
      </c>
      <c r="Q819" t="s">
        <v>748</v>
      </c>
      <c r="R819" s="7">
        <v>32143</v>
      </c>
      <c r="S819" s="8">
        <f t="shared" si="104"/>
        <v>1988</v>
      </c>
      <c r="T819" s="8">
        <v>1988</v>
      </c>
      <c r="U819" s="8">
        <f t="shared" si="105"/>
        <v>34</v>
      </c>
      <c r="V819" s="7">
        <v>1988</v>
      </c>
      <c r="W819" t="s">
        <v>644</v>
      </c>
      <c r="X819" s="2">
        <v>0.89600000000000002</v>
      </c>
      <c r="Y819" s="6">
        <f t="shared" si="102"/>
        <v>2.3918208269934065E-2</v>
      </c>
      <c r="AA819">
        <v>2656736</v>
      </c>
      <c r="AB819">
        <v>29901</v>
      </c>
      <c r="AD819" t="s">
        <v>4</v>
      </c>
      <c r="AE819">
        <v>4</v>
      </c>
      <c r="AF819">
        <v>6</v>
      </c>
      <c r="AH819" t="s">
        <v>747</v>
      </c>
      <c r="AI819" t="s">
        <v>746</v>
      </c>
      <c r="AJ819" t="s">
        <v>745</v>
      </c>
      <c r="AK819" t="s">
        <v>744</v>
      </c>
      <c r="AL819">
        <v>8</v>
      </c>
      <c r="AM819" s="5">
        <f t="shared" si="106"/>
        <v>0.23529411764705882</v>
      </c>
      <c r="AN819" s="4">
        <f t="shared" si="103"/>
        <v>3.5637124974942646E-4</v>
      </c>
      <c r="AO819" s="3"/>
      <c r="AP819">
        <v>0</v>
      </c>
      <c r="AR819" t="s">
        <v>0</v>
      </c>
      <c r="AT819" s="2">
        <v>3.9140000000000001</v>
      </c>
      <c r="AU819" s="1">
        <f t="shared" si="107"/>
        <v>1.6849657163878671</v>
      </c>
      <c r="AV819" s="1">
        <f t="shared" si="108"/>
        <v>1.2137289759841745</v>
      </c>
      <c r="AW819" s="1">
        <f t="shared" si="109"/>
        <v>0.74249223558048172</v>
      </c>
    </row>
    <row r="820" spans="1:49" x14ac:dyDescent="0.2">
      <c r="A820">
        <v>818</v>
      </c>
      <c r="B820" t="s">
        <v>743</v>
      </c>
      <c r="C820" t="s">
        <v>742</v>
      </c>
      <c r="D820" t="s">
        <v>741</v>
      </c>
      <c r="F820" t="s">
        <v>740</v>
      </c>
      <c r="G820" t="s">
        <v>15</v>
      </c>
      <c r="H820" t="s">
        <v>14</v>
      </c>
      <c r="I820" t="s">
        <v>739</v>
      </c>
      <c r="J820">
        <v>60019947</v>
      </c>
      <c r="K820" t="s">
        <v>738</v>
      </c>
      <c r="L820" t="s">
        <v>737</v>
      </c>
      <c r="M820" t="s">
        <v>31</v>
      </c>
      <c r="N820">
        <v>2</v>
      </c>
      <c r="O820" t="s">
        <v>736</v>
      </c>
      <c r="P820" t="s">
        <v>735</v>
      </c>
      <c r="Q820" t="s">
        <v>734</v>
      </c>
      <c r="R820" s="7">
        <v>32143</v>
      </c>
      <c r="S820" s="8">
        <f t="shared" si="104"/>
        <v>1988</v>
      </c>
      <c r="T820" s="8">
        <v>1988</v>
      </c>
      <c r="U820" s="8">
        <f t="shared" si="105"/>
        <v>34</v>
      </c>
      <c r="V820" s="7">
        <v>1988</v>
      </c>
      <c r="W820" t="s">
        <v>733</v>
      </c>
      <c r="X820" s="2" t="s">
        <v>19</v>
      </c>
      <c r="Y820" s="6" t="e">
        <f t="shared" si="102"/>
        <v>#VALUE!</v>
      </c>
      <c r="AA820">
        <v>8957177</v>
      </c>
      <c r="AB820">
        <v>24558</v>
      </c>
      <c r="AD820" t="s">
        <v>4</v>
      </c>
      <c r="AE820">
        <v>10</v>
      </c>
      <c r="AF820">
        <v>2</v>
      </c>
      <c r="AH820" t="s">
        <v>732</v>
      </c>
      <c r="AI820" t="s">
        <v>731</v>
      </c>
      <c r="AK820" t="s">
        <v>730</v>
      </c>
      <c r="AL820">
        <v>2</v>
      </c>
      <c r="AM820" s="5">
        <f t="shared" si="106"/>
        <v>5.8823529411764705E-2</v>
      </c>
      <c r="AN820" s="4">
        <f t="shared" si="103"/>
        <v>8.9092812437356614E-5</v>
      </c>
      <c r="AO820" s="3"/>
      <c r="AP820">
        <v>1</v>
      </c>
      <c r="AR820" t="s">
        <v>729</v>
      </c>
      <c r="AT820" s="2" t="s">
        <v>19</v>
      </c>
      <c r="AU820" s="1" t="e">
        <f t="shared" si="107"/>
        <v>#VALUE!</v>
      </c>
      <c r="AV820" s="1" t="e">
        <f t="shared" si="108"/>
        <v>#VALUE!</v>
      </c>
      <c r="AW820" s="1" t="e">
        <f t="shared" si="109"/>
        <v>#VALUE!</v>
      </c>
    </row>
    <row r="821" spans="1:49" x14ac:dyDescent="0.2">
      <c r="A821">
        <v>819</v>
      </c>
      <c r="B821" t="s">
        <v>728</v>
      </c>
      <c r="C821" t="s">
        <v>727</v>
      </c>
      <c r="E821">
        <v>3175008</v>
      </c>
      <c r="F821" t="s">
        <v>726</v>
      </c>
      <c r="G821" t="s">
        <v>15</v>
      </c>
      <c r="H821" t="s">
        <v>14</v>
      </c>
      <c r="I821" t="s">
        <v>725</v>
      </c>
      <c r="J821">
        <v>60006263</v>
      </c>
      <c r="K821" t="s">
        <v>724</v>
      </c>
      <c r="L821" t="s">
        <v>723</v>
      </c>
      <c r="M821" t="s">
        <v>31</v>
      </c>
      <c r="N821">
        <v>4</v>
      </c>
      <c r="O821" t="s">
        <v>722</v>
      </c>
      <c r="P821" t="s">
        <v>721</v>
      </c>
      <c r="Q821" t="s">
        <v>720</v>
      </c>
      <c r="R821" s="7">
        <v>32143</v>
      </c>
      <c r="S821" s="8">
        <f t="shared" si="104"/>
        <v>1988</v>
      </c>
      <c r="T821" s="8">
        <v>1988</v>
      </c>
      <c r="U821" s="8">
        <f t="shared" si="105"/>
        <v>34</v>
      </c>
      <c r="V821" s="7">
        <v>1988</v>
      </c>
      <c r="W821" t="s">
        <v>719</v>
      </c>
      <c r="X821" s="2">
        <v>3.1179999999999999</v>
      </c>
      <c r="Y821" s="6">
        <f t="shared" si="102"/>
        <v>8.3233229225060726E-2</v>
      </c>
      <c r="AA821">
        <v>338419</v>
      </c>
      <c r="AB821">
        <v>17864</v>
      </c>
      <c r="AD821" t="s">
        <v>4</v>
      </c>
      <c r="AE821">
        <v>169</v>
      </c>
      <c r="AF821">
        <v>2</v>
      </c>
      <c r="AH821" t="s">
        <v>718</v>
      </c>
      <c r="AI821" t="s">
        <v>717</v>
      </c>
      <c r="AK821" t="s">
        <v>716</v>
      </c>
      <c r="AL821">
        <v>10</v>
      </c>
      <c r="AM821" s="5">
        <f t="shared" si="106"/>
        <v>0.29411764705882354</v>
      </c>
      <c r="AN821" s="4">
        <f t="shared" si="103"/>
        <v>4.4546406218678308E-4</v>
      </c>
      <c r="AO821" s="3"/>
      <c r="AP821">
        <v>0</v>
      </c>
      <c r="AR821" t="s">
        <v>0</v>
      </c>
      <c r="AT821" s="2">
        <v>11.105</v>
      </c>
      <c r="AU821" s="1">
        <f t="shared" si="107"/>
        <v>5.8396899676198535</v>
      </c>
      <c r="AV821" s="1">
        <f t="shared" si="108"/>
        <v>4.1839346643623747</v>
      </c>
      <c r="AW821" s="1">
        <f t="shared" si="109"/>
        <v>2.5281793611048964</v>
      </c>
    </row>
    <row r="822" spans="1:49" x14ac:dyDescent="0.2">
      <c r="A822">
        <v>820</v>
      </c>
      <c r="B822" t="s">
        <v>715</v>
      </c>
      <c r="C822" t="s">
        <v>714</v>
      </c>
      <c r="E822">
        <v>3171254</v>
      </c>
      <c r="F822" t="s">
        <v>713</v>
      </c>
      <c r="G822" t="s">
        <v>15</v>
      </c>
      <c r="H822" t="s">
        <v>14</v>
      </c>
      <c r="I822" t="s">
        <v>712</v>
      </c>
      <c r="J822">
        <v>60030443</v>
      </c>
      <c r="K822" t="s">
        <v>711</v>
      </c>
      <c r="L822" t="s">
        <v>710</v>
      </c>
      <c r="M822" t="s">
        <v>31</v>
      </c>
      <c r="N822">
        <v>4</v>
      </c>
      <c r="O822" t="s">
        <v>709</v>
      </c>
      <c r="P822" t="s">
        <v>708</v>
      </c>
      <c r="Q822" t="s">
        <v>707</v>
      </c>
      <c r="R822" s="7">
        <v>32143</v>
      </c>
      <c r="S822" s="8">
        <f t="shared" si="104"/>
        <v>1988</v>
      </c>
      <c r="T822" s="8">
        <v>1988</v>
      </c>
      <c r="U822" s="8">
        <f t="shared" si="105"/>
        <v>34</v>
      </c>
      <c r="V822" s="7">
        <v>1988</v>
      </c>
      <c r="W822" t="s">
        <v>644</v>
      </c>
      <c r="X822" s="2">
        <v>0.89600000000000002</v>
      </c>
      <c r="Y822" s="6">
        <f t="shared" si="102"/>
        <v>2.3918208269934065E-2</v>
      </c>
      <c r="AA822">
        <v>2656736</v>
      </c>
      <c r="AB822">
        <v>29901</v>
      </c>
      <c r="AD822" t="s">
        <v>4</v>
      </c>
      <c r="AE822">
        <v>4</v>
      </c>
      <c r="AF822">
        <v>6</v>
      </c>
      <c r="AH822" t="s">
        <v>706</v>
      </c>
      <c r="AI822" t="s">
        <v>705</v>
      </c>
      <c r="AJ822" t="s">
        <v>704</v>
      </c>
      <c r="AK822" t="s">
        <v>703</v>
      </c>
      <c r="AL822">
        <v>13</v>
      </c>
      <c r="AM822" s="5">
        <f t="shared" si="106"/>
        <v>0.38235294117647056</v>
      </c>
      <c r="AN822" s="4">
        <f t="shared" si="103"/>
        <v>5.7910328084281794E-4</v>
      </c>
      <c r="AO822" s="3"/>
      <c r="AP822">
        <v>0</v>
      </c>
      <c r="AQ822" t="s">
        <v>702</v>
      </c>
      <c r="AR822" t="s">
        <v>701</v>
      </c>
      <c r="AS822" t="s">
        <v>700</v>
      </c>
      <c r="AT822" s="2">
        <v>3.9140000000000001</v>
      </c>
      <c r="AU822" s="1">
        <f t="shared" si="107"/>
        <v>1.691647677320669</v>
      </c>
      <c r="AV822" s="1">
        <f t="shared" si="108"/>
        <v>1.2248655775388442</v>
      </c>
      <c r="AW822" s="1">
        <f t="shared" si="109"/>
        <v>0.75808347775701912</v>
      </c>
    </row>
    <row r="823" spans="1:49" x14ac:dyDescent="0.2">
      <c r="A823">
        <v>821</v>
      </c>
      <c r="B823" t="s">
        <v>699</v>
      </c>
      <c r="C823" t="s">
        <v>698</v>
      </c>
      <c r="D823">
        <v>4698188900200</v>
      </c>
      <c r="F823" t="s">
        <v>697</v>
      </c>
      <c r="G823" t="s">
        <v>15</v>
      </c>
      <c r="H823" t="s">
        <v>14</v>
      </c>
      <c r="I823" t="s">
        <v>696</v>
      </c>
      <c r="J823" t="s">
        <v>695</v>
      </c>
      <c r="K823" t="s">
        <v>694</v>
      </c>
      <c r="L823" t="s">
        <v>693</v>
      </c>
      <c r="M823" t="s">
        <v>692</v>
      </c>
      <c r="N823">
        <v>5</v>
      </c>
      <c r="O823" t="s">
        <v>691</v>
      </c>
      <c r="P823" t="s">
        <v>690</v>
      </c>
      <c r="Q823" t="s">
        <v>689</v>
      </c>
      <c r="R823" s="7">
        <v>32143</v>
      </c>
      <c r="S823" s="8">
        <f t="shared" si="104"/>
        <v>1988</v>
      </c>
      <c r="T823" s="8">
        <v>1988</v>
      </c>
      <c r="U823" s="8">
        <f t="shared" si="105"/>
        <v>34</v>
      </c>
      <c r="V823" s="7">
        <v>1988</v>
      </c>
      <c r="W823" t="s">
        <v>688</v>
      </c>
      <c r="X823" s="2" t="s">
        <v>19</v>
      </c>
      <c r="Y823" s="6" t="e">
        <f t="shared" si="102"/>
        <v>#VALUE!</v>
      </c>
      <c r="AA823">
        <v>46981</v>
      </c>
      <c r="AB823">
        <v>30410</v>
      </c>
      <c r="AD823" t="s">
        <v>4</v>
      </c>
      <c r="AE823">
        <v>22</v>
      </c>
      <c r="AF823">
        <v>4</v>
      </c>
      <c r="AH823" t="s">
        <v>687</v>
      </c>
      <c r="AI823" t="s">
        <v>686</v>
      </c>
      <c r="AJ823" t="s">
        <v>685</v>
      </c>
      <c r="AK823" t="s">
        <v>684</v>
      </c>
      <c r="AL823">
        <v>102</v>
      </c>
      <c r="AM823" s="5">
        <f t="shared" si="106"/>
        <v>3</v>
      </c>
      <c r="AN823" s="4">
        <f t="shared" si="103"/>
        <v>4.5437334343051876E-3</v>
      </c>
      <c r="AO823" s="3"/>
      <c r="AP823">
        <v>0</v>
      </c>
      <c r="AR823" t="s">
        <v>0</v>
      </c>
      <c r="AT823" s="2" t="s">
        <v>19</v>
      </c>
      <c r="AU823" s="1" t="e">
        <f t="shared" si="107"/>
        <v>#VALUE!</v>
      </c>
      <c r="AV823" s="1" t="e">
        <f t="shared" si="108"/>
        <v>#VALUE!</v>
      </c>
      <c r="AW823" s="1" t="e">
        <f t="shared" si="109"/>
        <v>#VALUE!</v>
      </c>
    </row>
    <row r="824" spans="1:49" x14ac:dyDescent="0.2">
      <c r="A824">
        <v>822</v>
      </c>
      <c r="B824" t="s">
        <v>683</v>
      </c>
      <c r="C824" t="s">
        <v>682</v>
      </c>
      <c r="E824">
        <v>2461522</v>
      </c>
      <c r="F824" t="s">
        <v>681</v>
      </c>
      <c r="G824" t="s">
        <v>15</v>
      </c>
      <c r="H824" t="s">
        <v>14</v>
      </c>
      <c r="I824" t="s">
        <v>680</v>
      </c>
      <c r="J824" t="s">
        <v>679</v>
      </c>
      <c r="K824" t="s">
        <v>678</v>
      </c>
      <c r="L824" t="s">
        <v>677</v>
      </c>
      <c r="M824" t="s">
        <v>676</v>
      </c>
      <c r="N824">
        <v>9</v>
      </c>
      <c r="O824" t="s">
        <v>675</v>
      </c>
      <c r="P824" t="s">
        <v>674</v>
      </c>
      <c r="Q824" t="s">
        <v>673</v>
      </c>
      <c r="R824" s="7">
        <v>32143</v>
      </c>
      <c r="S824" s="8">
        <f t="shared" si="104"/>
        <v>1988</v>
      </c>
      <c r="T824" s="8">
        <v>1988</v>
      </c>
      <c r="U824" s="8">
        <f t="shared" si="105"/>
        <v>34</v>
      </c>
      <c r="V824" s="7">
        <v>1988</v>
      </c>
      <c r="W824" t="s">
        <v>672</v>
      </c>
      <c r="X824" s="2">
        <v>0.78800000000000003</v>
      </c>
      <c r="Y824" s="6">
        <f t="shared" si="102"/>
        <v>2.1035209951683086E-2</v>
      </c>
      <c r="AA824">
        <v>4708105</v>
      </c>
      <c r="AB824">
        <v>17525</v>
      </c>
      <c r="AC824">
        <v>13498029</v>
      </c>
      <c r="AD824" t="s">
        <v>4</v>
      </c>
      <c r="AE824">
        <v>28</v>
      </c>
      <c r="AF824">
        <v>8</v>
      </c>
      <c r="AH824" t="s">
        <v>671</v>
      </c>
      <c r="AI824" t="s">
        <v>670</v>
      </c>
      <c r="AJ824" t="s">
        <v>669</v>
      </c>
      <c r="AK824" t="s">
        <v>668</v>
      </c>
      <c r="AL824">
        <v>0</v>
      </c>
      <c r="AM824" s="5">
        <f t="shared" si="106"/>
        <v>0</v>
      </c>
      <c r="AN824" s="4">
        <f t="shared" si="103"/>
        <v>0</v>
      </c>
      <c r="AO824" s="3"/>
      <c r="AP824">
        <v>1</v>
      </c>
      <c r="AR824" t="s">
        <v>0</v>
      </c>
      <c r="AT824" s="2">
        <v>1.742</v>
      </c>
      <c r="AU824" s="1">
        <f t="shared" si="107"/>
        <v>1.4724646966178159</v>
      </c>
      <c r="AV824" s="1">
        <f t="shared" si="108"/>
        <v>1.0517604975841544</v>
      </c>
      <c r="AW824" s="1">
        <f t="shared" si="109"/>
        <v>0.6310562985504925</v>
      </c>
    </row>
    <row r="825" spans="1:49" x14ac:dyDescent="0.2">
      <c r="A825">
        <v>823</v>
      </c>
      <c r="B825" t="s">
        <v>667</v>
      </c>
      <c r="C825" t="s">
        <v>666</v>
      </c>
      <c r="F825" t="s">
        <v>665</v>
      </c>
      <c r="G825" t="s">
        <v>15</v>
      </c>
      <c r="H825" t="s">
        <v>14</v>
      </c>
      <c r="I825" t="s">
        <v>664</v>
      </c>
      <c r="J825">
        <v>109346244</v>
      </c>
      <c r="K825" t="s">
        <v>663</v>
      </c>
      <c r="L825" t="s">
        <v>662</v>
      </c>
      <c r="M825" t="s">
        <v>661</v>
      </c>
      <c r="N825">
        <v>3</v>
      </c>
      <c r="O825" t="s">
        <v>660</v>
      </c>
      <c r="P825" t="s">
        <v>659</v>
      </c>
      <c r="Q825" t="s">
        <v>658</v>
      </c>
      <c r="R825" s="7">
        <v>32143</v>
      </c>
      <c r="S825" s="8">
        <f t="shared" si="104"/>
        <v>1988</v>
      </c>
      <c r="T825" s="8">
        <v>1988</v>
      </c>
      <c r="U825" s="8">
        <f t="shared" si="105"/>
        <v>34</v>
      </c>
      <c r="V825" s="7">
        <v>32448</v>
      </c>
      <c r="W825" t="s">
        <v>657</v>
      </c>
      <c r="X825" s="2" t="s">
        <v>19</v>
      </c>
      <c r="Y825" s="6" t="e">
        <f t="shared" si="102"/>
        <v>#VALUE!</v>
      </c>
      <c r="AA825">
        <v>1432060</v>
      </c>
      <c r="AB825">
        <v>89679</v>
      </c>
      <c r="AD825" t="s">
        <v>4</v>
      </c>
      <c r="AE825">
        <v>9</v>
      </c>
      <c r="AF825">
        <v>11</v>
      </c>
      <c r="AH825" t="s">
        <v>656</v>
      </c>
      <c r="AI825" t="s">
        <v>655</v>
      </c>
      <c r="AK825" t="s">
        <v>654</v>
      </c>
      <c r="AL825">
        <v>0</v>
      </c>
      <c r="AM825" s="5">
        <f t="shared" si="106"/>
        <v>0</v>
      </c>
      <c r="AN825" s="4">
        <f t="shared" si="103"/>
        <v>0</v>
      </c>
      <c r="AO825" s="3"/>
      <c r="AP825">
        <v>0</v>
      </c>
      <c r="AR825" t="s">
        <v>0</v>
      </c>
      <c r="AT825" s="2" t="s">
        <v>19</v>
      </c>
      <c r="AU825" s="1" t="e">
        <f t="shared" si="107"/>
        <v>#VALUE!</v>
      </c>
      <c r="AV825" s="1" t="e">
        <f t="shared" si="108"/>
        <v>#VALUE!</v>
      </c>
      <c r="AW825" s="1" t="e">
        <f t="shared" si="109"/>
        <v>#VALUE!</v>
      </c>
    </row>
    <row r="826" spans="1:49" x14ac:dyDescent="0.2">
      <c r="A826">
        <v>824</v>
      </c>
      <c r="B826" t="s">
        <v>653</v>
      </c>
      <c r="C826" t="s">
        <v>652</v>
      </c>
      <c r="E826">
        <v>3171257</v>
      </c>
      <c r="F826" t="s">
        <v>651</v>
      </c>
      <c r="G826" t="s">
        <v>15</v>
      </c>
      <c r="H826" t="s">
        <v>14</v>
      </c>
      <c r="I826" t="s">
        <v>650</v>
      </c>
      <c r="J826">
        <v>60006164</v>
      </c>
      <c r="K826" t="s">
        <v>649</v>
      </c>
      <c r="L826" t="s">
        <v>648</v>
      </c>
      <c r="M826" t="s">
        <v>31</v>
      </c>
      <c r="N826">
        <v>2</v>
      </c>
      <c r="O826" t="s">
        <v>647</v>
      </c>
      <c r="P826" t="s">
        <v>646</v>
      </c>
      <c r="Q826" t="s">
        <v>645</v>
      </c>
      <c r="R826" s="7">
        <v>32143</v>
      </c>
      <c r="S826" s="8">
        <f t="shared" si="104"/>
        <v>1988</v>
      </c>
      <c r="T826" s="8">
        <v>1988</v>
      </c>
      <c r="U826" s="8">
        <f t="shared" si="105"/>
        <v>34</v>
      </c>
      <c r="V826" s="7">
        <v>1988</v>
      </c>
      <c r="W826" t="s">
        <v>644</v>
      </c>
      <c r="X826" s="2">
        <v>0.89600000000000002</v>
      </c>
      <c r="Y826" s="6">
        <f t="shared" si="102"/>
        <v>2.3918208269934065E-2</v>
      </c>
      <c r="AA826">
        <v>2656736</v>
      </c>
      <c r="AB826">
        <v>29901</v>
      </c>
      <c r="AD826" t="s">
        <v>4</v>
      </c>
      <c r="AE826">
        <v>4</v>
      </c>
      <c r="AF826">
        <v>6</v>
      </c>
      <c r="AH826" t="s">
        <v>643</v>
      </c>
      <c r="AI826" t="s">
        <v>642</v>
      </c>
      <c r="AJ826" t="s">
        <v>641</v>
      </c>
      <c r="AK826" t="s">
        <v>640</v>
      </c>
      <c r="AL826">
        <v>4</v>
      </c>
      <c r="AM826" s="5">
        <f t="shared" si="106"/>
        <v>0.11764705882352941</v>
      </c>
      <c r="AN826" s="4">
        <f t="shared" si="103"/>
        <v>1.7818562487471323E-4</v>
      </c>
      <c r="AO826" s="3"/>
      <c r="AP826">
        <v>0</v>
      </c>
      <c r="AR826" t="s">
        <v>0</v>
      </c>
      <c r="AT826" s="2">
        <v>3.9140000000000001</v>
      </c>
      <c r="AU826" s="1">
        <f t="shared" si="107"/>
        <v>1.6796201476416257</v>
      </c>
      <c r="AV826" s="1">
        <f t="shared" si="108"/>
        <v>1.2048196947404388</v>
      </c>
      <c r="AW826" s="1">
        <f t="shared" si="109"/>
        <v>0.73001924183925182</v>
      </c>
    </row>
    <row r="827" spans="1:49" x14ac:dyDescent="0.2">
      <c r="A827">
        <v>825</v>
      </c>
      <c r="B827" t="s">
        <v>639</v>
      </c>
      <c r="C827" t="s">
        <v>638</v>
      </c>
      <c r="E827">
        <v>3185878</v>
      </c>
      <c r="F827" t="s">
        <v>637</v>
      </c>
      <c r="G827" t="s">
        <v>15</v>
      </c>
      <c r="H827" t="s">
        <v>14</v>
      </c>
      <c r="I827" t="s">
        <v>636</v>
      </c>
      <c r="J827">
        <v>60022154</v>
      </c>
      <c r="K827" t="s">
        <v>635</v>
      </c>
      <c r="L827" t="s">
        <v>634</v>
      </c>
      <c r="M827" t="s">
        <v>211</v>
      </c>
      <c r="N827">
        <v>8</v>
      </c>
      <c r="O827" t="s">
        <v>633</v>
      </c>
      <c r="P827" t="s">
        <v>632</v>
      </c>
      <c r="Q827" t="s">
        <v>631</v>
      </c>
      <c r="R827" s="7">
        <v>32143</v>
      </c>
      <c r="S827" s="8">
        <f t="shared" si="104"/>
        <v>1988</v>
      </c>
      <c r="T827" s="8">
        <v>1988</v>
      </c>
      <c r="U827" s="8">
        <f t="shared" si="105"/>
        <v>34</v>
      </c>
      <c r="V827" s="7">
        <v>1988</v>
      </c>
      <c r="W827" t="s">
        <v>630</v>
      </c>
      <c r="X827" s="2">
        <v>1.4550000000000001</v>
      </c>
      <c r="Y827" s="6">
        <f t="shared" si="102"/>
        <v>3.8840394009770164E-2</v>
      </c>
      <c r="AA827" t="s">
        <v>629</v>
      </c>
      <c r="AB827">
        <v>18069</v>
      </c>
      <c r="AD827" t="s">
        <v>4</v>
      </c>
      <c r="AE827">
        <v>23</v>
      </c>
      <c r="AF827">
        <v>2</v>
      </c>
      <c r="AH827" t="s">
        <v>628</v>
      </c>
      <c r="AI827" t="s">
        <v>627</v>
      </c>
      <c r="AK827" t="s">
        <v>626</v>
      </c>
      <c r="AL827">
        <v>14</v>
      </c>
      <c r="AM827" s="5">
        <f t="shared" si="106"/>
        <v>0.41176470588235292</v>
      </c>
      <c r="AN827" s="4">
        <f t="shared" si="103"/>
        <v>6.2364968706149634E-4</v>
      </c>
      <c r="AO827" s="3"/>
      <c r="AP827">
        <v>0</v>
      </c>
      <c r="AR827" t="s">
        <v>0</v>
      </c>
      <c r="AT827" s="2">
        <v>4.6539999999999999</v>
      </c>
      <c r="AU827" s="1">
        <f t="shared" si="107"/>
        <v>2.7375370712957565</v>
      </c>
      <c r="AV827" s="1">
        <f t="shared" si="108"/>
        <v>1.9732021848415831</v>
      </c>
      <c r="AW827" s="1">
        <f t="shared" si="109"/>
        <v>1.2088672983874096</v>
      </c>
    </row>
    <row r="828" spans="1:49" x14ac:dyDescent="0.2">
      <c r="A828">
        <v>826</v>
      </c>
      <c r="B828" t="s">
        <v>625</v>
      </c>
      <c r="E828">
        <v>3406137</v>
      </c>
      <c r="F828" t="s">
        <v>624</v>
      </c>
      <c r="G828" t="s">
        <v>15</v>
      </c>
      <c r="H828" t="s">
        <v>14</v>
      </c>
      <c r="I828" t="s">
        <v>623</v>
      </c>
      <c r="J828">
        <v>60018573</v>
      </c>
      <c r="K828" t="s">
        <v>622</v>
      </c>
      <c r="L828" t="s">
        <v>621</v>
      </c>
      <c r="M828" t="s">
        <v>31</v>
      </c>
      <c r="N828">
        <v>4</v>
      </c>
      <c r="O828" t="s">
        <v>620</v>
      </c>
      <c r="P828" t="s">
        <v>619</v>
      </c>
      <c r="Q828" t="s">
        <v>618</v>
      </c>
      <c r="R828" s="7">
        <v>32143</v>
      </c>
      <c r="S828" s="8">
        <f t="shared" si="104"/>
        <v>1988</v>
      </c>
      <c r="T828" s="8">
        <v>1988</v>
      </c>
      <c r="U828" s="8">
        <f t="shared" si="105"/>
        <v>34</v>
      </c>
      <c r="V828" s="7">
        <v>1988</v>
      </c>
      <c r="W828" t="s">
        <v>617</v>
      </c>
      <c r="X828" s="2" t="s">
        <v>19</v>
      </c>
      <c r="Y828" s="6" t="e">
        <f t="shared" si="102"/>
        <v>#VALUE!</v>
      </c>
      <c r="AA828">
        <v>7486642</v>
      </c>
      <c r="AB828">
        <v>14905</v>
      </c>
      <c r="AD828" t="s">
        <v>4</v>
      </c>
      <c r="AE828">
        <v>20</v>
      </c>
      <c r="AF828">
        <v>1</v>
      </c>
      <c r="AH828" t="s">
        <v>616</v>
      </c>
      <c r="AI828" t="s">
        <v>615</v>
      </c>
      <c r="AK828" t="s">
        <v>614</v>
      </c>
      <c r="AL828">
        <v>7</v>
      </c>
      <c r="AM828" s="5">
        <f t="shared" si="106"/>
        <v>0.20588235294117646</v>
      </c>
      <c r="AN828" s="4">
        <f t="shared" si="103"/>
        <v>3.1182484353074817E-4</v>
      </c>
      <c r="AO828" s="3"/>
      <c r="AP828">
        <v>0</v>
      </c>
      <c r="AR828" t="s">
        <v>0</v>
      </c>
      <c r="AT828" s="2" t="s">
        <v>19</v>
      </c>
      <c r="AU828" s="1" t="e">
        <f t="shared" si="107"/>
        <v>#VALUE!</v>
      </c>
      <c r="AV828" s="1" t="e">
        <f t="shared" si="108"/>
        <v>#VALUE!</v>
      </c>
      <c r="AW828" s="1" t="e">
        <f t="shared" si="109"/>
        <v>#VALUE!</v>
      </c>
    </row>
    <row r="829" spans="1:49" x14ac:dyDescent="0.2">
      <c r="A829">
        <v>827</v>
      </c>
      <c r="B829" t="s">
        <v>613</v>
      </c>
      <c r="F829" t="s">
        <v>612</v>
      </c>
      <c r="G829" t="s">
        <v>15</v>
      </c>
      <c r="H829" t="s">
        <v>14</v>
      </c>
      <c r="I829" t="s">
        <v>611</v>
      </c>
      <c r="N829">
        <v>1</v>
      </c>
      <c r="O829" t="s">
        <v>610</v>
      </c>
      <c r="P829">
        <v>57208454724</v>
      </c>
      <c r="R829" s="7">
        <v>32143</v>
      </c>
      <c r="S829" s="8">
        <f t="shared" si="104"/>
        <v>1988</v>
      </c>
      <c r="T829" s="8">
        <v>1988</v>
      </c>
      <c r="U829" s="8">
        <f t="shared" si="105"/>
        <v>34</v>
      </c>
      <c r="V829" s="7">
        <v>32143</v>
      </c>
      <c r="W829" t="s">
        <v>500</v>
      </c>
      <c r="X829" s="2" t="s">
        <v>19</v>
      </c>
      <c r="Y829" s="6" t="e">
        <f t="shared" si="102"/>
        <v>#VALUE!</v>
      </c>
      <c r="AA829">
        <v>87566648</v>
      </c>
      <c r="AB829">
        <v>74127</v>
      </c>
      <c r="AD829" t="s">
        <v>4</v>
      </c>
      <c r="AE829">
        <v>33</v>
      </c>
      <c r="AF829">
        <v>1</v>
      </c>
      <c r="AH829" t="s">
        <v>609</v>
      </c>
      <c r="AI829" t="s">
        <v>608</v>
      </c>
      <c r="AK829" t="s">
        <v>607</v>
      </c>
      <c r="AL829">
        <v>0</v>
      </c>
      <c r="AM829" s="5">
        <f t="shared" si="106"/>
        <v>0</v>
      </c>
      <c r="AN829" s="4">
        <f t="shared" si="103"/>
        <v>0</v>
      </c>
      <c r="AO829" s="3"/>
      <c r="AP829">
        <v>0</v>
      </c>
      <c r="AR829" t="s">
        <v>0</v>
      </c>
      <c r="AT829" s="2" t="s">
        <v>19</v>
      </c>
      <c r="AU829" s="1" t="e">
        <f t="shared" si="107"/>
        <v>#VALUE!</v>
      </c>
      <c r="AV829" s="1" t="e">
        <f t="shared" si="108"/>
        <v>#VALUE!</v>
      </c>
      <c r="AW829" s="1" t="e">
        <f t="shared" si="109"/>
        <v>#VALUE!</v>
      </c>
    </row>
    <row r="830" spans="1:49" x14ac:dyDescent="0.2">
      <c r="A830">
        <v>828</v>
      </c>
      <c r="B830" t="s">
        <v>606</v>
      </c>
      <c r="F830" t="s">
        <v>605</v>
      </c>
      <c r="G830" t="s">
        <v>15</v>
      </c>
      <c r="H830" t="s">
        <v>14</v>
      </c>
      <c r="I830" t="s">
        <v>604</v>
      </c>
      <c r="N830">
        <v>3</v>
      </c>
      <c r="O830" t="s">
        <v>603</v>
      </c>
      <c r="P830" t="s">
        <v>602</v>
      </c>
      <c r="Q830" t="s">
        <v>532</v>
      </c>
      <c r="R830" s="7">
        <v>32143</v>
      </c>
      <c r="S830" s="8">
        <f t="shared" si="104"/>
        <v>1988</v>
      </c>
      <c r="T830" s="8">
        <v>1988</v>
      </c>
      <c r="U830" s="8">
        <f t="shared" si="105"/>
        <v>34</v>
      </c>
      <c r="V830" s="7">
        <v>32143</v>
      </c>
      <c r="W830" t="s">
        <v>500</v>
      </c>
      <c r="X830" s="2" t="s">
        <v>19</v>
      </c>
      <c r="Y830" s="6" t="e">
        <f t="shared" si="102"/>
        <v>#VALUE!</v>
      </c>
      <c r="AA830">
        <v>87566648</v>
      </c>
      <c r="AB830">
        <v>74127</v>
      </c>
      <c r="AD830" t="s">
        <v>4</v>
      </c>
      <c r="AE830">
        <v>33</v>
      </c>
      <c r="AF830">
        <v>1</v>
      </c>
      <c r="AH830" t="s">
        <v>601</v>
      </c>
      <c r="AI830" t="s">
        <v>600</v>
      </c>
      <c r="AK830" t="s">
        <v>599</v>
      </c>
      <c r="AL830">
        <v>0</v>
      </c>
      <c r="AM830" s="5">
        <f t="shared" si="106"/>
        <v>0</v>
      </c>
      <c r="AN830" s="4">
        <f t="shared" si="103"/>
        <v>0</v>
      </c>
      <c r="AO830" s="3"/>
      <c r="AP830">
        <v>0</v>
      </c>
      <c r="AR830" t="s">
        <v>0</v>
      </c>
      <c r="AT830" s="2" t="s">
        <v>19</v>
      </c>
      <c r="AU830" s="1" t="e">
        <f t="shared" si="107"/>
        <v>#VALUE!</v>
      </c>
      <c r="AV830" s="1" t="e">
        <f t="shared" si="108"/>
        <v>#VALUE!</v>
      </c>
      <c r="AW830" s="1" t="e">
        <f t="shared" si="109"/>
        <v>#VALUE!</v>
      </c>
    </row>
    <row r="831" spans="1:49" x14ac:dyDescent="0.2">
      <c r="A831">
        <v>829</v>
      </c>
      <c r="B831" t="s">
        <v>598</v>
      </c>
      <c r="F831" t="s">
        <v>597</v>
      </c>
      <c r="G831" t="s">
        <v>15</v>
      </c>
      <c r="H831" t="s">
        <v>14</v>
      </c>
      <c r="I831" t="s">
        <v>596</v>
      </c>
      <c r="N831">
        <v>3</v>
      </c>
      <c r="O831" t="s">
        <v>595</v>
      </c>
      <c r="P831" t="s">
        <v>594</v>
      </c>
      <c r="Q831" t="s">
        <v>532</v>
      </c>
      <c r="R831" s="7">
        <v>32143</v>
      </c>
      <c r="S831" s="8">
        <f t="shared" si="104"/>
        <v>1988</v>
      </c>
      <c r="T831" s="8">
        <v>1988</v>
      </c>
      <c r="U831" s="8">
        <f t="shared" si="105"/>
        <v>34</v>
      </c>
      <c r="V831" s="7">
        <v>32143</v>
      </c>
      <c r="W831" t="s">
        <v>500</v>
      </c>
      <c r="X831" s="2" t="s">
        <v>19</v>
      </c>
      <c r="Y831" s="6" t="e">
        <f t="shared" si="102"/>
        <v>#VALUE!</v>
      </c>
      <c r="AA831">
        <v>87566648</v>
      </c>
      <c r="AB831">
        <v>74127</v>
      </c>
      <c r="AD831" t="s">
        <v>4</v>
      </c>
      <c r="AE831">
        <v>33</v>
      </c>
      <c r="AF831">
        <v>1</v>
      </c>
      <c r="AH831" t="s">
        <v>593</v>
      </c>
      <c r="AI831" t="s">
        <v>592</v>
      </c>
      <c r="AK831" t="s">
        <v>591</v>
      </c>
      <c r="AL831">
        <v>8</v>
      </c>
      <c r="AM831" s="5">
        <f t="shared" si="106"/>
        <v>0.23529411764705882</v>
      </c>
      <c r="AN831" s="4">
        <f t="shared" si="103"/>
        <v>3.5637124974942646E-4</v>
      </c>
      <c r="AO831" s="3"/>
      <c r="AP831">
        <v>0</v>
      </c>
      <c r="AR831" t="s">
        <v>0</v>
      </c>
      <c r="AT831" s="2" t="s">
        <v>19</v>
      </c>
      <c r="AU831" s="1" t="e">
        <f t="shared" si="107"/>
        <v>#VALUE!</v>
      </c>
      <c r="AV831" s="1" t="e">
        <f t="shared" si="108"/>
        <v>#VALUE!</v>
      </c>
      <c r="AW831" s="1" t="e">
        <f t="shared" si="109"/>
        <v>#VALUE!</v>
      </c>
    </row>
    <row r="832" spans="1:49" x14ac:dyDescent="0.2">
      <c r="A832">
        <v>830</v>
      </c>
      <c r="B832" t="s">
        <v>590</v>
      </c>
      <c r="C832" t="s">
        <v>589</v>
      </c>
      <c r="F832" t="s">
        <v>588</v>
      </c>
      <c r="G832" t="s">
        <v>15</v>
      </c>
      <c r="H832" t="s">
        <v>14</v>
      </c>
      <c r="I832" t="s">
        <v>587</v>
      </c>
      <c r="J832" t="s">
        <v>586</v>
      </c>
      <c r="K832" t="s">
        <v>585</v>
      </c>
      <c r="L832" t="s">
        <v>584</v>
      </c>
      <c r="M832" t="s">
        <v>9</v>
      </c>
      <c r="N832">
        <v>2</v>
      </c>
      <c r="O832" t="s">
        <v>583</v>
      </c>
      <c r="P832" t="s">
        <v>582</v>
      </c>
      <c r="Q832" t="s">
        <v>581</v>
      </c>
      <c r="R832" s="7">
        <v>32143</v>
      </c>
      <c r="S832" s="8">
        <f t="shared" si="104"/>
        <v>1988</v>
      </c>
      <c r="T832" s="8">
        <v>1988</v>
      </c>
      <c r="U832" s="8">
        <f t="shared" si="105"/>
        <v>34</v>
      </c>
      <c r="V832" s="7">
        <v>32143</v>
      </c>
      <c r="W832" t="s">
        <v>565</v>
      </c>
      <c r="X832" s="2">
        <v>0.75800000000000001</v>
      </c>
      <c r="Y832" s="6">
        <f t="shared" si="102"/>
        <v>2.0234377085502256E-2</v>
      </c>
      <c r="AA832">
        <v>224650</v>
      </c>
      <c r="AB832">
        <v>29589</v>
      </c>
      <c r="AD832" t="s">
        <v>4</v>
      </c>
      <c r="AE832">
        <v>25</v>
      </c>
      <c r="AF832">
        <v>1</v>
      </c>
      <c r="AH832" t="s">
        <v>580</v>
      </c>
      <c r="AI832" t="s">
        <v>579</v>
      </c>
      <c r="AK832" t="s">
        <v>578</v>
      </c>
      <c r="AL832">
        <v>2</v>
      </c>
      <c r="AM832" s="5">
        <f t="shared" si="106"/>
        <v>5.8823529411764705E-2</v>
      </c>
      <c r="AN832" s="4">
        <f t="shared" si="103"/>
        <v>8.9092812437356614E-5</v>
      </c>
      <c r="AO832" s="3"/>
      <c r="AP832">
        <v>0</v>
      </c>
      <c r="AQ832" t="s">
        <v>577</v>
      </c>
      <c r="AR832" t="s">
        <v>576</v>
      </c>
      <c r="AS832" t="s">
        <v>575</v>
      </c>
      <c r="AT832" s="2">
        <v>1.282</v>
      </c>
      <c r="AU832" s="1">
        <f t="shared" si="107"/>
        <v>1.4190791803582785</v>
      </c>
      <c r="AV832" s="1">
        <f t="shared" si="108"/>
        <v>1.0161734948969805</v>
      </c>
      <c r="AW832" s="1">
        <f t="shared" si="109"/>
        <v>0.6132678094356826</v>
      </c>
    </row>
    <row r="833" spans="1:49" x14ac:dyDescent="0.2">
      <c r="A833">
        <v>831</v>
      </c>
      <c r="B833" t="s">
        <v>574</v>
      </c>
      <c r="C833" t="s">
        <v>573</v>
      </c>
      <c r="F833" t="s">
        <v>572</v>
      </c>
      <c r="G833" t="s">
        <v>15</v>
      </c>
      <c r="H833" t="s">
        <v>14</v>
      </c>
      <c r="I833" t="s">
        <v>571</v>
      </c>
      <c r="J833">
        <v>60025534</v>
      </c>
      <c r="K833" t="s">
        <v>570</v>
      </c>
      <c r="L833" t="s">
        <v>569</v>
      </c>
      <c r="M833" t="s">
        <v>31</v>
      </c>
      <c r="N833">
        <v>2</v>
      </c>
      <c r="O833" t="s">
        <v>568</v>
      </c>
      <c r="P833" t="s">
        <v>567</v>
      </c>
      <c r="Q833" t="s">
        <v>566</v>
      </c>
      <c r="R833" s="7">
        <v>32143</v>
      </c>
      <c r="S833" s="8">
        <f t="shared" si="104"/>
        <v>1988</v>
      </c>
      <c r="T833" s="8">
        <v>1988</v>
      </c>
      <c r="U833" s="8">
        <f t="shared" si="105"/>
        <v>34</v>
      </c>
      <c r="V833" s="7">
        <v>32143</v>
      </c>
      <c r="W833" t="s">
        <v>565</v>
      </c>
      <c r="X833" s="2">
        <v>0.75800000000000001</v>
      </c>
      <c r="Y833" s="6">
        <f t="shared" si="102"/>
        <v>2.0234377085502256E-2</v>
      </c>
      <c r="AA833">
        <v>224650</v>
      </c>
      <c r="AB833">
        <v>29589</v>
      </c>
      <c r="AD833" t="s">
        <v>4</v>
      </c>
      <c r="AE833">
        <v>25</v>
      </c>
      <c r="AF833">
        <v>1</v>
      </c>
      <c r="AH833" t="s">
        <v>564</v>
      </c>
      <c r="AI833" t="s">
        <v>563</v>
      </c>
      <c r="AK833" t="s">
        <v>562</v>
      </c>
      <c r="AL833">
        <v>1</v>
      </c>
      <c r="AM833" s="5">
        <f t="shared" si="106"/>
        <v>2.9411764705882353E-2</v>
      </c>
      <c r="AN833" s="4">
        <f t="shared" si="103"/>
        <v>4.4546406218678307E-5</v>
      </c>
      <c r="AO833" s="3"/>
      <c r="AP833">
        <v>0</v>
      </c>
      <c r="AR833" t="s">
        <v>0</v>
      </c>
      <c r="AT833" s="2">
        <v>1.282</v>
      </c>
      <c r="AU833" s="1">
        <f t="shared" si="107"/>
        <v>1.4177427881717182</v>
      </c>
      <c r="AV833" s="1">
        <f t="shared" si="108"/>
        <v>1.0139461745860467</v>
      </c>
      <c r="AW833" s="1">
        <f t="shared" si="109"/>
        <v>0.6101495610003751</v>
      </c>
    </row>
    <row r="834" spans="1:49" x14ac:dyDescent="0.2">
      <c r="A834">
        <v>832</v>
      </c>
      <c r="B834" t="s">
        <v>561</v>
      </c>
      <c r="F834" t="s">
        <v>560</v>
      </c>
      <c r="G834" t="s">
        <v>15</v>
      </c>
      <c r="H834" t="s">
        <v>14</v>
      </c>
      <c r="I834" t="s">
        <v>559</v>
      </c>
      <c r="N834">
        <v>2</v>
      </c>
      <c r="O834" t="s">
        <v>558</v>
      </c>
      <c r="P834" t="s">
        <v>557</v>
      </c>
      <c r="Q834" t="s">
        <v>501</v>
      </c>
      <c r="R834" s="7">
        <v>32143</v>
      </c>
      <c r="S834" s="8">
        <f t="shared" si="104"/>
        <v>1988</v>
      </c>
      <c r="T834" s="8">
        <v>1988</v>
      </c>
      <c r="U834" s="8">
        <f t="shared" si="105"/>
        <v>34</v>
      </c>
      <c r="V834" s="7">
        <v>32143</v>
      </c>
      <c r="W834" t="s">
        <v>500</v>
      </c>
      <c r="X834" s="2" t="s">
        <v>19</v>
      </c>
      <c r="Y834" s="6" t="e">
        <f t="shared" ref="Y834:Y876" si="110">(X834-$Z$4)/($Z$3-$Z$4)</f>
        <v>#VALUE!</v>
      </c>
      <c r="AA834">
        <v>87566648</v>
      </c>
      <c r="AB834">
        <v>74127</v>
      </c>
      <c r="AD834" t="s">
        <v>4</v>
      </c>
      <c r="AE834">
        <v>33</v>
      </c>
      <c r="AF834">
        <v>1</v>
      </c>
      <c r="AH834" t="s">
        <v>556</v>
      </c>
      <c r="AI834" t="s">
        <v>555</v>
      </c>
      <c r="AK834" t="s">
        <v>554</v>
      </c>
      <c r="AL834">
        <v>0</v>
      </c>
      <c r="AM834" s="5">
        <f t="shared" si="106"/>
        <v>0</v>
      </c>
      <c r="AN834" s="4">
        <f t="shared" ref="AN834:AN876" si="111">(AM834-$AO$4)/($AO$3-$AO$4)</f>
        <v>0</v>
      </c>
      <c r="AO834" s="3"/>
      <c r="AP834">
        <v>0</v>
      </c>
      <c r="AR834" t="s">
        <v>0</v>
      </c>
      <c r="AT834" s="2" t="s">
        <v>19</v>
      </c>
      <c r="AU834" s="1" t="e">
        <f t="shared" si="107"/>
        <v>#VALUE!</v>
      </c>
      <c r="AV834" s="1" t="e">
        <f t="shared" si="108"/>
        <v>#VALUE!</v>
      </c>
      <c r="AW834" s="1" t="e">
        <f t="shared" si="109"/>
        <v>#VALUE!</v>
      </c>
    </row>
    <row r="835" spans="1:49" x14ac:dyDescent="0.2">
      <c r="A835">
        <v>833</v>
      </c>
      <c r="B835" t="s">
        <v>553</v>
      </c>
      <c r="F835" t="s">
        <v>552</v>
      </c>
      <c r="G835" t="s">
        <v>15</v>
      </c>
      <c r="H835" t="s">
        <v>14</v>
      </c>
      <c r="I835" t="s">
        <v>551</v>
      </c>
      <c r="N835">
        <v>4</v>
      </c>
      <c r="O835" t="s">
        <v>550</v>
      </c>
      <c r="P835" t="s">
        <v>549</v>
      </c>
      <c r="Q835" t="s">
        <v>523</v>
      </c>
      <c r="R835" s="7">
        <v>32143</v>
      </c>
      <c r="S835" s="8">
        <f t="shared" si="104"/>
        <v>1988</v>
      </c>
      <c r="T835" s="8">
        <v>1988</v>
      </c>
      <c r="U835" s="8">
        <f t="shared" si="105"/>
        <v>34</v>
      </c>
      <c r="V835" s="7">
        <v>32143</v>
      </c>
      <c r="W835" t="s">
        <v>500</v>
      </c>
      <c r="X835" s="2" t="s">
        <v>19</v>
      </c>
      <c r="Y835" s="6" t="e">
        <f t="shared" si="110"/>
        <v>#VALUE!</v>
      </c>
      <c r="AA835">
        <v>87566648</v>
      </c>
      <c r="AB835">
        <v>74127</v>
      </c>
      <c r="AD835" t="s">
        <v>4</v>
      </c>
      <c r="AE835">
        <v>33</v>
      </c>
      <c r="AF835">
        <v>1</v>
      </c>
      <c r="AH835" t="s">
        <v>548</v>
      </c>
      <c r="AI835" t="s">
        <v>547</v>
      </c>
      <c r="AK835" t="s">
        <v>546</v>
      </c>
      <c r="AL835">
        <v>0</v>
      </c>
      <c r="AM835" s="5">
        <f t="shared" si="106"/>
        <v>0</v>
      </c>
      <c r="AN835" s="4">
        <f t="shared" si="111"/>
        <v>0</v>
      </c>
      <c r="AO835" s="3"/>
      <c r="AP835">
        <v>0</v>
      </c>
      <c r="AR835" t="s">
        <v>0</v>
      </c>
      <c r="AT835" s="2" t="s">
        <v>19</v>
      </c>
      <c r="AU835" s="1" t="e">
        <f t="shared" si="107"/>
        <v>#VALUE!</v>
      </c>
      <c r="AV835" s="1" t="e">
        <f t="shared" si="108"/>
        <v>#VALUE!</v>
      </c>
      <c r="AW835" s="1" t="e">
        <f t="shared" si="109"/>
        <v>#VALUE!</v>
      </c>
    </row>
    <row r="836" spans="1:49" x14ac:dyDescent="0.2">
      <c r="A836">
        <v>834</v>
      </c>
      <c r="B836" t="s">
        <v>545</v>
      </c>
      <c r="F836" t="s">
        <v>544</v>
      </c>
      <c r="G836" t="s">
        <v>15</v>
      </c>
      <c r="H836" t="s">
        <v>14</v>
      </c>
      <c r="I836" t="s">
        <v>543</v>
      </c>
      <c r="N836">
        <v>2</v>
      </c>
      <c r="O836" t="s">
        <v>542</v>
      </c>
      <c r="P836" t="s">
        <v>541</v>
      </c>
      <c r="Q836" t="s">
        <v>501</v>
      </c>
      <c r="R836" s="7">
        <v>32143</v>
      </c>
      <c r="S836" s="8">
        <f t="shared" si="104"/>
        <v>1988</v>
      </c>
      <c r="T836" s="8">
        <v>1988</v>
      </c>
      <c r="U836" s="8">
        <f t="shared" si="105"/>
        <v>34</v>
      </c>
      <c r="V836" s="7">
        <v>32143</v>
      </c>
      <c r="W836" t="s">
        <v>500</v>
      </c>
      <c r="X836" s="2" t="s">
        <v>19</v>
      </c>
      <c r="Y836" s="6" t="e">
        <f t="shared" si="110"/>
        <v>#VALUE!</v>
      </c>
      <c r="AA836">
        <v>87566648</v>
      </c>
      <c r="AB836">
        <v>74127</v>
      </c>
      <c r="AD836" t="s">
        <v>4</v>
      </c>
      <c r="AE836">
        <v>33</v>
      </c>
      <c r="AF836">
        <v>1</v>
      </c>
      <c r="AH836" t="s">
        <v>540</v>
      </c>
      <c r="AI836" t="s">
        <v>539</v>
      </c>
      <c r="AK836" t="s">
        <v>538</v>
      </c>
      <c r="AL836">
        <v>0</v>
      </c>
      <c r="AM836" s="5">
        <f t="shared" si="106"/>
        <v>0</v>
      </c>
      <c r="AN836" s="4">
        <f t="shared" si="111"/>
        <v>0</v>
      </c>
      <c r="AO836" s="3"/>
      <c r="AP836">
        <v>0</v>
      </c>
      <c r="AR836" t="s">
        <v>0</v>
      </c>
      <c r="AT836" s="2" t="s">
        <v>19</v>
      </c>
      <c r="AU836" s="1" t="e">
        <f t="shared" si="107"/>
        <v>#VALUE!</v>
      </c>
      <c r="AV836" s="1" t="e">
        <f t="shared" si="108"/>
        <v>#VALUE!</v>
      </c>
      <c r="AW836" s="1" t="e">
        <f t="shared" si="109"/>
        <v>#VALUE!</v>
      </c>
    </row>
    <row r="837" spans="1:49" x14ac:dyDescent="0.2">
      <c r="A837">
        <v>835</v>
      </c>
      <c r="B837" t="s">
        <v>537</v>
      </c>
      <c r="F837" t="s">
        <v>536</v>
      </c>
      <c r="G837" t="s">
        <v>15</v>
      </c>
      <c r="H837" t="s">
        <v>14</v>
      </c>
      <c r="I837" t="s">
        <v>535</v>
      </c>
      <c r="N837">
        <v>3</v>
      </c>
      <c r="O837" t="s">
        <v>534</v>
      </c>
      <c r="P837" t="s">
        <v>533</v>
      </c>
      <c r="Q837" t="s">
        <v>532</v>
      </c>
      <c r="R837" s="7">
        <v>32143</v>
      </c>
      <c r="S837" s="8">
        <f t="shared" si="104"/>
        <v>1988</v>
      </c>
      <c r="T837" s="8">
        <v>1988</v>
      </c>
      <c r="U837" s="8">
        <f t="shared" si="105"/>
        <v>34</v>
      </c>
      <c r="V837" s="7">
        <v>32143</v>
      </c>
      <c r="W837" t="s">
        <v>500</v>
      </c>
      <c r="X837" s="2" t="s">
        <v>19</v>
      </c>
      <c r="Y837" s="6" t="e">
        <f t="shared" si="110"/>
        <v>#VALUE!</v>
      </c>
      <c r="AA837">
        <v>87566648</v>
      </c>
      <c r="AB837">
        <v>74127</v>
      </c>
      <c r="AD837" t="s">
        <v>4</v>
      </c>
      <c r="AE837">
        <v>33</v>
      </c>
      <c r="AF837">
        <v>1</v>
      </c>
      <c r="AH837" t="s">
        <v>531</v>
      </c>
      <c r="AI837" t="s">
        <v>530</v>
      </c>
      <c r="AK837" t="s">
        <v>529</v>
      </c>
      <c r="AL837">
        <v>0</v>
      </c>
      <c r="AM837" s="5">
        <f t="shared" si="106"/>
        <v>0</v>
      </c>
      <c r="AN837" s="4">
        <f t="shared" si="111"/>
        <v>0</v>
      </c>
      <c r="AO837" s="3"/>
      <c r="AP837">
        <v>0</v>
      </c>
      <c r="AR837" t="s">
        <v>0</v>
      </c>
      <c r="AT837" s="2" t="s">
        <v>19</v>
      </c>
      <c r="AU837" s="1" t="e">
        <f t="shared" si="107"/>
        <v>#VALUE!</v>
      </c>
      <c r="AV837" s="1" t="e">
        <f t="shared" si="108"/>
        <v>#VALUE!</v>
      </c>
      <c r="AW837" s="1" t="e">
        <f t="shared" si="109"/>
        <v>#VALUE!</v>
      </c>
    </row>
    <row r="838" spans="1:49" x14ac:dyDescent="0.2">
      <c r="A838">
        <v>836</v>
      </c>
      <c r="B838" t="s">
        <v>528</v>
      </c>
      <c r="F838" t="s">
        <v>527</v>
      </c>
      <c r="G838" t="s">
        <v>15</v>
      </c>
      <c r="H838" t="s">
        <v>14</v>
      </c>
      <c r="I838" t="s">
        <v>526</v>
      </c>
      <c r="N838">
        <v>4</v>
      </c>
      <c r="O838" t="s">
        <v>525</v>
      </c>
      <c r="P838" t="s">
        <v>524</v>
      </c>
      <c r="Q838" t="s">
        <v>523</v>
      </c>
      <c r="R838" s="7">
        <v>32143</v>
      </c>
      <c r="S838" s="8">
        <f t="shared" si="104"/>
        <v>1988</v>
      </c>
      <c r="T838" s="8">
        <v>1988</v>
      </c>
      <c r="U838" s="8">
        <f t="shared" si="105"/>
        <v>34</v>
      </c>
      <c r="V838" s="7">
        <v>32143</v>
      </c>
      <c r="W838" t="s">
        <v>500</v>
      </c>
      <c r="X838" s="2" t="s">
        <v>19</v>
      </c>
      <c r="Y838" s="6" t="e">
        <f t="shared" si="110"/>
        <v>#VALUE!</v>
      </c>
      <c r="AA838">
        <v>87566648</v>
      </c>
      <c r="AB838">
        <v>74127</v>
      </c>
      <c r="AD838" t="s">
        <v>4</v>
      </c>
      <c r="AE838">
        <v>33</v>
      </c>
      <c r="AF838">
        <v>1</v>
      </c>
      <c r="AH838" t="s">
        <v>522</v>
      </c>
      <c r="AI838" t="s">
        <v>521</v>
      </c>
      <c r="AK838" t="s">
        <v>520</v>
      </c>
      <c r="AL838">
        <v>0</v>
      </c>
      <c r="AM838" s="5">
        <f t="shared" si="106"/>
        <v>0</v>
      </c>
      <c r="AN838" s="4">
        <f t="shared" si="111"/>
        <v>0</v>
      </c>
      <c r="AO838" s="3"/>
      <c r="AP838">
        <v>0</v>
      </c>
      <c r="AR838" t="s">
        <v>0</v>
      </c>
      <c r="AT838" s="2" t="s">
        <v>19</v>
      </c>
      <c r="AU838" s="1" t="e">
        <f t="shared" si="107"/>
        <v>#VALUE!</v>
      </c>
      <c r="AV838" s="1" t="e">
        <f t="shared" si="108"/>
        <v>#VALUE!</v>
      </c>
      <c r="AW838" s="1" t="e">
        <f t="shared" si="109"/>
        <v>#VALUE!</v>
      </c>
    </row>
    <row r="839" spans="1:49" x14ac:dyDescent="0.2">
      <c r="A839">
        <v>837</v>
      </c>
      <c r="B839" t="s">
        <v>519</v>
      </c>
      <c r="F839" t="s">
        <v>518</v>
      </c>
      <c r="G839" t="s">
        <v>15</v>
      </c>
      <c r="H839" t="s">
        <v>14</v>
      </c>
      <c r="I839" t="s">
        <v>517</v>
      </c>
      <c r="J839">
        <v>60071706</v>
      </c>
      <c r="K839" t="s">
        <v>516</v>
      </c>
      <c r="L839" t="s">
        <v>515</v>
      </c>
      <c r="M839" t="s">
        <v>514</v>
      </c>
      <c r="N839">
        <v>3</v>
      </c>
      <c r="O839" t="s">
        <v>513</v>
      </c>
      <c r="P839" t="s">
        <v>512</v>
      </c>
      <c r="Q839" t="s">
        <v>511</v>
      </c>
      <c r="R839" s="7">
        <v>32143</v>
      </c>
      <c r="S839" s="8">
        <f t="shared" ref="S839:S876" si="112">YEAR(R839)</f>
        <v>1988</v>
      </c>
      <c r="T839" s="8">
        <v>1988</v>
      </c>
      <c r="U839" s="8">
        <f t="shared" ref="U839:U876" si="113">2022-T839</f>
        <v>34</v>
      </c>
      <c r="V839" s="7">
        <v>32143</v>
      </c>
      <c r="W839" t="s">
        <v>510</v>
      </c>
      <c r="X839" s="2" t="s">
        <v>19</v>
      </c>
      <c r="Y839" s="6" t="e">
        <f t="shared" si="110"/>
        <v>#VALUE!</v>
      </c>
      <c r="AA839">
        <v>5115728</v>
      </c>
      <c r="AB839">
        <v>37785</v>
      </c>
      <c r="AD839" t="s">
        <v>4</v>
      </c>
      <c r="AE839">
        <v>13</v>
      </c>
      <c r="AF839">
        <v>1</v>
      </c>
      <c r="AH839" t="s">
        <v>509</v>
      </c>
      <c r="AI839" t="s">
        <v>508</v>
      </c>
      <c r="AK839" t="s">
        <v>507</v>
      </c>
      <c r="AL839">
        <v>0</v>
      </c>
      <c r="AM839" s="5">
        <f t="shared" ref="AM839:AM876" si="114">AL839/U839</f>
        <v>0</v>
      </c>
      <c r="AN839" s="4">
        <f t="shared" si="111"/>
        <v>0</v>
      </c>
      <c r="AO839" s="3"/>
      <c r="AP839">
        <v>0</v>
      </c>
      <c r="AR839" t="s">
        <v>0</v>
      </c>
      <c r="AT839" s="2" t="s">
        <v>19</v>
      </c>
      <c r="AU839" s="1" t="e">
        <f t="shared" ref="AU839:AU876" si="115">(Y839*0.7+AN839*0.3)*100</f>
        <v>#VALUE!</v>
      </c>
      <c r="AV839" s="1" t="e">
        <f t="shared" ref="AV839:AV876" si="116">(Y839*0.5+AN839*0.5)*100</f>
        <v>#VALUE!</v>
      </c>
      <c r="AW839" s="1" t="e">
        <f t="shared" ref="AW839:AW876" si="117">(Y839*0.3+AN839*0.7)*100</f>
        <v>#VALUE!</v>
      </c>
    </row>
    <row r="840" spans="1:49" x14ac:dyDescent="0.2">
      <c r="A840">
        <v>838</v>
      </c>
      <c r="B840" t="s">
        <v>506</v>
      </c>
      <c r="F840" t="s">
        <v>505</v>
      </c>
      <c r="G840" t="s">
        <v>15</v>
      </c>
      <c r="H840" t="s">
        <v>14</v>
      </c>
      <c r="I840" t="s">
        <v>504</v>
      </c>
      <c r="N840">
        <v>2</v>
      </c>
      <c r="O840" t="s">
        <v>503</v>
      </c>
      <c r="P840" t="s">
        <v>502</v>
      </c>
      <c r="Q840" t="s">
        <v>501</v>
      </c>
      <c r="R840" s="7">
        <v>32143</v>
      </c>
      <c r="S840" s="8">
        <f t="shared" si="112"/>
        <v>1988</v>
      </c>
      <c r="T840" s="8">
        <v>1988</v>
      </c>
      <c r="U840" s="8">
        <f t="shared" si="113"/>
        <v>34</v>
      </c>
      <c r="V840" s="7">
        <v>32143</v>
      </c>
      <c r="W840" t="s">
        <v>500</v>
      </c>
      <c r="X840" s="2" t="s">
        <v>19</v>
      </c>
      <c r="Y840" s="6" t="e">
        <f t="shared" si="110"/>
        <v>#VALUE!</v>
      </c>
      <c r="AA840">
        <v>87566648</v>
      </c>
      <c r="AB840">
        <v>74127</v>
      </c>
      <c r="AD840" t="s">
        <v>4</v>
      </c>
      <c r="AE840">
        <v>33</v>
      </c>
      <c r="AF840">
        <v>1</v>
      </c>
      <c r="AH840" t="s">
        <v>499</v>
      </c>
      <c r="AI840" t="s">
        <v>498</v>
      </c>
      <c r="AK840" t="s">
        <v>497</v>
      </c>
      <c r="AL840">
        <v>0</v>
      </c>
      <c r="AM840" s="5">
        <f t="shared" si="114"/>
        <v>0</v>
      </c>
      <c r="AN840" s="4">
        <f t="shared" si="111"/>
        <v>0</v>
      </c>
      <c r="AO840" s="3"/>
      <c r="AP840">
        <v>0</v>
      </c>
      <c r="AR840" t="s">
        <v>0</v>
      </c>
      <c r="AT840" s="2" t="s">
        <v>19</v>
      </c>
      <c r="AU840" s="1" t="e">
        <f t="shared" si="115"/>
        <v>#VALUE!</v>
      </c>
      <c r="AV840" s="1" t="e">
        <f t="shared" si="116"/>
        <v>#VALUE!</v>
      </c>
      <c r="AW840" s="1" t="e">
        <f t="shared" si="117"/>
        <v>#VALUE!</v>
      </c>
    </row>
    <row r="841" spans="1:49" x14ac:dyDescent="0.2">
      <c r="A841">
        <v>839</v>
      </c>
      <c r="B841" t="s">
        <v>496</v>
      </c>
      <c r="F841" t="s">
        <v>495</v>
      </c>
      <c r="G841" t="s">
        <v>15</v>
      </c>
      <c r="H841" t="s">
        <v>14</v>
      </c>
      <c r="I841" t="s">
        <v>494</v>
      </c>
      <c r="J841">
        <v>125348636</v>
      </c>
      <c r="K841" t="s">
        <v>493</v>
      </c>
      <c r="N841">
        <v>2</v>
      </c>
      <c r="O841" t="s">
        <v>492</v>
      </c>
      <c r="P841" t="s">
        <v>491</v>
      </c>
      <c r="Q841" t="s">
        <v>490</v>
      </c>
      <c r="R841" s="7">
        <v>32143</v>
      </c>
      <c r="S841" s="8">
        <f t="shared" si="112"/>
        <v>1988</v>
      </c>
      <c r="T841" s="8">
        <v>1988</v>
      </c>
      <c r="U841" s="8">
        <f t="shared" si="113"/>
        <v>34</v>
      </c>
      <c r="V841" s="7">
        <v>1988</v>
      </c>
      <c r="W841" t="s">
        <v>489</v>
      </c>
      <c r="X841" s="2" t="s">
        <v>19</v>
      </c>
      <c r="Y841" s="6" t="e">
        <f t="shared" si="110"/>
        <v>#VALUE!</v>
      </c>
      <c r="AA841">
        <v>1648322</v>
      </c>
      <c r="AB841">
        <v>37802</v>
      </c>
      <c r="AD841" t="s">
        <v>4</v>
      </c>
      <c r="AE841">
        <v>60</v>
      </c>
      <c r="AF841">
        <v>1</v>
      </c>
      <c r="AI841" t="s">
        <v>488</v>
      </c>
      <c r="AK841" t="s">
        <v>487</v>
      </c>
      <c r="AL841">
        <v>0</v>
      </c>
      <c r="AM841" s="5">
        <f t="shared" si="114"/>
        <v>0</v>
      </c>
      <c r="AN841" s="4">
        <f t="shared" si="111"/>
        <v>0</v>
      </c>
      <c r="AO841" s="3"/>
      <c r="AP841">
        <v>0</v>
      </c>
      <c r="AR841" t="s">
        <v>0</v>
      </c>
      <c r="AT841" s="2" t="s">
        <v>19</v>
      </c>
      <c r="AU841" s="1" t="e">
        <f t="shared" si="115"/>
        <v>#VALUE!</v>
      </c>
      <c r="AV841" s="1" t="e">
        <f t="shared" si="116"/>
        <v>#VALUE!</v>
      </c>
      <c r="AW841" s="1" t="e">
        <f t="shared" si="117"/>
        <v>#VALUE!</v>
      </c>
    </row>
    <row r="842" spans="1:49" x14ac:dyDescent="0.2">
      <c r="A842">
        <v>840</v>
      </c>
      <c r="B842" t="s">
        <v>486</v>
      </c>
      <c r="F842" t="s">
        <v>485</v>
      </c>
      <c r="G842" t="s">
        <v>15</v>
      </c>
      <c r="H842" t="s">
        <v>14</v>
      </c>
      <c r="I842" t="s">
        <v>484</v>
      </c>
      <c r="J842">
        <v>60033154</v>
      </c>
      <c r="K842" t="s">
        <v>483</v>
      </c>
      <c r="L842" t="s">
        <v>482</v>
      </c>
      <c r="M842" t="s">
        <v>481</v>
      </c>
      <c r="N842">
        <v>2</v>
      </c>
      <c r="O842" t="s">
        <v>480</v>
      </c>
      <c r="P842" t="s">
        <v>479</v>
      </c>
      <c r="Q842" t="s">
        <v>478</v>
      </c>
      <c r="R842" s="7">
        <v>32143</v>
      </c>
      <c r="S842" s="8">
        <f t="shared" si="112"/>
        <v>1988</v>
      </c>
      <c r="T842" s="8">
        <v>1988</v>
      </c>
      <c r="U842" s="8">
        <f t="shared" si="113"/>
        <v>34</v>
      </c>
      <c r="V842" s="7" t="s">
        <v>477</v>
      </c>
      <c r="W842" t="s">
        <v>476</v>
      </c>
      <c r="X842" s="2">
        <v>0.22600000000000001</v>
      </c>
      <c r="Y842" s="6">
        <f t="shared" si="110"/>
        <v>6.0329409252289053E-3</v>
      </c>
      <c r="AA842">
        <v>2786648</v>
      </c>
      <c r="AB842">
        <v>17299</v>
      </c>
      <c r="AD842" t="s">
        <v>4</v>
      </c>
      <c r="AE842">
        <v>7</v>
      </c>
      <c r="AF842">
        <v>2</v>
      </c>
      <c r="AI842" t="s">
        <v>475</v>
      </c>
      <c r="AK842" t="s">
        <v>474</v>
      </c>
      <c r="AL842">
        <v>0</v>
      </c>
      <c r="AM842" s="5">
        <f t="shared" si="114"/>
        <v>0</v>
      </c>
      <c r="AN842" s="4">
        <f t="shared" si="111"/>
        <v>0</v>
      </c>
      <c r="AO842" s="3"/>
      <c r="AP842">
        <v>0</v>
      </c>
      <c r="AR842" t="s">
        <v>0</v>
      </c>
      <c r="AT842" s="2" t="s">
        <v>19</v>
      </c>
      <c r="AU842" s="1">
        <f t="shared" si="115"/>
        <v>0.42230586476602339</v>
      </c>
      <c r="AV842" s="1">
        <f t="shared" si="116"/>
        <v>0.30164704626144528</v>
      </c>
      <c r="AW842" s="1">
        <f t="shared" si="117"/>
        <v>0.18098822775686715</v>
      </c>
    </row>
    <row r="843" spans="1:49" x14ac:dyDescent="0.2">
      <c r="A843">
        <v>841</v>
      </c>
      <c r="B843" t="s">
        <v>473</v>
      </c>
      <c r="C843" t="s">
        <v>472</v>
      </c>
      <c r="D843">
        <v>22231388900956</v>
      </c>
      <c r="F843" t="s">
        <v>471</v>
      </c>
      <c r="G843" t="s">
        <v>15</v>
      </c>
      <c r="H843" t="s">
        <v>14</v>
      </c>
      <c r="I843" t="s">
        <v>155</v>
      </c>
      <c r="J843">
        <v>60033235</v>
      </c>
      <c r="K843" t="s">
        <v>470</v>
      </c>
      <c r="L843" t="s">
        <v>469</v>
      </c>
      <c r="M843" t="s">
        <v>211</v>
      </c>
      <c r="N843">
        <v>3</v>
      </c>
      <c r="O843" t="s">
        <v>468</v>
      </c>
      <c r="P843" t="s">
        <v>467</v>
      </c>
      <c r="Q843" t="s">
        <v>466</v>
      </c>
      <c r="R843" s="7">
        <v>32143</v>
      </c>
      <c r="S843" s="8">
        <f t="shared" si="112"/>
        <v>1988</v>
      </c>
      <c r="T843" s="8">
        <v>1988</v>
      </c>
      <c r="U843" s="8">
        <f t="shared" si="113"/>
        <v>34</v>
      </c>
      <c r="V843" s="7">
        <v>32174</v>
      </c>
      <c r="W843" t="s">
        <v>452</v>
      </c>
      <c r="X843" s="2">
        <v>0.65200000000000002</v>
      </c>
      <c r="Y843" s="6">
        <f t="shared" si="110"/>
        <v>1.7404767624996664E-2</v>
      </c>
      <c r="AA843">
        <v>222313</v>
      </c>
      <c r="AB843">
        <v>12179</v>
      </c>
      <c r="AD843" t="s">
        <v>4</v>
      </c>
      <c r="AE843" t="s">
        <v>451</v>
      </c>
      <c r="AF843" t="s">
        <v>26</v>
      </c>
      <c r="AH843" t="s">
        <v>465</v>
      </c>
      <c r="AI843" t="s">
        <v>464</v>
      </c>
      <c r="AK843" t="s">
        <v>463</v>
      </c>
      <c r="AL843">
        <v>1</v>
      </c>
      <c r="AM843" s="5">
        <f t="shared" si="114"/>
        <v>2.9411764705882353E-2</v>
      </c>
      <c r="AN843" s="4">
        <f t="shared" si="111"/>
        <v>4.4546406218678307E-5</v>
      </c>
      <c r="AO843" s="3"/>
      <c r="AP843">
        <v>0</v>
      </c>
      <c r="AR843" t="s">
        <v>0</v>
      </c>
      <c r="AT843" s="2">
        <v>3.5990000000000002</v>
      </c>
      <c r="AU843" s="1">
        <f t="shared" si="115"/>
        <v>1.2196701259363267</v>
      </c>
      <c r="AV843" s="1">
        <f t="shared" si="116"/>
        <v>0.87246570156076719</v>
      </c>
      <c r="AW843" s="1">
        <f t="shared" si="117"/>
        <v>0.52526127718520732</v>
      </c>
    </row>
    <row r="844" spans="1:49" x14ac:dyDescent="0.2">
      <c r="A844">
        <v>842</v>
      </c>
      <c r="B844" t="s">
        <v>462</v>
      </c>
      <c r="C844" t="s">
        <v>461</v>
      </c>
      <c r="D844">
        <v>22231388901652</v>
      </c>
      <c r="F844" t="s">
        <v>460</v>
      </c>
      <c r="G844" t="s">
        <v>15</v>
      </c>
      <c r="H844" t="s">
        <v>14</v>
      </c>
      <c r="I844" t="s">
        <v>459</v>
      </c>
      <c r="J844">
        <v>60004828</v>
      </c>
      <c r="K844" t="s">
        <v>458</v>
      </c>
      <c r="L844" t="s">
        <v>457</v>
      </c>
      <c r="M844" t="s">
        <v>456</v>
      </c>
      <c r="N844">
        <v>3</v>
      </c>
      <c r="O844" t="s">
        <v>455</v>
      </c>
      <c r="P844" t="s">
        <v>454</v>
      </c>
      <c r="Q844" t="s">
        <v>453</v>
      </c>
      <c r="R844" s="7">
        <v>32143</v>
      </c>
      <c r="S844" s="8">
        <f t="shared" si="112"/>
        <v>1988</v>
      </c>
      <c r="T844" s="8">
        <v>1988</v>
      </c>
      <c r="U844" s="8">
        <f t="shared" si="113"/>
        <v>34</v>
      </c>
      <c r="V844" s="7">
        <v>32174</v>
      </c>
      <c r="W844" t="s">
        <v>452</v>
      </c>
      <c r="X844" s="2">
        <v>0.65200000000000002</v>
      </c>
      <c r="Y844" s="6">
        <f t="shared" si="110"/>
        <v>1.7404767624996664E-2</v>
      </c>
      <c r="AA844">
        <v>222313</v>
      </c>
      <c r="AB844">
        <v>12179</v>
      </c>
      <c r="AD844" t="s">
        <v>4</v>
      </c>
      <c r="AE844" t="s">
        <v>451</v>
      </c>
      <c r="AF844" t="s">
        <v>26</v>
      </c>
      <c r="AH844" t="s">
        <v>450</v>
      </c>
      <c r="AI844" t="s">
        <v>449</v>
      </c>
      <c r="AK844" t="s">
        <v>448</v>
      </c>
      <c r="AL844">
        <v>0</v>
      </c>
      <c r="AM844" s="5">
        <f t="shared" si="114"/>
        <v>0</v>
      </c>
      <c r="AN844" s="4">
        <f t="shared" si="111"/>
        <v>0</v>
      </c>
      <c r="AO844" s="3"/>
      <c r="AP844">
        <v>0</v>
      </c>
      <c r="AR844" t="s">
        <v>0</v>
      </c>
      <c r="AT844" s="2">
        <v>3.5990000000000002</v>
      </c>
      <c r="AU844" s="1">
        <f t="shared" si="115"/>
        <v>1.2183337337497664</v>
      </c>
      <c r="AV844" s="1">
        <f t="shared" si="116"/>
        <v>0.87023838124983321</v>
      </c>
      <c r="AW844" s="1">
        <f t="shared" si="117"/>
        <v>0.52214302874989982</v>
      </c>
    </row>
    <row r="845" spans="1:49" x14ac:dyDescent="0.2">
      <c r="A845">
        <v>843</v>
      </c>
      <c r="B845" t="s">
        <v>447</v>
      </c>
      <c r="C845" t="s">
        <v>446</v>
      </c>
      <c r="D845" t="s">
        <v>445</v>
      </c>
      <c r="F845" t="s">
        <v>444</v>
      </c>
      <c r="G845" t="s">
        <v>15</v>
      </c>
      <c r="H845" t="s">
        <v>14</v>
      </c>
      <c r="I845" t="s">
        <v>443</v>
      </c>
      <c r="J845" t="s">
        <v>442</v>
      </c>
      <c r="K845" t="s">
        <v>441</v>
      </c>
      <c r="L845" t="s">
        <v>440</v>
      </c>
      <c r="M845" t="s">
        <v>439</v>
      </c>
      <c r="N845">
        <v>1</v>
      </c>
      <c r="O845" t="s">
        <v>438</v>
      </c>
      <c r="P845">
        <v>7003386560</v>
      </c>
      <c r="Q845" t="s">
        <v>437</v>
      </c>
      <c r="R845" s="7">
        <v>32143</v>
      </c>
      <c r="S845" s="8">
        <f t="shared" si="112"/>
        <v>1988</v>
      </c>
      <c r="T845" s="8">
        <v>1988</v>
      </c>
      <c r="U845" s="8">
        <f t="shared" si="113"/>
        <v>34</v>
      </c>
      <c r="V845" s="7">
        <v>32143</v>
      </c>
      <c r="W845" t="s">
        <v>436</v>
      </c>
      <c r="X845" s="2" t="s">
        <v>19</v>
      </c>
      <c r="Y845" s="6" t="e">
        <f t="shared" si="110"/>
        <v>#VALUE!</v>
      </c>
      <c r="AA845">
        <v>1689002</v>
      </c>
      <c r="AB845">
        <v>29067</v>
      </c>
      <c r="AD845" t="s">
        <v>4</v>
      </c>
      <c r="AE845">
        <v>263</v>
      </c>
      <c r="AF845">
        <v>1</v>
      </c>
      <c r="AH845" t="s">
        <v>435</v>
      </c>
      <c r="AI845" t="s">
        <v>434</v>
      </c>
      <c r="AK845" t="s">
        <v>433</v>
      </c>
      <c r="AL845">
        <v>0</v>
      </c>
      <c r="AM845" s="5">
        <f t="shared" si="114"/>
        <v>0</v>
      </c>
      <c r="AN845" s="4">
        <f t="shared" si="111"/>
        <v>0</v>
      </c>
      <c r="AO845" s="3"/>
      <c r="AP845">
        <v>0</v>
      </c>
      <c r="AR845" t="s">
        <v>0</v>
      </c>
      <c r="AT845" s="2" t="s">
        <v>19</v>
      </c>
      <c r="AU845" s="1" t="e">
        <f t="shared" si="115"/>
        <v>#VALUE!</v>
      </c>
      <c r="AV845" s="1" t="e">
        <f t="shared" si="116"/>
        <v>#VALUE!</v>
      </c>
      <c r="AW845" s="1" t="e">
        <f t="shared" si="117"/>
        <v>#VALUE!</v>
      </c>
    </row>
    <row r="846" spans="1:49" x14ac:dyDescent="0.2">
      <c r="A846">
        <v>844</v>
      </c>
      <c r="B846" t="s">
        <v>432</v>
      </c>
      <c r="C846" t="s">
        <v>431</v>
      </c>
      <c r="F846" t="s">
        <v>430</v>
      </c>
      <c r="G846" t="s">
        <v>15</v>
      </c>
      <c r="H846" t="s">
        <v>14</v>
      </c>
      <c r="I846" t="s">
        <v>429</v>
      </c>
      <c r="J846">
        <v>60015815</v>
      </c>
      <c r="K846" t="s">
        <v>428</v>
      </c>
      <c r="L846" t="s">
        <v>427</v>
      </c>
      <c r="M846" t="s">
        <v>45</v>
      </c>
      <c r="N846">
        <v>2</v>
      </c>
      <c r="O846" t="s">
        <v>426</v>
      </c>
      <c r="P846" t="s">
        <v>425</v>
      </c>
      <c r="Q846" t="s">
        <v>424</v>
      </c>
      <c r="R846" s="7">
        <v>32143</v>
      </c>
      <c r="S846" s="8">
        <f t="shared" si="112"/>
        <v>1988</v>
      </c>
      <c r="T846" s="8">
        <v>1988</v>
      </c>
      <c r="U846" s="8">
        <f t="shared" si="113"/>
        <v>34</v>
      </c>
      <c r="V846" s="7">
        <v>32143</v>
      </c>
      <c r="W846" t="s">
        <v>348</v>
      </c>
      <c r="X846" s="2">
        <v>0.251</v>
      </c>
      <c r="Y846" s="6">
        <f t="shared" si="110"/>
        <v>6.7003016470462617E-3</v>
      </c>
      <c r="AA846">
        <v>207217</v>
      </c>
      <c r="AB846">
        <v>26145</v>
      </c>
      <c r="AC846">
        <v>13623060</v>
      </c>
      <c r="AD846" t="s">
        <v>4</v>
      </c>
      <c r="AE846">
        <v>64</v>
      </c>
      <c r="AF846">
        <v>1</v>
      </c>
      <c r="AH846" s="10">
        <v>43952</v>
      </c>
      <c r="AI846" t="s">
        <v>423</v>
      </c>
      <c r="AK846" t="s">
        <v>422</v>
      </c>
      <c r="AL846">
        <v>39</v>
      </c>
      <c r="AM846" s="5">
        <f t="shared" si="114"/>
        <v>1.1470588235294117</v>
      </c>
      <c r="AN846" s="4">
        <f t="shared" si="111"/>
        <v>1.7373098425284539E-3</v>
      </c>
      <c r="AO846" s="3"/>
      <c r="AP846">
        <v>0</v>
      </c>
      <c r="AR846" t="s">
        <v>0</v>
      </c>
      <c r="AT846" s="2">
        <v>1.3360000000000001</v>
      </c>
      <c r="AU846" s="1">
        <f t="shared" si="115"/>
        <v>0.52114041056909188</v>
      </c>
      <c r="AV846" s="1">
        <f t="shared" si="116"/>
        <v>0.42188057447873578</v>
      </c>
      <c r="AW846" s="1">
        <f t="shared" si="117"/>
        <v>0.32262073838837957</v>
      </c>
    </row>
    <row r="847" spans="1:49" x14ac:dyDescent="0.2">
      <c r="A847">
        <v>845</v>
      </c>
      <c r="B847" t="s">
        <v>421</v>
      </c>
      <c r="C847" t="s">
        <v>420</v>
      </c>
      <c r="D847">
        <v>5272888901545</v>
      </c>
      <c r="F847" t="s">
        <v>419</v>
      </c>
      <c r="G847" t="s">
        <v>15</v>
      </c>
      <c r="H847" t="s">
        <v>14</v>
      </c>
      <c r="I847" t="s">
        <v>418</v>
      </c>
      <c r="J847" t="s">
        <v>417</v>
      </c>
      <c r="K847" t="s">
        <v>416</v>
      </c>
      <c r="L847" t="s">
        <v>415</v>
      </c>
      <c r="M847" t="s">
        <v>414</v>
      </c>
      <c r="N847">
        <v>5</v>
      </c>
      <c r="O847" t="s">
        <v>413</v>
      </c>
      <c r="P847" t="s">
        <v>412</v>
      </c>
      <c r="Q847" t="s">
        <v>411</v>
      </c>
      <c r="R847" s="7">
        <v>32143</v>
      </c>
      <c r="S847" s="8">
        <f t="shared" si="112"/>
        <v>1988</v>
      </c>
      <c r="T847" s="8">
        <v>1988</v>
      </c>
      <c r="U847" s="8">
        <f t="shared" si="113"/>
        <v>34</v>
      </c>
      <c r="V847" s="7">
        <v>1988</v>
      </c>
      <c r="W847" t="s">
        <v>27</v>
      </c>
      <c r="X847" s="2">
        <v>1.59</v>
      </c>
      <c r="Y847" s="6">
        <f t="shared" si="110"/>
        <v>4.2444141907583888E-2</v>
      </c>
      <c r="AA847">
        <v>52728</v>
      </c>
      <c r="AB847">
        <v>16791</v>
      </c>
      <c r="AD847" t="s">
        <v>4</v>
      </c>
      <c r="AE847">
        <v>932</v>
      </c>
      <c r="AF847" t="s">
        <v>26</v>
      </c>
      <c r="AH847" t="s">
        <v>410</v>
      </c>
      <c r="AI847" t="s">
        <v>409</v>
      </c>
      <c r="AJ847" t="s">
        <v>408</v>
      </c>
      <c r="AK847" t="s">
        <v>407</v>
      </c>
      <c r="AL847">
        <v>47</v>
      </c>
      <c r="AM847" s="5">
        <f t="shared" si="114"/>
        <v>1.3823529411764706</v>
      </c>
      <c r="AN847" s="4">
        <f t="shared" si="111"/>
        <v>2.0936810922778802E-3</v>
      </c>
      <c r="AO847" s="3"/>
      <c r="AP847">
        <v>0</v>
      </c>
      <c r="AQ847" t="s">
        <v>406</v>
      </c>
      <c r="AR847" t="s">
        <v>0</v>
      </c>
      <c r="AS847" t="s">
        <v>405</v>
      </c>
      <c r="AT847" s="2" t="s">
        <v>19</v>
      </c>
      <c r="AU847" s="1">
        <f t="shared" si="115"/>
        <v>3.0339003662992083</v>
      </c>
      <c r="AV847" s="1">
        <f t="shared" si="116"/>
        <v>2.2268911499930883</v>
      </c>
      <c r="AW847" s="1">
        <f t="shared" si="117"/>
        <v>1.4198819336869681</v>
      </c>
    </row>
    <row r="848" spans="1:49" x14ac:dyDescent="0.2">
      <c r="A848">
        <v>846</v>
      </c>
      <c r="B848" t="s">
        <v>404</v>
      </c>
      <c r="C848" t="s">
        <v>403</v>
      </c>
      <c r="F848" t="s">
        <v>402</v>
      </c>
      <c r="G848" t="s">
        <v>15</v>
      </c>
      <c r="H848" t="s">
        <v>14</v>
      </c>
      <c r="I848" t="s">
        <v>401</v>
      </c>
      <c r="J848">
        <v>60009037</v>
      </c>
      <c r="K848" t="s">
        <v>400</v>
      </c>
      <c r="L848" t="s">
        <v>399</v>
      </c>
      <c r="M848" t="s">
        <v>31</v>
      </c>
      <c r="N848">
        <v>4</v>
      </c>
      <c r="O848" t="s">
        <v>398</v>
      </c>
      <c r="P848" t="s">
        <v>397</v>
      </c>
      <c r="Q848" t="s">
        <v>396</v>
      </c>
      <c r="R848" s="7">
        <v>32143</v>
      </c>
      <c r="S848" s="8">
        <f t="shared" si="112"/>
        <v>1988</v>
      </c>
      <c r="T848" s="8">
        <v>1988</v>
      </c>
      <c r="U848" s="8">
        <f t="shared" si="113"/>
        <v>34</v>
      </c>
      <c r="V848" s="7">
        <v>32203</v>
      </c>
      <c r="W848" t="s">
        <v>69</v>
      </c>
      <c r="X848" s="2">
        <v>1.6519999999999999</v>
      </c>
      <c r="Y848" s="6">
        <f t="shared" si="110"/>
        <v>4.409919649769093E-2</v>
      </c>
      <c r="AA848" t="s">
        <v>68</v>
      </c>
      <c r="AB848">
        <v>17337</v>
      </c>
      <c r="AC848">
        <v>15582221</v>
      </c>
      <c r="AD848" t="s">
        <v>4</v>
      </c>
      <c r="AE848">
        <v>36</v>
      </c>
      <c r="AF848">
        <v>3</v>
      </c>
      <c r="AH848" t="s">
        <v>395</v>
      </c>
      <c r="AI848" t="s">
        <v>394</v>
      </c>
      <c r="AK848" t="s">
        <v>393</v>
      </c>
      <c r="AL848">
        <v>7</v>
      </c>
      <c r="AM848" s="5">
        <f t="shared" si="114"/>
        <v>0.20588235294117646</v>
      </c>
      <c r="AN848" s="4">
        <f t="shared" si="111"/>
        <v>3.1182484353074817E-4</v>
      </c>
      <c r="AO848" s="3"/>
      <c r="AP848">
        <v>0</v>
      </c>
      <c r="AR848" t="s">
        <v>0</v>
      </c>
      <c r="AT848" s="2" t="s">
        <v>19</v>
      </c>
      <c r="AU848" s="1">
        <f t="shared" si="115"/>
        <v>3.0962985001442878</v>
      </c>
      <c r="AV848" s="1">
        <f t="shared" si="116"/>
        <v>2.2205510670610837</v>
      </c>
      <c r="AW848" s="1">
        <f t="shared" si="117"/>
        <v>1.3448036339778802</v>
      </c>
    </row>
    <row r="849" spans="1:49" x14ac:dyDescent="0.2">
      <c r="A849">
        <v>847</v>
      </c>
      <c r="B849" t="s">
        <v>392</v>
      </c>
      <c r="C849" t="s">
        <v>391</v>
      </c>
      <c r="F849" t="s">
        <v>390</v>
      </c>
      <c r="G849" t="s">
        <v>15</v>
      </c>
      <c r="H849" t="s">
        <v>14</v>
      </c>
      <c r="I849" t="s">
        <v>389</v>
      </c>
      <c r="J849">
        <v>60102562</v>
      </c>
      <c r="K849" t="s">
        <v>388</v>
      </c>
      <c r="L849" t="s">
        <v>387</v>
      </c>
      <c r="M849" t="s">
        <v>31</v>
      </c>
      <c r="N849">
        <v>2</v>
      </c>
      <c r="O849" t="s">
        <v>386</v>
      </c>
      <c r="P849" t="s">
        <v>385</v>
      </c>
      <c r="Q849" t="s">
        <v>384</v>
      </c>
      <c r="R849" s="7">
        <v>32143</v>
      </c>
      <c r="S849" s="8">
        <f t="shared" si="112"/>
        <v>1988</v>
      </c>
      <c r="T849" s="8">
        <v>1988</v>
      </c>
      <c r="U849" s="8">
        <f t="shared" si="113"/>
        <v>34</v>
      </c>
      <c r="V849" s="7">
        <v>32203</v>
      </c>
      <c r="W849" t="s">
        <v>69</v>
      </c>
      <c r="X849" s="2">
        <v>1.6519999999999999</v>
      </c>
      <c r="Y849" s="6">
        <f t="shared" si="110"/>
        <v>4.409919649769093E-2</v>
      </c>
      <c r="AA849" t="s">
        <v>68</v>
      </c>
      <c r="AB849">
        <v>17337</v>
      </c>
      <c r="AC849">
        <v>15582221</v>
      </c>
      <c r="AD849" t="s">
        <v>4</v>
      </c>
      <c r="AE849">
        <v>36</v>
      </c>
      <c r="AF849">
        <v>3</v>
      </c>
      <c r="AH849" t="s">
        <v>383</v>
      </c>
      <c r="AI849" t="s">
        <v>382</v>
      </c>
      <c r="AK849" t="s">
        <v>381</v>
      </c>
      <c r="AL849">
        <v>20</v>
      </c>
      <c r="AM849" s="5">
        <f t="shared" si="114"/>
        <v>0.58823529411764708</v>
      </c>
      <c r="AN849" s="4">
        <f t="shared" si="111"/>
        <v>8.9092812437356617E-4</v>
      </c>
      <c r="AO849" s="3"/>
      <c r="AP849">
        <v>0</v>
      </c>
      <c r="AR849" t="s">
        <v>0</v>
      </c>
      <c r="AT849" s="2" t="s">
        <v>19</v>
      </c>
      <c r="AU849" s="1">
        <f t="shared" si="115"/>
        <v>3.1136715985695722</v>
      </c>
      <c r="AV849" s="1">
        <f t="shared" si="116"/>
        <v>2.2495062311032248</v>
      </c>
      <c r="AW849" s="1">
        <f t="shared" si="117"/>
        <v>1.3853408636368774</v>
      </c>
    </row>
    <row r="850" spans="1:49" x14ac:dyDescent="0.2">
      <c r="A850">
        <v>848</v>
      </c>
      <c r="B850" t="s">
        <v>380</v>
      </c>
      <c r="C850" t="s">
        <v>379</v>
      </c>
      <c r="F850" t="s">
        <v>378</v>
      </c>
      <c r="G850" t="s">
        <v>15</v>
      </c>
      <c r="H850" t="s">
        <v>14</v>
      </c>
      <c r="I850" t="s">
        <v>377</v>
      </c>
      <c r="J850">
        <v>60009982</v>
      </c>
      <c r="K850" t="s">
        <v>376</v>
      </c>
      <c r="L850" t="s">
        <v>375</v>
      </c>
      <c r="M850" t="s">
        <v>31</v>
      </c>
      <c r="N850">
        <v>1</v>
      </c>
      <c r="O850" t="s">
        <v>374</v>
      </c>
      <c r="P850">
        <v>57121356300</v>
      </c>
      <c r="Q850">
        <v>60009982</v>
      </c>
      <c r="R850" s="7">
        <v>32143</v>
      </c>
      <c r="S850" s="8">
        <f t="shared" si="112"/>
        <v>1988</v>
      </c>
      <c r="T850" s="8">
        <v>1988</v>
      </c>
      <c r="U850" s="8">
        <f t="shared" si="113"/>
        <v>34</v>
      </c>
      <c r="V850" s="7">
        <v>1988</v>
      </c>
      <c r="W850" t="s">
        <v>373</v>
      </c>
      <c r="X850" s="2" t="s">
        <v>19</v>
      </c>
      <c r="Y850" s="6" t="e">
        <f t="shared" si="110"/>
        <v>#VALUE!</v>
      </c>
      <c r="AA850">
        <v>332615</v>
      </c>
      <c r="AB850">
        <v>21100203931</v>
      </c>
      <c r="AC850">
        <v>16877438</v>
      </c>
      <c r="AD850" t="s">
        <v>4</v>
      </c>
      <c r="AE850">
        <v>95</v>
      </c>
      <c r="AF850" s="9">
        <v>44289</v>
      </c>
      <c r="AH850" t="s">
        <v>372</v>
      </c>
      <c r="AL850">
        <v>5</v>
      </c>
      <c r="AM850" s="5">
        <f t="shared" si="114"/>
        <v>0.14705882352941177</v>
      </c>
      <c r="AN850" s="4">
        <f t="shared" si="111"/>
        <v>2.2273203109339154E-4</v>
      </c>
      <c r="AO850" s="3"/>
      <c r="AP850">
        <v>1</v>
      </c>
      <c r="AR850" t="s">
        <v>0</v>
      </c>
      <c r="AT850" s="2" t="s">
        <v>19</v>
      </c>
      <c r="AU850" s="1" t="e">
        <f t="shared" si="115"/>
        <v>#VALUE!</v>
      </c>
      <c r="AV850" s="1" t="e">
        <f t="shared" si="116"/>
        <v>#VALUE!</v>
      </c>
      <c r="AW850" s="1" t="e">
        <f t="shared" si="117"/>
        <v>#VALUE!</v>
      </c>
    </row>
    <row r="851" spans="1:49" x14ac:dyDescent="0.2">
      <c r="A851">
        <v>849</v>
      </c>
      <c r="B851" t="s">
        <v>371</v>
      </c>
      <c r="C851" t="s">
        <v>370</v>
      </c>
      <c r="F851" t="s">
        <v>369</v>
      </c>
      <c r="G851" t="s">
        <v>15</v>
      </c>
      <c r="H851" t="s">
        <v>14</v>
      </c>
      <c r="I851" t="s">
        <v>368</v>
      </c>
      <c r="J851">
        <v>60008023</v>
      </c>
      <c r="K851" t="s">
        <v>367</v>
      </c>
      <c r="L851" t="s">
        <v>366</v>
      </c>
      <c r="M851" t="s">
        <v>31</v>
      </c>
      <c r="N851">
        <v>3</v>
      </c>
      <c r="O851" t="s">
        <v>365</v>
      </c>
      <c r="P851" t="s">
        <v>364</v>
      </c>
      <c r="Q851" t="s">
        <v>363</v>
      </c>
      <c r="R851" s="7">
        <v>32143</v>
      </c>
      <c r="S851" s="8">
        <f t="shared" si="112"/>
        <v>1988</v>
      </c>
      <c r="T851" s="8">
        <v>1988</v>
      </c>
      <c r="U851" s="8">
        <f t="shared" si="113"/>
        <v>34</v>
      </c>
      <c r="V851" s="7">
        <v>1988</v>
      </c>
      <c r="W851" t="s">
        <v>147</v>
      </c>
      <c r="X851" s="2">
        <v>1.641</v>
      </c>
      <c r="Y851" s="6">
        <f t="shared" si="110"/>
        <v>4.3805557780091299E-2</v>
      </c>
      <c r="AA851">
        <v>223654</v>
      </c>
      <c r="AB851">
        <v>30422</v>
      </c>
      <c r="AD851" t="s">
        <v>4</v>
      </c>
      <c r="AE851">
        <v>92</v>
      </c>
      <c r="AF851">
        <v>21</v>
      </c>
      <c r="AH851" t="s">
        <v>362</v>
      </c>
      <c r="AI851" t="s">
        <v>361</v>
      </c>
      <c r="AK851" t="s">
        <v>360</v>
      </c>
      <c r="AL851">
        <v>21</v>
      </c>
      <c r="AM851" s="5">
        <f t="shared" si="114"/>
        <v>0.61764705882352944</v>
      </c>
      <c r="AN851" s="4">
        <f t="shared" si="111"/>
        <v>9.3547453059224456E-4</v>
      </c>
      <c r="AO851" s="3"/>
      <c r="AP851">
        <v>0</v>
      </c>
      <c r="AR851" t="s">
        <v>0</v>
      </c>
      <c r="AT851" s="2" t="s">
        <v>19</v>
      </c>
      <c r="AU851" s="1">
        <f t="shared" si="115"/>
        <v>3.0944532805241582</v>
      </c>
      <c r="AV851" s="1">
        <f t="shared" si="116"/>
        <v>2.2370516155341771</v>
      </c>
      <c r="AW851" s="1">
        <f t="shared" si="117"/>
        <v>1.3796499505441961</v>
      </c>
    </row>
    <row r="852" spans="1:49" x14ac:dyDescent="0.2">
      <c r="A852">
        <v>850</v>
      </c>
      <c r="B852" t="s">
        <v>359</v>
      </c>
      <c r="C852" t="s">
        <v>358</v>
      </c>
      <c r="F852" t="s">
        <v>357</v>
      </c>
      <c r="G852" t="s">
        <v>15</v>
      </c>
      <c r="H852" t="s">
        <v>14</v>
      </c>
      <c r="I852" t="s">
        <v>356</v>
      </c>
      <c r="J852" t="s">
        <v>355</v>
      </c>
      <c r="K852" t="s">
        <v>354</v>
      </c>
      <c r="L852" t="s">
        <v>353</v>
      </c>
      <c r="M852" t="s">
        <v>352</v>
      </c>
      <c r="N852">
        <v>3</v>
      </c>
      <c r="O852" t="s">
        <v>351</v>
      </c>
      <c r="P852" t="s">
        <v>350</v>
      </c>
      <c r="Q852" t="s">
        <v>349</v>
      </c>
      <c r="R852" s="7">
        <v>32143</v>
      </c>
      <c r="S852" s="8">
        <f t="shared" si="112"/>
        <v>1988</v>
      </c>
      <c r="T852" s="8">
        <v>1988</v>
      </c>
      <c r="U852" s="8">
        <f t="shared" si="113"/>
        <v>34</v>
      </c>
      <c r="V852" s="7">
        <v>32387</v>
      </c>
      <c r="W852" t="s">
        <v>348</v>
      </c>
      <c r="X852" s="2">
        <v>0.251</v>
      </c>
      <c r="Y852" s="6">
        <f t="shared" si="110"/>
        <v>6.7003016470462617E-3</v>
      </c>
      <c r="AA852">
        <v>207217</v>
      </c>
      <c r="AB852">
        <v>26145</v>
      </c>
      <c r="AC852">
        <v>13623060</v>
      </c>
      <c r="AD852" t="s">
        <v>4</v>
      </c>
      <c r="AE852">
        <v>65</v>
      </c>
      <c r="AF852">
        <v>3</v>
      </c>
      <c r="AH852" t="s">
        <v>347</v>
      </c>
      <c r="AI852" t="s">
        <v>346</v>
      </c>
      <c r="AK852" t="s">
        <v>345</v>
      </c>
      <c r="AL852">
        <v>20</v>
      </c>
      <c r="AM852" s="5">
        <f t="shared" si="114"/>
        <v>0.58823529411764708</v>
      </c>
      <c r="AN852" s="4">
        <f t="shared" si="111"/>
        <v>8.9092812437356617E-4</v>
      </c>
      <c r="AO852" s="3"/>
      <c r="AP852">
        <v>0</v>
      </c>
      <c r="AR852" t="s">
        <v>0</v>
      </c>
      <c r="AT852" s="2">
        <v>1.3360000000000001</v>
      </c>
      <c r="AU852" s="1">
        <f t="shared" si="115"/>
        <v>0.49574895902444521</v>
      </c>
      <c r="AV852" s="1">
        <f t="shared" si="116"/>
        <v>0.37956148857099137</v>
      </c>
      <c r="AW852" s="1">
        <f t="shared" si="117"/>
        <v>0.26337401811753747</v>
      </c>
    </row>
    <row r="853" spans="1:49" x14ac:dyDescent="0.2">
      <c r="A853">
        <v>851</v>
      </c>
      <c r="B853" t="s">
        <v>344</v>
      </c>
      <c r="C853" t="s">
        <v>343</v>
      </c>
      <c r="F853" t="s">
        <v>342</v>
      </c>
      <c r="G853" t="s">
        <v>15</v>
      </c>
      <c r="H853" t="s">
        <v>14</v>
      </c>
      <c r="I853" t="s">
        <v>341</v>
      </c>
      <c r="J853">
        <v>60032949</v>
      </c>
      <c r="K853" t="s">
        <v>340</v>
      </c>
      <c r="L853" t="s">
        <v>339</v>
      </c>
      <c r="M853" t="s">
        <v>31</v>
      </c>
      <c r="N853">
        <v>2</v>
      </c>
      <c r="O853" t="s">
        <v>338</v>
      </c>
      <c r="P853" t="s">
        <v>337</v>
      </c>
      <c r="Q853" t="s">
        <v>336</v>
      </c>
      <c r="R853" s="7">
        <v>32143</v>
      </c>
      <c r="S853" s="8">
        <f t="shared" si="112"/>
        <v>1988</v>
      </c>
      <c r="T853" s="8">
        <v>1988</v>
      </c>
      <c r="U853" s="8">
        <f t="shared" si="113"/>
        <v>34</v>
      </c>
      <c r="V853" s="7">
        <v>32143</v>
      </c>
      <c r="W853" t="s">
        <v>335</v>
      </c>
      <c r="X853" s="2">
        <v>0.66800000000000004</v>
      </c>
      <c r="Y853" s="6">
        <f t="shared" si="110"/>
        <v>1.7831878486959774E-2</v>
      </c>
      <c r="AA853" t="s">
        <v>334</v>
      </c>
      <c r="AB853">
        <v>29593</v>
      </c>
      <c r="AC853">
        <v>21553165</v>
      </c>
      <c r="AD853" t="s">
        <v>4</v>
      </c>
      <c r="AE853">
        <v>27</v>
      </c>
      <c r="AF853">
        <v>1</v>
      </c>
      <c r="AH853" t="s">
        <v>333</v>
      </c>
      <c r="AL853">
        <v>16</v>
      </c>
      <c r="AM853" s="5">
        <f t="shared" si="114"/>
        <v>0.47058823529411764</v>
      </c>
      <c r="AN853" s="4">
        <f t="shared" si="111"/>
        <v>7.1274249949885291E-4</v>
      </c>
      <c r="AO853" s="3"/>
      <c r="AP853">
        <v>0</v>
      </c>
      <c r="AR853" t="s">
        <v>0</v>
      </c>
      <c r="AT853" s="2">
        <v>1.98</v>
      </c>
      <c r="AU853" s="1">
        <f t="shared" si="115"/>
        <v>1.2696137690721496</v>
      </c>
      <c r="AV853" s="1">
        <f t="shared" si="116"/>
        <v>0.92723104932293143</v>
      </c>
      <c r="AW853" s="1">
        <f t="shared" si="117"/>
        <v>0.58484832957371291</v>
      </c>
    </row>
    <row r="854" spans="1:49" x14ac:dyDescent="0.2">
      <c r="A854">
        <v>852</v>
      </c>
      <c r="B854" t="s">
        <v>332</v>
      </c>
      <c r="C854" t="s">
        <v>331</v>
      </c>
      <c r="F854" t="s">
        <v>330</v>
      </c>
      <c r="G854" t="s">
        <v>15</v>
      </c>
      <c r="H854" t="s">
        <v>14</v>
      </c>
      <c r="I854" t="s">
        <v>329</v>
      </c>
      <c r="J854">
        <v>60021508</v>
      </c>
      <c r="K854" t="s">
        <v>328</v>
      </c>
      <c r="L854" t="s">
        <v>327</v>
      </c>
      <c r="M854" t="s">
        <v>31</v>
      </c>
      <c r="N854">
        <v>2</v>
      </c>
      <c r="O854" t="s">
        <v>326</v>
      </c>
      <c r="P854" t="s">
        <v>325</v>
      </c>
      <c r="Q854" t="s">
        <v>324</v>
      </c>
      <c r="R854" s="7">
        <v>32143</v>
      </c>
      <c r="S854" s="8">
        <f t="shared" si="112"/>
        <v>1988</v>
      </c>
      <c r="T854" s="8">
        <v>1988</v>
      </c>
      <c r="U854" s="8">
        <f t="shared" si="113"/>
        <v>34</v>
      </c>
      <c r="V854" s="7">
        <v>32143</v>
      </c>
      <c r="W854" t="s">
        <v>222</v>
      </c>
      <c r="X854" s="2">
        <v>0.53400000000000003</v>
      </c>
      <c r="Y854" s="6">
        <f t="shared" si="110"/>
        <v>1.4254825018018741E-2</v>
      </c>
      <c r="AA854">
        <v>8927553</v>
      </c>
      <c r="AB854">
        <v>20484</v>
      </c>
      <c r="AC854">
        <v>15728889</v>
      </c>
      <c r="AD854" t="s">
        <v>4</v>
      </c>
      <c r="AE854">
        <v>1</v>
      </c>
      <c r="AF854">
        <v>1</v>
      </c>
      <c r="AH854" t="s">
        <v>323</v>
      </c>
      <c r="AI854" t="s">
        <v>322</v>
      </c>
      <c r="AJ854" t="s">
        <v>321</v>
      </c>
      <c r="AK854" t="s">
        <v>320</v>
      </c>
      <c r="AL854">
        <v>13</v>
      </c>
      <c r="AM854" s="5">
        <f t="shared" si="114"/>
        <v>0.38235294117647056</v>
      </c>
      <c r="AN854" s="4">
        <f t="shared" si="111"/>
        <v>5.7910328084281794E-4</v>
      </c>
      <c r="AO854" s="3"/>
      <c r="AP854">
        <v>0</v>
      </c>
      <c r="AR854" t="s">
        <v>0</v>
      </c>
      <c r="AT854" s="2">
        <v>1.3089999999999999</v>
      </c>
      <c r="AU854" s="1">
        <f t="shared" si="115"/>
        <v>1.0152108496865964</v>
      </c>
      <c r="AV854" s="1">
        <f t="shared" si="116"/>
        <v>0.74169641494307803</v>
      </c>
      <c r="AW854" s="1">
        <f t="shared" si="117"/>
        <v>0.46818198019955942</v>
      </c>
    </row>
    <row r="855" spans="1:49" x14ac:dyDescent="0.2">
      <c r="A855">
        <v>853</v>
      </c>
      <c r="B855" t="s">
        <v>319</v>
      </c>
      <c r="C855" t="s">
        <v>318</v>
      </c>
      <c r="D855">
        <v>5272888901430</v>
      </c>
      <c r="F855" t="s">
        <v>317</v>
      </c>
      <c r="G855" t="s">
        <v>15</v>
      </c>
      <c r="H855" t="s">
        <v>14</v>
      </c>
      <c r="I855" t="s">
        <v>316</v>
      </c>
      <c r="J855">
        <v>60008134</v>
      </c>
      <c r="K855" t="s">
        <v>315</v>
      </c>
      <c r="L855" t="s">
        <v>314</v>
      </c>
      <c r="M855" t="s">
        <v>127</v>
      </c>
      <c r="N855">
        <v>4</v>
      </c>
      <c r="O855" t="s">
        <v>313</v>
      </c>
      <c r="P855" t="s">
        <v>312</v>
      </c>
      <c r="Q855" t="s">
        <v>311</v>
      </c>
      <c r="R855" s="7">
        <v>32143</v>
      </c>
      <c r="S855" s="8">
        <f t="shared" si="112"/>
        <v>1988</v>
      </c>
      <c r="T855" s="8">
        <v>1988</v>
      </c>
      <c r="U855" s="8">
        <f t="shared" si="113"/>
        <v>34</v>
      </c>
      <c r="V855" s="7">
        <v>1988</v>
      </c>
      <c r="W855" t="s">
        <v>27</v>
      </c>
      <c r="X855" s="2">
        <v>1.59</v>
      </c>
      <c r="Y855" s="6">
        <f t="shared" si="110"/>
        <v>4.2444141907583888E-2</v>
      </c>
      <c r="AA855">
        <v>52728</v>
      </c>
      <c r="AB855">
        <v>16791</v>
      </c>
      <c r="AD855" t="s">
        <v>4</v>
      </c>
      <c r="AE855">
        <v>932</v>
      </c>
      <c r="AF855" t="s">
        <v>26</v>
      </c>
      <c r="AH855" t="s">
        <v>310</v>
      </c>
      <c r="AI855" t="s">
        <v>309</v>
      </c>
      <c r="AJ855" t="s">
        <v>308</v>
      </c>
      <c r="AK855" t="s">
        <v>307</v>
      </c>
      <c r="AL855">
        <v>14</v>
      </c>
      <c r="AM855" s="5">
        <f t="shared" si="114"/>
        <v>0.41176470588235292</v>
      </c>
      <c r="AN855" s="4">
        <f t="shared" si="111"/>
        <v>6.2364968706149634E-4</v>
      </c>
      <c r="AO855" s="3"/>
      <c r="AP855">
        <v>0</v>
      </c>
      <c r="AR855" t="s">
        <v>0</v>
      </c>
      <c r="AT855" s="2" t="s">
        <v>19</v>
      </c>
      <c r="AU855" s="1">
        <f t="shared" si="115"/>
        <v>2.989799424142717</v>
      </c>
      <c r="AV855" s="1">
        <f t="shared" si="116"/>
        <v>2.1533895797322691</v>
      </c>
      <c r="AW855" s="1">
        <f t="shared" si="117"/>
        <v>1.3169797353218211</v>
      </c>
    </row>
    <row r="856" spans="1:49" x14ac:dyDescent="0.2">
      <c r="A856">
        <v>854</v>
      </c>
      <c r="B856" t="s">
        <v>306</v>
      </c>
      <c r="C856" t="s">
        <v>305</v>
      </c>
      <c r="F856" t="s">
        <v>304</v>
      </c>
      <c r="G856" t="s">
        <v>15</v>
      </c>
      <c r="H856" t="s">
        <v>14</v>
      </c>
      <c r="I856" t="s">
        <v>303</v>
      </c>
      <c r="J856">
        <v>60006596</v>
      </c>
      <c r="K856" t="s">
        <v>302</v>
      </c>
      <c r="L856" t="s">
        <v>301</v>
      </c>
      <c r="M856" t="s">
        <v>300</v>
      </c>
      <c r="N856">
        <v>2</v>
      </c>
      <c r="O856" t="s">
        <v>299</v>
      </c>
      <c r="P856" t="s">
        <v>298</v>
      </c>
      <c r="Q856" t="s">
        <v>297</v>
      </c>
      <c r="R856" s="7">
        <v>32143</v>
      </c>
      <c r="S856" s="8">
        <f t="shared" si="112"/>
        <v>1988</v>
      </c>
      <c r="T856" s="8">
        <v>1988</v>
      </c>
      <c r="U856" s="8">
        <f t="shared" si="113"/>
        <v>34</v>
      </c>
      <c r="V856" s="7">
        <v>1988</v>
      </c>
      <c r="W856" t="s">
        <v>296</v>
      </c>
      <c r="X856" s="2">
        <v>0.36699999999999999</v>
      </c>
      <c r="Y856" s="6">
        <f t="shared" si="110"/>
        <v>9.7968553962787964E-3</v>
      </c>
      <c r="AA856">
        <v>1448765</v>
      </c>
      <c r="AB856">
        <v>36442</v>
      </c>
      <c r="AD856" t="s">
        <v>4</v>
      </c>
      <c r="AE856">
        <v>5</v>
      </c>
      <c r="AF856">
        <v>2</v>
      </c>
      <c r="AH856" t="s">
        <v>295</v>
      </c>
      <c r="AI856" t="s">
        <v>294</v>
      </c>
      <c r="AK856" t="s">
        <v>293</v>
      </c>
      <c r="AL856">
        <v>18</v>
      </c>
      <c r="AM856" s="5">
        <f t="shared" si="114"/>
        <v>0.52941176470588236</v>
      </c>
      <c r="AN856" s="4">
        <f t="shared" si="111"/>
        <v>8.0183531193620959E-4</v>
      </c>
      <c r="AO856" s="3"/>
      <c r="AP856">
        <v>0</v>
      </c>
      <c r="AQ856" t="s">
        <v>292</v>
      </c>
      <c r="AR856" t="s">
        <v>0</v>
      </c>
      <c r="AS856" t="s">
        <v>291</v>
      </c>
      <c r="AT856" s="2" t="s">
        <v>19</v>
      </c>
      <c r="AU856" s="1">
        <f t="shared" si="115"/>
        <v>0.70983493709760204</v>
      </c>
      <c r="AV856" s="1">
        <f t="shared" si="116"/>
        <v>0.52993453541075031</v>
      </c>
      <c r="AW856" s="1">
        <f t="shared" si="117"/>
        <v>0.35003413372389858</v>
      </c>
    </row>
    <row r="857" spans="1:49" x14ac:dyDescent="0.2">
      <c r="A857">
        <v>855</v>
      </c>
      <c r="B857" t="s">
        <v>290</v>
      </c>
      <c r="C857" t="s">
        <v>289</v>
      </c>
      <c r="D857" t="s">
        <v>288</v>
      </c>
      <c r="F857" t="s">
        <v>287</v>
      </c>
      <c r="G857" t="s">
        <v>15</v>
      </c>
      <c r="H857" t="s">
        <v>14</v>
      </c>
      <c r="I857" t="s">
        <v>286</v>
      </c>
      <c r="J857">
        <v>60008293</v>
      </c>
      <c r="K857" t="s">
        <v>285</v>
      </c>
      <c r="L857" t="s">
        <v>284</v>
      </c>
      <c r="M857" t="s">
        <v>45</v>
      </c>
      <c r="N857">
        <v>3</v>
      </c>
      <c r="O857" t="s">
        <v>283</v>
      </c>
      <c r="P857" t="s">
        <v>282</v>
      </c>
      <c r="Q857" t="s">
        <v>281</v>
      </c>
      <c r="R857" s="7">
        <v>32143</v>
      </c>
      <c r="S857" s="8">
        <f t="shared" si="112"/>
        <v>1988</v>
      </c>
      <c r="T857" s="8">
        <v>1988</v>
      </c>
      <c r="U857" s="8">
        <f t="shared" si="113"/>
        <v>34</v>
      </c>
      <c r="V857" s="7">
        <v>32264</v>
      </c>
      <c r="W857" t="s">
        <v>280</v>
      </c>
      <c r="X857" s="2" t="s">
        <v>19</v>
      </c>
      <c r="Y857" s="6" t="e">
        <f t="shared" si="110"/>
        <v>#VALUE!</v>
      </c>
      <c r="AA857">
        <v>10111344</v>
      </c>
      <c r="AB857">
        <v>17622</v>
      </c>
      <c r="AD857" t="s">
        <v>4</v>
      </c>
      <c r="AE857">
        <v>1</v>
      </c>
      <c r="AF857">
        <v>4</v>
      </c>
      <c r="AH857" t="s">
        <v>279</v>
      </c>
      <c r="AI857" t="s">
        <v>278</v>
      </c>
      <c r="AJ857" t="s">
        <v>277</v>
      </c>
      <c r="AK857" t="s">
        <v>276</v>
      </c>
      <c r="AL857">
        <v>16</v>
      </c>
      <c r="AM857" s="5">
        <f t="shared" si="114"/>
        <v>0.47058823529411764</v>
      </c>
      <c r="AN857" s="4">
        <f t="shared" si="111"/>
        <v>7.1274249949885291E-4</v>
      </c>
      <c r="AO857" s="3"/>
      <c r="AP857">
        <v>0</v>
      </c>
      <c r="AR857" t="s">
        <v>0</v>
      </c>
      <c r="AT857" s="2" t="s">
        <v>19</v>
      </c>
      <c r="AU857" s="1" t="e">
        <f t="shared" si="115"/>
        <v>#VALUE!</v>
      </c>
      <c r="AV857" s="1" t="e">
        <f t="shared" si="116"/>
        <v>#VALUE!</v>
      </c>
      <c r="AW857" s="1" t="e">
        <f t="shared" si="117"/>
        <v>#VALUE!</v>
      </c>
    </row>
    <row r="858" spans="1:49" x14ac:dyDescent="0.2">
      <c r="A858">
        <v>856</v>
      </c>
      <c r="B858" t="s">
        <v>275</v>
      </c>
      <c r="C858" t="s">
        <v>274</v>
      </c>
      <c r="D858">
        <v>5272888901429</v>
      </c>
      <c r="F858" t="s">
        <v>273</v>
      </c>
      <c r="G858" t="s">
        <v>15</v>
      </c>
      <c r="H858" t="s">
        <v>14</v>
      </c>
      <c r="I858" t="s">
        <v>272</v>
      </c>
      <c r="J858">
        <v>60019615</v>
      </c>
      <c r="K858" t="s">
        <v>271</v>
      </c>
      <c r="L858" t="s">
        <v>270</v>
      </c>
      <c r="M858" t="s">
        <v>127</v>
      </c>
      <c r="N858">
        <v>3</v>
      </c>
      <c r="O858" t="s">
        <v>269</v>
      </c>
      <c r="P858" t="s">
        <v>268</v>
      </c>
      <c r="Q858" t="s">
        <v>267</v>
      </c>
      <c r="R858" s="7">
        <v>32143</v>
      </c>
      <c r="S858" s="8">
        <f t="shared" si="112"/>
        <v>1988</v>
      </c>
      <c r="T858" s="8">
        <v>1988</v>
      </c>
      <c r="U858" s="8">
        <f t="shared" si="113"/>
        <v>34</v>
      </c>
      <c r="V858" s="7">
        <v>1988</v>
      </c>
      <c r="W858" t="s">
        <v>27</v>
      </c>
      <c r="X858" s="2">
        <v>1.59</v>
      </c>
      <c r="Y858" s="6">
        <f t="shared" si="110"/>
        <v>4.2444141907583888E-2</v>
      </c>
      <c r="AA858">
        <v>52728</v>
      </c>
      <c r="AB858">
        <v>16791</v>
      </c>
      <c r="AD858" t="s">
        <v>4</v>
      </c>
      <c r="AE858">
        <v>932</v>
      </c>
      <c r="AF858" t="s">
        <v>26</v>
      </c>
      <c r="AH858" t="s">
        <v>266</v>
      </c>
      <c r="AI858" t="s">
        <v>265</v>
      </c>
      <c r="AJ858" t="s">
        <v>264</v>
      </c>
      <c r="AK858" t="s">
        <v>263</v>
      </c>
      <c r="AL858">
        <v>28</v>
      </c>
      <c r="AM858" s="5">
        <f t="shared" si="114"/>
        <v>0.82352941176470584</v>
      </c>
      <c r="AN858" s="4">
        <f t="shared" si="111"/>
        <v>1.2472993741229927E-3</v>
      </c>
      <c r="AO858" s="3"/>
      <c r="AP858">
        <v>0</v>
      </c>
      <c r="AQ858" t="s">
        <v>262</v>
      </c>
      <c r="AR858" t="s">
        <v>0</v>
      </c>
      <c r="AS858" t="s">
        <v>261</v>
      </c>
      <c r="AT858" s="2" t="s">
        <v>19</v>
      </c>
      <c r="AU858" s="1">
        <f t="shared" si="115"/>
        <v>3.0085089147545618</v>
      </c>
      <c r="AV858" s="1">
        <f t="shared" si="116"/>
        <v>2.1845720640853439</v>
      </c>
      <c r="AW858" s="1">
        <f t="shared" si="117"/>
        <v>1.3606352134161261</v>
      </c>
    </row>
    <row r="859" spans="1:49" x14ac:dyDescent="0.2">
      <c r="A859">
        <v>857</v>
      </c>
      <c r="B859" t="s">
        <v>260</v>
      </c>
      <c r="C859" t="s">
        <v>259</v>
      </c>
      <c r="F859" t="s">
        <v>258</v>
      </c>
      <c r="G859" t="s">
        <v>15</v>
      </c>
      <c r="H859" t="s">
        <v>14</v>
      </c>
      <c r="I859" t="s">
        <v>257</v>
      </c>
      <c r="J859" t="s">
        <v>256</v>
      </c>
      <c r="K859" t="s">
        <v>255</v>
      </c>
      <c r="L859" t="s">
        <v>254</v>
      </c>
      <c r="M859" t="s">
        <v>253</v>
      </c>
      <c r="N859">
        <v>4</v>
      </c>
      <c r="O859" t="s">
        <v>252</v>
      </c>
      <c r="P859" t="s">
        <v>251</v>
      </c>
      <c r="Q859" t="s">
        <v>250</v>
      </c>
      <c r="R859" s="7">
        <v>32143</v>
      </c>
      <c r="S859" s="8">
        <f t="shared" si="112"/>
        <v>1988</v>
      </c>
      <c r="T859" s="8">
        <v>1988</v>
      </c>
      <c r="U859" s="8">
        <f t="shared" si="113"/>
        <v>34</v>
      </c>
      <c r="V859" s="7">
        <v>1988</v>
      </c>
      <c r="W859" t="s">
        <v>5</v>
      </c>
      <c r="X859" s="2">
        <v>15.993</v>
      </c>
      <c r="Y859" s="6">
        <f t="shared" si="110"/>
        <v>0.42692400096099947</v>
      </c>
      <c r="AA859">
        <v>280836</v>
      </c>
      <c r="AB859">
        <v>21206</v>
      </c>
      <c r="AD859" t="s">
        <v>4</v>
      </c>
      <c r="AE859">
        <v>334</v>
      </c>
      <c r="AF859">
        <v>6181</v>
      </c>
      <c r="AH859" t="s">
        <v>249</v>
      </c>
      <c r="AI859" t="s">
        <v>248</v>
      </c>
      <c r="AK859" t="s">
        <v>247</v>
      </c>
      <c r="AL859">
        <v>34</v>
      </c>
      <c r="AM859" s="5">
        <f t="shared" si="114"/>
        <v>1</v>
      </c>
      <c r="AN859" s="4">
        <f t="shared" si="111"/>
        <v>1.5145778114350624E-3</v>
      </c>
      <c r="AO859" s="3"/>
      <c r="AP859">
        <v>0</v>
      </c>
      <c r="AR859" t="s">
        <v>0</v>
      </c>
      <c r="AT859" s="2">
        <v>49.962000000000003</v>
      </c>
      <c r="AU859" s="1">
        <f t="shared" si="115"/>
        <v>29.93011740161301</v>
      </c>
      <c r="AV859" s="1">
        <f t="shared" si="116"/>
        <v>21.421928938621726</v>
      </c>
      <c r="AW859" s="1">
        <f t="shared" si="117"/>
        <v>12.913740475630437</v>
      </c>
    </row>
    <row r="860" spans="1:49" x14ac:dyDescent="0.2">
      <c r="A860">
        <v>858</v>
      </c>
      <c r="B860" t="s">
        <v>246</v>
      </c>
      <c r="C860" t="s">
        <v>245</v>
      </c>
      <c r="F860" t="s">
        <v>244</v>
      </c>
      <c r="G860" t="s">
        <v>15</v>
      </c>
      <c r="H860" t="s">
        <v>14</v>
      </c>
      <c r="I860" t="s">
        <v>243</v>
      </c>
      <c r="J860">
        <v>60032530</v>
      </c>
      <c r="K860" t="s">
        <v>242</v>
      </c>
      <c r="L860" t="s">
        <v>241</v>
      </c>
      <c r="M860" t="s">
        <v>127</v>
      </c>
      <c r="N860">
        <v>2</v>
      </c>
      <c r="O860" t="s">
        <v>240</v>
      </c>
      <c r="P860" t="s">
        <v>239</v>
      </c>
      <c r="Q860" t="s">
        <v>238</v>
      </c>
      <c r="R860" s="7">
        <v>32143</v>
      </c>
      <c r="S860" s="8">
        <f t="shared" si="112"/>
        <v>1988</v>
      </c>
      <c r="T860" s="8">
        <v>1988</v>
      </c>
      <c r="U860" s="8">
        <f t="shared" si="113"/>
        <v>34</v>
      </c>
      <c r="V860" s="7">
        <v>32234</v>
      </c>
      <c r="W860" t="s">
        <v>237</v>
      </c>
      <c r="X860" s="2">
        <v>0.76500000000000001</v>
      </c>
      <c r="Y860" s="6">
        <f t="shared" si="110"/>
        <v>2.0421238087611118E-2</v>
      </c>
      <c r="AA860">
        <v>138703</v>
      </c>
      <c r="AB860">
        <v>19793</v>
      </c>
      <c r="AC860">
        <v>15707458</v>
      </c>
      <c r="AD860" t="s">
        <v>4</v>
      </c>
      <c r="AE860">
        <v>47</v>
      </c>
      <c r="AF860">
        <v>1</v>
      </c>
      <c r="AH860" t="s">
        <v>236</v>
      </c>
      <c r="AI860" t="s">
        <v>235</v>
      </c>
      <c r="AJ860" t="s">
        <v>234</v>
      </c>
      <c r="AK860" t="s">
        <v>233</v>
      </c>
      <c r="AL860">
        <v>9</v>
      </c>
      <c r="AM860" s="5">
        <f t="shared" si="114"/>
        <v>0.26470588235294118</v>
      </c>
      <c r="AN860" s="4">
        <f t="shared" si="111"/>
        <v>4.009176559681048E-4</v>
      </c>
      <c r="AO860" s="3"/>
      <c r="AP860">
        <v>0</v>
      </c>
      <c r="AR860" t="s">
        <v>0</v>
      </c>
      <c r="AT860" s="2" t="s">
        <v>19</v>
      </c>
      <c r="AU860" s="1">
        <f t="shared" si="115"/>
        <v>1.4415141958118212</v>
      </c>
      <c r="AV860" s="1">
        <f t="shared" si="116"/>
        <v>1.0411077871789611</v>
      </c>
      <c r="AW860" s="1">
        <f t="shared" si="117"/>
        <v>0.64070137854610087</v>
      </c>
    </row>
    <row r="861" spans="1:49" x14ac:dyDescent="0.2">
      <c r="A861">
        <v>859</v>
      </c>
      <c r="B861" t="s">
        <v>232</v>
      </c>
      <c r="C861" t="s">
        <v>231</v>
      </c>
      <c r="F861" t="s">
        <v>230</v>
      </c>
      <c r="G861" t="s">
        <v>15</v>
      </c>
      <c r="H861" t="s">
        <v>14</v>
      </c>
      <c r="I861" t="s">
        <v>229</v>
      </c>
      <c r="J861" t="s">
        <v>228</v>
      </c>
      <c r="K861" t="s">
        <v>227</v>
      </c>
      <c r="L861" t="s">
        <v>226</v>
      </c>
      <c r="M861" t="s">
        <v>9</v>
      </c>
      <c r="N861">
        <v>3</v>
      </c>
      <c r="O861" t="s">
        <v>225</v>
      </c>
      <c r="P861" t="s">
        <v>224</v>
      </c>
      <c r="Q861" t="s">
        <v>223</v>
      </c>
      <c r="R861" s="7">
        <v>32143</v>
      </c>
      <c r="S861" s="8">
        <f t="shared" si="112"/>
        <v>1988</v>
      </c>
      <c r="T861" s="8">
        <v>1988</v>
      </c>
      <c r="U861" s="8">
        <f t="shared" si="113"/>
        <v>34</v>
      </c>
      <c r="V861" s="7">
        <v>32143</v>
      </c>
      <c r="W861" t="s">
        <v>222</v>
      </c>
      <c r="X861" s="2">
        <v>0.53400000000000003</v>
      </c>
      <c r="Y861" s="6">
        <f t="shared" si="110"/>
        <v>1.4254825018018741E-2</v>
      </c>
      <c r="AA861">
        <v>8927553</v>
      </c>
      <c r="AB861">
        <v>20484</v>
      </c>
      <c r="AC861">
        <v>15728889</v>
      </c>
      <c r="AD861" t="s">
        <v>4</v>
      </c>
      <c r="AE861">
        <v>1</v>
      </c>
      <c r="AF861">
        <v>1</v>
      </c>
      <c r="AH861" t="s">
        <v>221</v>
      </c>
      <c r="AI861" t="s">
        <v>220</v>
      </c>
      <c r="AJ861" t="s">
        <v>219</v>
      </c>
      <c r="AK861" t="s">
        <v>218</v>
      </c>
      <c r="AL861">
        <v>35</v>
      </c>
      <c r="AM861" s="5">
        <f t="shared" si="114"/>
        <v>1.0294117647058822</v>
      </c>
      <c r="AN861" s="4">
        <f t="shared" si="111"/>
        <v>1.5591242176537406E-3</v>
      </c>
      <c r="AO861" s="3"/>
      <c r="AP861">
        <v>0</v>
      </c>
      <c r="AR861" t="s">
        <v>0</v>
      </c>
      <c r="AT861" s="2">
        <v>1.3089999999999999</v>
      </c>
      <c r="AU861" s="1">
        <f t="shared" si="115"/>
        <v>1.0446114777909241</v>
      </c>
      <c r="AV861" s="1">
        <f t="shared" si="116"/>
        <v>0.7906974617836241</v>
      </c>
      <c r="AW861" s="1">
        <f t="shared" si="117"/>
        <v>0.53678344577632409</v>
      </c>
    </row>
    <row r="862" spans="1:49" x14ac:dyDescent="0.2">
      <c r="A862">
        <v>860</v>
      </c>
      <c r="B862" t="s">
        <v>217</v>
      </c>
      <c r="C862" t="s">
        <v>216</v>
      </c>
      <c r="F862" t="s">
        <v>215</v>
      </c>
      <c r="G862" t="s">
        <v>15</v>
      </c>
      <c r="H862" t="s">
        <v>14</v>
      </c>
      <c r="I862" t="s">
        <v>214</v>
      </c>
      <c r="J862">
        <v>101559437</v>
      </c>
      <c r="K862" t="s">
        <v>213</v>
      </c>
      <c r="L862" t="s">
        <v>212</v>
      </c>
      <c r="M862" t="s">
        <v>211</v>
      </c>
      <c r="N862">
        <v>2</v>
      </c>
      <c r="O862" t="s">
        <v>210</v>
      </c>
      <c r="P862" t="s">
        <v>209</v>
      </c>
      <c r="Q862" t="s">
        <v>208</v>
      </c>
      <c r="R862" s="7">
        <v>32143</v>
      </c>
      <c r="S862" s="8">
        <f t="shared" si="112"/>
        <v>1988</v>
      </c>
      <c r="T862" s="8">
        <v>1988</v>
      </c>
      <c r="U862" s="8">
        <f t="shared" si="113"/>
        <v>34</v>
      </c>
      <c r="V862" s="7">
        <v>1988</v>
      </c>
      <c r="W862" t="s">
        <v>207</v>
      </c>
      <c r="X862" s="2" t="s">
        <v>19</v>
      </c>
      <c r="Y862" s="6" t="e">
        <f t="shared" si="110"/>
        <v>#VALUE!</v>
      </c>
      <c r="AA862">
        <v>215392</v>
      </c>
      <c r="AB862">
        <v>17714</v>
      </c>
      <c r="AC862" t="s">
        <v>206</v>
      </c>
      <c r="AD862" t="s">
        <v>4</v>
      </c>
      <c r="AE862">
        <v>54</v>
      </c>
      <c r="AF862">
        <v>1</v>
      </c>
      <c r="AH862" t="s">
        <v>205</v>
      </c>
      <c r="AI862" t="s">
        <v>204</v>
      </c>
      <c r="AK862" t="s">
        <v>203</v>
      </c>
      <c r="AL862">
        <v>11</v>
      </c>
      <c r="AM862" s="5">
        <f t="shared" si="114"/>
        <v>0.3235294117647059</v>
      </c>
      <c r="AN862" s="4">
        <f t="shared" si="111"/>
        <v>4.9001046840546137E-4</v>
      </c>
      <c r="AO862" s="3"/>
      <c r="AP862">
        <v>1</v>
      </c>
      <c r="AR862" t="s">
        <v>0</v>
      </c>
      <c r="AT862" s="2" t="s">
        <v>19</v>
      </c>
      <c r="AU862" s="1" t="e">
        <f t="shared" si="115"/>
        <v>#VALUE!</v>
      </c>
      <c r="AV862" s="1" t="e">
        <f t="shared" si="116"/>
        <v>#VALUE!</v>
      </c>
      <c r="AW862" s="1" t="e">
        <f t="shared" si="117"/>
        <v>#VALUE!</v>
      </c>
    </row>
    <row r="863" spans="1:49" x14ac:dyDescent="0.2">
      <c r="A863">
        <v>861</v>
      </c>
      <c r="B863" t="s">
        <v>202</v>
      </c>
      <c r="C863" t="s">
        <v>201</v>
      </c>
      <c r="F863" t="s">
        <v>200</v>
      </c>
      <c r="G863" t="s">
        <v>15</v>
      </c>
      <c r="H863" t="s">
        <v>14</v>
      </c>
      <c r="I863" t="s">
        <v>199</v>
      </c>
      <c r="J863" t="s">
        <v>198</v>
      </c>
      <c r="K863" t="s">
        <v>197</v>
      </c>
      <c r="L863" t="s">
        <v>196</v>
      </c>
      <c r="M863" t="s">
        <v>195</v>
      </c>
      <c r="N863">
        <v>3</v>
      </c>
      <c r="O863" t="s">
        <v>194</v>
      </c>
      <c r="P863" t="s">
        <v>193</v>
      </c>
      <c r="Q863" t="s">
        <v>192</v>
      </c>
      <c r="R863" s="7">
        <v>32143</v>
      </c>
      <c r="S863" s="8">
        <f t="shared" si="112"/>
        <v>1988</v>
      </c>
      <c r="T863" s="8">
        <v>1988</v>
      </c>
      <c r="U863" s="8">
        <f t="shared" si="113"/>
        <v>34</v>
      </c>
      <c r="V863" s="7">
        <v>32143</v>
      </c>
      <c r="W863" t="s">
        <v>191</v>
      </c>
      <c r="X863" s="2">
        <v>0.85499999999999998</v>
      </c>
      <c r="Y863" s="6">
        <f t="shared" si="110"/>
        <v>2.28237366861536E-2</v>
      </c>
      <c r="AA863">
        <v>980331</v>
      </c>
      <c r="AB863">
        <v>23342</v>
      </c>
      <c r="AC863">
        <v>15731561</v>
      </c>
      <c r="AD863" t="s">
        <v>4</v>
      </c>
      <c r="AE863">
        <v>14</v>
      </c>
      <c r="AF863">
        <v>1</v>
      </c>
      <c r="AH863" t="s">
        <v>190</v>
      </c>
      <c r="AI863" t="s">
        <v>189</v>
      </c>
      <c r="AJ863" t="s">
        <v>188</v>
      </c>
      <c r="AK863" t="s">
        <v>187</v>
      </c>
      <c r="AL863">
        <v>95</v>
      </c>
      <c r="AM863" s="5">
        <f t="shared" si="114"/>
        <v>2.7941176470588234</v>
      </c>
      <c r="AN863" s="4">
        <f t="shared" si="111"/>
        <v>4.2319085907744393E-3</v>
      </c>
      <c r="AO863" s="3"/>
      <c r="AP863">
        <v>0</v>
      </c>
      <c r="AR863" t="s">
        <v>0</v>
      </c>
      <c r="AT863" s="2">
        <v>2.6259999999999999</v>
      </c>
      <c r="AU863" s="1">
        <f t="shared" si="115"/>
        <v>1.724618825753985</v>
      </c>
      <c r="AV863" s="1">
        <f t="shared" si="116"/>
        <v>1.352782263846402</v>
      </c>
      <c r="AW863" s="1">
        <f t="shared" si="117"/>
        <v>0.9809457019388188</v>
      </c>
    </row>
    <row r="864" spans="1:49" x14ac:dyDescent="0.2">
      <c r="A864">
        <v>862</v>
      </c>
      <c r="B864" t="s">
        <v>186</v>
      </c>
      <c r="C864" t="s">
        <v>185</v>
      </c>
      <c r="D864" t="s">
        <v>184</v>
      </c>
      <c r="F864" t="s">
        <v>183</v>
      </c>
      <c r="G864" t="s">
        <v>15</v>
      </c>
      <c r="H864" t="s">
        <v>14</v>
      </c>
      <c r="I864" t="s">
        <v>182</v>
      </c>
      <c r="J864">
        <v>60005460</v>
      </c>
      <c r="K864" t="s">
        <v>181</v>
      </c>
      <c r="L864" t="s">
        <v>180</v>
      </c>
      <c r="M864" t="s">
        <v>45</v>
      </c>
      <c r="N864">
        <v>1</v>
      </c>
      <c r="O864" t="s">
        <v>179</v>
      </c>
      <c r="P864">
        <v>35378468300</v>
      </c>
      <c r="Q864">
        <v>60005460</v>
      </c>
      <c r="R864" s="7">
        <v>32143</v>
      </c>
      <c r="S864" s="8">
        <f t="shared" si="112"/>
        <v>1988</v>
      </c>
      <c r="T864" s="8">
        <v>1988</v>
      </c>
      <c r="U864" s="8">
        <f t="shared" si="113"/>
        <v>34</v>
      </c>
      <c r="V864" s="7">
        <v>32234</v>
      </c>
      <c r="W864" t="s">
        <v>125</v>
      </c>
      <c r="X864" s="2">
        <v>0.998</v>
      </c>
      <c r="Y864" s="6">
        <f t="shared" si="110"/>
        <v>2.664104001494888E-2</v>
      </c>
      <c r="AA864">
        <v>207322</v>
      </c>
      <c r="AB864">
        <v>90127</v>
      </c>
      <c r="AD864" t="s">
        <v>4</v>
      </c>
      <c r="AE864">
        <v>17</v>
      </c>
      <c r="AF864">
        <v>2</v>
      </c>
      <c r="AH864" t="s">
        <v>178</v>
      </c>
      <c r="AI864" t="s">
        <v>177</v>
      </c>
      <c r="AJ864" t="s">
        <v>176</v>
      </c>
      <c r="AK864" t="s">
        <v>175</v>
      </c>
      <c r="AL864">
        <v>23</v>
      </c>
      <c r="AM864" s="5">
        <f t="shared" si="114"/>
        <v>0.67647058823529416</v>
      </c>
      <c r="AN864" s="4">
        <f t="shared" si="111"/>
        <v>1.0245673430296011E-3</v>
      </c>
      <c r="AO864" s="3"/>
      <c r="AP864">
        <v>0</v>
      </c>
      <c r="AR864" t="s">
        <v>0</v>
      </c>
      <c r="AT864" s="2" t="s">
        <v>19</v>
      </c>
      <c r="AU864" s="1">
        <f t="shared" si="115"/>
        <v>1.8956098213373098</v>
      </c>
      <c r="AV864" s="1">
        <f t="shared" si="116"/>
        <v>1.3832803678989241</v>
      </c>
      <c r="AW864" s="1">
        <f t="shared" si="117"/>
        <v>0.87095091446053841</v>
      </c>
    </row>
    <row r="865" spans="1:49" x14ac:dyDescent="0.2">
      <c r="A865">
        <v>863</v>
      </c>
      <c r="B865" t="s">
        <v>174</v>
      </c>
      <c r="C865" t="s">
        <v>173</v>
      </c>
      <c r="F865" t="s">
        <v>172</v>
      </c>
      <c r="G865" t="s">
        <v>15</v>
      </c>
      <c r="H865" t="s">
        <v>14</v>
      </c>
      <c r="I865" t="s">
        <v>171</v>
      </c>
      <c r="J865" t="s">
        <v>170</v>
      </c>
      <c r="K865" t="s">
        <v>169</v>
      </c>
      <c r="L865" t="s">
        <v>168</v>
      </c>
      <c r="M865" t="s">
        <v>167</v>
      </c>
      <c r="N865">
        <v>3</v>
      </c>
      <c r="O865" t="s">
        <v>166</v>
      </c>
      <c r="P865" t="s">
        <v>165</v>
      </c>
      <c r="Q865" t="s">
        <v>164</v>
      </c>
      <c r="R865" s="7">
        <v>32143</v>
      </c>
      <c r="S865" s="8">
        <f t="shared" si="112"/>
        <v>1988</v>
      </c>
      <c r="T865" s="8">
        <v>1988</v>
      </c>
      <c r="U865" s="8">
        <f t="shared" si="113"/>
        <v>34</v>
      </c>
      <c r="V865" s="7" t="s">
        <v>163</v>
      </c>
      <c r="W865" t="s">
        <v>162</v>
      </c>
      <c r="X865" s="2">
        <v>0.79500000000000004</v>
      </c>
      <c r="Y865" s="6">
        <f t="shared" si="110"/>
        <v>2.1222070953791944E-2</v>
      </c>
      <c r="AA865">
        <v>9312048</v>
      </c>
      <c r="AB865">
        <v>20459</v>
      </c>
      <c r="AC865">
        <v>14390418</v>
      </c>
      <c r="AD865" t="s">
        <v>4</v>
      </c>
      <c r="AE865">
        <v>105</v>
      </c>
      <c r="AF865" s="9">
        <v>44317</v>
      </c>
      <c r="AH865" t="s">
        <v>161</v>
      </c>
      <c r="AI865" t="s">
        <v>160</v>
      </c>
      <c r="AK865" t="s">
        <v>159</v>
      </c>
      <c r="AL865">
        <v>10</v>
      </c>
      <c r="AM865" s="5">
        <f t="shared" si="114"/>
        <v>0.29411764705882354</v>
      </c>
      <c r="AN865" s="4">
        <f t="shared" si="111"/>
        <v>4.4546406218678308E-4</v>
      </c>
      <c r="AO865" s="3"/>
      <c r="AP865">
        <v>0</v>
      </c>
      <c r="AR865" t="s">
        <v>0</v>
      </c>
      <c r="AT865" s="2">
        <v>2.6030000000000002</v>
      </c>
      <c r="AU865" s="1">
        <f t="shared" si="115"/>
        <v>1.4989088886310395</v>
      </c>
      <c r="AV865" s="1">
        <f t="shared" si="116"/>
        <v>1.0833767507989362</v>
      </c>
      <c r="AW865" s="1">
        <f t="shared" si="117"/>
        <v>0.66784461296683306</v>
      </c>
    </row>
    <row r="866" spans="1:49" x14ac:dyDescent="0.2">
      <c r="A866">
        <v>864</v>
      </c>
      <c r="B866" t="s">
        <v>158</v>
      </c>
      <c r="C866" t="s">
        <v>157</v>
      </c>
      <c r="F866" t="s">
        <v>156</v>
      </c>
      <c r="G866" t="s">
        <v>15</v>
      </c>
      <c r="H866" t="s">
        <v>14</v>
      </c>
      <c r="I866" t="s">
        <v>155</v>
      </c>
      <c r="J866" t="s">
        <v>154</v>
      </c>
      <c r="K866" t="s">
        <v>153</v>
      </c>
      <c r="L866" t="s">
        <v>152</v>
      </c>
      <c r="M866" t="s">
        <v>151</v>
      </c>
      <c r="N866">
        <v>6</v>
      </c>
      <c r="O866" t="s">
        <v>150</v>
      </c>
      <c r="P866" t="s">
        <v>149</v>
      </c>
      <c r="Q866" t="s">
        <v>148</v>
      </c>
      <c r="R866" s="7">
        <v>32143</v>
      </c>
      <c r="S866" s="8">
        <f t="shared" si="112"/>
        <v>1988</v>
      </c>
      <c r="T866" s="8">
        <v>1988</v>
      </c>
      <c r="U866" s="8">
        <f t="shared" si="113"/>
        <v>34</v>
      </c>
      <c r="V866" s="7">
        <v>1988</v>
      </c>
      <c r="W866" t="s">
        <v>147</v>
      </c>
      <c r="X866" s="2">
        <v>1.641</v>
      </c>
      <c r="Y866" s="6">
        <f t="shared" si="110"/>
        <v>4.3805557780091299E-2</v>
      </c>
      <c r="AA866">
        <v>223654</v>
      </c>
      <c r="AB866">
        <v>30422</v>
      </c>
      <c r="AD866" t="s">
        <v>4</v>
      </c>
      <c r="AE866">
        <v>92</v>
      </c>
      <c r="AF866">
        <v>17</v>
      </c>
      <c r="AH866" t="s">
        <v>146</v>
      </c>
      <c r="AI866" t="s">
        <v>145</v>
      </c>
      <c r="AK866" t="s">
        <v>144</v>
      </c>
      <c r="AL866">
        <v>83</v>
      </c>
      <c r="AM866" s="5">
        <f t="shared" si="114"/>
        <v>2.4411764705882355</v>
      </c>
      <c r="AN866" s="4">
        <f t="shared" si="111"/>
        <v>3.6973517161502998E-3</v>
      </c>
      <c r="AO866" s="3"/>
      <c r="AP866">
        <v>0</v>
      </c>
      <c r="AR866" t="s">
        <v>0</v>
      </c>
      <c r="AT866" s="2" t="s">
        <v>19</v>
      </c>
      <c r="AU866" s="1">
        <f t="shared" si="115"/>
        <v>3.1773095960908999</v>
      </c>
      <c r="AV866" s="1">
        <f t="shared" si="116"/>
        <v>2.3751454748120802</v>
      </c>
      <c r="AW866" s="1">
        <f t="shared" si="117"/>
        <v>1.57298135353326</v>
      </c>
    </row>
    <row r="867" spans="1:49" x14ac:dyDescent="0.2">
      <c r="A867">
        <v>865</v>
      </c>
      <c r="B867" t="s">
        <v>143</v>
      </c>
      <c r="C867" t="s">
        <v>142</v>
      </c>
      <c r="F867" t="s">
        <v>141</v>
      </c>
      <c r="G867" t="s">
        <v>15</v>
      </c>
      <c r="H867" t="s">
        <v>14</v>
      </c>
      <c r="I867" t="s">
        <v>140</v>
      </c>
      <c r="J867">
        <v>60013141</v>
      </c>
      <c r="K867" t="s">
        <v>60</v>
      </c>
      <c r="L867" t="s">
        <v>59</v>
      </c>
      <c r="M867" t="s">
        <v>58</v>
      </c>
      <c r="N867">
        <v>1</v>
      </c>
      <c r="O867" t="s">
        <v>139</v>
      </c>
      <c r="P867">
        <v>7101988263</v>
      </c>
      <c r="Q867">
        <v>60013141</v>
      </c>
      <c r="R867" s="7">
        <v>32143</v>
      </c>
      <c r="S867" s="8">
        <f t="shared" si="112"/>
        <v>1988</v>
      </c>
      <c r="T867" s="8">
        <v>1988</v>
      </c>
      <c r="U867" s="8">
        <f t="shared" si="113"/>
        <v>34</v>
      </c>
      <c r="V867" s="7">
        <v>1988</v>
      </c>
      <c r="W867" t="s">
        <v>56</v>
      </c>
      <c r="X867" s="2">
        <v>0.375</v>
      </c>
      <c r="Y867" s="6">
        <f t="shared" si="110"/>
        <v>1.0010410827260351E-2</v>
      </c>
      <c r="AA867">
        <v>135194</v>
      </c>
      <c r="AB867">
        <v>24918</v>
      </c>
      <c r="AD867" t="s">
        <v>4</v>
      </c>
      <c r="AE867">
        <v>24</v>
      </c>
      <c r="AF867">
        <v>3</v>
      </c>
      <c r="AH867" t="s">
        <v>138</v>
      </c>
      <c r="AI867" t="s">
        <v>137</v>
      </c>
      <c r="AJ867" t="s">
        <v>136</v>
      </c>
      <c r="AK867" t="s">
        <v>135</v>
      </c>
      <c r="AL867">
        <v>275</v>
      </c>
      <c r="AM867" s="5">
        <f t="shared" si="114"/>
        <v>8.0882352941176467</v>
      </c>
      <c r="AN867" s="4">
        <f t="shared" si="111"/>
        <v>1.2250261710136535E-2</v>
      </c>
      <c r="AO867" s="3"/>
      <c r="AP867">
        <v>0</v>
      </c>
      <c r="AR867" t="s">
        <v>0</v>
      </c>
      <c r="AT867" s="2">
        <v>1.3140000000000001</v>
      </c>
      <c r="AU867" s="1">
        <f t="shared" si="115"/>
        <v>1.0682366092123208</v>
      </c>
      <c r="AV867" s="1">
        <f t="shared" si="116"/>
        <v>1.1130336268698442</v>
      </c>
      <c r="AW867" s="1">
        <f t="shared" si="117"/>
        <v>1.1578306445273678</v>
      </c>
    </row>
    <row r="868" spans="1:49" x14ac:dyDescent="0.2">
      <c r="A868">
        <v>866</v>
      </c>
      <c r="B868" t="s">
        <v>134</v>
      </c>
      <c r="C868" t="s">
        <v>133</v>
      </c>
      <c r="D868" t="s">
        <v>132</v>
      </c>
      <c r="F868" t="s">
        <v>131</v>
      </c>
      <c r="G868" t="s">
        <v>15</v>
      </c>
      <c r="H868" t="s">
        <v>14</v>
      </c>
      <c r="I868" t="s">
        <v>130</v>
      </c>
      <c r="J868">
        <v>60003274</v>
      </c>
      <c r="K868" t="s">
        <v>129</v>
      </c>
      <c r="L868" t="s">
        <v>128</v>
      </c>
      <c r="M868" t="s">
        <v>127</v>
      </c>
      <c r="N868">
        <v>1</v>
      </c>
      <c r="O868" t="s">
        <v>126</v>
      </c>
      <c r="P868">
        <v>7003680929</v>
      </c>
      <c r="Q868">
        <v>60003274</v>
      </c>
      <c r="R868" s="7">
        <v>32143</v>
      </c>
      <c r="S868" s="8">
        <f t="shared" si="112"/>
        <v>1988</v>
      </c>
      <c r="T868" s="8">
        <v>1988</v>
      </c>
      <c r="U868" s="8">
        <f t="shared" si="113"/>
        <v>34</v>
      </c>
      <c r="V868" s="7">
        <v>1988</v>
      </c>
      <c r="W868" t="s">
        <v>125</v>
      </c>
      <c r="X868" s="2">
        <v>0.998</v>
      </c>
      <c r="Y868" s="6">
        <f t="shared" si="110"/>
        <v>2.664104001494888E-2</v>
      </c>
      <c r="AA868">
        <v>207322</v>
      </c>
      <c r="AB868">
        <v>90127</v>
      </c>
      <c r="AD868" t="s">
        <v>4</v>
      </c>
      <c r="AE868">
        <v>17</v>
      </c>
      <c r="AF868">
        <v>3</v>
      </c>
      <c r="AH868" t="s">
        <v>124</v>
      </c>
      <c r="AI868" t="s">
        <v>123</v>
      </c>
      <c r="AJ868" t="s">
        <v>122</v>
      </c>
      <c r="AK868" t="s">
        <v>121</v>
      </c>
      <c r="AL868">
        <v>147</v>
      </c>
      <c r="AM868" s="5">
        <f t="shared" si="114"/>
        <v>4.3235294117647056</v>
      </c>
      <c r="AN868" s="4">
        <f t="shared" si="111"/>
        <v>6.5483217141457106E-3</v>
      </c>
      <c r="AO868" s="3"/>
      <c r="AP868">
        <v>0</v>
      </c>
      <c r="AR868" t="s">
        <v>0</v>
      </c>
      <c r="AT868" s="2" t="s">
        <v>19</v>
      </c>
      <c r="AU868" s="1">
        <f t="shared" si="115"/>
        <v>2.0613224524707929</v>
      </c>
      <c r="AV868" s="1">
        <f t="shared" si="116"/>
        <v>1.6594680864547295</v>
      </c>
      <c r="AW868" s="1">
        <f t="shared" si="117"/>
        <v>1.2576137204386661</v>
      </c>
    </row>
    <row r="869" spans="1:49" x14ac:dyDescent="0.2">
      <c r="A869">
        <v>867</v>
      </c>
      <c r="B869" t="s">
        <v>120</v>
      </c>
      <c r="C869" t="s">
        <v>119</v>
      </c>
      <c r="D869">
        <v>21916988900748</v>
      </c>
      <c r="F869" t="s">
        <v>118</v>
      </c>
      <c r="G869" t="s">
        <v>15</v>
      </c>
      <c r="H869" t="s">
        <v>14</v>
      </c>
      <c r="I869" t="s">
        <v>117</v>
      </c>
      <c r="J869" t="s">
        <v>116</v>
      </c>
      <c r="K869" t="s">
        <v>115</v>
      </c>
      <c r="L869" t="s">
        <v>114</v>
      </c>
      <c r="M869" t="s">
        <v>113</v>
      </c>
      <c r="N869">
        <v>2</v>
      </c>
      <c r="O869" t="s">
        <v>112</v>
      </c>
      <c r="P869" t="s">
        <v>111</v>
      </c>
      <c r="Q869" t="s">
        <v>110</v>
      </c>
      <c r="R869" s="7">
        <v>32143</v>
      </c>
      <c r="S869" s="8">
        <f t="shared" si="112"/>
        <v>1988</v>
      </c>
      <c r="T869" s="8">
        <v>1988</v>
      </c>
      <c r="U869" s="8">
        <f t="shared" si="113"/>
        <v>34</v>
      </c>
      <c r="V869" s="7">
        <v>32203</v>
      </c>
      <c r="W869" t="s">
        <v>109</v>
      </c>
      <c r="X869" s="2">
        <v>0.51500000000000001</v>
      </c>
      <c r="Y869" s="6">
        <f t="shared" si="110"/>
        <v>1.374763086943755E-2</v>
      </c>
      <c r="AA869">
        <v>219169</v>
      </c>
      <c r="AB869">
        <v>30966</v>
      </c>
      <c r="AD869" t="s">
        <v>4</v>
      </c>
      <c r="AE869">
        <v>50</v>
      </c>
      <c r="AF869">
        <v>3</v>
      </c>
      <c r="AH869" t="s">
        <v>108</v>
      </c>
      <c r="AI869" t="s">
        <v>107</v>
      </c>
      <c r="AK869" t="s">
        <v>106</v>
      </c>
      <c r="AL869">
        <v>129</v>
      </c>
      <c r="AM869" s="5">
        <f t="shared" si="114"/>
        <v>3.7941176470588234</v>
      </c>
      <c r="AN869" s="4">
        <f t="shared" si="111"/>
        <v>5.7464864022095012E-3</v>
      </c>
      <c r="AO869" s="3"/>
      <c r="AP869">
        <v>0</v>
      </c>
      <c r="AR869" t="s">
        <v>0</v>
      </c>
      <c r="AT869" s="2" t="s">
        <v>19</v>
      </c>
      <c r="AU869" s="1">
        <f t="shared" si="115"/>
        <v>1.1347287529269134</v>
      </c>
      <c r="AV869" s="1">
        <f t="shared" si="116"/>
        <v>0.97470586358235256</v>
      </c>
      <c r="AW869" s="1">
        <f t="shared" si="117"/>
        <v>0.81468297423779157</v>
      </c>
    </row>
    <row r="870" spans="1:49" x14ac:dyDescent="0.2">
      <c r="A870">
        <v>868</v>
      </c>
      <c r="B870" t="s">
        <v>105</v>
      </c>
      <c r="C870" t="s">
        <v>104</v>
      </c>
      <c r="D870">
        <v>5272888901478</v>
      </c>
      <c r="F870" t="s">
        <v>103</v>
      </c>
      <c r="G870" t="s">
        <v>15</v>
      </c>
      <c r="H870" t="s">
        <v>14</v>
      </c>
      <c r="I870" t="s">
        <v>102</v>
      </c>
      <c r="J870">
        <v>60025038</v>
      </c>
      <c r="K870" t="s">
        <v>101</v>
      </c>
      <c r="L870" t="s">
        <v>100</v>
      </c>
      <c r="M870" t="s">
        <v>31</v>
      </c>
      <c r="N870">
        <v>2</v>
      </c>
      <c r="O870" t="s">
        <v>99</v>
      </c>
      <c r="P870" t="s">
        <v>98</v>
      </c>
      <c r="Q870" t="s">
        <v>97</v>
      </c>
      <c r="R870" s="7">
        <v>32143</v>
      </c>
      <c r="S870" s="8">
        <f t="shared" si="112"/>
        <v>1988</v>
      </c>
      <c r="T870" s="8">
        <v>1988</v>
      </c>
      <c r="U870" s="8">
        <f t="shared" si="113"/>
        <v>34</v>
      </c>
      <c r="V870" s="7">
        <v>1988</v>
      </c>
      <c r="W870" t="s">
        <v>27</v>
      </c>
      <c r="X870" s="2">
        <v>1.59</v>
      </c>
      <c r="Y870" s="6">
        <f t="shared" si="110"/>
        <v>4.2444141907583888E-2</v>
      </c>
      <c r="AA870">
        <v>52728</v>
      </c>
      <c r="AB870">
        <v>16791</v>
      </c>
      <c r="AD870" t="s">
        <v>4</v>
      </c>
      <c r="AE870">
        <v>932</v>
      </c>
      <c r="AF870" t="s">
        <v>26</v>
      </c>
      <c r="AH870" t="s">
        <v>96</v>
      </c>
      <c r="AI870" t="s">
        <v>95</v>
      </c>
      <c r="AJ870" t="s">
        <v>94</v>
      </c>
      <c r="AK870" t="s">
        <v>93</v>
      </c>
      <c r="AL870">
        <v>67</v>
      </c>
      <c r="AM870" s="5">
        <f t="shared" si="114"/>
        <v>1.9705882352941178</v>
      </c>
      <c r="AN870" s="4">
        <f t="shared" si="111"/>
        <v>2.9846092166514468E-3</v>
      </c>
      <c r="AO870" s="3"/>
      <c r="AP870">
        <v>0</v>
      </c>
      <c r="AQ870" t="s">
        <v>92</v>
      </c>
      <c r="AR870" t="s">
        <v>91</v>
      </c>
      <c r="AS870" t="s">
        <v>90</v>
      </c>
      <c r="AT870" s="2" t="s">
        <v>19</v>
      </c>
      <c r="AU870" s="1">
        <f t="shared" si="115"/>
        <v>3.0606282100304156</v>
      </c>
      <c r="AV870" s="1">
        <f t="shared" si="116"/>
        <v>2.2714375562117666</v>
      </c>
      <c r="AW870" s="1">
        <f t="shared" si="117"/>
        <v>1.4822469023931177</v>
      </c>
    </row>
    <row r="871" spans="1:49" x14ac:dyDescent="0.2">
      <c r="A871">
        <v>869</v>
      </c>
      <c r="B871" t="s">
        <v>89</v>
      </c>
      <c r="C871" t="s">
        <v>88</v>
      </c>
      <c r="F871" t="s">
        <v>87</v>
      </c>
      <c r="G871" t="s">
        <v>15</v>
      </c>
      <c r="H871" t="s">
        <v>14</v>
      </c>
      <c r="I871" t="s">
        <v>86</v>
      </c>
      <c r="J871">
        <v>60017695</v>
      </c>
      <c r="K871" t="s">
        <v>85</v>
      </c>
      <c r="L871" t="s">
        <v>84</v>
      </c>
      <c r="M871" t="s">
        <v>45</v>
      </c>
      <c r="N871">
        <v>3</v>
      </c>
      <c r="O871" t="s">
        <v>83</v>
      </c>
      <c r="P871" t="s">
        <v>82</v>
      </c>
      <c r="Q871" t="s">
        <v>81</v>
      </c>
      <c r="R871" s="7">
        <v>32143</v>
      </c>
      <c r="S871" s="8">
        <f t="shared" si="112"/>
        <v>1988</v>
      </c>
      <c r="T871" s="8">
        <v>1988</v>
      </c>
      <c r="U871" s="8">
        <f t="shared" si="113"/>
        <v>34</v>
      </c>
      <c r="V871" s="7">
        <v>32417</v>
      </c>
      <c r="W871" t="s">
        <v>80</v>
      </c>
      <c r="X871" s="2">
        <v>2.0070000000000001</v>
      </c>
      <c r="Y871" s="6">
        <f t="shared" si="110"/>
        <v>5.3575718747497406E-2</v>
      </c>
      <c r="AA871">
        <v>948276</v>
      </c>
      <c r="AB871">
        <v>27962</v>
      </c>
      <c r="AC871">
        <v>19448007</v>
      </c>
      <c r="AD871" t="s">
        <v>4</v>
      </c>
      <c r="AE871">
        <v>15</v>
      </c>
      <c r="AF871">
        <v>11</v>
      </c>
      <c r="AH871" t="s">
        <v>79</v>
      </c>
      <c r="AI871" t="s">
        <v>78</v>
      </c>
      <c r="AK871" t="s">
        <v>77</v>
      </c>
      <c r="AL871">
        <v>63</v>
      </c>
      <c r="AM871" s="5">
        <f t="shared" si="114"/>
        <v>1.8529411764705883</v>
      </c>
      <c r="AN871" s="4">
        <f t="shared" si="111"/>
        <v>2.8064235917767337E-3</v>
      </c>
      <c r="AO871" s="3"/>
      <c r="AP871">
        <v>0</v>
      </c>
      <c r="AR871" t="s">
        <v>0</v>
      </c>
      <c r="AT871" s="2">
        <v>4.72</v>
      </c>
      <c r="AU871" s="1">
        <f t="shared" si="115"/>
        <v>3.8344930200781202</v>
      </c>
      <c r="AV871" s="1">
        <f t="shared" si="116"/>
        <v>2.819107116963707</v>
      </c>
      <c r="AW871" s="1">
        <f t="shared" si="117"/>
        <v>1.8037212138492933</v>
      </c>
    </row>
    <row r="872" spans="1:49" x14ac:dyDescent="0.2">
      <c r="A872">
        <v>870</v>
      </c>
      <c r="B872" t="s">
        <v>76</v>
      </c>
      <c r="C872" t="s">
        <v>75</v>
      </c>
      <c r="F872" t="s">
        <v>74</v>
      </c>
      <c r="G872" t="s">
        <v>15</v>
      </c>
      <c r="H872" t="s">
        <v>14</v>
      </c>
      <c r="I872" t="s">
        <v>73</v>
      </c>
      <c r="J872">
        <v>60005304</v>
      </c>
      <c r="K872" t="s">
        <v>72</v>
      </c>
      <c r="L872" t="s">
        <v>71</v>
      </c>
      <c r="M872" t="s">
        <v>31</v>
      </c>
      <c r="N872">
        <v>1</v>
      </c>
      <c r="O872" t="s">
        <v>70</v>
      </c>
      <c r="P872">
        <v>57193268489</v>
      </c>
      <c r="Q872">
        <v>60005304</v>
      </c>
      <c r="R872" s="7">
        <v>32143</v>
      </c>
      <c r="S872" s="8">
        <f t="shared" si="112"/>
        <v>1988</v>
      </c>
      <c r="T872" s="8">
        <v>1988</v>
      </c>
      <c r="U872" s="8">
        <f t="shared" si="113"/>
        <v>34</v>
      </c>
      <c r="V872" s="7">
        <v>32203</v>
      </c>
      <c r="W872" t="s">
        <v>69</v>
      </c>
      <c r="X872" s="2">
        <v>1.6519999999999999</v>
      </c>
      <c r="Y872" s="6">
        <f t="shared" si="110"/>
        <v>4.409919649769093E-2</v>
      </c>
      <c r="AA872" t="s">
        <v>68</v>
      </c>
      <c r="AB872">
        <v>17337</v>
      </c>
      <c r="AC872">
        <v>15582221</v>
      </c>
      <c r="AD872" t="s">
        <v>4</v>
      </c>
      <c r="AE872">
        <v>36</v>
      </c>
      <c r="AF872">
        <v>3</v>
      </c>
      <c r="AH872" t="s">
        <v>67</v>
      </c>
      <c r="AI872" t="s">
        <v>66</v>
      </c>
      <c r="AK872" t="s">
        <v>65</v>
      </c>
      <c r="AL872">
        <v>15</v>
      </c>
      <c r="AM872" s="5">
        <f t="shared" si="114"/>
        <v>0.44117647058823528</v>
      </c>
      <c r="AN872" s="4">
        <f t="shared" si="111"/>
        <v>6.6819609328017462E-4</v>
      </c>
      <c r="AO872" s="3"/>
      <c r="AP872">
        <v>0</v>
      </c>
      <c r="AR872" t="s">
        <v>0</v>
      </c>
      <c r="AT872" s="2" t="s">
        <v>19</v>
      </c>
      <c r="AU872" s="1">
        <f t="shared" si="115"/>
        <v>3.1069896376367705</v>
      </c>
      <c r="AV872" s="1">
        <f t="shared" si="116"/>
        <v>2.2383696295485556</v>
      </c>
      <c r="AW872" s="1">
        <f t="shared" si="117"/>
        <v>1.3697496214603402</v>
      </c>
    </row>
    <row r="873" spans="1:49" x14ac:dyDescent="0.2">
      <c r="A873">
        <v>871</v>
      </c>
      <c r="B873" t="s">
        <v>64</v>
      </c>
      <c r="C873" t="s">
        <v>63</v>
      </c>
      <c r="F873" t="s">
        <v>62</v>
      </c>
      <c r="G873" t="s">
        <v>15</v>
      </c>
      <c r="H873" t="s">
        <v>14</v>
      </c>
      <c r="I873" t="s">
        <v>61</v>
      </c>
      <c r="J873">
        <v>60013141</v>
      </c>
      <c r="K873" t="s">
        <v>60</v>
      </c>
      <c r="L873" t="s">
        <v>59</v>
      </c>
      <c r="M873" t="s">
        <v>58</v>
      </c>
      <c r="N873">
        <v>1</v>
      </c>
      <c r="O873" t="s">
        <v>57</v>
      </c>
      <c r="P873">
        <v>55884538900</v>
      </c>
      <c r="Q873">
        <v>60013141</v>
      </c>
      <c r="R873" s="7">
        <v>32143</v>
      </c>
      <c r="S873" s="8">
        <f t="shared" si="112"/>
        <v>1988</v>
      </c>
      <c r="T873" s="8">
        <v>1988</v>
      </c>
      <c r="U873" s="8">
        <f t="shared" si="113"/>
        <v>34</v>
      </c>
      <c r="V873" s="7">
        <v>1988</v>
      </c>
      <c r="W873" t="s">
        <v>56</v>
      </c>
      <c r="X873" s="2">
        <v>0.375</v>
      </c>
      <c r="Y873" s="6">
        <f t="shared" si="110"/>
        <v>1.0010410827260351E-2</v>
      </c>
      <c r="AA873">
        <v>135194</v>
      </c>
      <c r="AB873">
        <v>24918</v>
      </c>
      <c r="AD873" t="s">
        <v>4</v>
      </c>
      <c r="AE873">
        <v>24</v>
      </c>
      <c r="AF873">
        <v>3</v>
      </c>
      <c r="AH873" t="s">
        <v>55</v>
      </c>
      <c r="AI873" t="s">
        <v>54</v>
      </c>
      <c r="AJ873" t="s">
        <v>53</v>
      </c>
      <c r="AK873" t="s">
        <v>52</v>
      </c>
      <c r="AL873">
        <v>35</v>
      </c>
      <c r="AM873" s="5">
        <f t="shared" si="114"/>
        <v>1.0294117647058822</v>
      </c>
      <c r="AN873" s="4">
        <f t="shared" si="111"/>
        <v>1.5591242176537406E-3</v>
      </c>
      <c r="AO873" s="3"/>
      <c r="AP873">
        <v>0</v>
      </c>
      <c r="AR873" t="s">
        <v>0</v>
      </c>
      <c r="AT873" s="2">
        <v>1.3140000000000001</v>
      </c>
      <c r="AU873" s="1">
        <f t="shared" si="115"/>
        <v>0.74750248443783673</v>
      </c>
      <c r="AV873" s="1">
        <f t="shared" si="116"/>
        <v>0.57847675224570461</v>
      </c>
      <c r="AW873" s="1">
        <f t="shared" si="117"/>
        <v>0.40945102005357237</v>
      </c>
    </row>
    <row r="874" spans="1:49" x14ac:dyDescent="0.2">
      <c r="A874">
        <v>872</v>
      </c>
      <c r="B874" t="s">
        <v>51</v>
      </c>
      <c r="C874" t="s">
        <v>50</v>
      </c>
      <c r="F874" t="s">
        <v>49</v>
      </c>
      <c r="G874" t="s">
        <v>15</v>
      </c>
      <c r="H874" t="s">
        <v>14</v>
      </c>
      <c r="I874" t="s">
        <v>48</v>
      </c>
      <c r="J874">
        <v>60029010</v>
      </c>
      <c r="K874" t="s">
        <v>47</v>
      </c>
      <c r="L874" t="s">
        <v>46</v>
      </c>
      <c r="M874" t="s">
        <v>45</v>
      </c>
      <c r="N874">
        <v>6</v>
      </c>
      <c r="O874" t="s">
        <v>44</v>
      </c>
      <c r="P874" t="s">
        <v>43</v>
      </c>
      <c r="Q874" t="s">
        <v>42</v>
      </c>
      <c r="R874" s="7">
        <v>32143</v>
      </c>
      <c r="S874" s="8">
        <f t="shared" si="112"/>
        <v>1988</v>
      </c>
      <c r="T874" s="8">
        <v>1988</v>
      </c>
      <c r="U874" s="8">
        <f t="shared" si="113"/>
        <v>34</v>
      </c>
      <c r="V874" s="7">
        <v>1988</v>
      </c>
      <c r="W874" t="s">
        <v>41</v>
      </c>
      <c r="X874" s="2">
        <v>1.887</v>
      </c>
      <c r="Y874" s="6">
        <f t="shared" si="110"/>
        <v>5.0372387282774087E-2</v>
      </c>
      <c r="AA874">
        <v>5562821</v>
      </c>
      <c r="AB874">
        <v>29459</v>
      </c>
      <c r="AD874" t="s">
        <v>4</v>
      </c>
      <c r="AE874">
        <v>38</v>
      </c>
      <c r="AF874">
        <v>2</v>
      </c>
      <c r="AH874" t="s">
        <v>40</v>
      </c>
      <c r="AI874" t="s">
        <v>39</v>
      </c>
      <c r="AK874" t="s">
        <v>38</v>
      </c>
      <c r="AL874">
        <v>130</v>
      </c>
      <c r="AM874" s="5">
        <f t="shared" si="114"/>
        <v>3.8235294117647061</v>
      </c>
      <c r="AN874" s="4">
        <f t="shared" si="111"/>
        <v>5.7910328084281801E-3</v>
      </c>
      <c r="AO874" s="3"/>
      <c r="AP874">
        <v>0</v>
      </c>
      <c r="AR874" t="s">
        <v>0</v>
      </c>
      <c r="AT874" s="2">
        <v>5.2960000000000003</v>
      </c>
      <c r="AU874" s="1">
        <f t="shared" si="115"/>
        <v>3.6997980940470314</v>
      </c>
      <c r="AV874" s="1">
        <f t="shared" si="116"/>
        <v>2.8081710045601134</v>
      </c>
      <c r="AW874" s="1">
        <f t="shared" si="117"/>
        <v>1.9165439150731951</v>
      </c>
    </row>
    <row r="875" spans="1:49" x14ac:dyDescent="0.2">
      <c r="A875">
        <v>873</v>
      </c>
      <c r="B875" t="s">
        <v>37</v>
      </c>
      <c r="C875" t="s">
        <v>36</v>
      </c>
      <c r="D875">
        <v>5272888901570</v>
      </c>
      <c r="F875" t="s">
        <v>35</v>
      </c>
      <c r="G875" t="s">
        <v>15</v>
      </c>
      <c r="H875" t="s">
        <v>14</v>
      </c>
      <c r="I875" t="s">
        <v>34</v>
      </c>
      <c r="J875">
        <v>60006221</v>
      </c>
      <c r="K875" t="s">
        <v>33</v>
      </c>
      <c r="L875" t="s">
        <v>32</v>
      </c>
      <c r="M875" t="s">
        <v>31</v>
      </c>
      <c r="N875">
        <v>3</v>
      </c>
      <c r="O875" t="s">
        <v>30</v>
      </c>
      <c r="P875" t="s">
        <v>29</v>
      </c>
      <c r="Q875" t="s">
        <v>28</v>
      </c>
      <c r="R875" s="7">
        <v>32143</v>
      </c>
      <c r="S875" s="8">
        <f t="shared" si="112"/>
        <v>1988</v>
      </c>
      <c r="T875" s="8">
        <v>1988</v>
      </c>
      <c r="U875" s="8">
        <f t="shared" si="113"/>
        <v>34</v>
      </c>
      <c r="V875" s="7">
        <v>1988</v>
      </c>
      <c r="W875" t="s">
        <v>27</v>
      </c>
      <c r="X875" s="2">
        <v>1.59</v>
      </c>
      <c r="Y875" s="6">
        <f t="shared" si="110"/>
        <v>4.2444141907583888E-2</v>
      </c>
      <c r="AA875">
        <v>52728</v>
      </c>
      <c r="AB875">
        <v>16791</v>
      </c>
      <c r="AD875" t="s">
        <v>4</v>
      </c>
      <c r="AE875">
        <v>932</v>
      </c>
      <c r="AF875" t="s">
        <v>26</v>
      </c>
      <c r="AH875" t="s">
        <v>25</v>
      </c>
      <c r="AI875" t="s">
        <v>24</v>
      </c>
      <c r="AJ875" t="s">
        <v>23</v>
      </c>
      <c r="AK875" t="s">
        <v>22</v>
      </c>
      <c r="AL875">
        <v>67</v>
      </c>
      <c r="AM875" s="5">
        <f t="shared" si="114"/>
        <v>1.9705882352941178</v>
      </c>
      <c r="AN875" s="4">
        <f t="shared" si="111"/>
        <v>2.9846092166514468E-3</v>
      </c>
      <c r="AO875" s="3"/>
      <c r="AP875">
        <v>0</v>
      </c>
      <c r="AQ875" t="s">
        <v>21</v>
      </c>
      <c r="AR875" t="s">
        <v>0</v>
      </c>
      <c r="AS875" t="s">
        <v>20</v>
      </c>
      <c r="AT875" s="2" t="s">
        <v>19</v>
      </c>
      <c r="AU875" s="1">
        <f t="shared" si="115"/>
        <v>3.0606282100304156</v>
      </c>
      <c r="AV875" s="1">
        <f t="shared" si="116"/>
        <v>2.2714375562117666</v>
      </c>
      <c r="AW875" s="1">
        <f t="shared" si="117"/>
        <v>1.4822469023931177</v>
      </c>
    </row>
    <row r="876" spans="1:49" x14ac:dyDescent="0.2">
      <c r="A876">
        <v>874</v>
      </c>
      <c r="B876" t="s">
        <v>18</v>
      </c>
      <c r="C876" t="s">
        <v>17</v>
      </c>
      <c r="F876" t="s">
        <v>16</v>
      </c>
      <c r="G876" t="s">
        <v>15</v>
      </c>
      <c r="H876" t="s">
        <v>14</v>
      </c>
      <c r="I876" t="s">
        <v>13</v>
      </c>
      <c r="J876" t="s">
        <v>12</v>
      </c>
      <c r="K876" t="s">
        <v>11</v>
      </c>
      <c r="L876" t="s">
        <v>10</v>
      </c>
      <c r="M876" t="s">
        <v>9</v>
      </c>
      <c r="N876">
        <v>2</v>
      </c>
      <c r="O876" t="s">
        <v>8</v>
      </c>
      <c r="P876" t="s">
        <v>7</v>
      </c>
      <c r="Q876" t="s">
        <v>6</v>
      </c>
      <c r="R876" s="7">
        <v>32143</v>
      </c>
      <c r="S876" s="8">
        <f t="shared" si="112"/>
        <v>1988</v>
      </c>
      <c r="T876" s="8">
        <v>1988</v>
      </c>
      <c r="U876" s="8">
        <f t="shared" si="113"/>
        <v>34</v>
      </c>
      <c r="V876" s="7">
        <v>1988</v>
      </c>
      <c r="W876" t="s">
        <v>5</v>
      </c>
      <c r="X876" s="2">
        <v>15.993</v>
      </c>
      <c r="Y876" s="6">
        <f t="shared" si="110"/>
        <v>0.42692400096099947</v>
      </c>
      <c r="AA876">
        <v>280836</v>
      </c>
      <c r="AB876">
        <v>21206</v>
      </c>
      <c r="AD876" t="s">
        <v>4</v>
      </c>
      <c r="AE876">
        <v>331</v>
      </c>
      <c r="AF876">
        <v>6153</v>
      </c>
      <c r="AH876" t="s">
        <v>3</v>
      </c>
      <c r="AI876" t="s">
        <v>2</v>
      </c>
      <c r="AK876" t="s">
        <v>1</v>
      </c>
      <c r="AL876">
        <v>233</v>
      </c>
      <c r="AM876" s="5">
        <f t="shared" si="114"/>
        <v>6.8529411764705879</v>
      </c>
      <c r="AN876" s="4">
        <f t="shared" si="111"/>
        <v>1.0379312648952045E-2</v>
      </c>
      <c r="AO876" s="3"/>
      <c r="AP876">
        <v>0</v>
      </c>
      <c r="AR876" t="s">
        <v>0</v>
      </c>
      <c r="AT876" s="2">
        <v>49.962000000000003</v>
      </c>
      <c r="AU876" s="1">
        <f t="shared" si="115"/>
        <v>30.19605944673852</v>
      </c>
      <c r="AV876" s="1">
        <f t="shared" si="116"/>
        <v>21.865165680497576</v>
      </c>
      <c r="AW876" s="1">
        <f t="shared" si="117"/>
        <v>13.534271914256626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1988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2021-11-11T11:38:50Z</dcterms:created>
  <dcterms:modified xsi:type="dcterms:W3CDTF">2022-01-19T19:35:22Z</dcterms:modified>
</cp:coreProperties>
</file>